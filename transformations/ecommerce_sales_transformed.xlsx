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C:\Users\HP\Desktop\Portfolio_Projects\e-commerce_project\"/>
    </mc:Choice>
  </mc:AlternateContent>
  <xr:revisionPtr revIDLastSave="0" documentId="13_ncr:1_{F771796A-A65E-4DE1-AB35-C8FCCDF6479B}" xr6:coauthVersionLast="47" xr6:coauthVersionMax="47" xr10:uidLastSave="{00000000-0000-0000-0000-000000000000}"/>
  <bookViews>
    <workbookView xWindow="-120" yWindow="-120" windowWidth="20730" windowHeight="11160" activeTab="2" xr2:uid="{00000000-000D-0000-FFFF-FFFF00000000}"/>
  </bookViews>
  <sheets>
    <sheet name="dataset" sheetId="2" r:id="rId1"/>
    <sheet name="calculation" sheetId="3" r:id="rId2"/>
    <sheet name="dashboard" sheetId="4" r:id="rId3"/>
  </sheets>
  <definedNames>
    <definedName name="_xlchart.v5.0" hidden="1">calculation!$D$33</definedName>
    <definedName name="_xlchart.v5.1" hidden="1">calculation!$D$34:$D$81</definedName>
    <definedName name="_xlchart.v5.2" hidden="1">calculation!$E$33</definedName>
    <definedName name="_xlchart.v5.3" hidden="1">calculation!$E$34:$E$81</definedName>
    <definedName name="cy_profit_">calculation!$K$8</definedName>
    <definedName name="cy_quantity_">calculation!$K$7</definedName>
    <definedName name="cy_sales_">calculation!$K$6</definedName>
    <definedName name="ExternalData_1" localSheetId="0" hidden="1">dataset!$A$1:$J$3501</definedName>
    <definedName name="profit_">calculation!$J$8</definedName>
    <definedName name="py_profit_">calculation!$L$8</definedName>
    <definedName name="py_quantity_">calculation!$L$7</definedName>
    <definedName name="py_sales_">calculation!$L$6</definedName>
    <definedName name="quantity_">calculation!$J$7</definedName>
    <definedName name="sales_">calculation!$J$6</definedName>
    <definedName name="sales_by_category">calculation!$I$25</definedName>
    <definedName name="sales_trend">calculation!$B$15</definedName>
    <definedName name="Slicer_Category">#N/A</definedName>
    <definedName name="Slicer_Region">#N/A</definedName>
    <definedName name="top_product">calculation!$I$33</definedName>
    <definedName name="top_region">calculation!$I$43</definedName>
    <definedName name="top_selling_cities">calculation!$I$15</definedName>
    <definedName name="yoy_profit_">calculation!$N$8</definedName>
    <definedName name="yoy_quantity_">calculation!$N$7</definedName>
    <definedName name="yoy_sales_">calculation!$N$6</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3" i="3" l="1"/>
  <c r="I33" i="3"/>
  <c r="K6" i="3" l="1"/>
  <c r="M26" i="3"/>
  <c r="M16" i="3"/>
  <c r="I25" i="3"/>
  <c r="I15" i="3"/>
  <c r="B15" i="3"/>
  <c r="L8" i="3"/>
  <c r="L7" i="3"/>
  <c r="L6" i="3"/>
  <c r="M6" i="3" s="1"/>
  <c r="N6" i="3" s="1"/>
  <c r="K8" i="3"/>
  <c r="M8" i="3" s="1"/>
  <c r="N8" i="3" s="1"/>
  <c r="K7" i="3"/>
  <c r="M7" i="3" s="1"/>
  <c r="N7" i="3" s="1"/>
  <c r="J8" i="3"/>
  <c r="J7" i="3"/>
  <c r="J6" i="3"/>
  <c r="M18" i="3" l="1"/>
  <c r="M19" i="3"/>
  <c r="M20" i="3"/>
  <c r="M21" i="3"/>
  <c r="M17" i="3"/>
  <c r="M28" i="3"/>
  <c r="M29" i="3"/>
  <c r="M2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ecommerce_sales_data (2)" description="Connection to the 'ecommerce_sales_data (2)' query in the workbook." type="5" refreshedVersion="6" background="1" saveData="1">
    <dbPr connection="Provider=Microsoft.Mashup.OleDb.1;Data Source=$Workbook$;Location=ecommerce_sales_data (2);Extended Properties=&quot;&quot;" command="SELECT * FROM [ecommerce_sales_data (2)]"/>
  </connection>
</connections>
</file>

<file path=xl/sharedStrings.xml><?xml version="1.0" encoding="utf-8"?>
<sst xmlns="http://schemas.openxmlformats.org/spreadsheetml/2006/main" count="21188" uniqueCount="481">
  <si>
    <t>Order Date</t>
  </si>
  <si>
    <t>Product Name</t>
  </si>
  <si>
    <t>Category</t>
  </si>
  <si>
    <t>Country</t>
  </si>
  <si>
    <t>City</t>
  </si>
  <si>
    <t>State</t>
  </si>
  <si>
    <t>Region</t>
  </si>
  <si>
    <t>Quantity</t>
  </si>
  <si>
    <t>Sales</t>
  </si>
  <si>
    <t>Profit</t>
  </si>
  <si>
    <t>Printer</t>
  </si>
  <si>
    <t>Office</t>
  </si>
  <si>
    <t>United States</t>
  </si>
  <si>
    <t>Henderson</t>
  </si>
  <si>
    <t>Kentucky</t>
  </si>
  <si>
    <t>South</t>
  </si>
  <si>
    <t>Mouse</t>
  </si>
  <si>
    <t>Accessories</t>
  </si>
  <si>
    <t>Tablet</t>
  </si>
  <si>
    <t>Electronics</t>
  </si>
  <si>
    <t>Fort Lauderdale</t>
  </si>
  <si>
    <t>Florida</t>
  </si>
  <si>
    <t>Los Angeles</t>
  </si>
  <si>
    <t>California</t>
  </si>
  <si>
    <t>West</t>
  </si>
  <si>
    <t>Camera</t>
  </si>
  <si>
    <t>Philadelphia</t>
  </si>
  <si>
    <t>Pennsylvania</t>
  </si>
  <si>
    <t>East</t>
  </si>
  <si>
    <t>Headphones</t>
  </si>
  <si>
    <t>Orem</t>
  </si>
  <si>
    <t>Utah</t>
  </si>
  <si>
    <t>Smartwatch</t>
  </si>
  <si>
    <t>Richardson</t>
  </si>
  <si>
    <t>Texas</t>
  </si>
  <si>
    <t>Central</t>
  </si>
  <si>
    <t>Monitor</t>
  </si>
  <si>
    <t>Houston</t>
  </si>
  <si>
    <t>New Albany</t>
  </si>
  <si>
    <t>Indiana</t>
  </si>
  <si>
    <t>Smartphone</t>
  </si>
  <si>
    <t>Troy</t>
  </si>
  <si>
    <t>New York</t>
  </si>
  <si>
    <t>Chicago</t>
  </si>
  <si>
    <t>Illinois</t>
  </si>
  <si>
    <t>Memphis</t>
  </si>
  <si>
    <t>Tennessee</t>
  </si>
  <si>
    <t>Columbia</t>
  </si>
  <si>
    <t>South Carolina</t>
  </si>
  <si>
    <t>Keyboard</t>
  </si>
  <si>
    <t>Minneapolis</t>
  </si>
  <si>
    <t>Minnesota</t>
  </si>
  <si>
    <t>New York City</t>
  </si>
  <si>
    <t>Aurora</t>
  </si>
  <si>
    <t>Colorado</t>
  </si>
  <si>
    <t>Laptop</t>
  </si>
  <si>
    <t>Seattle</t>
  </si>
  <si>
    <t>Washington</t>
  </si>
  <si>
    <t>Wilmington</t>
  </si>
  <si>
    <t>Delaware</t>
  </si>
  <si>
    <t>Bloomington</t>
  </si>
  <si>
    <t>Roseville</t>
  </si>
  <si>
    <t>Newark</t>
  </si>
  <si>
    <t>Ohio</t>
  </si>
  <si>
    <t>Franklin</t>
  </si>
  <si>
    <t>Wisconsin</t>
  </si>
  <si>
    <t>San Antonio</t>
  </si>
  <si>
    <t>Denver</t>
  </si>
  <si>
    <t>Medina</t>
  </si>
  <si>
    <t>Dublin</t>
  </si>
  <si>
    <t>Detroit</t>
  </si>
  <si>
    <t>Michigan</t>
  </si>
  <si>
    <t>Tampa</t>
  </si>
  <si>
    <t>Lakeville</t>
  </si>
  <si>
    <t>San Francisco</t>
  </si>
  <si>
    <t>Columbus</t>
  </si>
  <si>
    <t>Colorado Springs</t>
  </si>
  <si>
    <t>Belleville</t>
  </si>
  <si>
    <t>New Jersey</t>
  </si>
  <si>
    <t>Arvada</t>
  </si>
  <si>
    <t>Hackensack</t>
  </si>
  <si>
    <t>Murfreesboro</t>
  </si>
  <si>
    <t>Manchester</t>
  </si>
  <si>
    <t>Connecticut</t>
  </si>
  <si>
    <t>Massachusetts</t>
  </si>
  <si>
    <t>Pembroke Pines</t>
  </si>
  <si>
    <t>Lawrence</t>
  </si>
  <si>
    <t>Jackson</t>
  </si>
  <si>
    <t>Mississippi</t>
  </si>
  <si>
    <t>Canton</t>
  </si>
  <si>
    <t>Akron</t>
  </si>
  <si>
    <t>Concord</t>
  </si>
  <si>
    <t>Decatur</t>
  </si>
  <si>
    <t>Phoenix</t>
  </si>
  <si>
    <t>Arizona</t>
  </si>
  <si>
    <t>Park Ridge</t>
  </si>
  <si>
    <t>Amarillo</t>
  </si>
  <si>
    <t>Costa Mesa</t>
  </si>
  <si>
    <t>Parker</t>
  </si>
  <si>
    <t>Gladstone</t>
  </si>
  <si>
    <t>Missouri</t>
  </si>
  <si>
    <t>Lakeland</t>
  </si>
  <si>
    <t>Fort Worth</t>
  </si>
  <si>
    <t>Jacksonville</t>
  </si>
  <si>
    <t>Richmond</t>
  </si>
  <si>
    <t>San Diego</t>
  </si>
  <si>
    <t>Dearborn</t>
  </si>
  <si>
    <t>Warner Robins</t>
  </si>
  <si>
    <t>Georgia</t>
  </si>
  <si>
    <t>Vallejo</t>
  </si>
  <si>
    <t>Vancouver</t>
  </si>
  <si>
    <t>Arlington</t>
  </si>
  <si>
    <t>Cleveland</t>
  </si>
  <si>
    <t>Tyler</t>
  </si>
  <si>
    <t>Waynesboro</t>
  </si>
  <si>
    <t>Virginia</t>
  </si>
  <si>
    <t>Long Beach</t>
  </si>
  <si>
    <t>Dover</t>
  </si>
  <si>
    <t>Oceanside</t>
  </si>
  <si>
    <t>Trenton</t>
  </si>
  <si>
    <t>Saint Petersburg</t>
  </si>
  <si>
    <t>Des Moines</t>
  </si>
  <si>
    <t>Iowa</t>
  </si>
  <si>
    <t>Lancaster</t>
  </si>
  <si>
    <t>Lake Elsinore</t>
  </si>
  <si>
    <t>Omaha</t>
  </si>
  <si>
    <t>Nebraska</t>
  </si>
  <si>
    <t>Edmonds</t>
  </si>
  <si>
    <t>Santa Ana</t>
  </si>
  <si>
    <t>Florence</t>
  </si>
  <si>
    <t>Louisville</t>
  </si>
  <si>
    <t>Lorain</t>
  </si>
  <si>
    <t>Springfield</t>
  </si>
  <si>
    <t>New Hampshire</t>
  </si>
  <si>
    <t>Rochester</t>
  </si>
  <si>
    <t>Norwich</t>
  </si>
  <si>
    <t>Milwaukee</t>
  </si>
  <si>
    <t>Torrance</t>
  </si>
  <si>
    <t>Mesa</t>
  </si>
  <si>
    <t>Round Rock</t>
  </si>
  <si>
    <t>Auburn</t>
  </si>
  <si>
    <t>Olympia</t>
  </si>
  <si>
    <t>District of Columbia</t>
  </si>
  <si>
    <t>Jefferson City</t>
  </si>
  <si>
    <t>Saint Peters</t>
  </si>
  <si>
    <t>Rockford</t>
  </si>
  <si>
    <t>Miami</t>
  </si>
  <si>
    <t>Yonkers</t>
  </si>
  <si>
    <t>Monroe</t>
  </si>
  <si>
    <t>North Carolina</t>
  </si>
  <si>
    <t>Encinitas</t>
  </si>
  <si>
    <t>Jonesboro</t>
  </si>
  <si>
    <t>Arkansas</t>
  </si>
  <si>
    <t>Cuyahoga Falls</t>
  </si>
  <si>
    <t>Harrisonburg</t>
  </si>
  <si>
    <t>Rockville</t>
  </si>
  <si>
    <t>Maryland</t>
  </si>
  <si>
    <t>Coral Springs</t>
  </si>
  <si>
    <t>Boynton Beach</t>
  </si>
  <si>
    <t>Fresno</t>
  </si>
  <si>
    <t>Chester</t>
  </si>
  <si>
    <t>La Porte</t>
  </si>
  <si>
    <t>Pasadena</t>
  </si>
  <si>
    <t>Evanston</t>
  </si>
  <si>
    <t>Tucson</t>
  </si>
  <si>
    <t>Pico Rivera</t>
  </si>
  <si>
    <t>Provo</t>
  </si>
  <si>
    <t>Smyrna</t>
  </si>
  <si>
    <t>Alabama</t>
  </si>
  <si>
    <t>Middletown</t>
  </si>
  <si>
    <t>Vineland</t>
  </si>
  <si>
    <t>Glendale</t>
  </si>
  <si>
    <t>North Las Vegas</t>
  </si>
  <si>
    <t>Nevada</t>
  </si>
  <si>
    <t>Allentown</t>
  </si>
  <si>
    <t>Laguna Niguel</t>
  </si>
  <si>
    <t>Everett</t>
  </si>
  <si>
    <t>Watertown</t>
  </si>
  <si>
    <t>El Paso</t>
  </si>
  <si>
    <t>Peoria</t>
  </si>
  <si>
    <t>Carrollton</t>
  </si>
  <si>
    <t>Kent</t>
  </si>
  <si>
    <t>Lafayette</t>
  </si>
  <si>
    <t>Louisiana</t>
  </si>
  <si>
    <t>Oakland</t>
  </si>
  <si>
    <t>Suffolk</t>
  </si>
  <si>
    <t>Madison</t>
  </si>
  <si>
    <t>San Jose</t>
  </si>
  <si>
    <t>Redmond</t>
  </si>
  <si>
    <t>Oregon</t>
  </si>
  <si>
    <t>Muskogee</t>
  </si>
  <si>
    <t>Oklahoma</t>
  </si>
  <si>
    <t>Charlotte</t>
  </si>
  <si>
    <t>Bowling Green</t>
  </si>
  <si>
    <t>Spokane</t>
  </si>
  <si>
    <t>Fairfield</t>
  </si>
  <si>
    <t>Broomfield</t>
  </si>
  <si>
    <t>Montgomery</t>
  </si>
  <si>
    <t>Brentwood</t>
  </si>
  <si>
    <t>Providence</t>
  </si>
  <si>
    <t>Rhode Island</t>
  </si>
  <si>
    <t>Pomona</t>
  </si>
  <si>
    <t>Ontario</t>
  </si>
  <si>
    <t>Moorhead</t>
  </si>
  <si>
    <t>Redlands</t>
  </si>
  <si>
    <t>Sunnyvale</t>
  </si>
  <si>
    <t>Lansing</t>
  </si>
  <si>
    <t>Grand Prairie</t>
  </si>
  <si>
    <t>York</t>
  </si>
  <si>
    <t>College Station</t>
  </si>
  <si>
    <t>Dallas</t>
  </si>
  <si>
    <t>Cincinnati</t>
  </si>
  <si>
    <t>Laredo</t>
  </si>
  <si>
    <t>San Angelo</t>
  </si>
  <si>
    <t>Little Rock</t>
  </si>
  <si>
    <t>Marion</t>
  </si>
  <si>
    <t>Littleton</t>
  </si>
  <si>
    <t>Bangor</t>
  </si>
  <si>
    <t>Maine</t>
  </si>
  <si>
    <t>Southaven</t>
  </si>
  <si>
    <t>Roswell</t>
  </si>
  <si>
    <t>Sioux Falls</t>
  </si>
  <si>
    <t>South Dakota</t>
  </si>
  <si>
    <t>Sacramento</t>
  </si>
  <si>
    <t>Huntsville</t>
  </si>
  <si>
    <t>Holyoke</t>
  </si>
  <si>
    <t>Farmington</t>
  </si>
  <si>
    <t>New Mexico</t>
  </si>
  <si>
    <t>Passaic</t>
  </si>
  <si>
    <t>Fayetteville</t>
  </si>
  <si>
    <t>Mishawaka</t>
  </si>
  <si>
    <t>Westfield</t>
  </si>
  <si>
    <t>Scottsdale</t>
  </si>
  <si>
    <t>Malden</t>
  </si>
  <si>
    <t>Bellingham</t>
  </si>
  <si>
    <t>Alexandria</t>
  </si>
  <si>
    <t>Wheeling</t>
  </si>
  <si>
    <t>Raleigh</t>
  </si>
  <si>
    <t>Tulsa</t>
  </si>
  <si>
    <t>Hesperia</t>
  </si>
  <si>
    <t>Gilbert</t>
  </si>
  <si>
    <t>Lowell</t>
  </si>
  <si>
    <t>Hialeah</t>
  </si>
  <si>
    <t>Lakewood</t>
  </si>
  <si>
    <t>Bakersfield</t>
  </si>
  <si>
    <t>Pompano Beach</t>
  </si>
  <si>
    <t>Corpus Christi</t>
  </si>
  <si>
    <t>Redondo Beach</t>
  </si>
  <si>
    <t>Las Cruces</t>
  </si>
  <si>
    <t>Chesapeake</t>
  </si>
  <si>
    <t>Woodstock</t>
  </si>
  <si>
    <t>Atlanta</t>
  </si>
  <si>
    <t>Tempe</t>
  </si>
  <si>
    <t>Lake Charles</t>
  </si>
  <si>
    <t>Highland Park</t>
  </si>
  <si>
    <t>Saginaw</t>
  </si>
  <si>
    <t>Skokie</t>
  </si>
  <si>
    <t>Allen</t>
  </si>
  <si>
    <t>Mount Pleasant</t>
  </si>
  <si>
    <t>Murray</t>
  </si>
  <si>
    <t>Pharr</t>
  </si>
  <si>
    <t>West Jordan</t>
  </si>
  <si>
    <t>Brownsville</t>
  </si>
  <si>
    <t>Lincoln Park</t>
  </si>
  <si>
    <t>Gresham</t>
  </si>
  <si>
    <t>Chattanooga</t>
  </si>
  <si>
    <t>Meridian</t>
  </si>
  <si>
    <t>Idaho</t>
  </si>
  <si>
    <t>Austin</t>
  </si>
  <si>
    <t>Tallahassee</t>
  </si>
  <si>
    <t>Fort Collins</t>
  </si>
  <si>
    <t>Gulfport</t>
  </si>
  <si>
    <t>Quincy</t>
  </si>
  <si>
    <t>Bristol</t>
  </si>
  <si>
    <t>Mission Viejo</t>
  </si>
  <si>
    <t>Las Vegas</t>
  </si>
  <si>
    <t>Hempstead</t>
  </si>
  <si>
    <t>Tinley Park</t>
  </si>
  <si>
    <t>Dubuque</t>
  </si>
  <si>
    <t>Inglewood</t>
  </si>
  <si>
    <t>Revere</t>
  </si>
  <si>
    <t>Dearborn Heights</t>
  </si>
  <si>
    <t>Mobile</t>
  </si>
  <si>
    <t>Carol Stream</t>
  </si>
  <si>
    <t>Saint Cloud</t>
  </si>
  <si>
    <t>Plano</t>
  </si>
  <si>
    <t>Macon</t>
  </si>
  <si>
    <t>Plantation</t>
  </si>
  <si>
    <t>Clinton</t>
  </si>
  <si>
    <t>Toledo</t>
  </si>
  <si>
    <t>Mesquite</t>
  </si>
  <si>
    <t>Odessa</t>
  </si>
  <si>
    <t>West Allis</t>
  </si>
  <si>
    <t>Chula Vista</t>
  </si>
  <si>
    <t>Greensboro</t>
  </si>
  <si>
    <t>Champaign</t>
  </si>
  <si>
    <t>Harlingen</t>
  </si>
  <si>
    <t>Greenwood</t>
  </si>
  <si>
    <t>Nashville</t>
  </si>
  <si>
    <t>Woonsocket</t>
  </si>
  <si>
    <t>Kenosha</t>
  </si>
  <si>
    <t>Port Saint Lucie</t>
  </si>
  <si>
    <t>Miramar</t>
  </si>
  <si>
    <t>Fremont</t>
  </si>
  <si>
    <t>Freeport</t>
  </si>
  <si>
    <t>Boise</t>
  </si>
  <si>
    <t>Cranston</t>
  </si>
  <si>
    <t>Baltimore</t>
  </si>
  <si>
    <t>Port Arthur</t>
  </si>
  <si>
    <t>Citrus Heights</t>
  </si>
  <si>
    <t>Bullhead City</t>
  </si>
  <si>
    <t>New Rochelle</t>
  </si>
  <si>
    <t>San Gabriel</t>
  </si>
  <si>
    <t>Hamilton</t>
  </si>
  <si>
    <t>Sandy Springs</t>
  </si>
  <si>
    <t>Mentor</t>
  </si>
  <si>
    <t>Lawton</t>
  </si>
  <si>
    <t>Hampton</t>
  </si>
  <si>
    <t>Rome</t>
  </si>
  <si>
    <t>Manteca</t>
  </si>
  <si>
    <t>Danville</t>
  </si>
  <si>
    <t>Waterbury</t>
  </si>
  <si>
    <t>Buffalo</t>
  </si>
  <si>
    <t>Pasco</t>
  </si>
  <si>
    <t>Marietta</t>
  </si>
  <si>
    <t>Parma</t>
  </si>
  <si>
    <t>League City</t>
  </si>
  <si>
    <t>Gaithersburg</t>
  </si>
  <si>
    <t>Oklahoma City</t>
  </si>
  <si>
    <t>Burlington</t>
  </si>
  <si>
    <t>Deltona</t>
  </si>
  <si>
    <t>Anaheim</t>
  </si>
  <si>
    <t>Chandler</t>
  </si>
  <si>
    <t>Kirkwood</t>
  </si>
  <si>
    <t>Taylor</t>
  </si>
  <si>
    <t>Midland</t>
  </si>
  <si>
    <t>Waco</t>
  </si>
  <si>
    <t>Texarkana</t>
  </si>
  <si>
    <t>Bethlehem</t>
  </si>
  <si>
    <t>Vermont</t>
  </si>
  <si>
    <t>Garland</t>
  </si>
  <si>
    <t>Knoxville</t>
  </si>
  <si>
    <t>Wichita</t>
  </si>
  <si>
    <t>Kansas</t>
  </si>
  <si>
    <t>Oak Park</t>
  </si>
  <si>
    <t>Palm Coast</t>
  </si>
  <si>
    <t>Olathe</t>
  </si>
  <si>
    <t>Draper</t>
  </si>
  <si>
    <t>La Crosse</t>
  </si>
  <si>
    <t>Morristown</t>
  </si>
  <si>
    <t>Apple Valley</t>
  </si>
  <si>
    <t>Salem</t>
  </si>
  <si>
    <t>Pocatello</t>
  </si>
  <si>
    <t>Apopka</t>
  </si>
  <si>
    <t>Milford</t>
  </si>
  <si>
    <t>Buffalo Grove</t>
  </si>
  <si>
    <t>Lake Forest</t>
  </si>
  <si>
    <t>Conway</t>
  </si>
  <si>
    <t>Meriden</t>
  </si>
  <si>
    <t>Cheyenne</t>
  </si>
  <si>
    <t>Wyoming</t>
  </si>
  <si>
    <t>Reading</t>
  </si>
  <si>
    <t>Hattiesburg</t>
  </si>
  <si>
    <t>Caldwell</t>
  </si>
  <si>
    <t>Nashua</t>
  </si>
  <si>
    <t>Georgetown</t>
  </si>
  <si>
    <t>Sierra Vista</t>
  </si>
  <si>
    <t>Lubbock</t>
  </si>
  <si>
    <t>Portland</t>
  </si>
  <si>
    <t>Hendersonville</t>
  </si>
  <si>
    <t>Chico</t>
  </si>
  <si>
    <t>Eugene</t>
  </si>
  <si>
    <t>Oxnard</t>
  </si>
  <si>
    <t>Westland</t>
  </si>
  <si>
    <t>Orlando</t>
  </si>
  <si>
    <t>Elmhurst</t>
  </si>
  <si>
    <t>Texas City</t>
  </si>
  <si>
    <t>Virginia Beach</t>
  </si>
  <si>
    <t>Charlottesville</t>
  </si>
  <si>
    <t>Wilson</t>
  </si>
  <si>
    <t>Rio Rancho</t>
  </si>
  <si>
    <t>Hot Springs</t>
  </si>
  <si>
    <t>Paterson</t>
  </si>
  <si>
    <t>Thousand Oaks</t>
  </si>
  <si>
    <t>El Cajon</t>
  </si>
  <si>
    <t>Naperville</t>
  </si>
  <si>
    <t>North Charleston</t>
  </si>
  <si>
    <t>Longview</t>
  </si>
  <si>
    <t>Normal</t>
  </si>
  <si>
    <t>Salinas</t>
  </si>
  <si>
    <t>Saint Charles</t>
  </si>
  <si>
    <t>Tuscaloosa</t>
  </si>
  <si>
    <t>Superior</t>
  </si>
  <si>
    <t>Helena</t>
  </si>
  <si>
    <t>Montana</t>
  </si>
  <si>
    <t>Bellevue</t>
  </si>
  <si>
    <t>Des Plaines</t>
  </si>
  <si>
    <t>Burbank</t>
  </si>
  <si>
    <t>Camarillo</t>
  </si>
  <si>
    <t>Tigard</t>
  </si>
  <si>
    <t>Covington</t>
  </si>
  <si>
    <t>Westminster</t>
  </si>
  <si>
    <t>Longmont</t>
  </si>
  <si>
    <t>Greenville</t>
  </si>
  <si>
    <t>Newport News</t>
  </si>
  <si>
    <t>Bossier City</t>
  </si>
  <si>
    <t>Thornton</t>
  </si>
  <si>
    <t>Morgan Hill</t>
  </si>
  <si>
    <t>Clifton</t>
  </si>
  <si>
    <t>Cambridge</t>
  </si>
  <si>
    <t>East Point</t>
  </si>
  <si>
    <t>Modesto</t>
  </si>
  <si>
    <t>Rapid City</t>
  </si>
  <si>
    <t>Durham</t>
  </si>
  <si>
    <t>Daytona Beach</t>
  </si>
  <si>
    <t>Andover</t>
  </si>
  <si>
    <t>Athens</t>
  </si>
  <si>
    <t>Danbury</t>
  </si>
  <si>
    <t>Noblesville</t>
  </si>
  <si>
    <t>Clarksville</t>
  </si>
  <si>
    <t>Frisco</t>
  </si>
  <si>
    <t>Sanford</t>
  </si>
  <si>
    <t>San Marcos</t>
  </si>
  <si>
    <t>Greeley</t>
  </si>
  <si>
    <t>Mansfield</t>
  </si>
  <si>
    <t>Hillsboro</t>
  </si>
  <si>
    <t>Twin Falls</t>
  </si>
  <si>
    <t>Utica</t>
  </si>
  <si>
    <t>Stockton</t>
  </si>
  <si>
    <t>Coral Gables</t>
  </si>
  <si>
    <t>Green Bay</t>
  </si>
  <si>
    <t>Marlborough</t>
  </si>
  <si>
    <t>Hollywood</t>
  </si>
  <si>
    <t>Laurel</t>
  </si>
  <si>
    <t>Eau Claire</t>
  </si>
  <si>
    <t>Perth Amboy</t>
  </si>
  <si>
    <t>Mcallen</t>
  </si>
  <si>
    <t>Moreno Valley</t>
  </si>
  <si>
    <t>West Virginia</t>
  </si>
  <si>
    <t>Broken Arrow</t>
  </si>
  <si>
    <t>Beaumont</t>
  </si>
  <si>
    <t>Mason</t>
  </si>
  <si>
    <t>Santa Barbara</t>
  </si>
  <si>
    <t>Bryan</t>
  </si>
  <si>
    <t>San Bernardino</t>
  </si>
  <si>
    <t>Indianapolis</t>
  </si>
  <si>
    <t>Sum of Sales</t>
  </si>
  <si>
    <t>Sum of Quantity</t>
  </si>
  <si>
    <t>Sum of Profit</t>
  </si>
  <si>
    <t>Row Labels</t>
  </si>
  <si>
    <t>Grand Total</t>
  </si>
  <si>
    <t>2022</t>
  </si>
  <si>
    <t>Jan</t>
  </si>
  <si>
    <t>Feb</t>
  </si>
  <si>
    <t>Mar</t>
  </si>
  <si>
    <t>Apr</t>
  </si>
  <si>
    <t>May</t>
  </si>
  <si>
    <t>Jun</t>
  </si>
  <si>
    <t>Jul</t>
  </si>
  <si>
    <t>Aug</t>
  </si>
  <si>
    <t>Sep</t>
  </si>
  <si>
    <t>Oct</t>
  </si>
  <si>
    <t>Nov</t>
  </si>
  <si>
    <t>Dec</t>
  </si>
  <si>
    <t>2023</t>
  </si>
  <si>
    <t>2024</t>
  </si>
  <si>
    <t>Key Performance Indicators</t>
  </si>
  <si>
    <t>SALES</t>
  </si>
  <si>
    <t>QUANTITY</t>
  </si>
  <si>
    <t>PROFIT</t>
  </si>
  <si>
    <t>Totals</t>
  </si>
  <si>
    <t>CY</t>
  </si>
  <si>
    <t>PY</t>
  </si>
  <si>
    <t>YoY</t>
  </si>
  <si>
    <t>Sales trend</t>
  </si>
  <si>
    <t>Top Selling Cities</t>
  </si>
  <si>
    <t>Sales by State</t>
  </si>
  <si>
    <t>STATE</t>
  </si>
  <si>
    <t>Sales by Category</t>
  </si>
  <si>
    <t>Top Selling Product</t>
  </si>
  <si>
    <t>Sales by 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</si>
</sst>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gt;=1000000]\$0.0,,&quot;M&quot;;[&gt;=1000]\$0.0,&quot;K&quot;;0"/>
    <numFmt numFmtId="165" formatCode="[&gt;=1000000]0.0,,&quot;M&quot;;[&gt;=1000]0.0,&quot;K&quot;;0"/>
    <numFmt numFmtId="166" formatCode="0.0%"/>
    <numFmt numFmtId="167" formatCode="0.0"/>
    <numFmt numFmtId="168" formatCode="[&gt;=1000000]\$0.00,,&quot;M&quot;;[&gt;=1000]\$0.00,&quot;K&quot;;0.0"/>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14" fontId="0" fillId="0" borderId="0" xfId="0" applyNumberFormat="1"/>
    <xf numFmtId="0" fontId="0" fillId="0" borderId="0" xfId="0" pivotButton="1"/>
    <xf numFmtId="14" fontId="0" fillId="0" borderId="0" xfId="0" applyNumberFormat="1" applyAlignment="1">
      <alignment horizontal="left"/>
    </xf>
    <xf numFmtId="0" fontId="0" fillId="0" borderId="0" xfId="0" applyAlignment="1">
      <alignment horizontal="left"/>
    </xf>
    <xf numFmtId="164" fontId="0" fillId="0" borderId="0" xfId="0" applyNumberFormat="1"/>
    <xf numFmtId="0" fontId="2" fillId="0" borderId="0" xfId="0" applyFont="1" applyAlignment="1">
      <alignment horizontal="left"/>
    </xf>
    <xf numFmtId="165" fontId="0" fillId="0" borderId="0" xfId="0" applyNumberFormat="1"/>
    <xf numFmtId="166" fontId="0" fillId="0" borderId="0" xfId="1" applyNumberFormat="1" applyFont="1"/>
    <xf numFmtId="167" fontId="0" fillId="0" borderId="0" xfId="0" applyNumberFormat="1"/>
    <xf numFmtId="168" fontId="0" fillId="0" borderId="0" xfId="0" applyNumberFormat="1"/>
    <xf numFmtId="0" fontId="0" fillId="2" borderId="0" xfId="0" applyFill="1" applyAlignment="1">
      <alignment horizontal="center"/>
    </xf>
    <xf numFmtId="0" fontId="0" fillId="0" borderId="0" xfId="0" applyNumberFormat="1"/>
  </cellXfs>
  <cellStyles count="2">
    <cellStyle name="Normal" xfId="0" builtinId="0"/>
    <cellStyle name="Percent" xfId="1" builtinId="5"/>
  </cellStyles>
  <dxfs count="76">
    <dxf>
      <numFmt numFmtId="164" formatCode="[&gt;=1000000]\$0.0,,&quot;M&quot;;[&gt;=1000]\$0.0,&quot;K&quot;;0"/>
    </dxf>
    <dxf>
      <numFmt numFmtId="168" formatCode="[&gt;=1000000]\$0.00,,&quot;M&quot;;[&gt;=1000]\$0.00,&quot;K&quot;;0.0"/>
    </dxf>
    <dxf>
      <numFmt numFmtId="164" formatCode="[&gt;=1000000]\$0.0,,&quot;M&quot;;[&gt;=1000]\$0.0,&quot;K&quot;;0"/>
    </dxf>
    <dxf>
      <numFmt numFmtId="164" formatCode="[&gt;=1000000]\$0.0,,&quot;M&quot;;[&gt;=1000]\$0.0,&quot;K&quot;;0"/>
    </dxf>
    <dxf>
      <numFmt numFmtId="168" formatCode="[&gt;=1000000]\$0.00,,&quot;M&quot;;[&gt;=1000]\$0.00,&quot;K&quot;;0.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35" formatCode="_(* #,##0.00_);_(* \(#,##0.00\);_(* &quot;-&quot;??_);_(@_)"/>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5" formatCode="[&gt;=1000000]0.0,,&quot;M&quot;;[&gt;=1000]0.0,&quot;K&quot;;0"/>
    </dxf>
    <dxf>
      <numFmt numFmtId="164" formatCode="[&gt;=1000000]\$0.0,,&quot;M&quot;;[&gt;=1000]\$0.0,&quot;K&quot;;0"/>
    </dxf>
    <dxf>
      <numFmt numFmtId="168" formatCode="[&gt;=1000000]\$0.00,,&quot;M&quot;;[&gt;=1000]\$0.00,&quot;K&quot;;0.0"/>
    </dxf>
    <dxf>
      <numFmt numFmtId="164" formatCode="[&gt;=1000000]\$0.0,,&quot;M&quot;;[&gt;=1000]\$0.0,&quot;K&quot;;0"/>
    </dxf>
    <dxf>
      <numFmt numFmtId="164" formatCode="[&gt;=1000000]\$0.0,,&quot;M&quot;;[&gt;=1000]\$0.0,&quot;K&quot;;0"/>
    </dxf>
    <dxf>
      <numFmt numFmtId="168" formatCode="[&gt;=1000000]\$0.00,,&quot;M&quot;;[&gt;=1000]\$0.00,&quot;K&quot;;0.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35" formatCode="_(* #,##0.00_);_(* \(#,##0.00\);_(* &quot;-&quot;??_);_(@_)"/>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5" formatCode="[&gt;=1000000]0.0,,&quot;M&quot;;[&gt;=1000]0.0,&quot;K&quot;;0"/>
    </dxf>
    <dxf>
      <numFmt numFmtId="164" formatCode="[&gt;=1000000]\$0.0,,&quot;M&quot;;[&gt;=1000]\$0.0,&quot;K&quot;;0"/>
    </dxf>
    <dxf>
      <numFmt numFmtId="168" formatCode="[&gt;=1000000]\$0.00,,&quot;M&quot;;[&gt;=1000]\$0.00,&quot;K&quot;;0.0"/>
    </dxf>
    <dxf>
      <numFmt numFmtId="164" formatCode="[&gt;=1000000]\$0.0,,&quot;M&quot;;[&gt;=1000]\$0.0,&quot;K&quot;;0"/>
    </dxf>
    <dxf>
      <numFmt numFmtId="164" formatCode="[&gt;=1000000]\$0.0,,&quot;M&quot;;[&gt;=1000]\$0.0,&quot;K&quot;;0"/>
    </dxf>
    <dxf>
      <numFmt numFmtId="168" formatCode="[&gt;=1000000]\$0.00,,&quot;M&quot;;[&gt;=1000]\$0.00,&quot;K&quot;;0.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35" formatCode="_(* #,##0.00_);_(* \(#,##0.00\);_(* &quot;-&quot;??_);_(@_)"/>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5" formatCode="[&gt;=1000000]0.0,,&quot;M&quot;;[&gt;=1000]0.0,&quot;K&quot;;0"/>
    </dxf>
    <dxf>
      <numFmt numFmtId="168" formatCode="[&gt;=1000000]\$0.00,,&quot;M&quot;;[&gt;=1000]\$0.00,&quot;K&quot;;0.0"/>
    </dxf>
    <dxf>
      <numFmt numFmtId="164" formatCode="[&gt;=1000000]\$0.0,,&quot;M&quot;;[&gt;=1000]\$0.0,&quot;K&quot;;0"/>
    </dxf>
    <dxf>
      <numFmt numFmtId="164" formatCode="[&gt;=1000000]\$0.0,,&quot;M&quot;;[&gt;=1000]\$0.0,&quot;K&quot;;0"/>
    </dxf>
    <dxf>
      <numFmt numFmtId="164" formatCode="[&gt;=1000000]\$0.0,,&quot;M&quot;;[&gt;=1000]\$0.0,&quot;K&quot;;0"/>
    </dxf>
    <dxf>
      <numFmt numFmtId="35" formatCode="_(* #,##0.00_);_(* \(#,##0.00\);_(* &quot;-&quot;??_);_(@_)"/>
    </dxf>
    <dxf>
      <numFmt numFmtId="164" formatCode="[&gt;=1000000]\$0.0,,&quot;M&quot;;[&gt;=1000]\$0.0,&quot;K&quot;;0"/>
    </dxf>
    <dxf>
      <numFmt numFmtId="165"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8" formatCode="[&gt;=1000000]\$0.00,,&quot;M&quot;;[&gt;=1000]\$0.00,&quot;K&quot;;0.0"/>
    </dxf>
    <dxf>
      <numFmt numFmtId="164" formatCode="[&gt;=1000000]\$0.0,,&quot;M&quot;;[&gt;=1000]\$0.0,&quot;K&quot;;0"/>
    </dxf>
    <dxf>
      <numFmt numFmtId="19" formatCode="m/d/yyyy"/>
    </dxf>
    <dxf>
      <font>
        <sz val="10"/>
      </font>
      <fill>
        <patternFill>
          <bgColor rgb="FFDEEBF7"/>
        </patternFill>
      </fill>
      <border diagonalUp="0" diagonalDown="0">
        <left/>
        <right/>
        <top/>
        <bottom/>
        <vertical/>
        <horizontal/>
      </border>
    </dxf>
  </dxfs>
  <tableStyles count="1" defaultTableStyle="TableStyleMedium2" defaultPivotStyle="PivotStyleLight16">
    <tableStyle name="Slicer Style 1" pivot="0" table="0" count="6" xr9:uid="{85D96A3A-E8A9-45C2-B446-8EE954F59C4E}">
      <tableStyleElement type="wholeTable" dxfId="75"/>
    </tableStyle>
  </tableStyles>
  <colors>
    <mruColors>
      <color rgb="FFBDD7EE"/>
      <color rgb="FFDEEBF7"/>
      <color rgb="FF222A35"/>
      <color rgb="FF000000"/>
      <color rgb="FFF8F9FA"/>
      <color rgb="FFF5F9FD"/>
    </mruColors>
  </colors>
  <extLst>
    <ext xmlns:x14="http://schemas.microsoft.com/office/spreadsheetml/2009/9/main" uri="{46F421CA-312F-682f-3DD2-61675219B42D}">
      <x14:dxfs count="5">
        <dxf>
          <font>
            <sz val="14"/>
          </font>
          <fill>
            <patternFill>
              <bgColor theme="2" tint="-9.9948118533890809E-2"/>
            </patternFill>
          </fill>
          <border diagonalUp="0" diagonalDown="0">
            <left/>
            <right/>
            <top/>
            <bottom/>
            <vertical/>
            <horizontal/>
          </border>
        </dxf>
        <dxf>
          <border diagonalUp="0" diagonalDown="0">
            <left/>
            <right/>
            <top/>
            <bottom/>
            <vertical/>
            <horizontal/>
          </border>
        </dxf>
        <dxf>
          <font>
            <b val="0"/>
            <i val="0"/>
            <sz val="14"/>
          </font>
          <fill>
            <patternFill>
              <bgColor rgb="FFBDD7EE"/>
            </patternFill>
          </fill>
          <border diagonalUp="0" diagonalDown="0">
            <left/>
            <right/>
            <top/>
            <bottom/>
            <vertical/>
            <horizontal/>
          </border>
        </dxf>
        <dxf>
          <border diagonalUp="0" diagonalDown="0">
            <left/>
            <right/>
            <top/>
            <bottom/>
            <vertical/>
            <horizontal/>
          </border>
        </dxf>
        <dxf>
          <border diagonalUp="0" diagonalDown="0">
            <left/>
            <right/>
            <top/>
            <bottom/>
            <vertical/>
            <horizontal/>
          </border>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4"/>
            <x14:slicerStyleElement type="unselectedItemWithNoData" dxfId="3"/>
            <x14:slicerStyleElement type="selectedItemWithData" dxfId="2"/>
            <x14:slicerStyleElement type="selectedItemWithNo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[ecommerce_sales_transformed.xlsx]calculation!PivotTable3</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34925" cap="rnd">
            <a:solidFill>
              <a:schemeClr val="accent1"/>
            </a:solidFill>
            <a:prstDash val="sysDot"/>
            <a:round/>
          </a:ln>
          <a:effectLst/>
        </c:spPr>
        <c:marker>
          <c:symbol val="none"/>
        </c:marker>
      </c:pivotFmt>
      <c:pivotFmt>
        <c:idx val="2"/>
        <c:spPr>
          <a:solidFill>
            <a:schemeClr val="accent1"/>
          </a:solidFill>
          <a:ln w="34925" cap="rnd">
            <a:solidFill>
              <a:schemeClr val="accent1"/>
            </a:solidFill>
            <a:prstDash val="sysDot"/>
            <a:round/>
          </a:ln>
          <a:effectLst/>
        </c:spPr>
        <c:marker>
          <c:symbol val="none"/>
        </c:marker>
      </c:pivotFmt>
      <c:pivotFmt>
        <c:idx val="3"/>
        <c:spPr>
          <a:solidFill>
            <a:schemeClr val="accent1"/>
          </a:solidFill>
          <a:ln w="34925" cap="rnd">
            <a:solidFill>
              <a:schemeClr val="accent1"/>
            </a:solidFill>
            <a:prstDash val="sysDot"/>
            <a:round/>
          </a:ln>
          <a:effectLst/>
        </c:spPr>
        <c:marker>
          <c:symbol val="circle"/>
          <c:size val="8"/>
          <c:spPr>
            <a:solidFill>
              <a:schemeClr val="accent1"/>
            </a:solidFill>
            <a:ln w="9525">
              <a:solidFill>
                <a:schemeClr val="accent1"/>
              </a:solidFill>
            </a:ln>
            <a:effectLst/>
          </c:spPr>
        </c:marker>
      </c:pivotFmt>
      <c:pivotFmt>
        <c:idx val="4"/>
        <c:spPr>
          <a:ln w="34925" cap="rnd">
            <a:solidFill>
              <a:schemeClr val="accent1">
                <a:lumMod val="75000"/>
              </a:schemeClr>
            </a:solidFill>
            <a:prstDash val="sysDot"/>
            <a:round/>
          </a:ln>
          <a:effectLst/>
        </c:spPr>
        <c:marker>
          <c:symbol val="circle"/>
          <c:size val="8"/>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718560221914767E-2"/>
          <c:y val="7.407407407407407E-2"/>
          <c:w val="0.94892548513926966"/>
          <c:h val="0.8416746864975212"/>
        </c:manualLayout>
      </c:layout>
      <c:lineChart>
        <c:grouping val="standard"/>
        <c:varyColors val="0"/>
        <c:ser>
          <c:idx val="0"/>
          <c:order val="0"/>
          <c:tx>
            <c:strRef>
              <c:f>calculation!$C$16</c:f>
              <c:strCache>
                <c:ptCount val="1"/>
                <c:pt idx="0">
                  <c:v>Total</c:v>
                </c:pt>
              </c:strCache>
            </c:strRef>
          </c:tx>
          <c:spPr>
            <a:ln w="34925" cap="rnd">
              <a:solidFill>
                <a:schemeClr val="accent1">
                  <a:lumMod val="75000"/>
                </a:schemeClr>
              </a:solidFill>
              <a:prstDash val="sysDot"/>
              <a:round/>
            </a:ln>
            <a:effectLst/>
          </c:spPr>
          <c:marker>
            <c:symbol val="circle"/>
            <c:size val="8"/>
            <c:spPr>
              <a:solidFill>
                <a:schemeClr val="accent1"/>
              </a:solidFill>
              <a:ln w="9525">
                <a:solidFill>
                  <a:schemeClr val="accent1"/>
                </a:solidFill>
              </a:ln>
              <a:effectLst/>
            </c:spPr>
          </c:marker>
          <c:cat>
            <c:strRef>
              <c:f>calculation!$B$17:$B$29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calculation!$C$17:$C$29</c:f>
              <c:numCache>
                <c:formatCode>[&gt;=1000000]\$0.0,,"M";[&gt;=1000]\$0.0,"K";0</c:formatCode>
                <c:ptCount val="12"/>
                <c:pt idx="0">
                  <c:v>967614</c:v>
                </c:pt>
                <c:pt idx="1">
                  <c:v>702414</c:v>
                </c:pt>
                <c:pt idx="2">
                  <c:v>939614</c:v>
                </c:pt>
                <c:pt idx="3">
                  <c:v>821876</c:v>
                </c:pt>
                <c:pt idx="4">
                  <c:v>1034687</c:v>
                </c:pt>
                <c:pt idx="5">
                  <c:v>839805</c:v>
                </c:pt>
                <c:pt idx="6">
                  <c:v>844940</c:v>
                </c:pt>
                <c:pt idx="7">
                  <c:v>924939</c:v>
                </c:pt>
                <c:pt idx="8">
                  <c:v>885546</c:v>
                </c:pt>
                <c:pt idx="9">
                  <c:v>892269</c:v>
                </c:pt>
                <c:pt idx="10">
                  <c:v>855075</c:v>
                </c:pt>
                <c:pt idx="11">
                  <c:v>959102</c:v>
                </c:pt>
              </c:numCache>
            </c:numRef>
          </c:val>
          <c:smooth val="1"/>
          <c:extLst>
            <c:ext xmlns:c16="http://schemas.microsoft.com/office/drawing/2014/chart" uri="{C3380CC4-5D6E-409C-BE32-E72D297353CC}">
              <c16:uniqueId val="{00000000-A5FA-45B5-8582-109248A46D66}"/>
            </c:ext>
          </c:extLst>
        </c:ser>
        <c:dLbls>
          <c:showLegendKey val="0"/>
          <c:showVal val="0"/>
          <c:showCatName val="0"/>
          <c:showSerName val="0"/>
          <c:showPercent val="0"/>
          <c:showBubbleSize val="0"/>
        </c:dLbls>
        <c:marker val="1"/>
        <c:smooth val="0"/>
        <c:axId val="2045736383"/>
        <c:axId val="2045743039"/>
      </c:lineChart>
      <c:catAx>
        <c:axId val="2045736383"/>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2045743039"/>
        <c:crosses val="autoZero"/>
        <c:auto val="1"/>
        <c:lblAlgn val="ctr"/>
        <c:lblOffset val="100"/>
        <c:noMultiLvlLbl val="0"/>
      </c:catAx>
      <c:valAx>
        <c:axId val="2045743039"/>
        <c:scaling>
          <c:orientation val="minMax"/>
        </c:scaling>
        <c:delete val="1"/>
        <c:axPos val="l"/>
        <c:numFmt formatCode="[&gt;=1000000]\$0.0,,&quot;M&quot;;[&gt;=1000]\$0.0,&quot;K&quot;;0" sourceLinked="1"/>
        <c:majorTickMark val="out"/>
        <c:minorTickMark val="none"/>
        <c:tickLblPos val="nextTo"/>
        <c:crossAx val="2045736383"/>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[ecommerce_sales_transformed.xlsx]calculation!PivotTable7</c:name>
    <c:fmtId val="2"/>
  </c:pivotSource>
  <c:chart>
    <c:autoTitleDeleted val="1"/>
    <c:pivotFmts>
      <c:pivotFmt>
        <c:idx val="0"/>
        <c:spPr>
          <a:solidFill>
            <a:schemeClr val="accent1"/>
          </a:solidFill>
          <a:ln w="28575" cap="rnd">
            <a:noFill/>
            <a:round/>
          </a:ln>
          <a:effectLst/>
        </c:spPr>
        <c:marker>
          <c:symbol val="circle"/>
          <c:size val="9"/>
          <c:spPr>
            <a:solidFill>
              <a:schemeClr val="accent1"/>
            </a:solidFill>
            <a:ln w="9525">
              <a:solidFill>
                <a:schemeClr val="accent1"/>
              </a:solidFill>
            </a:ln>
            <a:effectLst/>
          </c:spPr>
        </c:marker>
      </c:pivotFmt>
      <c:pivotFmt>
        <c:idx val="1"/>
        <c:spPr>
          <a:solidFill>
            <a:schemeClr val="accent1"/>
          </a:solidFill>
          <a:ln w="28575" cap="rnd">
            <a:noFill/>
            <a:round/>
          </a:ln>
          <a:effectLst/>
        </c:spPr>
        <c:marker>
          <c:symbol val="circle"/>
          <c:size val="9"/>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9"/>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noFill/>
            <a:round/>
          </a:ln>
          <a:effectLst/>
        </c:spPr>
        <c:marker>
          <c:symbol val="circle"/>
          <c:size val="9"/>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6666666666666668E-2"/>
          <c:y val="9.4420600858369105E-2"/>
          <c:w val="0.92666666666666664"/>
          <c:h val="0.70645263762630528"/>
        </c:manualLayout>
      </c:layout>
      <c:lineChart>
        <c:grouping val="standard"/>
        <c:varyColors val="0"/>
        <c:ser>
          <c:idx val="0"/>
          <c:order val="0"/>
          <c:tx>
            <c:strRef>
              <c:f>calculation!$J$34</c:f>
              <c:strCache>
                <c:ptCount val="1"/>
                <c:pt idx="0">
                  <c:v>Total</c:v>
                </c:pt>
              </c:strCache>
            </c:strRef>
          </c:tx>
          <c:spPr>
            <a:ln w="28575" cap="rnd">
              <a:noFill/>
              <a:round/>
            </a:ln>
            <a:effectLst/>
          </c:spPr>
          <c:marker>
            <c:symbol val="circle"/>
            <c:size val="9"/>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calculation!$I$35:$I$40</c:f>
              <c:strCache>
                <c:ptCount val="5"/>
                <c:pt idx="0">
                  <c:v>Camera</c:v>
                </c:pt>
                <c:pt idx="1">
                  <c:v>Monitor</c:v>
                </c:pt>
                <c:pt idx="2">
                  <c:v>Mouse</c:v>
                </c:pt>
                <c:pt idx="3">
                  <c:v>Printer</c:v>
                </c:pt>
                <c:pt idx="4">
                  <c:v>Smartphone</c:v>
                </c:pt>
              </c:strCache>
            </c:strRef>
          </c:cat>
          <c:val>
            <c:numRef>
              <c:f>calculation!$J$35:$J$40</c:f>
              <c:numCache>
                <c:formatCode>[&gt;=1000000]\$0.00,,"M";[&gt;=1000]\$0.00,"K";0.0</c:formatCode>
                <c:ptCount val="5"/>
                <c:pt idx="0">
                  <c:v>1177381</c:v>
                </c:pt>
                <c:pt idx="1">
                  <c:v>1160048</c:v>
                </c:pt>
                <c:pt idx="2">
                  <c:v>1074398</c:v>
                </c:pt>
                <c:pt idx="3">
                  <c:v>1094216</c:v>
                </c:pt>
                <c:pt idx="4">
                  <c:v>1069681</c:v>
                </c:pt>
              </c:numCache>
            </c:numRef>
          </c:val>
          <c:smooth val="0"/>
          <c:extLst>
            <c:ext xmlns:c16="http://schemas.microsoft.com/office/drawing/2014/chart" uri="{C3380CC4-5D6E-409C-BE32-E72D297353CC}">
              <c16:uniqueId val="{00000000-EEFB-4D6E-9A83-54419C4DD11F}"/>
            </c:ext>
          </c:extLst>
        </c:ser>
        <c:dLbls>
          <c:dLblPos val="t"/>
          <c:showLegendKey val="0"/>
          <c:showVal val="1"/>
          <c:showCatName val="0"/>
          <c:showSerName val="0"/>
          <c:showPercent val="0"/>
          <c:showBubbleSize val="0"/>
        </c:dLbls>
        <c:dropLines>
          <c:spPr>
            <a:ln w="9525" cap="flat" cmpd="sng" algn="ctr">
              <a:solidFill>
                <a:schemeClr val="tx1">
                  <a:lumMod val="35000"/>
                  <a:lumOff val="65000"/>
                </a:schemeClr>
              </a:solidFill>
              <a:prstDash val="sysDot"/>
              <a:round/>
            </a:ln>
            <a:effectLst/>
          </c:spPr>
        </c:dropLines>
        <c:marker val="1"/>
        <c:smooth val="0"/>
        <c:axId val="896387391"/>
        <c:axId val="896379071"/>
      </c:lineChart>
      <c:catAx>
        <c:axId val="896387391"/>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896379071"/>
        <c:crosses val="autoZero"/>
        <c:auto val="1"/>
        <c:lblAlgn val="ctr"/>
        <c:lblOffset val="100"/>
        <c:noMultiLvlLbl val="0"/>
      </c:catAx>
      <c:valAx>
        <c:axId val="896379071"/>
        <c:scaling>
          <c:orientation val="minMax"/>
        </c:scaling>
        <c:delete val="1"/>
        <c:axPos val="l"/>
        <c:numFmt formatCode="[&gt;=1000000]\$0.00,,&quot;M&quot;;[&gt;=1000]\$0.00,&quot;K&quot;;0.0" sourceLinked="1"/>
        <c:majorTickMark val="none"/>
        <c:minorTickMark val="none"/>
        <c:tickLblPos val="nextTo"/>
        <c:crossAx val="89638739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868828142049131"/>
          <c:y val="7.2527497630006973E-2"/>
          <c:w val="0.76271713836978638"/>
          <c:h val="0.81548298001211383"/>
        </c:manualLayout>
      </c:layout>
      <c:barChart>
        <c:barDir val="bar"/>
        <c:grouping val="stacked"/>
        <c:varyColors val="0"/>
        <c:ser>
          <c:idx val="0"/>
          <c:order val="0"/>
          <c:spPr>
            <a:solidFill>
              <a:schemeClr val="accent1">
                <a:lumMod val="40000"/>
                <a:lumOff val="60000"/>
              </a:schemeClr>
            </a:solidFill>
            <a:ln>
              <a:noFill/>
            </a:ln>
            <a:effectLst/>
          </c:spPr>
          <c:invertIfNegative val="0"/>
          <c:cat>
            <c:strRef>
              <c:f>calculation!$K$17:$K$21</c:f>
              <c:strCache>
                <c:ptCount val="5"/>
                <c:pt idx="0">
                  <c:v>Los Angeles</c:v>
                </c:pt>
                <c:pt idx="1">
                  <c:v>New York City</c:v>
                </c:pt>
                <c:pt idx="2">
                  <c:v>Philadelphia</c:v>
                </c:pt>
                <c:pt idx="3">
                  <c:v>San Francisco</c:v>
                </c:pt>
                <c:pt idx="4">
                  <c:v>Seattle</c:v>
                </c:pt>
              </c:strCache>
            </c:strRef>
          </c:cat>
          <c:val>
            <c:numRef>
              <c:f>calculation!$L$17:$L$21</c:f>
              <c:numCache>
                <c:formatCode>[&gt;=1000000]\$0.0,,"M";[&gt;=1000]\$0.0,"K";0</c:formatCode>
                <c:ptCount val="5"/>
                <c:pt idx="0">
                  <c:v>753214</c:v>
                </c:pt>
                <c:pt idx="1">
                  <c:v>1004712</c:v>
                </c:pt>
                <c:pt idx="2">
                  <c:v>557526</c:v>
                </c:pt>
                <c:pt idx="3">
                  <c:v>512276</c:v>
                </c:pt>
                <c:pt idx="4">
                  <c:v>472121</c:v>
                </c:pt>
              </c:numCache>
            </c:numRef>
          </c:val>
          <c:extLst>
            <c:ext xmlns:c16="http://schemas.microsoft.com/office/drawing/2014/chart" uri="{C3380CC4-5D6E-409C-BE32-E72D297353CC}">
              <c16:uniqueId val="{00000000-53C4-4D13-B3B6-DD6EFDFE0001}"/>
            </c:ext>
          </c:extLst>
        </c:ser>
        <c:ser>
          <c:idx val="1"/>
          <c:order val="1"/>
          <c:spPr>
            <a:solidFill>
              <a:schemeClr val="accent1">
                <a:lumMod val="20000"/>
                <a:lumOff val="80000"/>
                <a:alpha val="75000"/>
              </a:schemeClr>
            </a:solidFill>
            <a:ln>
              <a:noFill/>
            </a:ln>
            <a:effectLst/>
          </c:spPr>
          <c:invertIfNegative val="0"/>
          <c:dLbls>
            <c:dLbl>
              <c:idx val="0"/>
              <c:tx>
                <c:rich>
                  <a:bodyPr/>
                  <a:lstStyle/>
                  <a:p>
                    <a:fld id="{F6822837-67AB-4988-AC38-DAEBD7714236}" type="CELLRANGE">
                      <a:rPr lang="en-US"/>
                      <a:pPr/>
                      <a:t>[CELLRANGE]</a:t>
                    </a:fld>
                    <a:endParaRPr lang="en-US"/>
                  </a:p>
                </c:rich>
              </c:tx>
              <c:dLblPos val="in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3C4-4D13-B3B6-DD6EFDFE0001}"/>
                </c:ext>
              </c:extLst>
            </c:dLbl>
            <c:dLbl>
              <c:idx val="1"/>
              <c:tx>
                <c:rich>
                  <a:bodyPr/>
                  <a:lstStyle/>
                  <a:p>
                    <a:fld id="{ED22F82A-0363-434D-AF0B-B6D000538EDD}" type="CELLRANGE">
                      <a:rPr lang="en-US"/>
                      <a:pPr/>
                      <a:t>[CELLRANGE]</a:t>
                    </a:fld>
                    <a:endParaRPr lang="en-US"/>
                  </a:p>
                </c:rich>
              </c:tx>
              <c:dLblPos val="in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53C4-4D13-B3B6-DD6EFDFE0001}"/>
                </c:ext>
              </c:extLst>
            </c:dLbl>
            <c:dLbl>
              <c:idx val="2"/>
              <c:tx>
                <c:rich>
                  <a:bodyPr/>
                  <a:lstStyle/>
                  <a:p>
                    <a:fld id="{F9D07603-0011-4363-91B0-F774D39EC72D}" type="CELLRANGE">
                      <a:rPr lang="en-US"/>
                      <a:pPr/>
                      <a:t>[CELLRANGE]</a:t>
                    </a:fld>
                    <a:endParaRPr lang="en-US"/>
                  </a:p>
                </c:rich>
              </c:tx>
              <c:dLblPos val="in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53C4-4D13-B3B6-DD6EFDFE0001}"/>
                </c:ext>
              </c:extLst>
            </c:dLbl>
            <c:dLbl>
              <c:idx val="3"/>
              <c:tx>
                <c:rich>
                  <a:bodyPr/>
                  <a:lstStyle/>
                  <a:p>
                    <a:fld id="{F27CA329-B025-47F8-87F0-9E3233EE61FE}" type="CELLRANGE">
                      <a:rPr lang="en-US"/>
                      <a:pPr/>
                      <a:t>[CELLRANGE]</a:t>
                    </a:fld>
                    <a:endParaRPr lang="en-US"/>
                  </a:p>
                </c:rich>
              </c:tx>
              <c:dLblPos val="in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53C4-4D13-B3B6-DD6EFDFE0001}"/>
                </c:ext>
              </c:extLst>
            </c:dLbl>
            <c:dLbl>
              <c:idx val="4"/>
              <c:tx>
                <c:rich>
                  <a:bodyPr/>
                  <a:lstStyle/>
                  <a:p>
                    <a:fld id="{E89C8521-D9CE-4660-8635-7442E1F430B7}" type="CELLRANGE">
                      <a:rPr lang="en-US"/>
                      <a:pPr/>
                      <a:t>[CELLRANGE]</a:t>
                    </a:fld>
                    <a:endParaRPr lang="en-US"/>
                  </a:p>
                </c:rich>
              </c:tx>
              <c:dLblPos val="in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53C4-4D13-B3B6-DD6EFDFE000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calculation!$K$17:$K$21</c:f>
              <c:strCache>
                <c:ptCount val="5"/>
                <c:pt idx="0">
                  <c:v>Los Angeles</c:v>
                </c:pt>
                <c:pt idx="1">
                  <c:v>New York City</c:v>
                </c:pt>
                <c:pt idx="2">
                  <c:v>Philadelphia</c:v>
                </c:pt>
                <c:pt idx="3">
                  <c:v>San Francisco</c:v>
                </c:pt>
                <c:pt idx="4">
                  <c:v>Seattle</c:v>
                </c:pt>
              </c:strCache>
            </c:strRef>
          </c:cat>
          <c:val>
            <c:numRef>
              <c:f>calculation!$M$17:$M$21</c:f>
              <c:numCache>
                <c:formatCode>[&gt;=1000000]\$0.0,,"M";[&gt;=1000]\$0.0,"K";0</c:formatCode>
                <c:ptCount val="5"/>
                <c:pt idx="0">
                  <c:v>452440.39999999991</c:v>
                </c:pt>
                <c:pt idx="1">
                  <c:v>200942.39999999991</c:v>
                </c:pt>
                <c:pt idx="2">
                  <c:v>648128.39999999991</c:v>
                </c:pt>
                <c:pt idx="3">
                  <c:v>693378.39999999991</c:v>
                </c:pt>
                <c:pt idx="4">
                  <c:v>733533.39999999991</c:v>
                </c:pt>
              </c:numCache>
            </c:numRef>
          </c:val>
          <c:extLst>
            <c:ext xmlns:c15="http://schemas.microsoft.com/office/drawing/2012/chart" uri="{02D57815-91ED-43cb-92C2-25804820EDAC}">
              <c15:datalabelsRange>
                <c15:f>calculation!$L$17:$L$21</c15:f>
                <c15:dlblRangeCache>
                  <c:ptCount val="5"/>
                  <c:pt idx="0">
                    <c:v>$753.2K</c:v>
                  </c:pt>
                  <c:pt idx="1">
                    <c:v>$1.0M</c:v>
                  </c:pt>
                  <c:pt idx="2">
                    <c:v>$557.5K</c:v>
                  </c:pt>
                  <c:pt idx="3">
                    <c:v>$512.3K</c:v>
                  </c:pt>
                  <c:pt idx="4">
                    <c:v>$472.1K</c:v>
                  </c:pt>
                </c15:dlblRangeCache>
              </c15:datalabelsRange>
            </c:ext>
            <c:ext xmlns:c16="http://schemas.microsoft.com/office/drawing/2014/chart" uri="{C3380CC4-5D6E-409C-BE32-E72D297353CC}">
              <c16:uniqueId val="{00000006-53C4-4D13-B3B6-DD6EFDFE0001}"/>
            </c:ext>
          </c:extLst>
        </c:ser>
        <c:dLbls>
          <c:showLegendKey val="0"/>
          <c:showVal val="0"/>
          <c:showCatName val="0"/>
          <c:showSerName val="0"/>
          <c:showPercent val="0"/>
          <c:showBubbleSize val="0"/>
        </c:dLbls>
        <c:gapWidth val="150"/>
        <c:overlap val="100"/>
        <c:axId val="896344959"/>
        <c:axId val="896357855"/>
      </c:barChart>
      <c:catAx>
        <c:axId val="89634495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96357855"/>
        <c:crosses val="autoZero"/>
        <c:auto val="1"/>
        <c:lblAlgn val="ctr"/>
        <c:lblOffset val="100"/>
        <c:noMultiLvlLbl val="0"/>
      </c:catAx>
      <c:valAx>
        <c:axId val="896357855"/>
        <c:scaling>
          <c:orientation val="minMax"/>
        </c:scaling>
        <c:delete val="0"/>
        <c:axPos val="b"/>
        <c:numFmt formatCode="[&gt;=1000000]\$0.0,,&quot;M&quot;;[&gt;=1000]\$0.0,&quot;K&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896344959"/>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[ecommerce_sales_transformed.xlsx]calculation!region</c:name>
    <c:fmtId val="5"/>
  </c:pivotSource>
  <c:chart>
    <c:autoTitleDeleted val="1"/>
    <c:pivotFmts>
      <c:pivotFmt>
        <c:idx val="0"/>
        <c:spPr>
          <a:solidFill>
            <a:schemeClr val="accent1"/>
          </a:solidFill>
          <a:ln w="28575" cap="rnd">
            <a:noFill/>
            <a:round/>
          </a:ln>
          <a:effectLst/>
        </c:spPr>
        <c:marker>
          <c:symbol val="circle"/>
          <c:size val="8"/>
          <c:spPr>
            <a:solidFill>
              <a:schemeClr val="accent1">
                <a:lumMod val="75000"/>
              </a:schemeClr>
            </a:solidFill>
            <a:ln w="9525">
              <a:solidFill>
                <a:schemeClr val="accent1"/>
              </a:solidFill>
            </a:ln>
            <a:effectLst/>
          </c:spPr>
        </c:marker>
      </c:pivotFmt>
      <c:pivotFmt>
        <c:idx val="1"/>
        <c:spPr>
          <a:solidFill>
            <a:schemeClr val="accent1"/>
          </a:solidFill>
          <a:ln w="28575" cap="rnd">
            <a:noFill/>
            <a:round/>
          </a:ln>
          <a:effectLst/>
        </c:spPr>
        <c:marker>
          <c:symbol val="circle"/>
          <c:size val="8"/>
          <c:spPr>
            <a:solidFill>
              <a:schemeClr val="accent1">
                <a:lumMod val="75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8"/>
          <c:spPr>
            <a:solidFill>
              <a:schemeClr val="accent1">
                <a:lumMod val="75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noFill/>
            <a:round/>
          </a:ln>
          <a:effectLst/>
        </c:spPr>
        <c:marker>
          <c:symbol val="circle"/>
          <c:size val="9"/>
          <c:spPr>
            <a:solidFill>
              <a:schemeClr val="accent1">
                <a:lumMod val="75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4076245034175072E-2"/>
          <c:y val="9.4963985741126952E-2"/>
          <c:w val="0.94721408112184347"/>
          <c:h val="0.70476329019960793"/>
        </c:manualLayout>
      </c:layout>
      <c:lineChart>
        <c:grouping val="standard"/>
        <c:varyColors val="0"/>
        <c:ser>
          <c:idx val="0"/>
          <c:order val="0"/>
          <c:tx>
            <c:strRef>
              <c:f>calculation!$J$44</c:f>
              <c:strCache>
                <c:ptCount val="1"/>
                <c:pt idx="0">
                  <c:v>Total</c:v>
                </c:pt>
              </c:strCache>
            </c:strRef>
          </c:tx>
          <c:spPr>
            <a:ln w="28575" cap="rnd">
              <a:noFill/>
              <a:round/>
            </a:ln>
            <a:effectLst/>
          </c:spPr>
          <c:marker>
            <c:symbol val="circle"/>
            <c:size val="9"/>
            <c:spPr>
              <a:solidFill>
                <a:schemeClr val="accent1">
                  <a:lumMod val="75000"/>
                </a:schemeClr>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calculation!$I$45:$I$49</c:f>
              <c:strCache>
                <c:ptCount val="4"/>
                <c:pt idx="0">
                  <c:v>Central</c:v>
                </c:pt>
                <c:pt idx="1">
                  <c:v>East</c:v>
                </c:pt>
                <c:pt idx="2">
                  <c:v>South</c:v>
                </c:pt>
                <c:pt idx="3">
                  <c:v>West</c:v>
                </c:pt>
              </c:strCache>
            </c:strRef>
          </c:cat>
          <c:val>
            <c:numRef>
              <c:f>calculation!$J$45:$J$49</c:f>
              <c:numCache>
                <c:formatCode>[&gt;=1000000]\$0.00,,"M";[&gt;=1000]\$0.00,"K";0.0</c:formatCode>
                <c:ptCount val="4"/>
                <c:pt idx="0">
                  <c:v>2524508</c:v>
                </c:pt>
                <c:pt idx="1">
                  <c:v>3138435</c:v>
                </c:pt>
                <c:pt idx="2">
                  <c:v>1541438</c:v>
                </c:pt>
                <c:pt idx="3">
                  <c:v>3463500</c:v>
                </c:pt>
              </c:numCache>
            </c:numRef>
          </c:val>
          <c:smooth val="0"/>
          <c:extLst>
            <c:ext xmlns:c16="http://schemas.microsoft.com/office/drawing/2014/chart" uri="{C3380CC4-5D6E-409C-BE32-E72D297353CC}">
              <c16:uniqueId val="{00000000-D0F3-4574-A69C-688098D81A73}"/>
            </c:ext>
          </c:extLst>
        </c:ser>
        <c:dLbls>
          <c:showLegendKey val="0"/>
          <c:showVal val="0"/>
          <c:showCatName val="0"/>
          <c:showSerName val="0"/>
          <c:showPercent val="0"/>
          <c:showBubbleSize val="0"/>
        </c:dLbls>
        <c:dropLines>
          <c:spPr>
            <a:ln w="9525" cap="flat" cmpd="sng" algn="ctr">
              <a:solidFill>
                <a:schemeClr val="tx1">
                  <a:lumMod val="35000"/>
                  <a:lumOff val="65000"/>
                </a:schemeClr>
              </a:solidFill>
              <a:prstDash val="sysDot"/>
              <a:round/>
            </a:ln>
            <a:effectLst/>
          </c:spPr>
        </c:dropLines>
        <c:marker val="1"/>
        <c:smooth val="0"/>
        <c:axId val="895503535"/>
        <c:axId val="895504367"/>
      </c:lineChart>
      <c:catAx>
        <c:axId val="895503535"/>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895504367"/>
        <c:crosses val="autoZero"/>
        <c:auto val="1"/>
        <c:lblAlgn val="ctr"/>
        <c:lblOffset val="100"/>
        <c:noMultiLvlLbl val="0"/>
      </c:catAx>
      <c:valAx>
        <c:axId val="895504367"/>
        <c:scaling>
          <c:orientation val="minMax"/>
        </c:scaling>
        <c:delete val="1"/>
        <c:axPos val="l"/>
        <c:numFmt formatCode="[&gt;=1000000]\$0.00,,&quot;M&quot;;[&gt;=1000]\$0.00,&quot;K&quot;;0.0" sourceLinked="1"/>
        <c:majorTickMark val="none"/>
        <c:minorTickMark val="none"/>
        <c:tickLblPos val="nextTo"/>
        <c:crossAx val="895503535"/>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[ecommerce_sales_transformed.xlsx]calculation!category</c:name>
    <c:fmtId val="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lumMod val="50000"/>
            </a:schemeClr>
          </a:solidFill>
          <a:ln w="19050">
            <a:solidFill>
              <a:schemeClr val="lt1"/>
            </a:solidFill>
          </a:ln>
          <a:effectLst/>
        </c:spPr>
        <c:dLbl>
          <c:idx val="0"/>
          <c:layout>
            <c:manualLayout>
              <c:x val="0.10619469026548672"/>
              <c:y val="0.212928011649964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lumMod val="75000"/>
            </a:schemeClr>
          </a:solidFill>
          <a:ln w="19050">
            <a:solidFill>
              <a:schemeClr val="lt1"/>
            </a:solidFill>
          </a:ln>
          <a:effectLst/>
        </c:spPr>
        <c:dLbl>
          <c:idx val="0"/>
          <c:layout>
            <c:manualLayout>
              <c:x val="-0.1337266470009833"/>
              <c:y val="3.04182873785663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lumMod val="40000"/>
              <a:lumOff val="60000"/>
            </a:schemeClr>
          </a:solidFill>
          <a:ln w="19050">
            <a:solidFill>
              <a:schemeClr val="lt1"/>
            </a:solidFill>
          </a:ln>
          <a:effectLst/>
        </c:spPr>
        <c:dLbl>
          <c:idx val="0"/>
          <c:layout>
            <c:manualLayout>
              <c:x val="-0.17305801376597837"/>
              <c:y val="-1.013942912618878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lumMod val="50000"/>
            </a:schemeClr>
          </a:solidFill>
          <a:ln w="19050">
            <a:solidFill>
              <a:schemeClr val="lt1"/>
            </a:solidFill>
          </a:ln>
          <a:effectLst/>
        </c:spPr>
        <c:dLbl>
          <c:idx val="0"/>
          <c:layout>
            <c:manualLayout>
              <c:x val="0.10619469026548672"/>
              <c:y val="0.212928011649964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lumMod val="75000"/>
            </a:schemeClr>
          </a:solidFill>
          <a:ln w="19050">
            <a:solidFill>
              <a:schemeClr val="lt1"/>
            </a:solidFill>
          </a:ln>
          <a:effectLst/>
        </c:spPr>
        <c:dLbl>
          <c:idx val="0"/>
          <c:layout>
            <c:manualLayout>
              <c:x val="-0.1337266470009833"/>
              <c:y val="3.04182873785663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lumMod val="40000"/>
              <a:lumOff val="60000"/>
            </a:schemeClr>
          </a:solidFill>
          <a:ln w="19050">
            <a:solidFill>
              <a:schemeClr val="lt1"/>
            </a:solidFill>
          </a:ln>
          <a:effectLst/>
        </c:spPr>
        <c:dLbl>
          <c:idx val="0"/>
          <c:layout>
            <c:manualLayout>
              <c:x val="-0.17305801376597837"/>
              <c:y val="-1.013942912618878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lumMod val="50000"/>
            </a:schemeClr>
          </a:solidFill>
          <a:ln w="19050">
            <a:solidFill>
              <a:schemeClr val="lt1"/>
            </a:solidFill>
          </a:ln>
          <a:effectLst/>
        </c:spPr>
        <c:dLbl>
          <c:idx val="0"/>
          <c:layout>
            <c:manualLayout>
              <c:x val="0.10619469026548672"/>
              <c:y val="0.21292801164996455"/>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lumMod val="75000"/>
            </a:schemeClr>
          </a:solidFill>
          <a:ln w="19050">
            <a:solidFill>
              <a:schemeClr val="lt1"/>
            </a:solidFill>
          </a:ln>
          <a:effectLst/>
        </c:spPr>
        <c:dLbl>
          <c:idx val="0"/>
          <c:layout>
            <c:manualLayout>
              <c:x val="-0.17502966960566729"/>
              <c:y val="5.3275140607424075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lumMod val="40000"/>
              <a:lumOff val="60000"/>
            </a:schemeClr>
          </a:solidFill>
          <a:ln w="19050">
            <a:solidFill>
              <a:schemeClr val="lt1"/>
            </a:solidFill>
          </a:ln>
          <a:effectLst/>
        </c:spPr>
        <c:dLbl>
          <c:idx val="0"/>
          <c:layout>
            <c:manualLayout>
              <c:x val="-0.25247987494183294"/>
              <c:y val="0.14304311961004873"/>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18195101796954044"/>
          <c:y val="3.5520951858070112E-3"/>
          <c:w val="0.41888675002902037"/>
          <c:h val="0.99644790481419299"/>
        </c:manualLayout>
      </c:layout>
      <c:doughnutChart>
        <c:varyColors val="1"/>
        <c:ser>
          <c:idx val="0"/>
          <c:order val="0"/>
          <c:tx>
            <c:strRef>
              <c:f>calculation!$J$26</c:f>
              <c:strCache>
                <c:ptCount val="1"/>
                <c:pt idx="0">
                  <c:v>Total</c:v>
                </c:pt>
              </c:strCache>
            </c:strRef>
          </c:tx>
          <c:spPr>
            <a:ln w="19050"/>
          </c:spPr>
          <c:dPt>
            <c:idx val="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01-0DCA-407B-B513-9D1688E8ECC4}"/>
              </c:ext>
            </c:extLst>
          </c:dPt>
          <c:dPt>
            <c:idx val="1"/>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3-0DCA-407B-B513-9D1688E8ECC4}"/>
              </c:ext>
            </c:extLst>
          </c:dPt>
          <c:dPt>
            <c:idx val="2"/>
            <c:bubble3D val="0"/>
            <c:spPr>
              <a:solidFill>
                <a:schemeClr val="accent1">
                  <a:lumMod val="40000"/>
                  <a:lumOff val="60000"/>
                </a:schemeClr>
              </a:solidFill>
              <a:ln w="19050">
                <a:solidFill>
                  <a:schemeClr val="lt1"/>
                </a:solidFill>
              </a:ln>
              <a:effectLst/>
            </c:spPr>
            <c:extLst>
              <c:ext xmlns:c16="http://schemas.microsoft.com/office/drawing/2014/chart" uri="{C3380CC4-5D6E-409C-BE32-E72D297353CC}">
                <c16:uniqueId val="{00000005-0DCA-407B-B513-9D1688E8ECC4}"/>
              </c:ext>
            </c:extLst>
          </c:dPt>
          <c:dLbls>
            <c:dLbl>
              <c:idx val="0"/>
              <c:layout>
                <c:manualLayout>
                  <c:x val="0.10619469026548672"/>
                  <c:y val="0.2129280116499645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0DCA-407B-B513-9D1688E8ECC4}"/>
                </c:ext>
              </c:extLst>
            </c:dLbl>
            <c:dLbl>
              <c:idx val="1"/>
              <c:layout>
                <c:manualLayout>
                  <c:x val="-0.17502966960566729"/>
                  <c:y val="5.3275140607424075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0DCA-407B-B513-9D1688E8ECC4}"/>
                </c:ext>
              </c:extLst>
            </c:dLbl>
            <c:dLbl>
              <c:idx val="2"/>
              <c:layout>
                <c:manualLayout>
                  <c:x val="-0.25247987494183294"/>
                  <c:y val="0.1430431196100487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0DCA-407B-B513-9D1688E8ECC4}"/>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solidFill>
                    <a:latin typeface="+mn-lt"/>
                    <a:ea typeface="+mn-ea"/>
                    <a:cs typeface="+mn-cs"/>
                  </a:defRPr>
                </a:pPr>
                <a:endParaRPr lang="en-US"/>
              </a:p>
            </c:txPr>
            <c:showLegendKey val="0"/>
            <c:showVal val="0"/>
            <c:showCatName val="0"/>
            <c:showSerName val="0"/>
            <c:showPercent val="1"/>
            <c:showBubbleSize val="0"/>
            <c:showLeaderLines val="1"/>
            <c:leaderLines>
              <c:spPr>
                <a:ln w="19050" cap="flat" cmpd="sng" algn="ctr">
                  <a:solidFill>
                    <a:schemeClr val="tx1">
                      <a:lumMod val="35000"/>
                      <a:lumOff val="65000"/>
                    </a:schemeClr>
                  </a:solidFill>
                  <a:prstDash val="sysDot"/>
                  <a:round/>
                </a:ln>
                <a:effectLst/>
              </c:spPr>
            </c:leaderLines>
            <c:extLst>
              <c:ext xmlns:c15="http://schemas.microsoft.com/office/drawing/2012/chart" uri="{CE6537A1-D6FC-4f65-9D91-7224C49458BB}"/>
            </c:extLst>
          </c:dLbls>
          <c:cat>
            <c:strRef>
              <c:f>calculation!$I$27:$I$30</c:f>
              <c:strCache>
                <c:ptCount val="3"/>
                <c:pt idx="0">
                  <c:v>Accessories</c:v>
                </c:pt>
                <c:pt idx="1">
                  <c:v>Electronics</c:v>
                </c:pt>
                <c:pt idx="2">
                  <c:v>Office</c:v>
                </c:pt>
              </c:strCache>
            </c:strRef>
          </c:cat>
          <c:val>
            <c:numRef>
              <c:f>calculation!$J$27:$J$30</c:f>
              <c:numCache>
                <c:formatCode>[&gt;=1000000]\$0.0,,"M";[&gt;=1000]\$0.0,"K";0</c:formatCode>
                <c:ptCount val="3"/>
                <c:pt idx="0">
                  <c:v>4247591</c:v>
                </c:pt>
                <c:pt idx="1">
                  <c:v>5326074</c:v>
                </c:pt>
                <c:pt idx="2">
                  <c:v>1094216</c:v>
                </c:pt>
              </c:numCache>
            </c:numRef>
          </c:val>
          <c:extLst>
            <c:ext xmlns:c16="http://schemas.microsoft.com/office/drawing/2014/chart" uri="{C3380CC4-5D6E-409C-BE32-E72D297353CC}">
              <c16:uniqueId val="{00000006-0DCA-407B-B513-9D1688E8ECC4}"/>
            </c:ext>
          </c:extLst>
        </c:ser>
        <c:dLbls>
          <c:showLegendKey val="0"/>
          <c:showVal val="1"/>
          <c:showCatName val="0"/>
          <c:showSerName val="0"/>
          <c:showPercent val="0"/>
          <c:showBubbleSize val="0"/>
          <c:showLeaderLines val="1"/>
        </c:dLbls>
        <c:firstSliceAng val="0"/>
        <c:holeSize val="8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series layoutId="regionMap" uniqueId="{E1E81880-BD3F-4E9D-A2C3-EED6E5302CDE}">
          <cx:tx>
            <cx:txData>
              <cx:f>_xlchart.v5.2</cx:f>
              <cx:v>SALES</cx:v>
            </cx:txData>
          </cx:tx>
          <cx:spPr>
            <a:solidFill>
              <a:schemeClr val="bg2">
                <a:lumMod val="75000"/>
              </a:schemeClr>
            </a:solidFill>
          </cx:spPr>
          <cx:dataId val="0"/>
          <cx:layoutPr>
            <cx:geography cultureLanguage="en-US" cultureRegion="US" attribution="Powered by Bing">
              <cx:geoCache provider="{E9337A44-BEBE-4D9F-B70C-5C5E7DAFC167}">
                <cx:binary>7H1pb+M41u5fKdTnq7S4ihpMDzCSlyTOnlSq0l8EdyqlXZRISqL06+9xnKQSddKVi86LFwaup9HT
jkzriA/P9pxD+t+39l+3xd1afbJlUel/3drfPyfG1P/67Td9m9yVa71XprdKavnD7N3K8jf540d6
e/fbd7Xu0yr+DbuI/nabrJW5s5//82/4tvhOHsnbtUlldd7eqeHiTreF0X9z7dVLn9bfy7Sapdqo
9Nag3z8fr9Pq7vOnu8qkZrga6rvfP7/4yOdPv02/6C83/VSAXKb9DmMp2yOUc8oI8+9f3udPhazi
h8sO9/cw4oi6Ht1ep4/3PlmXMP6X4twLs/7+Xd1pDQ9z//9Pw15IDn+df/50K9vKbKYrhpn7/fOX
KjV33z9dmrW5058/pVqG2w+EciP+l8v75/3t5YT/59+TP8AMTP7yDJPpdP3q0l8g+a9KR1mtHyfm
n4NC6B72CcYCPUz6BBSE0N4GM58z7m5e6PHeW1DeIdDrsDwNnADz3z92E5hi/ee6/Ehg8J4HE48x
niAi+J6gLiHYxVs18SeI/FqSNxB5HDhF5Gg3EVH5utJr0OSPMmCgK8L3hUvQgwETLw2Yj/co8RFj
TNyrisse7/2oK7+W6A1onp5lis3FTmITrov0h1RV+pEK4+1hBv7FR/529sFSPXcvCPl7HHnYQxRt
FeclOu+T6XV8no+dIBT+dzcRkoVU6+/ycY4+wNOIPVAexlyKX8fHZXuMeoJw8njTrdqE7xDlDVie
Rk5BOd1RUKrq7takt615nKJ/jgtFe8xjiBHCXsXFA0dEBAQIeGLOQvkuad6C5tngKTpXO4nO7K5Y
92v1gREz8fdcV3gcP0bM4OqfmzSP7VEuOCUI/NLmNUHoPRK9Ds/PkRNsZvPdxOYhq/kkf3wCe9KW
f36o6wHT5oLpQgRSlhcAeXsu4tjn5AGgSUrzmGy9V6w3wHr14abAhTsJ3ALcUPr9A8MELPaYzxgk
mluV8Sc6JSCIEx6hWJCtOZx4o3cI9DpKTwMnwCx2M7w+ues/3UiVf6Ajwns+8THdpDb3L5j5F8rE
9jhcYUARbKHjj/fexgnvkeh1aH6OnGBzcrOTSrO8kyr+UAOH9ziFGID66NUYQZA9SinxqPuQ+UyU
5h0CvY7M08AJMMvdjKqPU603/9R1+rh2/3kARyBAwxAmiIes9C8WDfIeBpoDXMIWvInevFOo1wF6
MXgC0vHlTmrPwfd18oF5D6V74P1dDz+mnRPWACEK+PjEE1O+4JeCvA7Jw7AJGAez3QSjKNJKpvrj
1IW6ewiwgDzzwY1MAwB/D1HBCXvSp8d7b93MwTskegOYp5FTbHYzBLhIgBj/dKCLdfX9cY7+uTmD
fJRjgX32EDL7E33xIF9FQrgbUvr+NfE175XqdYxejp7gdHGwmzpUfU/XH1o08PeAZfOpeCQ6AYLn
kRpQ1MAXeD4UFrYeZ5KXHvxaoNfReRo4AebgZCeBOc0LcDUfWjUADk0QSvkDl7Mp1zxHxvf2mLvJ
bDxA5/71qLhb4/YeiV6H5ufICTanq53EZgVVg/Y2Hx7n558bNgJzjz0sOHso3EwMm2CgNZ7nEfSQ
eU605j0SvY7Nz5ETbFY3O4nNgew/kBGgeA9Kzpx5lG6t1cSa+QR0xnU5ch+uT+LnX0nzOibbURM8
DnYzrVl9dKFNAAdDPex73haRqRUTEFK7CCpxPzsJtkW+rRX7tTyvY/I4boLK6nInteRItqn+YMfv
7vkCKAD+xJ5N3AuCCikS0E7gbr3LhO98l0ivY/Ns6ASeo91UmtMk/cgs092jUHlGvvcw81PnAiSB
C0kmoQ8qNYmafyXN66BsR03wON3fSXU5TqEipaX5SM/CoePJR9AU8ECLTe0Y3UM+RGPQf/MYZmwN
2LtkeR2SZ0MnuBzvZpB8vFbDx2aYBMo1EImB83hpvTwOOoKgHcp/YAYmOvIeSd4A5ekZppjsJitz
vNZ6fZu0+s4Y/bh0/3mEDJEYNGgQMFSvGzFI/bnLoPdJQE/Uc4f/bnnegufF40wx2k3/cpzeJmm8
rh5n6gPggf4nj3o+FDq33n3qYxh0Crg+ZJYP1yeB8nskegOgp2eZYrObjMyGNZetSj8OG7BphHvA
x9CHCg14lBeJP5Q1IbX0EH7AZpJcvkeit7B5fJYpNrvZZHMsK/OhbBmFJgBoroHQ7PX8ErlQoKEM
Yb5pH3hh1n4tyhuYPA6cQnK1k6HZyd2faq3zj4zMgESGTkDieduuZneqLv4e5Dkehs6bbQY6MWXv
keh1aH6OnGBzspudNSd33foj+zOg54kwTmGXwOsxAEIcymUMQgCoAWxeEFM/15lfy/MWLtvnmKJy
vaMa03/aX5e1TtKPbEijZI8LaMDwH9UCIuTnXmZTmwGVwhC/bdVmktdsGi3eJdZbGL0YPoVqN/LO
v991sl3K21jtxSf/HzfbgBpBoAycJkTT968JUj60Fm5qoE+5zsT1TDbDvC3W60hNhr94kt3YabNZ
qod3St8Nj/blAwJoKD0T0A1GXg/SPOgEgDYO2OG1ja/9CSjvk+l1RJ6PnSrO4c7auOM7m95+II0G
WzwohrAA0Ye4YKI2yOV7CApoviv+4nf6T7+W5m1sHsdOsTneTWykMsmncK0ktG98YNxGoL5JgMZ8
ig4mm6M8aN4QEBxw/oDfNG57t1xvIDUZP0Ur3Em0ru9UCRnDBxo6CiU1huF/E/2BzQScY+5zUKH7
1yQNfYckrwPzNHCCyPVuZjyn6i6WH0ndEOitFbBXgPAH1/IycEPY3YNta8iFHTiPy+ChI+CXkrwO
yOMTTPA4vdhJDTm7qyo9FN36Q7esQSua8GHH2kN14D6XeRFOe3uCCLEpg25RA8Ltea7zXqleR+jl
6AlOZ//dSZwuZfs/43dAf1yIlTF6iNwmdk1skITuZ9guvUVq4nfeL9frWE3HT9C63E2/s32q2Tr/
2KobxHAENglAJrrFYhIjAIJ7mLhQmOOT+Pq98vwdRo9PM0VotpP69DXVt7LS6Ue6IkhywPkzwh+M
2qQKJ3yoIkD7J7REP2Wuz43eu0R6HaFnQyfwfN3NOsIVuCU47OLu7tEv/PMcFSJsQaFBzX2g16bM
KPR2EkrwZif1Fp5JHvQukV6H59nQCTxXu1m6vrqzH3r+AILtnkRQ8DJPU/88XABOh8DmKQgXfjYY
PtecX4rzFiz3TzGF5NtuGrRBwiE38cfpC9SswctwqBQ8VHcmlQSoIkBkjYDQdh/s3eO9t/H1118L
9DosTwMnwHy92Ulgvph18jgzH2DFQBWgkQCo6If6zRSVzbE2HjSqYT6J1H4lx+tgbEdNkPiym7nn
dQqbBz80z9l0PiMsfKhQP+Uxzw2XJ/Y2SRCDXVLb6xBdPzdc75HodVx+jpxgc72b+c3XNVR0qth8
KDfgQesgglqBeCNevucGYP/nY2/BxOO/T6bX8Xk+doLQ1x1F6E6bTz+X3XYZf4BBAxWhGDCC/rT7
1ySpgQSUA28NxPTPBPW5Cn19r1hv4PRy+BSq/6Ui6dsHrT2dQzdbm/X8/gC7Z2et/f3V+xmAM/Um
Qx8s0qtQbmf64PvvnwnkNZBVPh2Mt/mSv7VlzwbdrbX5/bMDp3pg2I5AwHdRcX/wyudPPcw/XIJ9
1tyDFizqe8DWQYYEhFC1oaThxv4eZey++4cAxQpNJZ8/6Q0bApc4kOYQOLrek8t7fMYzWQxAND5N
yMP7T1Vbnsm0Mvr3z9Al8flTvf3cRlgQCm4PvhW+EqSAA0rgeevb9QXYJfg4+j+i41LKIUb7QgxV
0QedFKGCqlc4VkNzlPZkbqvoj6ESrAhaESdf3LaOQzjTTK7SJG5PiORp4KuOLJgXoWiuoK/pLBni
eqV4VVzJaqiiAPZoHjSRuYq6yIpwaJu1S+pcpTMF7uuLVk51jQ23Z3XZR0XQYUd9Z1ElVzKJ/SM6
WLau3KYYQ4s1W5Oaw4cw7Ai9Nlw6d7n17JecyNLebdrZvOww1bQ/SaQ3V6UORWyzlZvltVjyLqqu
ekJjkwWx09KT1gBHNMOJdK4cymoTjEnVzWuRxYHXqDzQZdrQGXQ52hOkbDFTeSL+KPJC4JU2nYBp
kRjvI9vHR1mN2rDNeZMELiZyHom+ZwvUuDSIdP4nLcdqFfdpHTAx0hlTNP+mMl3NGYrozPE4C4uI
9NcYZ8NFKRmKD6hu06Wsy/os8kfXW9oooQeu7Zwbo4t01mprvySuTmZ5mhU0aMau8a5rnXYm9Lh1
/PmoxqQObBa5zSLy4yINvZEafNqkZGwWDrQGXKlG0HVb02QMeNHXNzSm4ghO5UJXtiebWc4RzEUi
fXTl58zFwYB7dAWnQEodFDWDrzekcLtASYNONOQzbegZXeuA1FVRzgXrEA5E4ldl6Kimyhd91coV
UgUm4f1/FigDXKOaKx40bQWfG5ISxjAy5N5RXdn6BvtjWYbMlNF1RkWehqzl4sh01EmDIolHNIst
86+FzEkbVibyr1HrmDhQopMdLE2KrjBi8Bhl26XL3pPtuLTGJwckMWxd26LRS2qESgNl9bjyqwHu
P5RIrnCM8jHM6AgP5G0mBTeKZiuTj0Vy6IgBBOhRY+O5F2cwu2UX1TdFX5ZREEddXs7YoEg2E9Yr
6Ex4kuOTqCv6aKFN5MYHpu7SMYhlZr5nmXTCNB/hPbWbr01ko4plkWWmCaVTdboLuOPCBSoq+HrL
Nw8vRpONwYhzmEHVW/jL2HjkgPKSHlibACyjNvUNj1snpE4NDxG12D0TaceP7u/IvTa3i87h5KAv
EKzNpsMwv1kfR9e9yo0ICWWxN6M97salUoiu3WHQIqSxlSvuqvqmwWjsgoZZtR+nGaPncdb685w0
iTxISar0POItIWGDU/j+mBTwWEMpxFESFfwrNdngXN9LKYqxjfeLgaZVCGf2gbCs5rDKHEzQia+K
Kg+KXJMq0LwHnPOya8ZL0+cyX8DBYQApMBybOckGV5+YwZcrn2u5GpSE9/6Qxlkg/FjzwJFjusyl
AwvCL5t06fUFWCgva9Q+LV00LNKmLn6MI4MVmXFns6YQLmQQM0eUS9l2vVx5qLRtmNS5Da2Xm35m
fDzu65H3F24v7FmXDfUNgZVGQle2SMA6rUoUQKt6fWREG8qaiSFg2Gm6QGPtz9uyikk4KO2dcNeL
Vpk/+NcAJk9mBArcF1kymDEolK5vDG11tPAybC87WMXLrBflYiQIh24Xs/M2Nfo2c2BfYlCA07ku
/MJeCu6UoYcVLGysegUPAxNwxF3qwNOVuSTBKFmlQ9OrgsyYX+kmhCnrxn3rM2+/h3bI26bOPDJH
lRRkTqPeAeOgc3oQxxk9INVmfgebRNfK88CCtI3s4IZlf9ojRue0i3E8dwzpA9xEyA9KResDYlOy
lIVIklCBxzivUF1dFJ3kVdDlRSYDL0/wF1+O3sLp1XBHvZIcRsqk+1kn0PeCeeO1iFvrLVwwgUeN
4ukdaWx/1TI2HNRlVc6HrIhCmTpfVOao6wRTPaua3Mig8EW6HJCTBdg6xRGyVQ9/s9XCFeUwr2J3
vEuHOAcN6Au9Eqz3sqDLvIEG5RiRmyHP9Mr0kdeEPrQmHrSjyo9LKKHOWN+rOIiswTxMo9E7YnFz
orgq74AkTeh8FKorAjs0w2FlrDgpeucClQ62c5chosJcdBodFTlY8/ORkuSgc/2l6bhdjB3pZrrJ
6+O+rWSQO210VnUKrMngBVXq1O0FqqpvJO5RHBpfj/Gya1NyVOeVi79ENZHXfVKoy6KnZwnrmosB
53HQxxpdRAh5l5VnkqBorRGnDeQP+6lX1HM3TtxvMe7tikbiaowx/9rqAS+lZVItWV9JH/SjLur9
TtmN4vf7tvbLsK3xmdaxDHhZJ2xeuIl71MuxCIeoMe65TqScW+y58yJTKNAZUTZIOpPU86J3K3eW
REn/R1TDqcshoi3LFm7ZtuX+0BRFGzqIFvOONDIU1jVXuMrFTQp9bBpcIXFP24y2Qek69UHHCazq
nmR/WHDvq75o2xOD3T96JZrjWo+DCVBvax56VWSONB+zWUd9fDn4Dl0NNkPnOeLmR0et+mPwY9ms
rXGL7jzlKopXRo35QVzkVVg36hsexug8SVA0y3keBbCn3h51BpGw0BDSeFwdtpo4p0oZPteYxEMw
eOVdYXp71IxpNo/YgM+z1HQ3IuXRLC4TfubXPju1bR97QV4lZRO4zKtPPCfKj92owdUsaV3nnOaS
zTza9nOYLi/oKLeHtS6rP9LW0JDJ+kvU1u5h7qprAy5xnmSwTnXm3iAcH2R9po+cgdFvfR+TEnRu
UCGKNJpHTpKsdEzjUyJke9x6al+0vQlyD5sgcVELVlPWlh71iaHwhAKFOKGkmMU1bg04P+eEU1gq
bpoclb2Q+7hAX6OMekFc8DJQWNKw6k0+47YoZqjuYB3gms4Ty33wFH40zmLa8KDi4MIXPiWuDTCu
ybmIKT8TvjKXUtEWHH3VSXiexIT5aBeOZ7pjOOuKBXUbf+Fug1aVctIZIrYO42pgC9+U5WWaya4K
Mgg/FrhC6cziItPz2rVO0BrOmmDQSXJWWkUWOXGHK1epbjVo4n51FAzseCyPwQJ1+6mFU4JmpvTP
iXG7ZV21CbzFtF6RcmwuElYWXThUup+3skqTIOklOmxp1p6nKXdnKuIHwmTiSObx8MXVRcQDVrbX
SZt8y6IyCoGPFBBQ2C7+0tV+E3jaGvC4mhzyurT71o1xQP1ELHjLAQejsp4HZen6Yyi8lqvFkCcM
NKE0eVhb1ixo2oJ3LBI/DhqvLJZ1T8V17cODd7VVl1EmvYW2TZTNwR32+yLT6awp/DwQURS4VqGL
JOKVDlSW0Nk4xHol6UBJ4CZDu7KKykWPsSULGGOPvdImIvTA3nzPmpb/EEXSz9Ocs3E/8U1xW3te
s+8rP5oXm9CqLrUKim5ogpGiUoZFmfF56jT1PKu6NBStaI/7GuFZNBQmHLqmm+XAoK/yrOxORi1q
8gX8W35sqoIkXVj6tjzLTEpCnTN50ZY25heF75AxZI6vgs5kEBZUPf0zh6aKeOHzqgIFciEWzDnK
T2NwsnFX2KMq13o+tLlvw0yL6FxDGHCMi7oGyzuQ+JtXdpWcjSSDGIv6N3GL5MUY9VkdlHGyaPJ2
OGKasZOmShoV+E3jzFrJ2kMiC7OyqBmWokrtGWJGXyV9edj0zaoWo501Pm5OSy31LQdruexMow5R
x6KlisU1BGr9wtNq1nmKnmfdUBQB6/I8X2S2jItDnYw9WqT+OA5BT1WdwWmKlcyCEvPxoiVu/afN
yyKG5YOLLqirsghI1cKEkGg8ylvllLdDZ/WZ4w/jqZOMKp3HdcraP4Wpr+p2qHIvUGlLI7wsHTBu
B5HlyyYh3oVExdeaFDZZVUXjRUekctem9+tjyyCQSwWshYO8TyPAORvyucizxLuA4+SY+zUt4b9U
H6i8is5krZsFS4tAOUXI6v7rmFAZUqJE7J3FuG7OwPsdmBI8aL//LJN/JTUG6vhFYgwtAnD6ho8I
VJaB8eeQnT9PjGO/bwccQ1zrKUUPegKZKEsTfDUOnv7uK5Qu//5+DLqlJjfcnP3J4Mw8z6WbfquX
NyySboCTQLTcr0rlH5kEQncNhnmdO6ZMZli2t0nhUnoSd6IlB0pxEg2hRk5SHmcsK8DygWLPeVNR
dVqqDp2UDh/rQwWbiK67xPjzLpcQANKxiiBsK7n+7sbQJgEJPTXjJeZOpOaNzdV+2rYQZtYZW0vW
9eZSI5/pxWgQ6nVYcdj58scI+UQeRsJCwhZHjECsH0MukoPFuCo9Ut/0xaC/w5Kpfoixqy6JH0NE
bxoNn4fTzeobt6TWHsWQGzkb2+lCgoWc6Hx0dKsXfgaJw1LEUu0P8EF1SmWN+FIliNu5RkLe3OfC
JW8Q1Bqf6JtXQN+wHc/ZECCtN/sVhBAMfrrAoxPQc4iQI65duc+GTb7M0gxygxYVkK79/Y02X/SX
G/nAAsJZ/YLg6eoSCjK4poAbFUkBENeiLOemagAf0D261qmA3DqWFpKQEbwslIn+7jH/enc4bgGO
ZOJw+DzskGWbtf+M9KmdAXnuYOW+ymp8xftezNImHSB+LNS+tA7clRsPkgCnLyFt+/ubI6CYJ88O
7DMccudjBBznX569z5gTyUjJfY1q+Pauj1t67OUNvqoyDWkzRRwevqODXJm4hhjVVVULiV8Ve8V+
TC2CUg3MxgOh+ID6lhW7lfWg0jh5+EGNp7f/uZIl/HM/5ucfN7/H8fMd7Hjc/pDH334KDjnc1AL1
9EMbaZ6+C4R5kG5DKb548xd+85HdmzCY298FeePi++hNyJwRMM9PC+cv9ObzNvOfrOjDsEeCc9NM
haEWBEdGwiZsYBGfCE7gPjeNHwKaCzw4Zx/DlQd+E44Fg6YeyAQxg/QIzjEAPXzkN2E/N3wdHA3q
wymHCE7cffpdlBdIAqf78P45vwnJ8F8WGwOdhk2uwL56cFKc+3KpA2NTlaRlat/vHIgDKkXMHFhU
la+SqGMr66qmu4yZjg4lBKrtQQdE6nlSO125zDM05CHEfUUZJLkP9FnUEuBQFCSNtY3DOI5oeu53
2l16eUWC2G+ycLROfxLnKCEzNETRlcUV+8arbl2gIYRYorzqmohdmlyO51r5V7KOs7Co6pwGkhcR
0B7Ig9iKZONx21NWAaMh0IXmkKOb2rjffGDkgMRwUnxRVX1+qFVn5rIUachrGNhzz5lDN5U9Ka3U
M+QgyO5G7MxL7fg/NAY6JKglsUD0lqM6iLusVMA55fWadMjMx1774Uh1FtxPVD42Yqa85E/APw0d
R8PoHnXqgOVqFMtNfUOGWdkejHlGQ4+0MFCzXuMZruohg+TPL/2vXTY2cVgVwoU4yYzHvO78EM5V
GvdL1477ptfqoHNauDsC0jSoMmdY6NT4YZ9K0gbguhQLaJriPOg1GcFoibac4Tp2btqWsEsIn8sy
AJoJHSmhfXfZM1RcD3nhiVkHodg3VQqghnLrwrcVZWJPRV04P8ak90NLmugwT2zy3Sm0PQFeBmji
jXx6IxWsbDUEGfz7ABcGwKjKEXgN7lX9wlVttWzboQulqMdFKmGStRjMvBq7Ngk8k2Lwb6jlCSQU
ed4fcRwlyX5UAKe4z+F3e8giYV6eLslIpAyyaHSCypH54UjlQaeAqA1M1rULk8b4W+24gi9QPQh3
CUtl3G9NCWtB1Plh1mo9g7unoa81S+cUeP5LWY7FtXJIcZnUavjW1Ik+grDOv8rGTiwSghWfNWVD
DivWxquooclXoKyAMvIHtnJqAFvwLOdBblgadhIeMhuZM2cj1tWSuT4NctaYPuC+4cAw1+PNWPUQ
xFLtLwsgd3/0nPR1GKmylAEio01mMc7SHFy7a5KTvJDwXX5b1AsOtGiPIaTrAOGgU9LL5ibO9UVU
+sNxOvZ5SGSezkbjRsclL1MbdnEvlsj4aKGKhFwXrciXpbAOcCI88YuZNWkpljly9aWR9BszRXtU
QmRZCTtkm6ShT4KsHZ0RIqLiuIyj0UAcxfkiFWMUwlFGddi6eXUYR9BcFaStUKfjWMgz4AfKc+0Q
vuiHoTxjKYVELq78AOEmnpcep/ujx80c+3Q8TGiTF0GOeyC6C0a+WMRdSOwGYYNIcVBU27cB1Tko
Bq5SWFR9lC8q09k5loYWgRtlY9j22lk2NdHHLfGzUytIvqqcnp0ZFuN5B4QJfNDTbhvEZRFBKuP4
9Kjwm7Sd9db1vnWjkx4DuRPfDirLwMTLAzUA9GPt57MK+st7yIBlAtRdRngVujBmPTY+KL2TKVvt
x7JsLhvfrbN536Fk3iYdSQMnr8Yvlg3ufMya5KQjtToc3VpeO5wNS9x4Lp6TwZEmUHHtOvNqGBH4
88JQKLVUek7aiiFQZdajoAW6Z9ZxPqz6qJbniR31Vx+eH2jsaLQZsHjS0zM+xkCfRFkSOgNvIc7s
RW6CstpkBm7TtuGYeBIBi1OrEGoLyRX3gMELbaHyEKsyW0Gilw9hpyD/djMMFSvCax0qv7PLxI2r
sB/KtRzdZq7SAR/IqPFO5NA6V3legPFvcTIu/N5mBG5RmDocxajOlMjzQ6/qxEwCs3WOeQdWSfM2
urm3LEAzRj8g/8wPCwkaCjw5crdaVMN5pZd2BBul+lLMuOOCWe2w7MBqDOBhFDCgSxuDeYYiCqag
Dj2+QGxzI5MoO6sw8GVh0eXjce/2XQ2UguNXJ+DthxOtcjnMpBzNXLfVeKwEYnCm3/8Pl976VbRn
cQ+0g0Og/Ha4ND0SY1NghfrhZtBDsLQ5jx58ItSKIPCBmh6HHO+hGuzDmU/Qcu4zCuE47NzgUPJ9
jJYE7IOCIMvn0HQDWSmERI/R0uZ8VR/2hnqCwhGdXED09RgSviNa2kR/9bOsBI7JRwQaQsFSQYQO
NdxJXtBYx5qm0MCY1RSoBrC0YG/3FYO6WZS4FbB2MhlKeZTlyOm/pLaCQlM9gIsJtF+ztZd2FUaz
wc1IZwOW8XFQQUULIHZi3EDFwI8qCOebSkN692ymXwn0NpK9kJyCwHDQrOdCTMnwVHKh276I1KhW
JHbtBUoqJ2R95h8Nneee9M4Atcy/vyH8aspfbkldCKA3hXrBAc1J5dxJC1I7rYxXsCnkSBrPgTiu
gx3vy4zSuHGDvHGafaQg2fV7sKk2bGnn0X2ft120YHGC5EHkpZuqXefBrFQ82lSxDJTBgQuCUous
WnuWEChfFhiZcUk3FfFMI0jToeULqm4oB08SNKopgc6yLVRX476CuXZ4Zy+KTegGRoetTVVDHS1r
NjGQD0FvDDX6KCtnPYsg3ey5AwU9Dog0YWl02y4iYB2OB57iK4UILIKeQIaqSAn1Egqk2Xw0NTpR
UG6FgDiGIsm8T/0+nqON5G5CCzVrkhhfIeRAOTP1wMUFWmXNjZMM9izmPYhhcSrsnDAM1d2uhxor
l7hJTu196RdCEHIALiOxX1TDkjENGgdD7TVLkF4BaezhkzHvPWfBvYHX3zC4k+TQKOgM8GINpVAH
e6y7GFWFryAAwvZrDVS88wfBBmYu1RbkGYy04Ao3WTc4hU39NOIOTEZRd3C1bnOQDmcdkBV2bNwu
cNwsS86iDkH9EH4JC+gY2pNNpTSv2Pq+XNoOHFiWVsFwv0eqnDUpP094C1/t6gYmKR0ooMApnMH0
Lemrrt6nowtJ/7ZszVIC05I6RdPPLDNQ2hxGiOHCDmgitIpHHwrO4wYSbzM54OAhTe6horPyG8jl
Z2lhHC8cOyAlk7gfzx3hJjbILCgviSEpmjVNCtG9VgMoYeEjkFJxr/dmssMFVPO8eFawBkFe09vh
ihtsThzmWy8ss4jqYPy/7J1Zd504t7V/EWcAAgG37MZtHMdOUinfMJJKQt+ITsCv/x7Zed+Kt+uz
R53rUxflxHY2SEhLa80158Sf2q9pMfrv1jWVn605cG44d6pbIcr0q6u9/Ly1Ki/c5W4TfG3Scgb8
s4vl6Gws2UzbdET1TDs5K+iO70hVyvXSXaS/HPw2iMgb1DB+cPPNknt/Dlg2c09mTP5fy/69PS6+
OA5+ajXVrp6UcLZ49cJsE/uCFen+peuFZ5eLztM/12IFvOKPdfGzW/RylxtIqpC4ee/alDUyuA0k
hUdGA/0vHk9VWjQZrETzbEu9wVp4BFyYGTZXUDRsyrJrTdeejtLwZUj85Q6VFxvB2gImOHc7V56V
YDlXvmsIF8ky0AyfCzrTReIut57w1fmUbesCDDox9fSFuYpcShAzOi0wNZaFCmYXRILePrVqe9Vk
pdt/LLfNsj5bU7Cp69Htrf52XSLupFoF4Xer9Rp9yj27Lu+SuejPlxqOxS6ZhbjYZo8Asa01c9mP
I3O52IZ8Ej3SQDq77ilEQjBDj6iSXXYKjstT379cLB5ca0XsYzmbTTH2Hp/yxAdpvNb9mE8Wba3Q
CTP5ZanCyX1fJBGBIoQu0f4VCO3cZNJwaMLKoEdWmRbLeZCkffHQO71O4cBM6fhdJOFY/tETIZxs
tyQ03N+3ddPIMF5SK4kOQZVa/eGJgWKznC4HFfDMx6p3bopxE8sf4ZSo8ocfNK6rYm9VaULLYnbd
9zXnz6ZidypSeZE0bli7cduiMr7IXLH1psbeytjKU/shJ+OM8zwNbxpMTL7480TDeHPugzld9I4e
xPRpbVfrUI4wbUDihp2Y0uxCVFGyF0mSl3Gdz5oax1n9fRbU/rk1aKmvW69QVv5HmtGuP3qdL5si
BpxKGoJMe9F1of158Dt3J2r7AYJHHtOyKONybcY4z/QSnjulm36rhiT4saQiiRunb96PlbyedK/W
Q1n1ywfZBumDL+bmUHNI7aGGibtQJc2D42U1bS07TaD81H5sj0F/G6WgGUFXKhG7G4VP3qXVJ7cY
ghj4dTxu1rjE1rwsYCQppVGtu/dztdXXvjdPh0kH1QfCevdQRFN2P3vVrQ7spTjr1eAd1aoWEuu2
OZvzNr+HZlF90rU3pMd+bJrriANsX5Vqu6ysqDzieU2lpzQ9pCoICHuzaD9y6HRfGp9u8b7YhuYY
5nb7RyapUByOnijGiXlqdjBWKNLlAtiSz/U+TYLhZ94H/b6aPO/c3Yr0qCvXvfHTIfD2me03K712
0oH90LvzlRrq9iys1Frtikq0F0G2uMfUdz4USdud2Us27XvG+KUo+05zSs3yolkTZz6sdTDdqNFL
7qMuk2fWsJVHOkhyZxXWFh7XVcobKxvVFQF7PbebZr3QlhNdbGOpD+vQ9zs6gtNOTWtxTgkkP875
vH237aq4isJou+qbnsL19QzlRTL36BEGO8Sw3nCtPMGyVVuLsKi65HIZu/6cbkq1s7XgEPKsPtwX
9txeJezy89evarKe54lYAMDgh/DvHAC3yGRNv0HLVG1ZkGk/ulQVsHXu5QSGbnTJMV6/zkm3hNfX
IAgIuAruj8aZ/iT7mrNWTkOUJpdeaTKMwO67P1tDF/OXhNDz7y8GJGk4uQ64+WlbAAbCYKUkgZdh
paND20LEGzJZ7R47Lq9f6mUii90upEzzyiqHfP40BU+joLMWW14KuTo3jaGs+TqqdkM4tldD0IZv
rJJ/uJ5DHeKwTMxbGE7xUZopbNuq9i/BaJLPT0dQk0Go2UEIIhsZ8pXpfX2MJ+0Hnh2DC3nLDTob
Ht5psr7WqQemN3qXUETJroJHZhsBlRO4WVzOQJRTnEdWPfNn2yo4Pl6/gZeLFOMjYCpYtNiCQXt9
vkjbxlP2UpXycpry/lxrS1wsDryu/8VVAt4vi8MyBmX2yQasElc3ST7Iy5Sy/XxFpnEWhKt+YzL/
aSwUlLyMEzcANt7JVeQoXOVbjCVSA2ACrJ2du3T/i2XiG4qFoDEWmtfbPJ+xErAw7/LWv3STPj/L
+4xFMa86WA5rAvVz7BYYgq9P38v4RUw3u5yXUwj+dDIwQLFk1ZX0Lq02kV8cyMegTIYyOVVtdGjC
FTqqHDaWyOvXfRlZ6ExFoCWMNnJf7IjI1bm9db57WU70U5OWODlKwJetgHb6+qX+YYgsjoCOKVud
kt99PqtBpXsuVbuXS5/BfDWc00cyZOWxYB7B98Wsmtcv+k/jo/FH45HXr0FNP7nobOeNyCLpXFYS
zmNTe+KissPsjELnzZ1uoImT44A+euDzQjFjNfpyp2VhH9rEk8utH6IQtLH2dewHdnXXzVt/0xYw
I+NkJU1eNHmdJtcabqB1LMnRswaP4qL1v1apO3x3MvjFu3Brquw2LGVXvTEt/3SnQB9uRESC4eye
HChN7ut8tRJWeC24UJ7k3Z8FoPIA789jqRURaf3rT8J5uXdpOLOrOJ6xjg6Dk2CfVuAlCWccZGKL
XBd81zCql2X8HvYOR2bWJWa9F7lzo6ZK/TnPPnRnkUfLnRpcVZ2pdILKTZaUn42rU2X712/wn+aE
SGlEqsYkzj3Z9baCQTKH7Pp6C0m6bb94cFJLXA4VjM9YK/stGOfF2kRNbnYDUA5LlCbx8w2h8sEk
/et2OXsJXXC7MLRS1bBMF+gp/zaF4GLm7es44EeEmtNTINygDKYqWi+XdFlui6aMrm3IPXBo7I5y
8fWpfPGozcVCYDobFjzh7GTX1aXldENir5cyMcziJwo9G5Eq8fULuSftdd5JQrg0yYPP4CS42PM5
hPiUL/QCNRlEnw23NjUclMlwGMtPCeTn4aorZpCQR6p/prN6oSIJRB+ryhyDrVrusrwEJ7A0xRKN
ka37c4MDc25bEigL1Esc7cqgHxpe03am3XS9HeGBtvW/DcQSqW2E2NAYDBhixvOB5M0adkE9DJfu
tob7R7lArbP8LLXX6PD6pL1Y6FyKNYAYB8CWNySfrLsxtV1aL1l/2duQ4UO3YPyqVdEBYm575TXL
m/ihOb1+y5M9jjXa38ZhGQSel5GcPKVmq4Wjet+7lGrxfiACmi97D+3CIyAigwFUR22V/6ldFveN
SOeeLhHebos/LUQdrowpKmfA85n1qmTMPZ0Xl44DkrTt7SKU5XC2ym0S7k4vSfgN+lvp7ed2cKDP
GyZOI1Canruj0fM8qlTsqQZF3EqD16g+MIUFLskIEgLWUQ+/qDib+PzbYFythk/SuX8eWWlZAFyG
ov3gF8P2uTfLq7I4DM7WsXe6y7lfYQq5clhufb3Avh+SEtyvfJRV5GpGjhDSDynf+bZV9nvbKesP
GrQBjvVonS1eLm9beN3bWRvANAPFbjZaZMq1r4Gl7WY3BP4UxRlsuOux9AKaRlW36X27qo0Cessv
dZg7O2+u/AnBk5OpqIknlSM/iVsb7v9XsRVNy555FK5MnVM536ETl4DiVsF+iZbOgKFwx7PbeUUZ
dAgstbUXsgWiPDNMx+xcziVVUaM2fvoo2XhMPucyAXmJKpPXqI69ljWVv/4ELc/1rnTSnsJ97ZcI
znFoLXfdstXZrahRP1yXqZrHD4MYeCBuF7C7W6fuyjtaWpwX/TQ66ogb3nJX2m54nUrZlndB5wzf
l8EGAoMg7W8/6ADCw+mVY6CoR1HEYuf8Q4buf4XpDSjZOUgYDqVbeNczszmDaExgc3k5oiORdPzr
PTgIyNW4wdU6g0ovBUTthE+kD5443zYtmgu1FJN1v7Q5l1ZGS7OP7MYDwskqMbjvGz37452TW/Bo
S5ZLdku92kJKXgNayjAfvIt5RilR7qdxtnZb13R6L11CuL+lrKAGuYyM3UDnwbU3J46+yKD4J5yr
zpzftH0FphV204AKqKKGjd08AmVMJ6itH53GR6AS5j4LrMlCFDtW3nM2POYBYPasvi2FQHaeyRbc
zJGBWK8SgJAQJuPaLj+jcUtuobwtt08QnF9N3IzIIC150K6/5nAAElpzg+7On7YVtADTxGXP6EAU
4VfT1OwB51fno7M4WX4O2gs2744eYbyXPqtIhZLKDOIY8+oONWOAeDp9W/NWz8clB4d/as04iLsg
55lEIvXI7cI28L7WTmGQ2B54Pu4g2p0vjm1UTub4C+QEyJiBXaFbgO1Cp9XOl+LYhqU9XNURipCz
urPoNCDUYWK9ZPbEsYjcNP8wPLLXHJR2/bGr3OGu2dBGPSDPENYM0OOX5V3YRsv0zl8q56Msisbb
TX2Srz9Ci07GoQiV631YnQ4UOFvJjQX7T8NQjn3aAFkbZ8AVrBWPbk7JDh5F8AeJeYnUy+/H1rAX
8rlD0ZEkWw02b1V+cYlkBrR+rQAljyBoG0IBr/CSy9q2F6A2EPIxBCDbprnQTyf+/9HK3lDNhnQR
fzt9X7DK/n4d/d+91ad/8x9Kmf8/GDqRFoPxsINoe/63SwqlDGW79MFaKF8Q1f63SYpkFgdcRNUR
mrRHutl/m6TY6XuI4n3yPB9YxbXFv2qSRuZ0/P3ojsxrq9k7pFiAc7Y8SRbKYs4KZ4vU+SrX7MtY
0GDby07A5yAktyjC+no8dmq9rVp30zuIvTve4YdOJrG7YwHBrIg3sTlfknyqs7hpSpRCka1/LKO0
9iEfvgsTgdwtHW8b6oK4n6qHR8xOTHl3bNKIk1rYtPGWSK4xk5ifJwDA98Wom2uKh+2mKnzIOeFk
b+eBGhJvR7+vv5RsdGjnCTBvUGXxmPUqJh3vrxYFpU3Wgpxv8Yszzc0RUnrZXQRbnly0Vj/eNVEK
XjPkD0WgrC95VVsfU9XI2FMLNCgiwKFL2YJdOHTvtwUkol6GD3OYfgebYJAJI3Uy94PnrpCAopI9
6QsrLtJmPLPT8mfXi1zHdjS2+8aGvOB3+XZ01dgd1cbVs9n9IMVi008c340tJ+Hkuh9yJ0RSPL1z
Eg7pbGnutdqc60V3BVrBZkaDo83/6ut2ra+9sPuS1KO725xxuSzX9CGSyYVEqBaT0n4o1/JB+XNB
d6a9X0B1/ywrdEidyBDYclwcJxsWVI46kSX4cRHJIQkg4pWJNLegYunz0XR5xVmwBfZ7UVrWcYRx
DRgeVZ8hk3ifnUU0Z6Kpuh2dCnGUDlygZhw59+z657B1t2Tz23niWZcjzYyvref0H7sIsUeWJ2QW
oqsOOnS720r750m4hXFIp/D9Omf9F68MP8ohb9FlAc84w5pey6QMaGVFDgeIDA99FX6qts6iUSL0
p9RL0kuvboeAHu5Qf3CjZPrLslXf7AJliw+jW4kbxM+Zs9dutoT0/dV2oFa/F5ZD5xa82lDSxd1Q
jdGRoqlBp5jJXcLOiYt8zjmdrHk314uKaBEg9r5IO8eh7Fmhujl+GI9GeX7jOst0labWOB11b/mf
ArLSK6+W9oPHwPfDOiKrzQs3py9Ytu3RCfukj8Wy2ld6Vf540VKUxr5fjOtPq/E36yzs2zb5uUaB
fle5vcjitPHKQxXkoo+dKt11deHcP4av/wv0T4H+r3Zqxn69+5HmfzuVPHJbDG33/0+HObEN/zvY
u+bf/Yr1Uv4P/gPUwwHR+zGm/yfW40lmjGYiG6sZulfSAJu/CDE40wuQQapc6PPmDPjFHXbgDguX
Sg74xrQ93ODfBHrxPM6bKyL6AQgTLsUa/I8TAJIMv28cXfo/QicZgQIRp3XIUGyj2/7s+1NXfiUs
I41o1DqsHqKvxc+WHXCl/S1teg8OSusuZXAZZf467cvIatS5jupqQDlGGrXGbbn43Te/HIul3VtS
VvC6UmQJzo9gIWTcVRna8a+IFbrkL1ELJW9SiTxZxLWTD9wKfcW+fp85NpF/n1Z+X3Zxq0kLr51g
VdxyWtfOegWi1RQ/rWGmS/+U5EBW/2eC9XMEE8jSRpUDY8kz1qdM10kZixA6nzKZhT8S3TaFOh9r
6D7nlTcPfXC+DelI7bLlwCk/KzvJ3eQNsMMxsMnfZzHXhz2Ow6AnkOpwfp0iqFshwkHaMv9eOKXB
JMYWU4+MPjfa6uLYU3/1477PxtTLYsuzKBZutSfWwUVWilxbXI6SflxJd1gJ8EdeZA2w9sYcPQcX
eEcfeKGhCBkfS96mFJxAP0uWW27WC+u7RDpou/t0C9JAHauQFNaGaD1K+YC5QjK+oTE5eTbmuqRR
jw0OF3jx9LoItNqgtUT4PV1ZczKegbUgnyDXatD9FvmUv2+SbBxRc2b4WMg34BuytN8fDZdHP2OQ
vIi2ksseeg4ypLDGLFqq4jvZRqAEfCxbwkaaIouwvdGnuMktp3XeiVKt03052PaWxTgmVUzKb3Hn
9mk5/K4CeHknvGBEeqSNvMoC49eThI2GZFLhC9B/96Rmyx1XR24ODdxeT4N3yMPEkw/9xBSoeMCy
RT60nPU9gqm8tTv9xlN5DnGyGnwAXbo1II6S3tMp/D7K3Eby1iR/4epBtXnWqq5O1oOV1EO0nq1h
v7BEXh//icmLuWZke+wSNirtyxfwVhpthR91o/WNN4wEtXW+jBSEWYxEIBtaWMZYXHi7vEbYjV+I
AchV7Od2Nt3XnSzWXWNROt1HdVb3zV4h/HbvatLY4dvrt/kcEiPXp+MC65C3JwXE8Efrnd9bx5NO
wt5W2/Jt6WHH27E9UXV6BxvqiW/FSy9m675z4S+waUbdmi9wGKY3ns+LyYKiRy8GVBhwmFrilNdH
FYqmEMHFN+AXixheEL029BKrPUKOF4lP3B9SqF5f68JviKh9V/eOfx7CBZjLWGVEWxP5V9SX3OFW
zVdGYNG+BV87p8saaqmQtMBB83jC8lRDtgjddFGziW8DPQSrPhTj0FXTrdrGvIPSDCmDm7OQpvIz
8K0aYnBYbqt1r7suuRgw1SjSXb1t9npVZwrnlLih2knG3QS2Vt0h3kg3AAYRLYRE1ypWp7m0oaLx
qWWeaKXe2KbOc+SaSEXKS7UnabQDSr6QpbEyGzVDjXsI/NYv/F1nI5dU1PNTFIH/GGAxo1n0FD1h
fPAzWnSEk85JaJ3AURqFVMdJUym8tYe80ygOYkoy4mPz4gqzd09OunIphzrJ2u6h69lF6iCGMvTe
uQh91isxTCvTEWHvsn1GYLLiyDBlvVbZjoCv5V2qtsQ672uvAPK0gIRuEPmbBGHx5rqKzsrJN4+n
HUTEEoK0CoOx64ty+7xVstRlbFcIKl3qxMriAbVNlPFNgdYNC4yami+JhV+sfBk2Ox3DfeeDBsKQ
nMyzK5c0J8FQj5ePwtSiCR22S8FHtCQP3HluNSY3GDu/Lr8ug2xUd4zm3pnvPQGX/LrvQWhiuPC9
i5NPmiA8R4in0z+bEDXp59meHRZZEKbkGbNqDBjzemw4jZrMfkCznrfcgJz7aHKfHyZIXZvUibrq
YXOQiKdwc+wAnFjDXqguxKQ0geL1K55GI8grtPWcR6SBs/v0ikOPtZKuhf5TbPhP+Ds9eSb8uQCP
HN5yVr58SAqxsQi1O41D+u4RzOjfSB5MOvvsGIWNjbSbs8J3bZfe+8nIN0F1CdOo/lx7TT2iAmsn
3/rRqkwRjbJyaJxDnwRtfjsPYUrEwW6jTQ9pOLpzG/OKeo20e3RTdVUlobxfBIXgGg/akfPdGFp2
vlP+Ro+DRWQji7E9+p6xlwCAsNkhUM136BLILi6SohzNzp9529d7l/O+W2NR9mKZ32hPnMa1UHBA
kW4wakYrwHmeP+tSJlmj1RB8mqfGJon1+94liUXMwrr1SLKAX7HtYNkuZST4ko6PmS39KbOkxVRo
N7lHi26WtKvyDbZj3rnChEi1DbaDNcGMUdbZ5q9GLZHo2uTUzhrW7M7AUWyj19fSScMFkzV4GRyb
RDWeII6/J6WEEgjH2qJxP4VjJthbI2AJNzBiL2S27uM+huS0cm8JaDVbnFhpQkrf4UP21crQdlw5
aG74VqtgPH2togIyea4rMw9q1a28SdTCb+WZMENcjcL7WFoBOrMOzxkx7FbOC4b7xtBOskyGhkae
thlbBdkC+d7zpzUupRNUU7t+EulsItXYK5bWVm15+9doh6XbGLq12j4HbmPOx9qiNwHqLHEeWA9b
LZ0R4wVhTfoTWWrPdOC1I1h9Yt6IJhjbRCwxT1ediW4TYdNQbtEY4nFTmyiY46bF36ixHKYCbhFT
MY5BZo070PeCLZFFNPTG3dP8mFBo3k7438L2HxLMkz0aki6QXQWQRQyN6kWq6+jNk6tU1se5Dlqi
w1N662bhMiNfC90MidHrV3RPjiNzSYjDtOQ5lv6hywvZkqy1W4KPw+SwQsYVYnl+xtnP/HhF57X+
AZOmdoFzXomVCa8wvyNlIegxSxo3u/E2kCA3xTEZvZBgYHqQdz1Wr5wAtcXGHxeYije/HlsKX5Op
hO/bsFfYReZxpOViHoQFQYEv0VpE853dAitBWitLzqZSjqZOfX3s3gkCy3aCM0NLmMamA7D7oqIi
HYSPZy/rxyxbEc3G41QK1IYa0dyNdDevXw8qA78M48h1oyKL+17l6tKuJrHgC0O2Y131aW1578Al
A9zJdLukf9l5ZZ/rZPIkpiJNW3338KbrceOTdf9Vo9fS773ZQbK6D4sm8oHxyB8HkCvth/NNr7Jk
MX5Hdu1cC7t3on0Dq9PZFctImyNu6RFtRYzBYO8tu3QpZzYDHBi9Ygdl+YVXHBHMT969rMbVSxHj
OZOezrpI4ylE/pak48WYBWRmcHorvW2UtSzF7mIp12SK1dAV8jhHQYqBV20t20ctEYV+nrwqhamM
nNTZrdSn7RrLdByifZS7aCtTv0rP4emNe9XaeoMR2tj2maPBao8pypDMPnRlW3ufVn9OSws3LntZ
Pi7jIsZ31jA21h0nRjB9h9Mg+08brGmsqbq2ha3zIVq2qjxLctCN49Z6IVLQCK8xN9sF/Tao8JtT
F2HzPXO7dl5wTRpX9SOaRq3tXVnpwSnOx6RRfrinDvAreZbU0NxuIiewyvJslp07VNmPDFkrUtDd
AnGz996hpZ1Z0puDVVr2ATnVKO1D03hdF1xMUZJn1XXjLyV6zWJORz1fo4JJ8/yYeLWe/Du44kJd
yMLL0vDIWpHg8PSmbdLPaghzjTGR5Uk14k/V41xygXuWBSMBoQKnza6MtEeAnbt88r+01iT94YLF
oa2EFitpi3MzdWRdUTyuIlzk+wptPF8gz5lvWnkOuxQMnKq+323t4Klv24QBzHxZyL5LjdGkZQXB
bi38csIPsoFNRXPMm825aPtWznBS4XOofF2SVdrRrvCzyE/fr7rTXXBbJFahq2NQCsvtLvCkicL5
vSyED71aoQwgcAX96Gfl5yBNEmu78rxqYKasVRGy3xG1VYY6WCR9gGMahhFOdVvgHxUmB10QCNJD
mzuCeydkmVtaZ6tCCoqF2Jqrvd2VBbzjZrQtv/nipkhF1LEuqij6NKWhUvQ2g4CZdcMp5wTZYQJh
PoT7J2WJlYpMTu9lA6PfdZnTIMMtMm1mTFSwrKO4HbLRum/qwIR8Gv9pGOwiPUL7P2woBOQZnNOa
3+uehor548b0qSLgP86SAbYhPn0ORSZ+UObxOPhiuv4fTrWYeW68qABLsuiQ8ijogYaZ90MpChp1
7POcTGunQ3rUaod3h4/lIkt+UtPnEQlJ3jBfuKG0Z9mEsdHyLiwCc8s5T7rb7iUriysIfqS+JdZi
FpjsLfPkcdHie1VUm6mZZ4df5YgNleYeZpgBjPHXePpeCPUNwC3je/7StfK+9GGUiJ2nIwCguAvo
ydtY4j2unmQbIj4yKCwzuGRcHydjYtX09JQfc9zI33zzNzH45Tth5711/2uqradf/88kP/0eSAFd
c9TTNTfgNFY2fytz2eX9GYTDlUErd8OgLE4xP8vtewrwtI1i/+lBtRt6w/RA5T316UXjRGviwxMx
njjvo3pqmaXZrSt+xe3A2PodMEcyR/SnV5P0pnjv8c0K2a/6Fj3NIFoNjxGqpzFlbk6NtuvaRmrn
fJ3QD7Fpnh7t0/KgYVIxPxJ/LL74QWUGv9DiY52mDpoIEgkvk3xzbZUdZJ8QV3vTeMlIhZnep4W0
Tdjbkn8jS+NTHIxs+Hf4dQtW1zBm5tafJtTa9MZfWnQIXnCwkCqUxcVGg3PpYDgBItkI6yY6+tdR
kRrkY9A833wOXPXNkWnD8hl8MlYG32OrK98PYNnmA1Et8AXLRSzScJawzXaoN9/cfzPJNNOfpiqt
0pxOYsjnZgiqUnFeDmvgjFfiaa3kxRCNwdmvKY+Kued2sGss+RBOgJaLF11ecs7Pjtqk/YnMrQjn
faesscl39pAmXNwvMtRyKHY6sM0KwADIhseEy0bQpmY7I48zQE+5TrIIjyXJ4rJeimiosKYZvRZ9
3K6KvKqe8dClSXThRM7E7yO0wIgtJmn0q5taTfx/rTW4nW9rB6hIgeVXNzADEkAB3Rdc3cnSdv4s
m2ShCkhWurfjXkeE8uK4COUSYcI+w0ngUNUcsfVhsZokGi5Q8fbb8ifUmYJ4k1ZtW5bnv+DkYqyy
vjhOGZ5a3V+rN2CQct4VGdNxJh73jGpxNeWxJ7pMts8iC1s9flJCZ1qej09DX6J0YIoEbJ6SEZUp
sviD3GyHKIfwykyfs0C76XfgVWaJP+Gn4VBqZsCZXDPeEW8MvvQscH5f5aCPVgy7Blw58twShwIg
i1XW70Tn9PwGygJTw84+sob7XyDL5vhVnxynRvWJe5EmCr+HeHuC3hLKclBD5XslEGXilJS+dU3t
1OzGCmDCv6pxXmCkI+07QHh8M0dCpZDJypk3rESaAtUPrKPyHEdKAxW4mDaAxRdVk/LP+7VilH9q
0rPEutQJgpn8JhKFASnbiYCFPVAi5PiBvmi9JgckHtaaHaXu/ApHz9bCwysOAIHkg5fiRKM4THXE
w98sb2NUsqnNsVH7iVluPUaoLL6nmSzGFiRa5HYu5ku9+XUSfCi3SVv3Pck0qMLWqUg+EG9ZX5bu
NmYAPrAZQ9I1KBePlJcGpapy8lUy66hudfcgozVTzjdvqWR1I6VC+XX03HYYrZ86d4olOXCiIayN
odKWytqFlRP0n0EkdTl+hJVapCnN1BXi0B0ke0eo7xGSIeX+OSQh0MRZX05zHaF13Yby8+ZNrtfC
lpEUHPHoOC05JTKdaHIwgohqCDq7mW9aAWILTWdq2f8aydOzxNoVgBinQVwbGNZjuKmq2cS/CMEn
X8j+zebNh9r8BjQ55iwpXPM937FRBe/WFAVsv0vw2uE3qNxNbyOvsPBsz1OyxeRmg6GMjx8b1ezK
qDY/+bVkySmJRBEvAeNHTxC8CadWuusXPJQDHDZ6O7ydsiDVbaxhi/Gg8duM3AutGrPLU2szcOBA
n4gvHmnZeKE2m/Xt2fQfbsAtzZ2XOZ3Gh18X8vuIIw2VHg/7qWJr8mILyrhousn7UD4FrPIJaFQh
fiLeAYWuASEHHF09b1+ntWqTOFPwpu6n3O8Y86jp4s2XuZuaNC7DOtRCTFiZ25oeNxweL5wjceJP
ZpN3rmkz7hsNDcvdB3j1lHnsZxil1Rh1VuzG49OEgAOboFeGEI0J7wPetVcQdDG5eQP4OinoDRGd
fqv9ZFGA7clJQZ+N9BDAq917PFoldx2k6cJugIhf3SjLMzsI7wmzu+ZcmXt/o7p7jneZy0vTq8Fj
HqcDNu5zPKGfltbSQwBU9RQaCzBg7oI6gJ30+qVOAHRD/kbVxbWArPi/NGX9b1o1TERUmJBK/meN
2OXStjvVJZ73HjmDWd0RVmR8mXJDWWw9PCp9DO8eg+Pr9/IcQoB8zvqBCczgaYezzt3n94Jq1wW+
LdL7iK6afMhxgCdED0OIE8DWkjq/Nc8vLwivGnq4RO0CuGhcKn4ffJn1tlPVdnIHgYeDAsudaLwI
cF03sObjzn59gI6B7f5u1ZoRgt1iUOu4IW808E6BzKUqPNg+lbz7FTF0thnQHoro6vvHxRvC+Vh0
ydZ/mLRYi309NSaei57QgODS4zx6446er3TuiFIqRDolAmw3Xmrf1si2dLAKdVc9bSpNXsceXyZY
PQo3oDnnEWTetLIzI8HhQGphZeZGik6oCXm+orI/+rVofTteCC3rjlCv+HX2R+Lc5Kugntzpp35W
9xRmXx/E6WPkwRkJg0/HhPdVvpCQcO6qEQvr+SYbShOZUIXzBLvBb6YPqxVO3huSpX+6nm/zIM1/
kjczP182wUI24ob2dPPr2FvSTBWxjRuE38bww9J/Ba3h3eYgJAdZJHCzVV+EA6GxL0IeXXDcmCyY
JNk8jQBzL3FAoGgOjNcn1MSX35YpC4L2k5HOwkdBIXWKZ+p1W/J+88vzoLH60t8FNYaWD5JXP7y5
BV9eikf3/9g7jy3JkWvL/kvPwWXQwKAnEO4eHlpWZE6wQmRCGIRBi6/vjcgiu6r4Hrk454iLZEZ4
uLuZwe695+yDCxKrC5X+PxFEqsSo1jF10tOvq8hk0x1hHRltxX/863f1uxTjD2+MXiEvhRMY/SNH
iPfXc10I5jJunvXHbjNE1seGvexqhBFW49igP6uZoYdNn9JbBdCOj1d3AjhTg15d8rRGgpOGjVR0
fq4Mi96DuKsSO00bmNwzM+GbZMmlvqwhyIOea0qLYxCJYmFYdRtX5bgZAyx84fRV5HU2rbYrc9Eb
07nzf83zpEMxYt4mcPLb5Vqm2eQjmRknJwcXLwqkGicKDTevolIrFF/F7xcUV+PHMsij874UuKF7
PCycr2PsV6khZ8HRjc/F4OimNNyvATMRI1xoG8OjToAHwT/giuWM7o3Zl/tlDin/fvorhqPsdgFB
BAyJ7IcK9gT0Gr/OIyw2ZTEGf295tDw2gUv9ush8LVUmazOfLxyW/SHuthOdJWoL6RixAqitPVaS
qmI6C6YVeRqWC1aX/Eg/vyzKZ5Nrr2/eOOvgQ8ovHKHtzYB+6uizrr/qMH8GR91GmRwr2q50YFym
DAEYbK9Jwh1MM4sqaIkkto07v/VxBMVpiwW4fbJXf9qaJ+YN+0SLO6AwnJtm6BkiPOWKbnMaIUJC
TnDIsAPoRVjpXDp/rpSevXe2nWU2vuv2sg7eDW2zRN3Xvl9IA0ZzrwkqYQ6OZQi7IWOWHtfNyncL
j8zYYOkJjc7EFHI1QwQYrtaazFfS74ceTkVZzDnVtO91zEXzDHOZJeCjvzsQLtYsSiwu3HVQufBx
X2s6Lxqo4l0/TLPs1xW8ZR6eOldexbldHOqsdJDM/37PovG93xPhK+wPnV9Lo/y6DdYuTmBu1FBn
RzBlOICIauhg17v8GYaUMHKkNvlPHOKN96hqXysPVW6ndpCl6fxor7ldRGs+J8fcmsxTLsztouqW
6UQno3lwO8cISVHIbtx8KAU946l7SljUJyu18cyw+7L3olPlayryJlp8HTuAV5rDkWKXlhL4yEtP
ie+NZDvWs3KuMPspcO9ZxrcrtO5QuIsVF00+3m5FOYiYlTvEuGOR88reqT4yNT4aOjzyztLSy2rq
Udf2tKDRvqSnqRn9KPNn795VWctcX+Wf2A2SqMwUnByrriM78dszZrnqAL2CKXCtbPh0krig0Cpq
9zDzKy886rH3bmnGI7qH5LP1ZXmUi16CavEL+5AVonlUFr15ZM3YCgPNbNLnedm8txLdJqX8WD0h
bs1jjFjiDLU2y4NG08wrizYdFIme6NTCTe5pHubolQbT/9QZ9VDP6Ep/mIAD5Qe11lqs99Xw0E8W
DQeOAhSkC5Ttvlsl8L3ZCxMXA473mk+Gv16gQBg/esMq9LgZ1UCZk1fZGkyAoX94g+1WkZZo3bny
kSNElj4U98tkSuqkCtZLj6kGAnLWvImiV1eLa4nL3iGBgbPT3meo6TTj6x2Xa+HK6YLut3bOpZkZ
kcfp96nPWGGCDV8lSmx0hd9m1c4/Wk1bQiPXt7e+LxoDRYFCPrhtPSs3KxUCbb3pxgjHklzOzpi2
wHGB6N7A8+UgpqQKJ3BN5hm+V6nO3dJ2B0ONxqVdYvOj0/tiz+uHGJPkxtLZPlMPqJ/WosgBzFeT
C7S/Id3DHeobhUXq24qt+1AIxttpH4wSDQQEkTy1gbqMpvXGZLoJTKOskR3j1jBENdwvei2Jd1ih
zcthSJ/bbG1fuwWTc9Au4xImOhzyoODvY+Lq0XNj4y3ZFlqLN9/5Rp+VIWyr4q2o1BYw5Kle6iZv
A6Um/d5niHChjM7DNyIgP+Q1HlHPWa4K+v0AzGm48qLJAKNVI8AkHVFBe1pDTJAu/bdO41ITedzP
CthkfXvnzA6IHqN1nNDPN/c0gEK8Q6eDtmPOumejqRUJGot+LNTkvHVm8jxTJz9v8La8Y6ssyKBt
lf4gKMU+ZoM7jjHXwPVx6Hw7CTqrZWIr0wEu/jRdOL5Ux5Z7KBpot/ef/Xrw30kkMJ+KLmnep23a
fows8GhyG+PaQlhwFDwponZph0ful1qAA2u60rpeft8EoBWz1MF/QyeybrJVWDzLFk4kUeQe/SBb
Oicg40mo+ro4SnvsntF2mfz9k3HWRY1nxzH7b/Tl2ju/xmuur6X/WFXddpn2RRsvLkcuZXCV39SW
GM7daM13dZ90Tx0W1w9TThwORrtONxam9Rjt5Hyrm8OO/3fnixzfXkPfxquPCVlEEeUxCkvaHvBQ
tC65SpKsu98ML3v2OLe/tZs3PPHAT09sNvd607UBDZOTHyBC2CSQlcCGQISXkbetUHYFWrTDlmrN
naQFf0cSkSKERZXi0M1QxtQwWuSv2Nt21fnWeIlQSdIdqJqn1Nx8QL5phX7dlQB2mPmFk9qsW29K
TTrznfapJQYatKvVtrbcx5C/cNeN3JGWtnclbXNyh1jADi4HKFoquZo1ld7RZSlvNGutX8qhe+Nn
4J0Nuf7SV9xgitEtbha/QH5pKz0/+40yvo9aMu6+kFlcI/UZn3NjmtpjhubeCv1Mdy+tpOm8gy+q
2j9Xmaci5rgWVCzm3RG4mMoNim3wp6Ayk/qm0Zj3X65a6/JZO2IeuqvWnxj06EuHRwvWRXVrLpZ2
79Z+rkIH1kATZ77qHoodooMzoFmzyyqXTR5pXQ3CE26xrh3dqe+3h9WruzE77lcPEeFvwG4o+dSa
OZVnSU3eEdCym3RDuxqT6ZpuSbEjkvT0aXa3Zg0bAbMIuV6Ck0DnighLwXaGF1D6JOFwjnRqsEHk
AuFEVnSaBsc928Yi6uJpM9fEmEgVaoU/ng0OO3HhWUwEjm251l2UTb09Pv5ylGJCLslz6LSEPJZQ
s/zlMTdRzQQGQLr7X4bQmUKzCMWXF3T2i6UGDUof//qvBtDCwHQAvVqeB21d+uK2XDXH30w+/los
VUSfppK7SksZdnU7DFbhDdHqwBgzaLD3DfvBY7wZjjghq9jSxzK7khnTWYCltHnDbVjaOjCrlcGP
OxbyVOeW3cQpg8JrmdMmjf4AbnMgubm0xIpOv5BppxhHjra7Bv8zqM21JBFCX5A2bHTd5+RzNTE7
RQoLrgjdjNMpM0Yj5AqXaU3IbB4p2hy4mfOwalbjcjEbvTUvQ07SgX/QEKm15B8cQlgO44yYn4A4
I30P+qlc3c1ihT3atq91bXLGZ4a5VXICNGi9pdP0fduy9DnN1PcUNuRu45+rxxltB9F4SXcUPDwE
h4TTMf5yt8tyNcobTEDjAT+LH6pWbSpwkWkSoVHZ1WNXl07UdRieRi+3OF+nofoYYPce3IbYizZd
kmsmjJ4I9aWf22jjYWPd+X1mProIiLoon+j1sB5YMADG8vlTb5S8V9hrvbh33fSqb+rmcYREl8bj
kk54g+qK4B2tWvyLqilamNZteZA7vbuWQo/9IWsuZWJr14ZcrEtDMbQEMcfw2qcsigwjmd7q0R2P
22IYu8WTh3Ak/KklZkbH+4J+cEa62M1J4PezWPDCggK3nB6iq69XCRpSBJHjRe/w5uKVJvfjBnzl
M2Hu3R4L5mtRx6acMZ7K7oanPA//3JFllBfcL/gTkgeeOvlhxGEXjrXKXoo81b/TeVsOiHb8YyP8
6uAqt7jTCtFh1nGyV1FXz2WBEiylcDu4RlJ8a2aDwCwbSPU3UyRweA0TC1nSLQXAP5qj50QZvOlU
0OHOlymk2DVvC8qS8zTr+YfMTPe7TFL9VermfDUxuY1s1TYXJi3jF5rvhtzPtEVhYhXttZMkJvdW
Dsd9EVofltyL4bWu9qf2YvTvzQTIMi6dnEEozeQGRJdd503Yd3g5mTVtDc1Cdy70kPwRUZOblxf2
dal64z3LskEGZJ3oJP+ULsE0kt+7R1qwJrJV2ReVMxpuNEDJLDvuWjI9V6oZflNUbVkolWmK7zx4
ZyJcNLxlJ22QTkRShnbKW9t43nUDMA8nOQagRNStbS/F+zh5iscDleehGRPUUE1im1eM7rpLBeWS
aJOUK83V0o/qXRrDkoc9bcYJKlq5fAzDyl5hU1KnjYou5ufE1IpUw2Ka4rqYzDNN6hTJFBg7LvPI
Rn9YSEiTQ+Vmw6W1Ur8FGteRISqTVrNjra3Q/Iptsl8IkSy/uWpaQtmbfVQKrRU34+zqj0zXPB9V
EHe4wBnIDDvOXKrOnH41EVNtBi+6XXyunqg4tObGzGZdC8dkV+KtlbBV3KkJhwGKFBZRCIouKyw5
HdLJYZRSSaiZXNK6eC9jpzBZW8DuoW3WyfZawyyWt0ajz31EVZHIPXfRaTYVdvqYlutREwa24VtY
74kXSJ0ky7cS2ahWh5PmkXR5YGAG5/1aggcjmYxqe7FUMG5Z1ZNMyQPXXqOM+ZWHtx81t7VG9bQm
lbxcPSx2IuxHCjAcdjAUHTNYkHn746EbVZu/pqm0mjSa2SqMUXDjmDUBQkvbOMMh5a5WX4zZqGHk
a/tlsuMM/VNFvGfLrO0xEQazlyPm5Hyoo261AIreFaOSfA8WiJl8LFAyMwOYkLnz9n9Umk82Wqf6
ol4jkHOL/WozZcoefzVrNbUPHIaSTINH2KjJoi7JGd5H9+gF9jkI+3BzP3H5icU5oqve2G+t3vv5
t1HNmYYh06PRpVHZJsXs8IjgOB5eSK4yW4/omVUsN6LwxYpDO+3HVh43plt8WzzyiqZ4N72xBr9n
lwMhQJfmyNsD9dqgsuhDRC9gLB/NAQunEzsIVXPzLMaxXRt0SPnAHYfaIW0PMBABjiLTayKJCuna
QMzF1V35nJirn3OJ8qxjPrjVuiq6sBOd1DxEUgUy3IrTGtRDGasZxY1P74BYwquNq59HbFnpJEzB
psRXY6BbrW/F7rqZ1pG5X/WivLF81lDXDIHRYD4DWsHeiVGbVJ+iBq3PlEZknYwbp/ezaOrQqSzB
hhX1HsPQuH6p7M8+4Yh3NurYE33g/KoRiRlKwxmvCx00fKzMCrHWRBSBqbTysfCX2b0AlLi5BCwp
QgSJG5T1sRsEKsbFUzOBYtCXPtUmsLYnnQXUyuE5OkaDua0Pfa7NCxcEjdQ7d6BCTApl28fOsYYq
SkDfv2tbsqwq0NO51R/ISJV2NOd1/dHBHwHOXEyUBvWmTVQjXQHInetE1wMlteX0mWrL3nHhRm3U
4Saz9IBPa0q0QzXqHuIcAwRGmAiLxD5rFf1J7xv3WznBTuhJxDDSJqShmNtUqC7spspzxBgZwh6H
V6QPyCaCTqGyC9F0tBMXJN1AV0Rz6yal8q4Cq+Uefr0wcFsCmLpu7EqnPGtp3yBlH23MFWjrVIV0
w1jHPvJqe89A04bsiG+BL8YFFhqYaOtOrSrJ3xhpmL1vCBZYG4l/PwJX3+GrBA3oarlb+bIjy088
Py7QVvzQEC/RPCxUeqVxDPffKS7n7N4tqm6/dZlGfuIG44Bmce38nSPSXI/mZBUPDfG418gk08+0
0/nkvXlbkKslQEOgtuZLoHIxP3uLPd6RqZnxFrCxMR12AVDOrGnMCtL2H3Tah27kF818odO0yCNy
pvLfZtPCR2jL3jrBcy6QJ3b2Y5ukzWEA6vnqdD1Zoi46xKwrNxT6PfleWI7WGzyVWGWNsZ8wdREq
0gd+PvnTRep0qNP6GmM20bTzwp8LSgFpBNVwqGp3NQ5MiJizEuNCmF1K0iRHr4bfAS4pPJExMNOe
ZGPi8/prc1TjVWroINGEnSr3gBBCPc2LO6A6HmreJWoA97vVZR6Zu1zAb1ttv/H2MMnqgDv1mgck
JPrIUWSbZzCIvQLlFe2Su62iAxBsjlJOLCcEdpEpqhxGysLPpDZyOmQjlYomU/2c+6yOjaRfwnmw
128up8V0uQx1p6KynbyHHijEyMvZNjFGaHrOZmU01yZUvksvK6WLTChZiSHEPH6paZnxvpa5PC8w
fu/Q6hUhGjDjDVfMWDNncP01zO2+6CCjWPkajfNaQC/tvCEhFCH3Ss7fziwvC90gYHBwZvtFSzK1
3NC5khD9raZawSxV+rfcR/EQVAgxbhoUJiJ2QX1QFPgGroY2EXYVQ+jIniSRunPIc5NbHffzKDO7
1ts/N+d2Nmfa0KbRJDcQds3XFpUFNL6x/GbCN33tBuJEsrym94iiEqFUOrHky+5bqs0i5W61aKHG
zeO6G7H39PRdvtfpqF10BZuaRG7p3g7j0JwHu91Tm115RV/APWmJ8F7oGOfkN9ap866MjWxwS/QP
U0dmguwbDPDF5M37bU1USGfI4AvcvvdOvZnVhE74pLhCy/WXY20bU/mAW5YEcJpb5Gr3lhW2pj3G
XF/Az69NhjZw1l+zZF1efRCDgepHgXXSlnHllclPZMUismxrePa47h91C7pMgwL9VfAjNiADPjgk
/694brzrhSH/UREvGize+IZAebhTo1iTAKim0NkHG3RcOMWsBqs68jzogP54vUlqM+IUfvpqbo2O
iJRKJ86ZQqUlbx0mMgz3F80rrccCTnsVWnT1QfvWOqMwlJbSND/Wke5/F0tFP6h75wFFcHHEDBwX
0ysVbVOph87qG8u+HYqs5ZTvPW/XJnUt/mdEAiSWVC2zBgaOza1F+DLykxnWDYMFsxHLkF2IMauK
7QIh9zo8J/ky2x82mGZ5KhqvIv8zsTox7FwJ25o7Di+JmoWZFvqIwtf3BEqEd/rGtdETax520unE
cjGuC13MAKqOfbCseva+k4w4cKi0SpZLyTlmZ8KOuOehU4gI5UhTBC0WGivkyFzjUVWteKHZNMjY
LRspaKaaHwJY+Z7mQVvfReunZqIpmVjmqUQtpNJkF5GzBlvGIGmRbqK9n0wPePUhNxen614abwZ0
HTGI9aj7sAzBprkhybofyf8EAuXosVDm2LfvI/m5+hrwW1S+hnNjcSULNpVxMgBYoCr2QzrW+zux
nFT45TEjYNNtfxu1dDPsIE88yf+HFt51lktt6CmYL4u1J7M6XMCKutPh34zn/mx9Y/iHgRquLHdM
ptLAyP4yja9JxYH+pPwP4klQV/2aehuOtBk/dWaVovacvR1Iv+fhGW7gdiUizaBkjkJss1kv7nPx
Nej613/Xn6e9/FnQCR3sqgDYGB4yK/rztDcnk9a109z9lI3aBy3VL+FHJX2Sgo5aw7js3wwq/zyT
318RGzefxu4dZuS7owL+KEugaegNAr/Ej+rXK06/VDWmXXeM5ns3s0ZEcBM5rVg+8oJh5a+v4r80
h3+D7XFdn2/3H66Xf8L2YCqsf3wM+cc4QG+oBwJTdgjErx/7O7lHB8/D/NxhrXA58na7/u/5Jq75
NxfxqmD4/CurBDHO3/NNjL/tc/YvcCF/xBdogXHykP3f/2OJv4HYwbgNAmIXjvj6f0J0gDr61+E+
Y31y5fDR4TEWuGf+vLpsA5Ga0+TTqcFOSBoRJQQZlaSRDcPr6sh3T0CAUXt6DuEbfigLkpqWZZVn
T5cqFIP35E2ePGsozq+XsbyaPOIRXM25MdoO/pTQaiIDSA8D98IliwCegwXgPWp3NA7TUP+gfI2g
Lmf0Q9c37lUyiYgHFu0Iy5Ox3lJqpDqvyeCDyC295jVFK6JC9q9T6T+Ndt5wBDcGVVbx7mhKRCU2
LyphYsmaySUxaOpeAfMTUWRPJl1iQrtQNL7w5H/AVPU+dby8Y6vXssl/NulAjYsmIHQd417PPLh7
Ne8HWxFt7q59dfQCr0Ln1sGs8fZqbuzhQhsgmjT3ouu8C/Q8Q5z0fDQTCb7pUOEMKuRPQ2pL4Dh8
lI3X9ZFo+aU47swACNkzb4GPQXgXVU4sUtLxrybB3zApS4szmls4Z43mVEDoOzQIlSOndfh/pXU/
e2TE7T9ZkEUe5D5F82YQFo/ysA8UI9PYHvTtPm3Ke38tp7jsecmSK8OlbUEMqmfTiMeWP8hUjozE
lj6jeaKT5Y5e5Df1z7Vum1NrdvRHk1VGs1wN0jzK9CMpNZ3PwX/yhRjiL4IPaNIi3B+8B2vwwOOI
yQg7ELFPNDcl/XeH2YtWbgcquu00e3x6Zs+LzrZ74ena09ciyVuwlqvV9pFyWQf6at5XE0F+FG3M
QvUpJPuADGNh3085f1RaSOvC1Dr/oBdUQg2DjLPrD+SAqX0VDfxbqr2bvNclZp7eiN0dJeUkzl6+
srDGslIhnKgb1vNPMIIM7NA/BOWcv6OH4bvf+G8F8RYBZt46mgeP+m5q+BlilINehymN3Wi7Znzr
h13fvX5931XKpX4qWVYIH7dDmrFkeFLw1bcUDKPjlWehpz/Z5Kxqh3/rZaxOz2WpNPteSNthfS7x
zAdAHN/NPfyQnecFk5L5Da3uC9dyn9aNb34m2QBV65yAaKy268xld/hu/+rSXA8d1HpsOBaTx278
+jBqxaaYNf6pktU7qlwjTuj+n2HT2WSesGhLSezjWvv6Axd+FeIqLLgLgnkyB6XQ9RpGTJyWiKrO
4iMVBC3OadZfer22HFPH0K8ID8Q/O2xGLBnbYbA0mVcVxASOZC/S0SJ2Y67lNdAmsVcyTB+nrIxh
T5UxnLyfRMnn91NmE1C0L5Bi204CSTe36hLTUwMeChVIE4iKr9vKfHlOM0EymDBlTAuTbSi9Jvz6
brWKt68l9ZWDFYAjhCVQ02wLGWQqCj++P3St26FRnX8k0l3GGEL8A4qVMqKroMKvBbCvcLb4fU5E
8NFcOcZ86sjY2vakxv1rHhDmsQ9YRgudyngq9OSNPGjtZGe81U3jtajvtROmE04vCmb0b3wFuvyZ
Qm1gyM/uERq7ucKyFRK7npwFKYpXbk6/yV7sozcX7xqMKABloMwSaezkJnbEuAntlNrs02az9avV
zfyD67DIyPasrzT6WuFWc3xRt78xpvQCgmfogVlHPyuRWGgLv0yfp9DqTSd0B2EySbD7ANJDdzFj
gozcPcZtISvmJBrbROWb7uFGOofbzFenudI/JqNxn8H4PW56vR4V2PVYWdMU2i1vGysKPNxRZxe5
qjlVHidY5VL/fJ1Nhr8Y8dempUE/4Z+HnaYP2R3wHgLgbeveILbm6CSaF9gDbUtZkIi4totC+svE
TjaUOlkrgLs51nIzuvInyBU+mpUd8PVZO74tI1nxK5lF+gerdmRsLUMfaZ7NEWjZtEwAB9wZ+lZF
tORAXCbtz9blf67GImbTEzacc55YWpkf8Ah8eAgtYrgfaL5a96VqrCaWGiTOebxxm6EIzBkc+5ov
8Jm1si/1iNYY0hM5E2VXL5ozRjiAodrs3g0AFpYT+57e4yjYuuLdKJol0lXh2yFtxSc7ZWjRe2Db
rle6jeccH6cXMGugsc3cwBrjvaIIsiYf7uCWOEkaOKC83ENHp5VAR4noZVn9ro83K1M6EsxWO6tk
fKO12Hz2/vRhESZCRqK5yJ9ea2qbwylB3RmyMeYTLYPmQF968RUDREA1qmDUWRXWpEUpj6II53Ny
7ZPxpx3gXs/9jcTZ617UvtVXJ5xQg/a6IkUJs5F816sk802SD8GMOmG70uG4sSfHWHEE1Yn2UON7
OGeu8/SHq9j/YEDe7+F/0PZZqIAtB4kkMPld0PtX9TCR9rheUYac3HxdEfhlP3PJw8WsvaexIzrW
BjsTWjkr/V+/7l6W/NPrAq9HIEaWAsXLn+9T/moZqz+o8aTPX4cde9DM5Wc9azJYlPz5r1/tz9UI
V8T9XVIfOIaFzZr0hj+/GrhcGjlbPZ7KlQWy3wR8mWgxPlXx6339twj4N0UA2c772vnfq4A9Evr6
BzPf5o9FwO8/9nsVoAvzb1+yepMTnepRsGp+rwJ04XPXx3Zr/T0B8R9VgOnyQ0jffdThVIG0Bf7B
dTPhvRk+7hUTr7cwdsbAf5ByaPOL/rhoBZMQC3Uhqn/qbB+rw5+XUVtYuLIglVx1xpivbxbdlx57
pztYsWA8jF3KnNGSrKfcbPpKu2iMDM5aiGukPkGxFkci89bPzkxH+mNC2eFSrNN2iYze/dF2pRvl
LOJua0/1kILVBhJZzquFhh3Jw7g36gxD9Z+lW+M6w75IjymmZ1xk/q3ItcG9R5M3MatXzsDk/pEx
EzgIZ54G8Q2MbcnTcSP1DBZw1jCtPSP4mcPFc7XAmCpaiahdaJItGVcBKC7eY2agw5gRPlBt8xSq
rIEALBwuVf/Uc6DosVdYZil+y1t32MZjrSYPxkuP9kRc5uDBx5hGzEem9R0aVrXe2ei9yJpbmbDG
nrNq23dVc3+//lpV/92A/2YD4sD3aIn87xvwoplR0P//+vv3H/h965EiquOSYodY5h+S2H3nb45l
7Aenu9MSUNj8Y9tZ5t8A42IcoMGHlYDQhX9sO4pvE/ms7fFIgSK7/9R/sO1o1P513xEQTzvJwL8O
mAAo3p/33VoNw1S7uXcWbUVXDdUkNZYhHxbTlp9VPW0XMygKiKQlunJMoYm8Mc2q+1ZQhROr5/ba
HaYYWtiZWqc7C0/Zi9yMxLps82X5yIa8SC+QorVJmNSjqYUtM/HDSH8/TpbSfVntYb4fO2USr871
NzlnhVd+TtNqX01M2F+ypSm6YKOpX+GwppGPsXCpaK4BEPet/GKypzKm0duOgQP+Id8vn84nCuTy
BxvgIi3L7YZJ3/TbkLfWAw+mcYvGSSU/meFVt6n2JY7KoKHgMvu2MS5/A8I6/baktNmNtc9+aqaJ
rM5PbQbp3eLeISjxq2hZzf6usNPlmhQGHUN8Z60/Gelq9wAX4du6U5XeTJqBXsVSLskSvaeTzdGY
1pWRFZKNjzrSh401Zm+bSusT49E+tqck+0bFmS6h6ZGW3bs24x+/cspH4tKyW6xqF3aDiHxHzKTH
dPMRfhvWdBQNosVoqyrnscrSDYgOOms3WNfMoFwhamILMlnraUQP2v9cdbGoEKidK8KsnMZLPIKw
bRLZEucsuXn2oPgYxDZOWKIpuOwQTyDOXKnqha+Ql6+ND5wBkdzD5FbtKV2z5iQ10b9nGvGB6Dar
sgkZzKrHtpyHs+56X9BNPhy/RKWnkaB8q7uJKwLgSMVt7qzNCPTCnV5LBgCBM1K+X+pZ42bBntBI
NyB1/TOPNSQTaTUXNBHq7rZGHBiihGpBHiFiiKx5gUcu8n44kz1Pn97JlvTOG9RPzvh1PIlhaxHT
kXLwE51cafFAAdmB3X8bPurOdCiREq98SUYSricTgwTuxMIk7tmZ3jD7ekhTuylqVG0ffM1kFFmY
rXnQG99Eu5Tr8+0Gb6p4aYVMlul+07y8KWOdBL/h6OpT/jBTId1VSJz18pNv15gtehVdzme7WDVH
+ZVAi9/kN8Jxq4RBbOtHZA8ZTMuH6dtsz86Ft+rGc+rxGknfRnBQHq1+Ieq1JlMixGE61aek1tUB
2GkV1OxQOkCGe14HSx76SlZs712JBrZfpRKFGfGFAbDKJgYcU1Ey6wn0BrkXejQw8sUfkcGYeDuk
fmmA87hmLOPSm7LAi/gnMsLtq02hZwXiyF1f1OvJWVo+9xE7UhVM2Aii2utYgbhNBNmlzepEfT8C
Te4S/4CrczgbVVfFebG6FyYhmlejuTFtbSt5bO1xHALSVttLp29RGhZj9QDrzqKEbBz76BT18KD5
/f2WsTFlU/zEt/a8y6ed0pMk9TRWVDhoGBtc80/ayHioZBoa9jUNkHyx9UfaB5xaXlWTgNxb2Fmc
ghk+VQRTotQLJ8MauBXIO9OqX3wLRSVefUJnG/NUDOmD49RZXDXYMJK2rsMiF8wylr70Tt3mVJTi
zv5pN/MTt6ssEtPqY6+3ttgonelIlInx4JB2gF9mo+y3OvuCuCbiR+Hv0SmAX3Nt+1LEhDIsV2tl
b7+ZpWW9EmRZYC3hhrKoLDu74+A+4SgeL9XslAuHVM+Z4jacHUFuJ9qHgCFGELlMt9tdCxPkdVrc
bRNno0yVd2o2oF2j5hdXaIV8tAx9uhwSYxvDgVlhiOk9RXwv25tqJPDO7SrvUnbGG5539H6oVA9L
Um0Bo/8hrvpJAPniQ7mfy0zGyUZDLnTSkk/bMAs2qqf5/keerzxEPBOPKl/CsIRZotVXyBT624Ja
83PC2BNPtSTQYDBELDxVR4XlovbpveoV5753BzVWrbTd6uEVEyoT8lG74WZV3+rTmJMpkIon0qTK
n7B/h2+unlqPLvKce/peaQyLShxKZY3X0zbQsRQWEmiiZmUMK7Xk0M3y8TEHrnf2EN28mT1L2jTb
+Qr3V33t6ao/AQXSb3vYG/+PvTNZbhtLt/W73DkysDf6wR0cgq1EUSLVe4KQLRt9D2w0T38+yM68
ts+pypvzmlREVqZEkQSw/2atb/mEcvfcVcN0H4qcfNRcE/EJeUl31EEOoiXLgr0eWYmvkjZdI5Ln
kZmFt8Jrk30caPGdBi8GvZQCzBHyzF8bSScl0I9oholUsWpNk/wUyyx4jIA8AQYFH/hpiiUSO0Qj
8VEiB9i3MsC4MYvxcw5vyZ+Nan4wlCH9KkgQmZCwSxKDU7ePNfksxznC2TMPpQpXUDUSrrc6uuC3
EPcyVBIeUFKtp4Hhn4/HKXpG78nefSa6AiLp0uAvT3tO9PEtSuvswYiWCWVvwx7HN5H6TPiJrOCq
vGLLf0aFhEw3bAzBGF+vUT1KbKXMnfSXSQszqvbRaeJn05JB0YEItntOolR3k9u5jBSqXdwnm17Y
9Zp51Yh8B8bTu9spe0NQceEDI+ARzIZXKPp65JoAbfrdoONYGcd6F6fEuHCRBge+ymzdF0V2Nqqp
W1uFc9WHWrWu7eZHnNR/6uO/q4+h4FGh/uv6ePe1JIfo1xL5+8/8KJFd/Y8lugEw8kcnSdn7V3fq
Wn/AtzElikHikXCe8q9+7KgMZhE/dlIGZbEFIXYJW3ToI+U/qYohEP9aFbPpZPPLL6MIN012u8vQ
4ycTuofNxA0AhewNN3wd0mhcIRkpNwx6XsBL3ON+3kNBrF/cXLxMAzEmvTNtGXxddRPW/1mr5cEY
8unQZujg4JVbB6/HfNVMOi4xrQbRoTy8e4Gy12XkMEF1Wx2xU1Z9gimrXzSJOJzKoV8bQMX8yl1g
WFoxckU7F8Iq3LuBgxKgR35dDMC8O3QmlDN1vWk1KbmFzeZKxzpVq/wWQil0tY7TLMnGQ9M689lq
A2tdEjXui2noH8jagTk2jcEhiom6MzVxHmbD2iG6frbNPEbXPmQIFrPopiN86DqhcGIFVsR3bMWa
jQVv4w479wbt31M/cjYYIw6z2raYtqq3EqLCCu3SsG7Mavwck1lBcBSSPsOboZJltY2PYUBXaTbO
bkDL5A9mNm6If3iHUWZswWgE6zi1zWUn9CbJt/S1DvqWl+Y4/ojcSWbSGOeuCDd8q6uBFcQlr9tt
l0080LTbYEqyDdajcV8ZyJtGpxQXr5LZS6es6plwiW3uDedZdPkFCap7jDO36fFCOdiqUI7d0JuE
w0a6CptgUacv/VzGZyxjrH3gWfgoTkf4nqFq7hliBvdMyaxrM51QFWq51ezDzq4ZP2IHa8pseIGO
0b5jcfOextxI0R2XPTlJpeMe8dbmm3ZgnVT3Gc6/AYsMYh30L5lU1r4z3OrViRPH5hGrsqeClHsc
ZJG302UmTmYx6w7nAEYQhK9Vc8RRAXAWrgsfnid7sYp6CqVWVsVV0wYBWzoGFVe1BswMNA/YL7gg
6aCtRIm/SGdGi/rWEFuJN+CTIxXxP2MQIp2VcfCUyKy8Ry4DkSePy3sCxsXJsJdMtiHxjuT2JZ+A
GRNlhFkyRrmYzgLhkDZuGPIj94NBfuq7NETOA69208ZIS+Yhb/YGjhTYabGakNpgWKixSz5N8aR/
bnrHONCK9Ykfth2fagPSrYlIdOID1HyFFG1esQgUD6q0CsKV+ZWOhPq01lF23RGFlD1ZPQvEvdWC
ooPNGU4Xh9VwvMpR7FxSuyfIt7RsyJAT30PlgpdeiW6M6k3WxMVmUvm0Hru8eo24/3YxDH5K4ZHl
BxZrpkkou7OnShS4/lisvsf1rHZgkaqvKMbGuwBW1u3HX5agEnW3qhf8ejKxnXM4RxoqtsayfQMT
5BnLnXs0tS7/luWReYWMvn9oExPhPTBLMmmWN97hU7lMvdU9OmPOf5jBhjhYiofImu5m2uheq3bJ
YCZAVbjSEqvj1ebQU0hvJ2ldo0fyNsQdl7dD5SH2icKk9625zp5Mb5DPQ6HF5YbQAOfcWKF5KGlo
LmIcShY0yMlk2AM5BcDHU683iyuWeXxrkqXMNhvy7h3KJw41vbRvacOn6zoQ8hIQZncZalzeEVck
BQzy90+o6xBfWjl6RhBQ/CJKoXPjTEuSVRgt+Jda7WY7Ke/rsMYZQaoJJTffVj7k5X0cTmRotelS
PYhOuX6Z8MlNjmkdBapetLouEs81bK14hTIwZIIxctXP/E/suq9wCSdfIhnz22Q+tUVEwOl012vt
g6rDcqWs8lMRuzDMwEd47o3s+lt9CO+ipc7NumifJ803a/CuPaPMEDQSJCSdy9gaW0NFu86en8Km
tdfYOtyjDVNtVQUMFNm1yGoqfVciBOw4x3qqY+y5Ihb2xaySR/iK4mQrnuGpcMO17VQGTi4yueJ8
OtGRrYcxWbdBeWUUTnAnkB3filHCcSrDiTWpa0c7gE7sWz1lbiZWrCunqpu9UqwTO8gqEWYy8V4w
YFC1/FoXxOgiBa+uk7lvN4XMxQFe7pdGdPvCtc4ckwtbuActjJ/hVQvlS6u5yOdIlZyLNt+iC+tW
+VSojZYb05rswAwrRyPRpBNnd4+k3PTZd8/vubJ8OTNnseao3VbdeF+gtL/ynHRH2Rvh3p35gmNb
bMe6D+jApvSY2uLRnsjdc7z6kI5TftCRau3JvEMn4PbVZixSkqixoVUhUmINK0yt94uMu8QsmOrO
VcOFv2Nuoa+ZrLzqAlsJO9kVHrBvxlRdKkB9X2NJUpM51Ponx9bKNQGLD51ok7dp0gxYP6pdxcjv
fb0vWnhnXneFUNmsYYTOPA8Mle3DZDbEinmdCVxwLb3gvs7bd1TzwUYnD/lEgOVQbeDwxp1f0NVM
q2JumN8qWRxLYZ8ynvlnLqtmw3xDUG5P5maQfVH6ea8lRMSn1dpsSWtrhay+toTgbViCH6a8pOGq
qjeCl3GkusBDE6Fe9ID9ul5y2nuytnbs/L7opv5aR1hXpxqzrFgI0Xg88A5BGmXKrt00pvUIylv3
FxIbQUFF+OKiq/MLtJYdgJwjGo9wQ5HgvqO4VhdU1+IxJemHGoLkL6wx9nSFG2WwVkoGLhxVlTzS
B5D02Jr515ZMpq8du7crUI/OIlgJkBdrasuZPmzTlp8Nc2PDyk4/OUFSnmHsjiz5aiorYHKroWrc
U6UqFLH6lH0apADBAIjOt6iwVo0dz+uMu4gneRf3jh8VaIuDNHe9FYC48KjGLhVX9EliXEXtjCrI
o3FzGfDp3BLhU2eP2q0t8C+nhhxrvsRS94MmpBFNk/6IT83kiilof8raquTKnAeOwbEvTyV6pisT
ONkmqFEIM5MJnsgF7C5DOsfJBrshvvPOK7QT2EvrQKWQ7oRe1oxWssAnMKo0N1EzfivQNNxinO8e
hyYe9hVsw2dokyX5fBMJMrMX+YOD+UYzKyh+znxIc6qwXCntSi95gMF+qfcYmFq/arrETwKwZkjY
cV3UeNImM/vsMJhYtU0w3Ka2pt80QdGwNS0xMUly0HoMJz41ww2zVgKetV0oQ0Z/7vyaNE1ZrZNC
ZWgmapAOIhUraCWwFnAg+5huzd1czjeAIVhwQvZeSSxHWytr1d282DZSsko5uZQL7rTO7uukHfYu
MVyvRuedUFK1XweHWUBNu7n1KpvJMHAyOASLjwl+57pvZm5xOM8r5eoXTtDyFudHv8KPAi9dR9Ft
VONuHMZw3RrzPdgi5zTGEmGQ6ya7qRA7wAytnwnCN1UZfkWzvjM6jjxVM5yDYNMzuBrHq1ih2MQk
G4AuC45xWF/MwLIgf7nJYaIBvg4SN/K6NQa/VGxsY75gHU9zce30SCfUJkHFKqodwJMkPBs2vkRu
4XYIV7xhoI8409CwPoW4ZYGFEXA8faR5TuNhpP6djxalChasME+tDV2zWmM/kVjremAkjKdUj5Y2
t2M66Baz6PQlSjG6mSvbCEq55zR8HnPzrGFj3GJOZpRq9sN94Mw4aKa5PYWJVRJxZ5k3YBte6tlA
vF/Zl9grydGYO4LcvEKuMwS4t7VTWZ9bYo78RBbzZ9GK7mbIHW0bC/W1CSe5GSypblyljLXD+uKK
vIGBpx+Rxt6QyePg2PUlpFTBBNAba+B2n6AeBKsaRcPb0IVoj7XGRPYVkPaoxQzGEx2bYt3iFVMx
87fKjTgqyREfOzPeEUP1QJTEuLJS83o2KLSzLHl3JIM4DNTNiTxcPyvNLxHyoTXxud4V4FG72GD4
oegPp6b7rJtD9+6kFkOuoYCv4+LfMOzYQlnv3euq93S0e2rW1qnq0sM8Q/KjSDCnowla9Vxl+fyc
NXp200b5FxrQkNQOWffVauiQsBG7W67jIvpS5zmnPka+d0fZyzMr6DqwjczIGqEj8kd7tpHSGC8d
ATM+NdDFwAB5i7oobOHoAYdgpFqvsURxp+E5e7LBTF/XFUIaokpcqNZTl92mRe1Y/gLo+lzULdPL
IInHbc6knCwKb5EE0hqW1AGZ5767SKgjX4WWuMSwfJ+RDJIZbeTF55kdJUyVwDA1HvkORqJeH4qH
gqJ/Y4nZvQ7Krty2PBg3IHYOMYSRVTXQZJXxnJ7isB9eRUeErV07kJitIkIdB3K4XEle/LbGunSL
zD2i8Y297gH0URMGG2jzpKIgweccnCdQMgNbhbXRYgdp6lZ9i9o83ztGF++bmhhWUJ9f0xG+TzsF
Du1je0ybPqfPatwLNG91F0ZddTESb16nQ011m5jQGMKSTL3AiNeJ5wZX/GGPNH7B2vGicqsluXvI
MJU238XR/5n6/N3UB2XAvxv6/Ff29vkt/3Xo8/Ejf858zD+I6jQF4RDgxH5RJLiEg6IsNpj2sCD9
beaDIsEhztHV0Z2wCWUx+/9mQFKy4aSpsTFM40n5J0Og3wQJ+A2QNix/hS65RP+Hyj4RlUSZZmrE
Y2smPUMyzfseddHDT5/J/yIS+l0+s7wMRRLzJlb9JHItIqKfJk2zaNE2zsyTgOmJB6ju2Kt63b3N
BxKC/kbG/7swaOn2hDAIhjA8wGa/J4zzXUAQJvl5P7G1utXtRt3YlgBMM+sji808/jtsG3um3wdp
lrNkwFm6QN1NWsxisfjp7Y1pa9XCaYJ9PDWUUEFddkckUTREJfgPCyPU4D3pkP7kVkephQudJzyy
O4ShBUugkL5UKXNgp8Tz5yMZ2StHunaUZfrnAigcst7W2+HD83bD3MQ7+jVJqCvtJAas/JylBPlk
ZKU+is4urojPoVMIGHEEpFieTI5GOL9hEe2mGntUHLaEFHRtfpYwar8Cn5qfotRsnpwqvNH7Kd4M
TsbjErDJfpZGesPw0Ca3OTH6s2z7/NtszOXtbAzJo9RjlJB6kG2ZsRcY13IKrbIY0DJyZtRzLXeu
0qHz1dOwERFO+6wz2mtHdOWpqVywvViV3vQs1NgNL+iERhv29YRHZ2WOXmCzUJHlF9Yi+dGe8xEM
zxz1K71GArhqXHOrt7J5jVPNG9I1LYjTIiucBkjGr54lrak9RkWVbJ2Px//wcRToH8eCvpwQ/XJW
JMupwZhNXryPo2TQW+89cYk0WIE+5rDJ5cTBg3163DaUZ1CPlpMpjTIXCWFhZrdIaTm6IJeVR2c5
z6blZHOXMy4N4gYYwwJF+jgCzeU0ZFh1icaY6hvtziVazsx2OT2J71DbctS7rftxuI5kP7w3y4kb
cfRODUuLEHzqdejRFaIytSIGaXw4URFkN/VygpuG1M4GsV/sWJcDvh1FCklC6Rz7cRLorPVg0i5V
QUAUGq4eKgVjitOjnoT9e9ja3ef0o6SYP8oLbak0+AhaEgfsL3WXIacdmlOR6VjFneydKdeAK9C8
DpbaJUVf77V43eqlrtGWCmeGX4HJbygAg5u6TwQCE6Squ04+iqNxqZNsNiFvdJUB/7HzyViqqWip
q8alwgqWWsum6LI+yi93qcS8pSYbl+rMSE2wbxRs41K5WY3W3RD4Mn/ulrqOb9b6XMGMusX0yJhh
qf9q4gnoTd1LXXvxpqdI1PrGONGwy41cKkhtqSUHzx7ui4/6UlBpTpScBaWn81GExt8r0u6jPC0+
SlUSeClb7e817PRR0M5LbZt+lLlQ4Ch5p4/y1x0ySuHse10cfRTJwUfBnH6vnsfvtfSslfW6n1Sb
PJhN4oZdtgLa7KrhwWFbtfFE64RrC7wCsJkA9OXKqnV75XVuUewGNdvOy6iZREjAU5VQJdwBhWKc
aZO7bZMWeQjDng6eeDrM4UWl1hI2UcUqPNk1sB120U0x3IUUEC6JynbdRtdeoCn6TlDi1quskCPA
3ERPGm2GhsC+pwRgtbVFQWE5784IkGEVdVGnEXNMQF5zn+ZwFTFJem36qllVeu+pPN41zNWXF3Os
vdKZKTrBpC0EZxlMq6G3jSsAkch5qZ6ItrY05r9WZ0CcYA94FONo7WWuLaPJlLnpOp898SCjEkFw
Wy//txPYwf009cMXG+Wry2qiqLbwaYxDmdHErZjnTQAeM/NQtYyHPwaFXd7PhZ/XAXM7ABtMjEwT
ko6jHNLb7bZcfwxILUKRmRjo6OOhzqHBCwLvE1SjRVegFfdzSwwMtaLWYxRWQ34eDbP6aqJ9OvKH
MCROgWXD3vBy9DnsjaNNQ3zSASKZd5tZsf2W5diSSZVQhDG1Tn7WhtSBZobpoPDJmOLfWcvQFFJU
9oSkfbzL8AnN4KkYFYaMGKtVSxkhkC8w6+W+zdYf5/h/qsC/qQIxRy4l2L/e/S3i1P1bXhES2nz9
WST34yd/VIOO/sdfdeASt/anQ428YQuDvKu7rJCwsf0kkrP+QPIjLM9zDLZ01hJw/6MSNOUfLO/4
z5GuLstACtV/IpL7rYYhJYRfBA/W1fkr0N39WsOYmj2GNTgkZnFW5LMPD1bSDp9++lD+P+rAjxfx
3GWByfskNuDXF+mYiFWe51JjpqBCRqcFJMAt5lep2W3+/Uv9vtxcXmrR2iIpAbVtGb+9VJkHIyh7
Y96P9GKsfeB/0ZsGrH6Q7WCy6Pa5aLTdOFvmynOn8m9e/vfCeklwRjbuOUIIvrRF9vhzSSiz2bUG
GOb7pBgeZO48u9AN/v07/L3Q/XgJC22Tp/O9Sfs3MXHTaFOvB6LeW2J4GC3jqfUEkaponFf6XHOV
/nU5/y/fHKbb3y8QEnWljnbZNnFNYLX89R0ZYW3ao9e2zJGN+ipkLlT5+KhyWGxBfpUp89EMUDVB
n6w72PxGmUAJZTOM8T5t8maNuCJeOTJEvYP8MT30g+PlviqVV/tjllEst62Hg0nWoiI2JCI6gvSA
g0Tlhm1j2IXgQ78VJgim1UIveZpar4Im4PX5OtUK4xSROr02otRYI68bn6YkaI6xHTKeImWbzHhw
LPmDDe7lOZ4c8qDyxjgDtrBura5IL7alscA1m5x1XReeelWAS8w9hrguu0N4K4RW9DNTSTe86RPm
ugY7KdPJLmVsfrFn9wyiFTWR6eZXaDg+hUs5T/yBvdGw2kDLS2jhq7nepbXFIKEQa5AOw9cmYurv
JNFtNdnamllVszFl3m+GcrBP44jcxNPs4EqGxpOj4VmCNdr5detUMJrUV9R83gNJaSiCRJKcSBYJ
HzrbzHycHhjyFCzdEiPLiHV9PxOIgJlljG6K1vL7iIFj4E7DtRXqOHYGyif0RiyQvEPnJv24jUvH
e6gdvEmRawlfurFzrHAe6tcFkadiW4wQ0R7NwtGeo1ShU2TKn27ccZQPpUjVNcclYkQDeXvMPi3n
W7Wi6yCvmxssRdYGoFm6zYE7MzSrk7u6XIZxA4GSaurlVhGH9gRIAI+iqok1j2LZv/axXmMK0idx
1Iixfoijet6A3xKrf416rOaiucub9hh4k/Ed92j2RrqHpS5uxGjY+7zgWvhgPvZdAR4iN17RnlnT
KmWeBODWGPdmG3tnIoOSnWYwP/4AQPbZtKYXmm5+h0CW9qIgJnwoXBGaSKXzFwkSrLV9FzvtFswY
q6WAzRir4/BT0qfRgR97HlV4BX6nXo/VcK6m9DERbbjSVKLtTDTK1x02TubSLGtUHw5nLRjEThqx
vhd6lYFg7cyDVbX19QQTCHk/jN/bfOLc4Iqmf8OjF+pnI6inN9BZOg5ERGkqTLRrrAJyhzIxWtsZ
AVnrJGc3mQa1g/Gw5tXCFADbMtw1KOTHYBtU0QStxA1e3bSDz+PSlZLaNVyPCc5Uh12/b3tatEMt
F3Dv56wDTfomE82pn1spHgc7G65mGYnjSGL0NkhY35ZlCew5jYmIcaI3IzCePTFjXeo6/RKPk76X
yvhEi30EehHeY400V4J4CDw/8xVrkt5XQYqEmp0yoZrM3Grotr49J0TF1dU5qSmFinp+j0O3dVeR
jv7TRQJ9CLSw3whNP49Tv6V1CPeJhrm39KphN6eLYBce/2MjNCfn8TRoxAxh2eplaby1ijVgCaJn
047bugqNB4vyENhQ2hSHwlEte9bKeOO57R7ifGA1JSDMjmAQN1HULxIAs5pPQZZ2cmUE1fRYCjc7
8kCaDwKZ6Arg1WtTDvj6PMCqA0odH2oqXGE9OmKJ3EUcAKsceFO3CkOoTVkuilO7jP+UfEzziMCj
QBR+6DZXZuNq63nWgnWQau5NGKRfA8ig/gwQ0Oml+QaJvfqc9Ia6rXCWEY2Vce/xSLBv4ykZj8w+
soOdS8QLhICty2EeXj64u1RDvLLuJdPkZzY30Ar9TvLNS7TsWbBufGA+b56NOQH0lRGVJ7IceA1x
HsbOyaJuQ3fKZHi0x3dCfbTbtEan2jImTxsnebIiq9iD4yozH29L7wtzNP3E5OmRufgI+9kxj5kR
DzUbwlnd5q2r7fGL4X2rnS+OMADg4g3P1mATk4OL1uUhoyWGABNDHpUsxh01xXu59JGYdSLygdCD
lGNv7a3Osm7Bv6f7SAvDT661ybGG7jKU5utWReOj4Mm1hlLubvmQ0Ai6ofCZDi2U5C6V92YNfmzI
8+duSs1Po7Kjk93Y83MLgJC4giEmxaFpTr2oum2aJ1x5k5PszRTyH2MQbc3h+a1IW3SSRLBu7TBo
D5yPw0FhpF95kFAd+xo4PtzKtcza/j9F/nfTyt8U+QjzKMn/Kor+B4biv4i0LotfR70fP/KjuP9w
mHH5YTL5Uav/VeALwRiYGfD3DBLqe6rRP+V9i/mMn/qz8l/agj9HvYv5jFqcX0c+iyf+kfdMyt8q
YlyLjCmR8NMp8Pdgh/m1gMtriEhItgcCAStY/zhRhy7PsMVbdqlfl9WH+yr57sVKSbzL9WeI9di0
0g/Llvzu31rQKRK5EOB4rF3Od6dXbLPltIlvT4pY9H41IPaHPzFAjWGWMvFQHQYNEJslZa4OcPSQ
UrOBgnDVVTdFNiUF/XLMzMpDDH204NFcMTlV+iHBNnEzmUHwgA+hAtFvv2htqXYDyIklqJQwUSup
jkmOFCpPRlpfy0rlQ8S+vPDjiNkEVdiAvIwcYm9D4YqULmtmik07s8fLnCrrTa9whayKrlU3MUSM
ZiOjjrFDg9QauZUR6tmuGBXLOkWA9dryyphnYVg7J8/rMAG3k87US0OZsbLR3u66BjEJ1mTSUqPc
TPdV0AzbZG6cGVxHwS8GrBZwEqpA3UorKF67YRKXwY4KtcPfTMBn27JMRQAOVrUNp3nVppTPiVWr
lw49z1Mwc//7TVhXbFax6i/YPos3CnKxly9BltREi4ps10qbcpJibGOHVS2QVjTHoSzFgvAnkUHH
g08dmSLbxJbjPPEQH4+yG7x2Fydm3W2jlpUgWylhrjUDj/W5psKTzDlytsvs9u3SQgKpks4hnStJ
NIbYgNxXrm025RqNCoJMW+V7YqqiNVTb3kVnNwyboUtQfYRShdtJdvpiv6hwMoo2G745Qay/4bNn
UmJxN1KFxChGCnN6y4XnyS3aCmvX4wO6F0UTXad2l72URHSsAl2JAe5F2O0zFYX6WjbOLWdKs+5l
FGwwLJKOuayvuWjEKNQmRLW/nRR428hpvNvRqoGkB03v97CkriIvGJ1VaeQpmbgGFnUr6pl4Jlp5
IClJHrocQr9tOcEn7gb47+Shep+DXGF/mtpOpbuwq+VDkMX9YUAOspUZJLWVVwTtPay4L6z0tbWa
3HkduBjCUEBO8aFEBpWDjh+V54e2K444osyrNLKQcbE52Kk2oie32lnQPCj4IC1DMAOdVP1AKkJz
ql19/px1ebAmBXJ66uMq3wcz0zdfY2kOW0aDmqYqrb2dyrE41RbbzFVXJgnSVxUHvtVy5osoKB9t
Oji4Kx5lDLTJ547pMkiZLsguqVlJv51T6PRdvutKYlsaJzCZ0eEzOVu0YP7UjYa3LQtTDjxZAhFc
VwttEx1fdUux4G1bW8e2JtLpwFKj9BEf0nhhomdd3n1J9NhcE1g5+Bas5f2S0Yp8R76Nw/RsZY3l
F2nojWtP0dJR5BkU27ibKkAIvX03tNS4vCwhgf30nwXoDyvn356KFp3+vzsVU8AWb+3PQy9BmAD/
/NZ2//f/aK6HAxQ9t+0RaglH6SdPtmcyDkOCbpNgjqTd8pii/Hks2os5lOHG4thEC7VYSv88FvF4
s0y1wDMtnu0F2vQP5l6Lav4XU7YQ/DadHCtGNZbFX7qMcn7a3hHPLbmse7qnzCXfwSLRqik6RJlB
NF5lYW3tmckn8OSHYXonOMU5ItRAu+MKMVxQ5pLR1lbaW4bS9obcW+80kwv4YHNjYSapbMRNremc
8CC2lwlhwEOOa2ZHvlB8yENbfCqrgOzPxEmumPFsugmGHMP/BHGA28RsZIcRjGpfzV+IMUZEG9Ct
sTuiyiTyKr0CdVhcB45BPYy71IBCeVMiX/a9LICOl+TRlVAtKP44J9E012xjLbXQuSK6lGI1yMbb
EhXwrspc7zghu0kAn4/yPGq9R2pMqt+IKdZvJtIZ1UqVRr3F5pvtMOyFL8KLUTdp6R31e38TSPEA
FhVtoQ2zs6ihTrOnqww0iBO4z3xilydUAaoobzqSlwT9G931xjCtEVcsT8qdlenVOx6bems0SC7q
uOHg7cv0sTYTm2lhZia7Kh+Tvdd2RKiaA0xzZxJ4AmX/XLpxADwyGs4dAo4v3jRMLwB7jXNIXMwe
/D46GiMZz5bNh0NcZrylLeiv9dGuP+dGP67hRjvbSmUKH2PK20DgvTLTIiPreCBAJDX7d80zmGZY
k2941bUswoNJYvKmZ1hBGHBZrFsruMnTKj9ornaA85muwSyyl1NNvatrZX0Lwa2CxO1iogjMYYcj
JDjIPMrvxOzMnG5aAqED1p+2oWXC8GZOyVM4xd6rU9v5hlqognjOfqpSQ/2AQjO+mXVbv2HFA76Z
ZVb8jIu5PSa9nt3DFqh2ECglbgEC1vcWRuQEHoBhnOcJ03wYmvN2chwI9mzrnEsRV5iMiq5213Fr
qCXrR7/zGq4VYF0wpZLZzL4spsdTYNuMG8beuLY7dn15ZcN2dp34pSYc+1SElXWGk8ngNZpgOWvK
uJaoAPcNlt5bWvX2AS2pB82rzQ651mM9DTA2eYXlgjKr5CtQJPumhhR0IOW72idJBqs3h8u+HczI
us2q4VpGg8nliOZXg+vTR2H3FvVAJElsQLgmq8B5Ixfkq1WP+SGcKtIqsBdi0A7MreMCk5qcQj4Z
ZvoF7WUV+lpoylfHLR5KZcxPbVtNEH4L/VxGGCBBbRIMawH64ACHVHmKlGAgNuAHeSOWJLlzIAwB
c4T+9gV4Y7Qr1AIGY9726MYYDJWhUcIofKlJyJc4GAblY0+igEu68L2DNuizgZC5WSHgfOjK4sAJ
Zl+VgEULQgh9Fno5nsYsSc+GENnFCrK9PeE3toO5OMD0hD9ZIULteVi+QvCJ8VjmwRbCOUKrlsVs
QEN+Yc9lfp0hhvtGmkT+HBFKlFRW+kIq2PgIzgoRmMxLny8Uv3ITpYhtoRbfac24HTK7vq7ZfSe+
520tXMe7ACvLDbTQjDyMswoC9cIwCpa2bYhzoofGvqAPR5A46AqNvGq+GN3EX2Lqa8IGnB2Q9XGj
MtFDXaP1eemcqa6AqswZ7nGHUXwxT+Ht3JbpThs75FHTZDl+o0Z7YWcOJSDhaQPhrqWFKPsFoeap
xxBJcYLP0QPCS23MY66NURVWjX5N9VvdoGIjFFtoL4lMGyTvIdVQnHksEe2a5XRTIAbV4mc2vPoh
06HjUlfWK5mk5eeMhGHkYpF3tmBMHzBGjkjDSYU+x52WElhW+Bb9z5udOOMuodW701s77/yK/ICT
chm2uXhIkY26mb0hUcd78jg1TiCDomdUDPExn9Unb+7sPSfi7MP3VSdQWTGX0pAc28TGSTVp3jHv
zeauS4L6JtGH+kkL4owoh7zalAwKt8KDEc9UrdpYbW08p0Mu93bHu2wCt9xGYyK/MjbtbwbLq95M
o14OFzJ8XqI8ix87KVS2YqPtbZGbhQxX8LeWU4gNSQTRnRCsHsH/o30O6/Fe7/noi8ia19PUVcy/
pHvNygDf7piV0a3hJAMXGgW5p5kWCUp6P++m0ADxgR/2kHpz9Zj1hJYBYgJJFsx3qTLMTaUUir2p
02dY2lphonQbt3ZdqpNQobxiVpp+AoYLym4ZZyrBcRtzi1+3gaz2jnDHcpXWjfff7J3HctxYtq5f
pePMUQGz4W7EmaQ3ZNKIRtQEQYkivN3wT38/JKVuMqUij3pcg6qoKImE22796zcPsWWFizTr1M+J
ByeHlSnYejWCMdwpLkfA+28FCr1dUTsYjROJdKGFWbI1hUJas/DlVTJ0zq0P4LbScED8FLQhXu2t
TSoGdHlrZVAwHKqh/JrJkUSrsWH5b6p6xGiwF/66NzptMRq0z3Wp7M1M1QHosirsoeTnnQkaqmUN
qVdgnerVVD2w90eRj8EiB5FZ1JAwM88Mt75CDpJs8oApjRAandZslFWHDZ3nlM8ucSzbNgkgaved
chaS9jIQgXLZIive1GbzgNQGxDWfnLMdSClf49p6IPjmUfWaZzsZH5y8v840TJjJgsc6zSjTbYUZ
97IqwxtkEMUOfrZ9gxOefoclWPYN+lN/X3n8YJvhQfNohQN1LpoEngJpQinLtl5TUYOkn3PUwqUZ
578YqC7Uc8xtML4M0BebNvbVyIkuy7ocrM/S8p6xwTEcaraOD0dLXYe4BFFs7uXqGmFTgUYa+97z
sCiV/KFgAeXs5bYLrffiVYmbXbpzlJjeUhfpCw558V7zh2zXVKH9YA5m+UW1PdTgXh8kezswteoG
Q/bAWyNITwAIetlhxz/zazN6coJeKrdm6fUmTKUWNmiuEEy0Le3QWGSKCvUbp8ZVa8l7GBgdNhkY
RKrU/rPaF/d4wnYbHNNskpvq5sDf7FcuBnJzInh2YSXOGleHs6QquTmL6UreEcqgbDiL3GYjvnyB
hYMBO4jyKVBCn0S3RJv7mTYcqGXLQ8XX3I011VoQdo9TEvquci1lJoWCqiZDjJg103HLGPVmhp9u
tQ/DbeytCNQdFm3u1RtS/QQEZCdcSziF88ETVykalUVUKv52FH69JZjN21WpHu5q1T8D700g4WvF
GdwfIoZ8u/zSANvPnd4c1mHZhlivS3eJWSjFdZjky85D9wgcDghfewWZTHzmTQO0AsVLT9em6qnP
ovE4RhdxgZ8FSI+hPeHKaDn3Et2JLb81wi5jRBolYRf1PCwTHDZmx9LkH/7CB0WcCX/gvSJu/phg
ulplb9XLLz/1E90EwtQMR1CV6fqxWPsPuqmLv0AwVeI5ITG6mqD4+1HGwVHALoPEV3yvAGiOuuaf
ZRykB4NfaP9kPfwRkVXjGsUrPziVNGJNx6iLEGs4s/oE5b6u4tjoSGNrmv6A2aq7bDvUqAA40USf
sbv2Cr76sIt61selqsY1RyXR3sY4iyAXdbPy/tXb+023XDtplk93I1SqV1ysVc7Y1nS3r2pKCEZF
7AZNy5E20w5+TEk4a+ycKJ++5ZQ2azvRPNigMTSzU6cu58SZg1J6o7TFHFZB9uTS+brgdwREWiSJ
doufrqOtB8v0vmuDovWr9+9Yn6rck/c3OdwRyQ2nBI7uCZtAhIQS4XlRH4weUGVh9WNy29LhMFYc
z1i12qHXokXI9jMbWVc4lMWqsU5x4NcIg8rrJ9ZPqaF8KMwFIXQ5OSj0oDAJqszYX/p5FFzGDZly
0mXdwazZvZNBucefzOyXoVSs8xCla7p+/6l+/Qy2MFT8jG08UQHJTkp7Gw8GgvISeciQJNzlPqQN
ijrOSLMCl+VLSmv3U+Fpyef3LzuNtdfv0sZGDl8r/J4Zi/xruq1XXx89pC8K6WeHzBm1gxYHzYHo
3nlI4sfd+1eaWDmnVwIgwbYci3nXdk7GWQE0OpagmwenUJESdzk1s1c7gz6Li2CpIrIe54Y6YNYa
GSjJPho006B4e3kGim7CR4elzupwcnnbNkIM0yEaTyv3I50s8zFOpnswx1Quif7IZ4PKp193SXms
onP7O9lBctvh34inqFGpGMVG5PpFNvFfRlXoMECdYfheKG2xUJUxtecg7qLamIY1Ni/bwbf+//nf
88uXG/1X1qSXZCLU8n//55S4zQ5GbDnLBoHbQFBgTW8/lGo1ZmZiInOuNV76GFZ4G82ANGoOn+AW
mb/rgjD+6jsuKatjGaysXJCSxVnZfq5hi+bzIfDtucij9ntYGfYTYvvA3r3/iUmDP33L4F8MIgA0
1lZm54l7mVVRSFZBbZwDyxee6yxqNxjRDk1AK6YI+PH1pXqFdhulLUFjlEpaBvpfFetkwmvjpEyv
i8QExLWTzr/vojTfAlPXswLU+5aETPTdZebB3J7AYHKSAIa9SGaHbkKLUc+T3gdtB7/VI5yst0G6
IUkxudYj/5LzltHPksYuDzVQdH0EpRH38iLDQWdtENBmZmrnRGfJhGXTpBC7YMK3xyPU3akB+RV8
yxDYZALDuwkXx0yCjnXUf4PQUH9qVAX4HNm1DS2ybMBddP2mDLQuXnvwYsIZ1Yr3FUtIoPgwK5Uv
zYTPF4UkHIQo1a1WuslT2BYW837C9MMjvN9OSH81Yf6cFIs17Cf3gqTAfklaRbnSjm2CBNSQqE68
kkrMkugkpNKgp1C4F6ACtBk0La83bDV6N8+mPoRT28nnPlWDvV65xSeTLKp1QztcB/ZOx0fHguED
WoN5Nw7K/kohTuORUL3umfBzmiDjsSGSHZsj/dQnMaaOyXBsnlRTHwX6fLrJ+KszNiDaLDRYaLlE
x/aL7XVwX49NGTH1Z4xjq6aiaYNUjvZNZ9DJCY9NnejY4MGJgGZPb9j9mYUNZOJdNV1Zp+lsCKeY
y6fAC3R9fID20E+xQW7FUp5/04c0qo2KFLOmKdRDHdcY2BJLVY5rgtNrjwTqECLq0T5BtRVjGw1Y
GtBXAZLEMEOdHKEDUk0XyOPYD1EAdOXSwslGnVcJ7lwXAYRmMoXjwe6CxdAnmA1ZsjYYUZ1Hpdvh
yWwqK0sJIu+CutGw/HkJqsOAM2Lk2lkSVu6MuA00zEvIfxYsXRfEejZ4dJLmufRAQgO36TygDTuB
Re9xKlhRs6Tj3BlNVswMUkAzT4MKrWcrB19eylBJEcX5ofOsNK0d4nqe6zWx207jHEzaDgixDLu2
cULKelmOw0bSX6uIqfQDe1LNtmNJ90pm4WpIrHTYqFJiZm3qRP/MbQ7V2KaEZahg0C/0e6VIUZ7B
1ozpMsWpqlwQjKjgQlRn2X2EKXq6NSq3xs87qK3rsYEbvaI3pWv7oAskogU7oIe5xuG+yD6xGRs7
Mk30eNUU3MEyr3GmR/TWj8Ap0VB056lDcvZSYapUZLJrza4iFCFZ+B5Go5NBNZ8T4hLnk2yMjPE7
mg0X/IobSOnVpEG51WjbbAjriC2c4zHcXoR56C1GjPbIw+mqwr2MvC4ScyMsoxGPp2hU9pCUxEor
PLKDMdW2C2ScwZhvA0zm/GXsioC+Dn8PGQYcfoaPb8AT7ELi3uo+VL5UJPUMCjy42NEPmG6H4ERO
KxTjZkiQpR6swgWNzvDtOjcb/E7XPqkl/IBLfJ6x8sJAyx5wEsmCXYklY7+SnTmGe6326xtBEMqj
ie8XKT0YFRpoHHugammNNISJJotwizPKWM4JhVliVFo+JF3HySLyo/aTNK3ua1EFxqa1OySBTmyq
+Dw5Hr/HTPKoX2VVqx1InTTElaxN7UaryRacdZTVDlj2YION6WmERJDwTpB725f6RajY7l2mltPg
jKJSQp+RKCN6/L+Q7ZdThzvoMm4sJ21Z27ODuXeAlYzulFWyWjia29O7lK6nX0YVedrXuoOL9LYX
Udec16jHOXyC116aMUTgZQ541G3zfBzReuhpPRIJbU8PP916x/rEfREpdRBmxlM0JZAjDmx5PM7d
uGXqFAnAwFVW2Uz5quFU4PNnrKl6nQUXpSYGUo6MIlD53KgImvMUA3eYgpgNERAKnRehPNYN06LB
ZJrzRCwgxCNO5+Q6S+88pF87pw2xrnAIkmNcDL71iEMgt9FXyGqMulfl3ueYG0FsyOLok8NusZaZ
qh1K1y8fBLbS5SwQMAt3OQS2Zu8hIGgXQ2WXxJrag7EudF7rFNo7fIuT2LzsG0mgW6kObXzfQQCQ
G4JS0+dhdKc1hHI1WFAHOKCK+jDZP1ipe6+oHv49XeGjS8J+YTlUXXAd5rXc4/odmQsTGwmfZc8U
yD8D3b2roJb6y0TPmCbwtQx3K2BWlt9TFuSBKBCG1JKMa8ZIZBKtuCJssV2yyXTlXqsa3cKUPalb
dlqjVTl6l9GXym3dG2XgmL4b3RpfDALtBzlLNc1uycsmngF/G22KQe98y98WfBZAP6Ka8BVq2/q8
H+zkEw4R5cyx4f6mxBltxg5hyzxWNTnSOorz/DyzenGm1ET1LYMyS9u9P3RFMHdMmQY3nETkk+rS
YQBGC2U7iwMJr83tWqdkFxjKT3TZtPCzloObtfj7KPFwW9SkKPPLwNhBiUnI2ile0X2lt6+088SG
C7kNISlfgdp447pqiG5ahuNE2Qj1OjIuexAe85BaxRTRW7SqdS60QPTzgdONXBJOwFfrnIweXTXa
KWuHlBhZ9kZfLdoEgcV6dLC3mcWi9+3F4BE/iG6bQNz7zhy0myiYiG/sdO4dYz2Vl5lLSxtiYOHi
U5IGFh5MzYMO9uZoaKNa+9aE8tqRwuHXgpD1xGmv8bd0ySL1GdFLPIz4mhQOcDBCo47RklVFYFyS
R51YW6+fkiaxmlX887hSim6RSoI9wfbTpj7HGYf7r9zYX8nAiQPsU1R1O5SCeY+bjh3CDAnsf1yS
/08kMXzuHarIv++H34fyWw7nOnvdEP/xUz874tZf0BB1U0OD6PyQe/xQgrj6X9D6LZ1e+QSNvLFL
hijmUMKiMHUEyILBbfyAUkBZBL1wFenrRNFHb/wnHfGJB/afog7NAiWGaeBjaPDbqJqnP39Vveqa
SoKyGVh718+rTZVq7ArQbTbjMLDA15U0H1+9oN+UYb+7oA0PdtJrACBpJ1V6zFMXepGae8PEzktr
O5yyXMpzTE4n312pHd6/3tvy/OUBcdHjfbl07H6BOlwkU3JiHuxtOnyPROdg7BVF2o3Es+sDAOJt
6Xa8FJ+ab23CgLB/yRSrOI/5TayJPaYZ5mNoRxSydLQK8u187VCPo3tnx7ghVYTfXP/xUzKSTEaD
g+egfZrr1pVxO6hILfdSj8Q2czBQmUHvdhZpS8k+f/9i2lTpnwwaRqDmYiOoAfdNc+T1oOnzRKZ2
H4p9l1Nwo/Mk13fWRSrH27a2I46OBvYhu7TvOeUMQD3ys9By9sw+4dSr6pl79v4d/fqRLYRMFuxq
zbZscSo5J2oWXzsfi26nEzyui7JurSox//rvrsV+ic6HIczAOcHO/MhQk2AYxN6QnXZohCKf7Drt
r5tILx7ef6zpPb59z9akMhfoxWgkquZEZnk1OcO6qBQrb8QeF+1nqYPBN1TcH3zN3707FiEQWy7G
KnXyMUkiE5gjJ7iRkK25j4gOImbWKpS5NsYglu8/kfYWRJrmiKUiwdF0C7KHcYSIXz8SJ2MNaxLN
2Ee4vlJRtFxT8xT85pJKFg/OBC1hvsQkJcDzegAI2fr4emw/uI1fRzDZECx76jRVxS8eBRBYdApS
9My9U+s7bAs1hVRU1zkDBGGEoh5Kl3GsV9aMTChAz+PkRXCB+ZYrq837d/O7LwBF18WYmi8NHPr2
M6Pnt3qoJExeUpWuVVXtZh1cmL0oKnf555eySHAxwemJ4DgdUX2BjTSnXmMfmrxe1/WZskrSs9Q7
6F7371/s7VLP8i2AxQFksQzgcr8M3yKo86QsC2XHgYojrqJUxUNmJHi2dE5/2XIydT4Yy7CkX8+Y
6ZK2w97IFsw4E8apEq+IR+wLNNvdqR7OCQQBU9TLSvbXMO3763CCA5aGOWL/60T6DeYI+O/1db6H
rMtBywmtcjOWbH/HFQSTcQqVgdTpkXpJoUoPNVQD778koMu398zGP7llMBCR9hFbcCrtywiUF1hn
ip1M1HSljgEBWqGlrHxNxg2Rb+nQ+3M8JMCEcAREPLaE2mZdoQjhVIsrEPdI9cqH9DhvPuGHUz/1
0B7QiQcj80ovFVZelTxuHNKoD4FOfBf4OHD6a9ge1QZHgPqpAsHYEtA89Vcj3dh2elQ+1K2d7x1f
GLsq4gXSBYiGS4wnIbmAv7t3NU6PxNO5XqltNBykoanaeMMtUjfAdhJVmEcyVRMa1jrJSq7h8KYt
GQyXJfxVdSZagTc53FXtIIOcEVIIrXgYcgJC1pzzXWvXEUe7l7UPJRrvC8r3GCHJUxwl5YNdZHqx
S8EdrzXgjUsFsjLlRBH74RcNIQkE7BFMJUZM03l3ZZIz9urYeoxDndF+rPoHhOpPUiumHbqFG56i
ov9WjB4hqGRWXVcWtFezg0uM5adoafG7OKJ3rskOow2adqMYJZP06G6J1GZu9II36uEmSlxRuAYD
kE+VrNHWANbckN7G+3E7z76WEucsHFDlU4ENuzVLrc690/pKPsVQpXVMsLCFHKWnGXNnqNy7phj4
W8RIG1vXgxM7SyOqkrHmvYlGpWY+7nIQiJwVRQtpYMA0VbTBiRQ/AVhfjGwRWGKYpdkw2sRCcTBR
oK9c4hjnYgih4xaKkz0OtaqCK6qZ4b4KP4FRE9Pef7StmLc5RFFRo+B0cKpG62VbRF+xXiotVtxr
KVpEOnqvczOYGsdobmr2RSsPmH855mD+Mh0d7RAoacKnNFOADMyIqZHsgSwt6FAeGiktMxjLSOBo
F6mYgK+dGr5Pr+CwWmiTFLSu7bgHU2NfntXoC8jQMvyRwIpk9Cc/EvMRnpj5aAU04GcEKrgJ5gla
9YkevL4ZCeOxF/jAiS8Z1IkbZwyHc5BDNEPYg2kzZEyas9JA33f0uAkzT8gmmMmkJ/k7g3q0UKVn
3WBvH3YzFNVZPAMAHA40PNV9KgJs6Ymrdaf4bmPem4qYDzCbbrBGM5cNyrFiFxN8zMnIinHLUGV2
VReSsLvIa9LvuVnVz44AETN1G0aBBYo1H/pJOtAgyOjmY8LC1eFox0tQhuKzlcSVXElzsL71o63R
hMvwXpT4Uq0w/rGRozZFuNCiPFsT85Mf3GiizMOiCr74kwOhnaPFGKzAWpfZ4O21obbLtUO48UMR
pvVqINTwC3JaXDlFSo54j7vxlywpsZU39XEu4Q8BM3lmO4/jLvsSFZFdL7KWZl+s4nk8HUZJyetL
qS+qKlWWdK2glHJ4WZESgZFjgAcenpbedYOB6JZ89mIbVeAoNDWG7+h0uyXUCOVqcPP0cwjINAcR
oYORYRQPHoayOK4e7VowP0J8zjxolfOmrbDkLXJ+kaMcRB+oLP8YecATqowAay9i8vIaXgQCHHNW
ERbnY1ojkV+ecdJ1NmRPDeYCf7OOCtrjQiJBECwaP9g6ORyHpJbBYgSFXMKda26L2CLTvs3kqjFj
SDyB+g2cIv/sJqE+C11atkAVqJMT7oNc8fSKXYnMJGI6gzNLADsVvsoXtX09OkN9m12qdVNcJrJm
UCuIsuvHgTTyg6JHTAmJuzU4XVGDcFm9xwEb4zXwMVbb+snHX4OeyuSLMagjQ1bFifuushtyNJym
N9VlHAY9to15qUKOtD1gRd2EYeOhsbtEG6TM7SGpNuCF7MdOY6LcTibrClp702/T+kKu47BmCWI1
5mBW5Ky2PXWUlNGEWWObC3loMtBoArPcINyL+o1JkO1DAe7CrZHuSXZskiUPel76nOeQ6oDf5zo+
s1ogi/SLGQVO8Qx5U8xka+Mzmtg17q2R6L5jalL6c5BK8560U3eLilpuEthqAQGAftjMEmLsv8q2
foTjaCxNEfr+HL/IUn5ORqVRPoVjQcKFQ5beoa0iYmlxB1gGXYdaX7FgxTpZcTu6Pj6eLrDdbWtW
6TUammdU/Z97XWgXaDbrDesqzrG6WxEd3xT6k18H/tMYht0nv7H5csz4aFm2CBbQxNsdUhmaiQOa
eGnvLDPEU6TvEiJJpMU6Po8b6Xeb2u3VvSjz4byk5XFtjUDdMARihE10/sNozmHHvVOyts+WvVYn
58iwxQW4dDLBqs11GtKoquiSfBOtkgD1j8bX3LUQD1vFqM9MT8eERzpGOI+DipZaM3buLC1JUQQa
NpH+OmI3dO1Xr1C6T1gZxlda06jnVeibX+LOiiewMnDZKzO6biWBDgdXDOF51ZvGDhcm15oFrS8f
9bAr9ikNcgTasKw1S1W8mcByqsIbdAhXCodZ/B81XfeIpvHsfhUkGZz5uCg2bYbHJVYn3pk6NONV
DUqMOaTfPTQJYRRLGici3PWAYfhq5WR6IuTtnPhg9WpXkLrZyA1VrnIWkT12q5Je64JmNnBodcVW
403D4Dl07PDPWlvK86Yo2nXPRrjPIpkmi8INPASqGuVFwOK2joWn4T3KyUKZ+63dXtGaI4k0O+ZW
ogCuHuK+NmbVkJhnfaizjNJtxyMGxDHrFnpaNXigZrl+DolipAXlljiWOoktWBC17nuuW40H77sk
vrbAhFqIUl8aiTVuZGOH1zLVyttGG+Sdk2CY2/Yj4RcR5CmYXWIm1CDA6mWM7IVR4DA615CYP6kp
dgazGph6jnFPmCwEr+qyHalTsmS0q7mJD8MFjIL+Vq065dyk34tg3SDlxzkG/mRT9g8eAyZu3HpI
g7Bh7D57SdDfF45Rf+tMz37qrNoKV2phNURZJpqZzKM8IYrDm4KHxmMGUXXMI7JJJjIDIookPg7s
cqGsd8YxwyjPs3KBExbJRsKuKrJiiTtSEoKP9GMGkutzZofVCw8f0y76v2YzJSbFDTxvRdjt5+CY
qGRP4UrQ/OAte1PkUnZMX8r0XrkKFKK42LOlJjZp0SV9c4faqPfESwX7D6vsA1bZFFXxqrL5RTBL
1z6vHp/e5DW+/MxPTpkKPQygE8QRHamhT/yRH0DoUUwLnIk1HwgBzFDKup+cMg1OmW5MhC/4EBOQ
+m8g1LD+giOBIN6ieAKOIvLiD6RBR9zmP2ALWKTtODYgoe1wOUrxqbR8BbaocE9VT6FXifitjEi/
xrtmaD5XrSuyahep6WTrGwPABdEasj3WamcG3aBuiXOIMO16RhqUKHB1cD0nNs4zBb6Qxehlo1Aj
IBXKIaZXHNW9t46d0AzDM9PvWki7I//XazYeLQhX3Komgo8RTWiTNsQraj/SFrspejGYQhiVltNn
ujNgQ9GXeYlqxMqqVR/0Y4Zjbh0DHaMS8aCBKb7f2VcQXhuCH8OQbOnapSUx4yCmpHPOmUYGoaMa
lQE3PUzGSC3L6bD/M2v+Tx0EVzNAc/6+gQAFo67Cb/W/8ud/MYOa9OtbVubLz/+YQTYDXiXDBdsm
yuvJc+jfM8i2/wKThCs4QQjHifLvGWQ4TBPBYHUN4DbQBqbxT1amQ2/CpVJnDk2WVPzRH8wgbYIj
X80gxHvwQgX+RxAyDcuYnvz1DCLLLNZoK6ubuJ9Ev884PV70g7clxWCRddkmDdUdhd3S9ZrPWqyQ
NveRS5J7gv8cbwHwB0dQnpks15NJTNyFVTiOr25ygmkOnvg8wOaSbbzMUmzw9ILDcdksXPIJOd97
50XhM5l1keFP/yBaHbEMgeY03lS4CGHurGo3nhU25fAkxxVmO0PFsKBrG8zU4huoDX8JBCMLZkr8
JZL6cvrPQbBdh8OtHPN1mHJ6V5aD6W5EXjPX/dg64xyeka5KJAnS8UoaxkKN4SUZ2d3gxPT2NGPT
I3pI2aqFbuxxJ0Z0HY1XnKmmdcQh7YGt3IwIr8Zgcylj0jWaqyTIsP7OqA0UBAWW+6AZylL69iPS
GWWZRphJWMacTgnGd2TDBQFlabJoiZ6EInDdK6juy65awqpZtnXxhRJaXYdJcwmVYh9peCzjXFpH
8by0iM6xRm6jq8EXjCz7lvZCXceRgyZL7b5lwl/4nBXOMmgWM3R+88KSXGwkNsW48NPIf0H9/tmS
P9iSJ8IpS8Dfry6H7+3jE/25l6Vq+/S///PjR35uydC84U8DPb9QuV+pdTWd2ftzD2bjVm3Dhlcr
TJYZDebkzxXE5I/w+6X7MqHoJo2nP1pBjLdLiEoVPF1Gx53ORQZxit8GtYC1XRXGuT25FJD6ZG4H
Q1MqUjYIp8eFsZwck/IdpwVMDiBLtEsVw/FlZyFsbYCf8JNQMUYwA3y9czvBN6Ds4Y3N9aLszUUz
WSoYrcBcYbJZwJWUGNGj94LbOvgwFJMlQ390ZyBgRbtGZps/ZJN5w1hBI0SQNnk6xEd/BwwEulU4
mT7YVZTOm6MThD2ZQlgutzgrgqhnN/VzwYoxgGGJYbAttFlO529oLY3Noo8jFSeeRA6zZIjjp5Ig
rQuqrxZiJNzEC8/L4agSVMKzpwXw5Ix6ILa3+VCh5xy1pi/WUID4U0MS5LBrHJKBSorwYesrGQot
TBF6ZedwgwCVHh6tsxxfd+NKd4r8yhWRfz1GcXtBpin0KztBaAtZj/J5ct2IusrepC7ILT48+UhC
KyTUy8oBkFooouoBkIxYv62LAnYsEbueygK38TQTdW/q4WJmrx0TtHJlV6E6qos+wm4UZ3zw7oNh
j2mGmHdola2QWo6mEdpMQBCUBWYPbT90sNTo72WR4FiNdSlVTsWpkuXPDL22P8QvjD/UbND/ityv
0lVxpAU2LxxBbEQhDHqQ51ftC4/QfGEVlg34wpmEVxIg2D1yD1X6eB4UziDxFqVgs2DgYI1IrI45
QtqMSK2KgWgTotBeWJDaD1JkhXdHN6azuNMpMj/7LwzK/oVPWb+wK80XruVxFv+z4H2w4E3SfQ4d
f7/grahBwrcr3o+f+cnGUFnw6PqR8QLfgULjP0WIY//FqYo8UmoKagk6Mv9eAA2KENrq0C64AZVM
aXqkPxZA1DDgzJzJ6PyzcGF2+ScL4C/HF4vSg4BH6hk2YwqftycoHzLPyNRsNrreIItC4Ap+RpPE
PcPJzgVSNauMFKEG5zQ3wK7v1bv6DTWDB3x9foOaiHplagtSCyGNP+2ilyXBLO3Y1+uu0dulPaR0
mkjrREEdppv/4lJ4FLGvCExITw1IKwM8WkvNei00+nSJrnUzQ6JmRXVQ/hdPxat0j0mLFjyXt+90
1Pq44EiGYrHvQwjQY7mo6jqe173dfNBWZh/85QUaPJNgX6aInHIdXx+AUfsQiWjyAt3QQ/Yz6LAi
G+sZT7CFn3mTXZ4xtZkpshBw5B/0Pqc+/avT9/HrGSb+/tMohuJ88pwEu+E1WBDNrOTCmmykg2Wm
ifKPmBYmVzFxlNKplfH3oJNwchWJVbRsS69BICmsirGZSSrfHvNIEmPSD6kmJ5qe4+WoWlTQdwxz
LTE99KuiHBskHfC+btb+YNWwTqvvtqE/A92nM+zl9hbZcy+V6t/KRH59jfhSkaeLnyvaNhwV3l7R
C5DAgms1k7YbBxoolnws9yPH2Ok1vf1YXIUCxXUgJlEtTVPx1XMhjqRYKuNmbRANODMU5cyfvHrA
SOe9mpofPNPv3uLrq518NNRrfumbSbN2Wiy7PQy+/TalnxLFyOYwtppVcfz1/Qmuv2VYvAwUIBXL
NFCSMSBPlrIhiC2n65h2Gq3HCwwqkjtfbUiPz0e0orkf41x0beOLNC/Z45+sWnV2APibxq/yddu4
7bLpsfepOrv4hjmqsh0sIq11ry4/ESpOkFRAyy8uxw8WpiP/7OTLGCqS8IlNBU/tdMQ50rdQMTON
wq4RdIEmV25iEU0C4RRDxfxKw1vKybuFwdsj/LoXX9SRXmqjOcWBzrUxB9x1L+AG/yhz/nZkmr8Z
mgRqkDnBDDf552QyRG6CcsNMatRAAWlEgbkIq6BHD2HVS1n68rYPjWiudhZ9zxzJ867PouoMzgMW
mbAc6MCpGRxXOYVFZurMgI+/8DJHnWW6P1Bm6tVBt0ZlO8b4O6Dx5jhomwT11FMPGjL+HZmE3tyF
1z+vhGKvCLEKZ61RORR3/a6mI4mRFN6NtWe6OLiY+0DEt5Bi5SEWA11pY4xXlUGmdafUF7nLGasM
MUojzsuY9V5CDyAY1HulKjl8ZjTUPXN4jgfjunbqmOaMj9rdCuoLfnO2en+0/jpBHEasgdZVCNey
7ZPB2kvfbEzK2XUogwMdhAD5nrrVwv6mGb1i2TSp9sdTkivC9EaBPSEvp+bYbtW3jjvG9bryvK0m
xRK3sm9uJs4qA90KjOzP7z/hr3s7hoCsNqCoULAgjr5dcCRRmXBhmprwwKSY6a3otrRZgQf1ali8
f6lfh6mD75IFcO8eGS0nw9RvSKDtEImuXac197lSatu8a+wPXuBvryKwwtYdNBy8w7cPlILVpnXH
C1SsSq1mpe0qG3QjzuX7D6P9uo7xNLg7OZwWNfsXxlSMBkVDXoJ0qtfyBc22aAVbC82szHI6xdLm
SMHAp35GX+bcQ/Ff5yIOP1qWTgpjNkI8sKhwTMwh8X45ZR2WZS7GsLXlWmDts+zQV60Q2dQrssBC
Z26IUWwxB3CXlZp/T/LOvo7ryUbbVNvzdBzJWIhz74MvoP/2nuAmwzolmQjO0dtP4BOsp3iBIdeZ
32RbtTKXrkpnd8RX6OBhVDMP6Iw+JPRu50mpDBdQEkgBCVV94TpZjtYo+Z5ofXuInR7D2u4Lbh36
nLTB4tOQNSHFeIg7qx90u2xIDpj/fMRj/f0DuFN+EEd65v/07V/twp5WuelAaMZaBMO1T47IqumE
fxuwis2L0o4WHmkt89S2anasKt2hWXrEG/tGVpa7bQrPm/dYTS5pWrpX+WjnN1A4vo/YPO4MsvVW
SEGGRRdHCntFnazQfBUfnPlO6JTTLsuwePUEJ7OgqxNuOB/kelAifwdnKtvVZo+ts6Iu6rBikW/o
QeDkvSVFt53LAnul9yeI8dtRQHbVBAPB8zt1VHMG1hJ4G3JNkmBdzEh6Nr9yrLq0haSz4KpPedL2
97auBd+QRddN69M+1CduEeGp9I9Xukp3vILzMOtCrSPfVW+KecAF1z22hbSffe07uYcaS6WNhxIc
FDVCDKm4tChhMmmtSdA4Hpgbci4f7Vb9ZA1cyBdHb1IXA/T3H/jXo5sD2RhPVU4IMGZPswbgINqx
Bwt0XUbJfeat7TZKFsqIY1Q+QkB4/2K/WbYtjtxUnsLmF6snFYVMYiubOvxrEOtnF005uza+bQI5
3wdXmn7T23MPj4Vjn+6KiS1/erAnbqopbBI310Pl38QYKt9HyZSCnA5UE+YQo6xRLcXZeZb2UabW
b3bfiYSLmQNeDioH77fTsPYx5fMidWo+Dw8I2i97u7xWhfcMC+QrJa/1wQZ12qiYZg3uvHQOJxqy
aZ2yYN1WkX0YMmQpwzNAPs49A2SdISM61GjH7wi5bvIwIbJ1KDjcCAdeu/QrHOjGD2bPbwcTnU92
Fvp18JHfPnrY1K0ZtMzfzsnrhVrY1kygxJ0RVw3pJYie3x9Ov9k08Wakd0RnxCRz7mTFttyIqKKm
5yMPVb/2Mfefj40TfFAj/vb9aiAZjCReLwT2t08VSc3PNQFtiBq5mjttH+C4F7lzy8Mrr0NUDb1C
NKCiZYKXjJ/OQQP+P3vnsRw5lmbpVxnr9aAN4kItZgO4dpJOOmVwAyODEdDqArgQTz8fIqfKsqJq
Oq163YtMyyoj6e5wiF+c850C+652Xhbnr+6R/9yU4zKhK6QpRy9j/369jqSKQ7/JeTOq17dY+HFO
yeV2VgRox6WhhU1XAlhHAx/U6A3+4rL6nTrw61yjGuJgU7cj5f/tDk18FAbGSpf72RDJZ+NKZCOj
jPtLlxo2c16nJgO9HvgDAfkWiByV0xb2hpUx2ahgnJM8HLV5vFWJRbyDyQgS+niMdvS/PjP+xY3G
g81Jcp8OzuKfDCSJ5qWzXTntHn2Z3A0CpyGKLn9LLZ/+xSH5Fy+FV0+QZMLO3kOV+o9nR5oZHWB9
t933S0SshjW7D0uVlDLQHP2/8bGoQUmFcdaR2j/d1Rp0jH3jiXYPJlM+QDJ1dvXsRudM9h//9QH8
FzcxXomxCCUicInf+0ZzgT2FVaPdp5Yek9xaNY9wo0kb0zuICKTZQuhK5r+4ffzLQ0l/TeAkTipE
Ev94KONYr8BD2O0e16wKS7LTWBSWiC51s/uLl0KlwR/77QlBpYGPioRKeE2/V9xeTvJCvBicIkLq
7c4BBwfmJBHjssESXBWhI9F7OtTkMPwtNWo7Osdh2i74qUsokTYXV4pe1z9G3Vy8mPA3k42scm/Y
4Nt0ULZGbfIBNk27zXEwdLs4KdaYL9RnaP34SFboOjW7ZGTYo7Eb2Y7NZwb9/p4kRnfZAg5JMhas
ifHkDCZq/UJMtrnLjHJytlA8E/PNH1EJ/3AyhiUse+hgkvOUSCvayDSXyXNX1MZ8LCqma3us6aXY
anpjnMoFM+a+G3LV3dllNXi3oh/m6MHpsJTv+N/aiO9XdvlE2pjPeqRCshrfem61MtDWcBxEomRF
Kw0F40lWWn0wZA4kaI6lKVHDpi9lh18GFyl0kSPAsbhBiFnX+W7O01U73UBouMkU7ST6RR91077r
Rp8YRGXPE9Hj0A7OpYZNlLlD2ZibprTX4irFD/fhYqpF2xH1Ezm7opaPjY3BfI8vGTE/cnT1WKVC
9ttZQxp71WsWQFsi6eLhSBFL2IU3+elOAHlrAuQtC+rfLvP3leQRtS2idfynayZr8razvecsaYm9
KMp6zVBPFKrqprEPpTc8MOfdDcpuXqPGLN4KzdOvfeXAHoHkftDWcGOr9S9ErewIAt5NiVtdI5ch
qkgABOD435siHze5n7PIH9TJUvPIUq/7yMhcRy1mQsLOJmuH4f9LWNq4Xe0lvAfUyA4Ay60vUmcv
/IUIcrTMQVb58bmDYvbp9qjQxTATbemqj6V1SKmzVtQ5pDU7LV4AYW0d+J/3NiFCW4Msu3s0N0sI
1s84e2WR3ILtgI3pQlPp0P5Pi2Xvbc14SFOE7cghomPkizycsnygqOhcYsgF1KTOXR7yYjq2vSCx
aplt/pVfcqZLiK3lKSdcZ7PoebudelkEWRKhtUZYfx6tZJPyzd5HnrhipZ+2xuglu2WRwCS1fkAN
PZv7hdL1GsVF8155nX5TJS4g1L51NpPey5+O1hIx1wPdYZtX7N26to+S9KbAJWb0aOmpeexml+Dh
SZ1MpMyp3RhA2ue3EtP+W5VGB9cWj+kwvwFOQDuhk2CC+PGt/JVFHJNUf1SDCz9vjSqG34EKnvDi
bo0xdmICjfWMaONiDTkWa9xxQt9wJZta3bcxYcjdgK5iJB+5X4OSizUyeSY7uWsJUUaTmB7SNVi5
Kj31U3T9AMDkV/By/kcM8/D/UpmpNNeQ5noNbM5/ZTebnDyvpUmU5cb9lfNsrpHPxGGOiN5ZF7dr
IHS2RkN7uXEku3WGkkFstLMGSPMf9XbigthGf4SNkqcUEz1KNqPbtcFsRoJY0qUz5TfcbTs8NTBK
NKgCzd5dY00n1N/NwcoLc9iUnnRVMNcIem4wXPSQel1PxuyAlY1Zqk51HD11CxRCcqQwR1TFZvFK
9ZQw1b83C5xLEbE96XHMgP7b0FjujNH0cA2xjgwAv06nJO30T2e1aQTMd5utu+jFueEh+73vvNjZ
FnMMJWq0U+sGk6bzKFQe/fQZ7pNOWxGbS2K50jfL7E3P7JnKn7KRgG7nsjPewWMQdDo09oW0zeYb
vI5xA55i3vdULE8eYNZvquPvzCxw0SSb7Wmp6afTqRJHbMjdK1M41iBZh88JoBFnQmL57VsCded7
2wjSiCatfXNbMz1kMuqLI1L3fJfiKHhFmQYzyIXNvXEiTCSbYem4OApTswEUCBDMjmOHGQXXEUwF
sFZGyFu6Ul/ucvqmEmEoovagT2P10kbjCkaxU8ML/HiM0pCYodYPS1aDYIqTYj0HtfEExjl5RByI
j8WVxFV1HE7tBZwGH9FduW/n2Fx4q06uXpQ5DSOJO1F8QZrtbQglX27r3vNuRCL4q4Rv7oWeOo+q
N+0loBJpT06TJBcoBc07ozvC6BUhZbHkUt1WdcmSf5jy3VhPotyjnIgvRdGsEXrE5Vy4iFouKr5d
hvDtKUeGeHGTpPmUKpYPYpGYnFOOd5rlMI5BSuy9hIOKS3g+a5yaD40tm0977TDDylkackzbLN1z
ZNMD0Fv+rIYv25CiPTVG5t8sqms++7mRb6TimNvFddvvtRHLFgFjwmEFBRGd0DvMQJD67ssfO/si
llYboTf78WVC8kjIvIMm4QuyjCBWszFHSyAhYv8+3xg8lpER+MiDtMRr24AMY6JCvGFApA3U2nhq
cGhcUiTNz42TEGJqDzUmFSffgAJfEnRPS2QEyqOItAfL3Ma91xKZrEebGIzPeeVdHkhzmZ49LeO+
GEfpwWr47UbX4svgtw5aEM+mAq8Qu1yA5hZHma9cmJ7EYWh4+RidkrLnByLlr1DhEcFEhrtgCBau
c8ZYVfcKvXj+6REI9eXGwg6jaC6OhuzXs3wgt4Cdi2k/pmWiiDzrBzcccUGdClvPr14vmw8rS5xH
zV+ATDfVmFxmB51E0KFAfStabIu4NIcXnbDba7p+3Sa43xs7M6JrKxQvlGvzzsdhCoNGg80rOo6a
l2G402Nt/qkvdbrXJjguAUP76Ap4RhxbPaluHGvkL9ZLfqVkn559nY3MMgLYORFA3SVbrUzmny4Z
rySAESdXB8xbOhlAhyXw19FqKESkHmNNTkmwu4qElitohg4dSqkIROKzcyYtWiu59TqCM417VnIh
z7Q2wtJY6nvNyhjiqrngu9Y7L1FHx6q9KvSJAaw9jZ5J6WUWtuXY/oTPb7yIGFebQnbxw1EZVDQu
vfaBu8Xys8YyI0PCYAnjlZk9/ADMgRo/gkZy0JqGw+LwJO/2+pgbMljjxZ8Ws9Cufq9zN3MdQoYb
r33oo4rBf2s2d72am294sdoHo/fiCxlh6b73caaleCuO3MdWsIfH9V2RSPLapik0cal5Hff4Ol9R
5HPNwcO2ektPHO2aISIkEC2By9y0twYWwpb3vnRefxeVTbxXRaEOwin5anhs3lhS4AK13Ti9d0TX
7JpKdM+yUbB2luRnH9f8X13TNJtINdan7cf2TjRYfBoBEQmbELhqhQHT4HgFbDTFJkeQiuPOKuer
UcrpniJk/BVT82IWMU4rrX5EIXwLAzllF6mn9DJSbkbAZnct8x99SNQpKxvJy+bORR8hAyUwVfaO
tbBe11PtdnK05lLNdvToRGZ99CfS9bjplgsOP5aNLWCII06Ek5rnYpNybd7q8ShvYPJXpzhBGkmp
Twnos/5jhPrhEzVyzN1qdSkq60sRlNKmusEtDUbmYnXttkIZFE49bm6stK/U2zpCxKn+9Md1z1ST
bsNk+dhGtcu2LKEgVVk9v3rTGF/1Khl37tQcHLzKG3+EyBukbX3wxuWD+V/5LS/dZSWtcZBIUCcy
zqHDwTGFbzHM8rw75ppuBSrSAHiWotl1EJDOibGGApNsci+8XN8DnOgehxb7ijX68XXoeBF8Vu79
ACgnYDCNcJJklQ/gV84L+LPikKbuy4TmfM+4FNuZTikXlOlMxnw6Jrepx+CmNsxjZC3GZ6JH4055
mr4H7E0+cEqw9qi4GDsc2MGYMyqM59k5U1yI10zYhKJN9Y7LiRtwndGdxk7r733SV36qfDBfJ2y4
d37pL6gWSvHUQBMPJ2rYnc2961xGXfFi2K77MCu+JVtBVd251IWB7CXsT0IDfiysmsywicmjbzNO
A5DbcRpoU0UMRdMQESFIhgunJpPg2mDNLb0ZDq5DQU98/QfRRPkpRi/cw9onYVloNzXBdA+Lbr72
oNl2XIo7EDrEh7JjoyDDMVkKO3oGTkSZIRQsZFcnA8fr06unS8I4S8s7d3PK3UtPtgmBd0FuSftS
NnZdh8noGywtiuU4z7W6dXByVdRohF3gWKjAXk8ZSDYrIToyg5sXSFnRlhakxDcBOzR1i78veytN
4extgwE8ozX8bu3SMNIYUm269yOrvZkZZtPVuQprIbHahHmQuXC1iTmXWHEPkcJc63X5bcG3fO4q
JL+dwB83s+AJqrHrMQJkc+B02cGYNB+foRXQ53zIulrhdfaCC8lRK1kzgV+ueuMNXJg81qb7aSzO
j0jW7TsVa/EOugOPJJLgZ7eArGcRL7nt3aF8mB0qlgKbNUtvv1/CeAJ1SDk0HSCUqfSkWfUoNsrV
O/fg5gbWwEo49UUbYxzJ1ezWF8Y35HibXkbi1lDglOUctbP3ssyqB7P18ECmzJGDdOYGmiVj/1V0
pg5ZPUu+2khfmtCEdnFpUQGcbBSLj9iovfFNUvHwvaU0OaCWSM1TGlb1ogEhsCC0/MbTktnZgleR
AEcGkkcsT+YT9TGdKcmIgvTaqfsqc6i13dAxROjmofyZizWUvFv66F3vMuMThxxP+lpARetwDb1j
hKcJF1Gq+SGW8O6LPHPkkyYWDXe75Hb1WLQ4b4MumcZ658a9qnfCH5loYNrg9EjMgQKnror6MSEw
HoRjXEfvUIL4Hb+ZsM+6mZ/bG1HpnEaVNff5RnW8S1hfyKU2FSotF/n3xItmqai6c7qQVLghw1wR
djk2IwnjFK/85UWDhn8UI+PHTSL8Wdtr81oC9GxIARFPeLyzRBeEbUrCT8IiIgEOuiePuhCXVPSu
pEoQpg8ANwIAfSSODwOvOrQW4IsR8fD7HwfTVuRnBkiQMMktnY4yzTUWOPz0E/Xe8u04tFr4oiGz
IA49/Mnq0UY/Vu2LNGPcg7IA426VT6SkGUyBLmZrT8autxf7PMu+frRHFBV8hexbwzFq1wR112Ye
Ihs9z84dKga1L2eEH7e+6tVPRXYol5IJhfXW0YzkKZ+VSYYM1ETyw9yH3PXbKCSPSn8CANbNaOoF
wEkx8KEPptJ5j1TlvOu0ivjynHmqNPZ/5FWGfCdcu8z+k3nDXIajqLSen18qs/tK6V7SgDe7huio
7kcKkLPY+4PEsD74ZZqBz0tJcyt0rh+oOLa+HCrmf6cR8jHhMXVPRWcnosmOuiMZokh2K0TFtCkm
cK4pGm4ewjy/wpLEZ7LqvAFZlbnAaL4kytKhR1NCFqSa9EGBNvDZyMjoA3Cgn9hJy8NYDtZDGXvT
DVqm9GVZkvF5NIX6Yw32PxrUv9KgCtdgMvr/16Aevz6Sf3DBMepef+PvmnvEpGg8UXkCoHE45/5u
4kFa/5+mhX8GYRiDeIa9fxPg++hPQanoZF1QokFc+rv+VBi4exj8UhLZ9grz/rdy4bED/eOQFzEK
Clfe1krkF8DHfltI5UbUDkTdOXecodoxJlCmPZMVMdNHg8ekDF0RkbmFtginUvEI3cr2P9EL/kjY
fj4KN7dI96tx9zrG9Jq7WnpmLzJxppKHEtHTOF7J877z641mLXN/pVCIYTPG+LGf9aqNtAACaWGV
59xPu71S5GXcuQhgW4KNCm9HM1IdS0gYoZsNbVjORrypykLA5vXsHTNb09xm/vCQN+APg0wfI1Jj
GyxAAwDX2VHtCQv3+AUL9F0AofgSfqcD9KzdvQ4G5B3ztR4Ku3RoP7oPC2YKn5e7AElZ6MPPy5xM
B72pxY4vSrurMi2ioXHVLkG2JaNQ+masJGOBwSjVzu4KplO4o7OLliTmK1D1VcbbbNAVNWGXJvp1
RkRy7YeWRMxefy3s1H+e7Gm+TNW0Min912nynK3S5zCyVPkgMg1//SDNO1mW8jjANwj1DCNhqQiM
tZ0kvfW14sPvW5tOk/7Fpr89t3Ap9kWtqc8ud6PjHNnWDuBRAWeSwMUl84wfq/qyDb1O1gffTH8M
gym31CfTm214xJDEKciBFuouDVjhvZvmwBKeJHOOTf1apuUrEdvpbdU2bDqSUbHD1eytZVX1FiUM
TO9mjTVyxzX/tyiVbRDk7JeP7jKxWqYia47rGfncqs7ZUdnyXIbmha3CHNo0IJoE6S4JoORyKEWw
Mt3MzMJgGofAyY34KnIjv5/nbrlEY6KHyYLmNbFIBAIxOtm8ilVv6YnFXmQFg3BiFNPH0emKG5ux
+k0yO9Yt8ixUPUk03o+ylbuq66bvPZFNVYAenKDTXGt++oy9hyAehbEv3Wy8kQvzg8muGFNGHmPl
yRnjr4RGMizWkTeiVaxYhJq4ZwOfeQ1p29Whqc564EiffCBZmXoVto7yg9ijqbemGe0Mz1yTWVXe
zvRebgquJFE7YKHMt7SS0Pq6NP2zKglGC/pG0I6rtpY7fwQk2fKm3JbUMJJquudYwlgPVG4mP+th
qbeeV/gHQt6cG2lrX85iIw1JkgzMNxlzjAM0iO3TwirWYkq1czPdf0WZmgdKuucmYugNxDnZFQiK
PhWBITszNZzveRstp2UqFenbCpYIyfKgNYx+fIPibt1reeSyMydbZyAGIQ6rfJzP9aiJPvRIuD55
gKCbDWDVZDuzsLlnqFxvlxYAsOOgYQF5zhyaQuxa0LjuvWIcXph71UzWKzZpGcydwPXj9EzyNrP6
0vdK0hT4SIDbETWaoOfR7oyMp6Sat8aiMoSThEmlo7c8q6mdCGZojV2CNXiT+DNfSS+i28QjRd5x
2o1BXOdTCiH36lvDQQIquIyDjk9+ck/sG6DAZIU5HdOoHOkWnfqexZvGMN7oyM9svPmRFLPmluxb
88k0YbPSsrYbzckpyUY5Hr0Z6sGxIg/4ccpaM/TrLrSmRr8tXW2rV/X4EItW3sywVUJunvodjWUV
1nZFsm6ZEu4JpGwTW6N+XFrjyxht564RbXVkEWgey25wgtToypCey8zXL3kvUYxuorR50jApsXsy
rf5x8ZP5R6k3Tbho7nyYs1I8kM9VQhglFmeDwDOBq2PneyapzSaNuJHr5tKf02SYnqtCF7u2qeLQ
8ZRzq1M/BSS7j0cfzRbh4773zar15AB0ugg10N5bKYi22mSd7XzjIbgwjfO1Hwa5NABmEitE4Tv8
zCKtBjWc1teudQzGGOUvcslHvJTxtiWqZmOCqkXJ3GkybNgYfjOXuL+RZXHtyGckzZUELUtKQvuK
uL9fKrvejZO33OtG6l+6ROZt0A/RshWxI/elqEH8W5O3AYyvNoObiB9A7tV2dKfvwFtWwA3ElCDK
xySUtIY3iSbaoG7s8bVhMRYKo1muKJ39TW/VzjfEFFwbltOw9vAYyKX5dFslA1HyRcw0w07Fe14o
Gle3Te+MqKr2i14bH2MZiw3pZ8/RwC3dHGfzYCunKVmtRYwLU2NiSrl4R+xY10U3jusaP/ClZThb
qEJ8wZVp+xs3VQ8jAKxXbbLRVAx4T2enSu4zDGZVoLXx+KLT6598q3VPsZc0HnfQyD9w32RY0Os3
HQT367IM90OcMqcp2Bkw2c1Dm3PvKZvNcl1OBFwS4CV8g7HhAh2HwPprPvucaqOssaRaURyyLvTw
iznDLvYgl7MOKEPdi24o8PN9zQzzGOnYV6uF8dLYMOrigkp2Q8l8Mu6HLDCngsUXQWo3sS25fY/R
+JGkerPXYPueGUS73w3CDD9BBmp3dicfOqu0H1lvPuuzQG4MkexmHC33CIZq2XsQWrat7apnAMXD
ianOR7Zk/THJ0IK0ebrqzWdoIUvBugTsbndKzQjOC9SvK8Ee9f2yLhNYwNgKKd0DozTzG4PP8YbG
XiV0OpF6NdJUOxSLsm/KJs1OZmrvCKRZ0VzMhRzxMmmkGOrsC7dpZUWBG6viyffiZj8wpb4wqjAI
qGpYHLXRDy+PuQXGSQKRyaeFSLri0CHovkmEGM8NnLU35a8UpE7Vm2ZhbgVZYfnJivkpKasKKnvm
PpKmbO96I+9D3h+Dg8y6VdxVt8Q2vkcd8+iyFiwemvqmQF/CzG66mSECPQN5qk4t8/mt0KTaozD3
d+mUR+9ymCfUp6l8n7TKCcBo+9tamerojoTaF073PhrcV3y9NHZwDRCax+W2GJIPbbDnjZwRz7te
tpx8n210HhfnqYfJilQZYUSp7kSB4gnVH/MY3S2eYfNUjxRV+blqPR71tsEuMB1zL7vUdW/skYM3
d8wrd6VjNXtv0uUtuwRW74B49kkmAOklZnzjsujdSjMbDnGUpUyRWZndtzZh2okojN3kDeDIsswO
RzG+A4rJoBVJu9mPo7Fc4KxkYW5L41QvstrZ3jh9DF7kgRRs2TdEOflacI3itgqcuRUbu16m71We
NO8OWkudMvejjIFI8UZ+lkPZ7rKy8okRqTRJJIfuhWWWa4d4kZD0yVQps8AghPS2gd5Hop5wWAaV
bRIydfxiBmsyK1hGHmkObaLt64xD8+xC3Rv2qU5eJg32To8anqBjBP6b+wBhylSbiefph8jSdNYS
nh30c0F8aI/CH05EvEUPIQNKD5IqivzBZktpBZ0+T+co6mg1K5Mula/6HQ1ifDCnKNq61dAQozZ3
+UkyUAnjROs27VgMAhF25L61iS6hZwzuutHWH1ySRgHez3HGkrI3vhNvV1wQVHBDUGYRWlFu7qJq
QXTx6E3RkGFJUF5Sf0+HUrHZL6vCL5/cKclzcYrIic7P/eT59dM4K44aQ51JA13hV1TKQSbZ1eKa
LwxXhRWt94blaA7Rm9yajUaYd4/gdJ5+NCzdvkafd0iNYL/xO/U74UEkaZqqOQKPIoXXUKiSWUWk
pwFy+W3b8NN159TfLK48K5/ljldEqeL77YZVsblP8UqQVtlM1ZeMdOO2TifvCHd14Qru6uHOHZyn
hfVc0Erb+RJgG6OAJNjmjFti3NqLL6+ybK0gc0p50rD7PuhjkjB/gHVF1to4HETRY7pn1bqh6jM3
taCEMceuZBWV5gdHFmLLTM8861XHVFEH2JUyW4ZAlEwb25lLi0x6Xk/PmxqriBKvHeOjCdVCA/yq
MzSSb/UCCj5H7jqiwAnTop+/gQC6xBl2lkAv/OlxYoK9UVlMiHg/LMQFN7EZkg/XbaQFTCxABeIM
zJEa7+LxFF7jvglxQRJIjdw1cEumMsueYq8glovSk56JAExQefFjaS/dzlsPdlTCWIFiQPdlw3a7
0yI1SoZpE+n2xJAc56xrH6Oo1HuyJ/jRYfHtY97J6trHvgzi1mhfZCKNN4NNzltVxy9R6eo3wmRq
xhBH1w5AqFnGVT4ZlIPSz65fNo9sNbtqEwEWcm8Z4omHKmk/3EUyLW6WCeSDluhwUlE7pGG6xIJ9
CrO0S17MxWumN9mzl43R3oNKEYfzYJh7WqH+OZfD+KXQBIQN023GWHGz4R1Vu0xmXISTrJYA0qQ9
B7Qe1DprQvUGb8/4uVD1UfFrNpHJ9TTft+7Kewd5lF5lzB5Fbxd2r2y/zG3naUThukirxlykx2RZ
sht0pYROW757x5yXBhZb+wY012fh1ctzEovIDlCV8eGsmZuGDsWOPFSceJz5ow55yl0u2lwvmwKh
O5sFVVzJ/vE21sJ5JRdEK0arIzk3c5BZVL5hmvr1AVaWwVoE/Sf951rIGra8sS2Ka7Zi67Rzibf+
3I4QnjqUau1b3Y9eeTHyrLMQJTg0Y63BU4CVMXh7gHJOBw2Xkcjypc2VPt4b5CYfnAT/X1opbX7t
q6mZnpZRy3i+aj0Nb89WpbNcWByDa7oNOb5yGs8cEukhkfjlMrf+sJz/71KoLhG9Nt0RT7SPNLeF
71hOL38a/9z/oZD7X38OnvpNWg0AEk8oiecuVRnTnd9Vt007jVlhGeMdHj97o/lATw2TsDQCizXk
bFH8bpbWXmUriNje4a3f2Ymx9Vz4JMOy7ep+y0fd+0vGgv6vmOW/KQj/eG8Olk5E3/h1fveUlYDR
Kj0yx7umkXduQ60YHVL1bzHY6Z84AAjmkd/qEFrc3w+ADfOIpleNd6mJg45/HK3YVW69+3Wg/2ck
+ZcjSSCjfzon/4nNdSyKtEJb9mcSCKSt9Zf+5ot3CRVAg467yAeP/GvC+LeUAuM/8ag53mrz+cXm
YmD5t7kkqY64vJBDGFDX+XKZJvIo65P/8x8WrCKMdMh7fQe5OeCuf8cXjyP1H+eSmHGx3ftcR75Y
ldT+Orf8k1UndVLGN0aXnKbWIORibEgpBL/qnBugGfQ5E3FXYsj8xyZvEU+ssmVmY8qzEfF3oC8P
0ijx63h14ZyWxRUgJlW9kLKq69MD0IhS7Imon7WH3M/ka8tqyw5ZqMcZ+akF0kdldiStjKXXBgVZ
8mYwlPoikGkNzg0ZAy4Pt1Eux8VYegExsAbgW7iW3KrViB1aY43+rYsaFQhPaz/9bHa/81xWm97z
WZouOhQuUkr6Lpw927RJpB+FeeObfQKrsXRuR8E2qFTDtUPstHM7/BkBhZxu8WA30scmy+YHkKf9
nYzN8lpm7Fq37lRr7Ki9KbaDytZjur2suRY2EET+fMtEpJ4PMW7RkwlX9sxtdw/VUKJUqdOaiCyb
fKcuYWHXj2ZubCabtavoXfO18JGmp5YsHg0Taa2fiPcYjcQFAJq/qRbLuh/MTB4VPLRNYpj3CREM
UIUdd6vNECmnRivuLVcr7qxqvNo6Na1dFAiImslNviMZaPYCp3zIBIuI3xJQY+pM7VVJburBkKTx
LWWnuBsTWOK08stwo4/b1qzru6iR5c9MOT6Ba2IGj4s1jkFYd4Xb8N2GpsJQh805aWItm1T+xd70
1ReaEUgmlGFT2Cc11uy1ELU9ZpCZrtbkT2erccf7tNNRTOXJZ4Yj/cOunXHDQ+PMaGre2Cx0CXmA
NSgB5z+oeiofC5mXTLyIozStnOQzjgh5PfmDLLL+TpsAPhGb1T3nEyhc0ZnT3YyscdOgWAbvzTvV
UCdsdBXFTwvktzIgHoMFZ1bVdNqkQhEz3zTG2Upa/TTrw1fBz1/iQRQPrqrYQqI79a8uws0Hj90P
I7AoY/yOfPdOaIw0s4YnSo5GYg8jtbrqJme06wz9jZkLcZ4LM2ikRWIXp/1tDTPhG3NAjABa3ycn
kYHTRahXtDT7SmxaGMB7CncS7trh7MCpOOmJc6uIEWIv61Qow2ry5L1sou6qCpVTIyIBmnS0fEOk
9aGz9C8aT4SkW67YEPRd5J6FYhvZtdXbPA7ZfWJBi+zRHYDD3viFuFJ7FFtiLr53jesey6x+mVc7
WWF276Urix0buH4Oy9Q824LpU7V+U/OXFkcY3g1casugv4rBn0I1+9GhGZV2O0Iu3EZDE28yXXzj
ZthdyCmZdhpTcUgcMSSithMvAs0TYl63Y3CJv06z4HVn2smlZAtYPH9DN9NuBxf4aYGGkcL3tPTp
TV/2SdD2mJ2r9K6KaCGE4wP/EiXO7AwQ8Niku3zMplBQCl2JSSgeGs+Oj5jLUJfSlR2x9U4P5VQs
ezjmSLx5YO+XfHJuhVRoDqzxKGcREZhudOPDKPqXAfrNQWtn+46hdUIqGv2LGPVH1hawjTetQV98
P0ejVd6w9bwrpfdZt7W9dZzFf8qoCnfQHXI0cWl0P1teerGT7qMSDdOatmSqmhofTqNssAxS7987
yUdeIYob2RTmOS4gruFs45TW4yJUpSio75Lifua2GyTTSh2siQwN3Wp+XwZyzxWh1KEaOAfTeZrf
/XlCJQMyrn1s5fRY6UR4xXAPLzU7fXThPnXpfWxHxtFq6InYlgiKvcImCqtbsvrY5IB/KBJ7vPBN
5V/7zP3Z1MxvY5Ot85h4BUMFjzw3bCe0VY1TlfD1RYo9isZ5sBn2NyuF31h5/J7Zl7s5+YUTBce9
wkWTP1Cjs6r6U1npycCzRWu/5xrSIrLGMswOU0JTfsmlh0IwqyfvkA8MQG4mIZ2HiQf2oyUjLpF8
5NRjUqXst85I5SlZSjK7IAnYnz1nP6hXfM3MYbXIFegnG/faIp+nSTBAldfAXE7tHGmg6rIqBiLZ
H2dcFpekGP4ve2e23LaVbuEn2ilsTBu4JTiL1GjLlm5QsuRgnmc8/flA292OkmNX7vsm6aq0TYkE
gf2vf61vpQ84HQ21qnv8/pRmcuG68xA+EYhpNr1uZnsZBeGLw6kfLrBTE7YMptY8BUYN8FeZJXLY
PMBs6Esm3cHo+36FNV7cldza/8wTk6M5ib7h3PZNczuNeqVh75sYnmeZl8EK8x1toWQVu08aFpiX
qtaiJ57JwPdYUp8bY85u/N5y/9TGsMMGnvrGvWDL/0lQ53WdaepATok1VWbYb1buWtSVhkbVYZ3q
0w0dBtHBgtOecbf1Gs4P0xqM9bJehOLL7g+k9GPXT9YJaSp9E7EW+8es0wnG2GU03NE8bj/yHHE3
JXuPbceKUyD+qNIHKyHD4FCD0n1NmGpMbkaB/0iwo1+SiRpX5RSK2yi2wfHpRlY/YRpPro20DAKu
4tZUnu5m88HtquTNbKvkvhywi1D8qTM35v6BhVW2piiYL2sJM+tmrgycCrSkAdDTyRDQ6qC72rlM
w+HJGqbhq++E1TNtG/02FzEDrghcONNjNYljLeP+lpwJKo7R1OLV1CY4IjiUSIriQdx3CsPuXomh
fHaDMaeOZ/a7QylbY1jHUQyP11VZ/Im2eNNcOYXR3scm2zfMWkZ1bbdleuA7h6eh07Vy8iaTCZ+f
3N0YqtaefLf1TajPWjLS5CRoP03N6N53S23HIkt5OSsLYBOOGe+4PSP4WpiwkbZ0dZqGtjpKGi3X
dmlCduu7Zp3S7LxSaTl7xKrNTaVZlYcpuN0QZnHNFbExANVNu27YhJ9S0XfYKH1ik6OKy0OjTHoG
szSH0lzHLWJh0FFRTdix+JxMeplvWrwxFQbcav5Kcsc4+xrbJ0O3v5hB6H5UYZ69FEFTbI0wpRSA
W7xPOWqfFMIjasMdkcWsdojIz53d2VTPgMLTfQk9LvD0wJpxxxuT8UUN7Ilbqhse3TYMaZrLqIVA
8mH1CRm62OPL4H8mIF+dPZ6y6d5J/Kr3Rj2UL70LgRIgc/nMdN7eWW7LKiwede0JcnfhbwJt6LiW
tKZbObmSb27FXmnjZ3YA462I/c9kHfKP09zazdbIw/Gqa7qJuVIILIQ1fHYg3ckhDpJbje68z1Wu
roOpXxdh1uM9E5vBAXyRT60LadLVrju1gBxduLfIaKV+g/dKrBwZqF0F/LZcWXVvfoHioZNZLcrg
kXpqxVouGxCXpQCn78kmgn6fBsE1XPt5MxCSO+hx2u9m02rXc2mk207TupNkA2h3dfY1jPWOTFln
K0JaSM+rvslJigO0/RjgSvhim4W/7QvNAHpNmKfxytrszqE+JoeAYxaxCd9C0onqIDZJgpnxG+we
1i0Mn/mqFGHKrcUYzgVro0+pP6YfEMjCnRZZgvnA7041Ox1UWNA1V0mduV6gcUbMhuDoYG5utnld
dXsncuF4gkxJPjeOwkLM3pgtQBhZcOvLUrc3bEXnq0TI8jhg/zjxG6Yn3YyiV3+O2m0WtS1BhKrf
Bq6RH6o0MNZUknwqJ1baHmyy+iVgQXNrVBXLMaDm3yBV/5uSfz8lO4Rvf2Hcyd+il5zY539xmQzJ
y5/5MSSbfyjXwqhNUBsDj0JL+T4jOw51fbCjbUgSl2H3J++O/ENZLqVOSkG3ti9h6B8zsvoDIyqB
Ss7E30brfzMjI6f8bUaG8MvfRnRTh8Xwnt/WMa1FcziKxRY8rskvpC9WTBgFF6oG+jac2daspmYi
wteJfvCSQJcnG+PjebZ92jIlTKoNTsv+TWFguZn9MX92tRjXcUDfJPE2bIHrsfC5hvM5f84swPka
5KebOhrsdhUzoZ1x1jizl8QZy58GYNEusp0HhcXtnurX/kbrX7Ki5jvDYPnY9lr9VCRRL7y5T/OZ
gaQcX3DNUF6OVw42pzACgn2ju7SOGy0EoE1pV8mXkG9xgGkhw2g5kYHYFDqN4gkrfe4AqdudEfl9
mnw1f2YrU9MatUkLRzFSGm5MJtGJjV1FCQkGFsL2JyNWvbPhgRWRwc5TKLmJoPt6sdU/Fa02X3fN
pHmdkdIy6zbDK5vA/MmETsK5FuLmFWup6m4q4+BFD6nviWK9ILndbXlAlR5RVM0bI4oIZmzXt2ih
hbsanLHCYJgNCipdlFw7RjbegUGat/BD11NTHJQaMM1DCKNjpCOmYE67QY/UraxoM4ScnL2OoPg5
jmXOLVh1thZt3D4Y09AQS2gaas0nY+/PpUyJgrDRs1rKb2LKzK6wvUf+YYZjdeznFAulFpAaYFVQ
qZOjZXru1YJ4rpGV3QMELE5SnSRWRvpVfqb02f/cCtZn5WDhu89dcRpmHTNKzmBfzJPpDaM/0/Yu
u09pMpWVt8QmT4NfV1csovo/XcwvhHSnViTrJmUD2Zt5uikxfcQwol1WaZLlzZlxtl6AxV3yUi3Z
0ACXubULogzhVyct9RzHGIwXm2hVrpLKCG5zh1LWPWptdB+WifFJD7Lozp0tXs3QVP0gSzw+XRWa
V1KPGRJCSnn2jMIB4lFRrvW2r/bDJPv7IMyIMuOOfxJ5UB8NLXO/YthQ9dbWWNOvpDE40WaoKvce
4Wce2JwHhfgcB4Z9G5oRExOULJGv3GZOXk26R1xEC51edm3O1q7ForfKZP6BzzH5yKwW3qoxbs4N
hdhHVeu9u5HFgIPJz03cIlOQrblcIcsYlbbkwopmLSr+uywC8wwEtaODt8jK6xg5NYK/lfEt/zzm
MjaxqAdAsnl7RhYJ5dHtI41/FbkM2nY1uv0U21gm6CBJTzkqGAU7eiPaeZ8NGJH8ntDBPe0gxnQM
AVHsq8G+lU7MkdVUs2cYDGcYzN2HMeXbs2nGLn3yfVa7MvU5PakOZ52XlHqBW6WxHghFdCVJTdl6
rTlVXsih8dpkvD612NZ2JjGBVVM0KXYL8s6uD7GbLCKXIt+Xe7/BC0X5d59+HC/jKkKFFt+qqJmZ
Y82SYf7BnJshY8RVdm5d67IS+6GrH02O0HcicZao9DIhG4zKFGLa52KZnrNljk6XibrssukOlUI/
dMu8XSyTtzM16d1QG9iPvs/l0daH+L9RJR8kSNAVUYiILUh4ndFd1i0Tvsao38dH1kz8TYaodt2i
BrjIAvaiD1gIBXGMiEWcbUVrWcNfs6gJi64Q4hglGI/WIBfVAZZXcxMhRFDkFKyHmXYVogbiHM/S
Z5e9dBsjYeSLlkEfPR/y9FY3NL/MvId+q13FFwFEuom21Zrw43hRR5BJHDWhlyCcWHxiG/S+e23R
VEhOPTL23dhDHN+2yC6sh1guTldq0WMyrXjoIyNbZaNqvWERbkhP9Wv9ouZgDXL2KpQJBh7Enu6b
7oMCVOFAOtZGc9Uu4tAEDmynL4KRbCZMOKauGBfdJDzWgTIjfr1yfmIF15xdEtBbe5ArurDMK3uR
pTSS8phhFqmKfOtuKX3ZmZx0QQgX8/V0UbeagoY7Z5G8qmly71lUsS7DyJLeJYs4Zrv1Gx2w2jGJ
Ank1Z261EQ3LJ8KUI6igPq9Q2Rwuvw+K5PAaqz4QvEWOo8YkI1kaTNdkkTFO9bL+OCfQ0IWF10R3
ozurFvSeLTJfjeqFkoL0hyEpe+hT37+zFmEQ1yZRlkKbQDX3Vy6zxzpZhMR09F/CRVrUF5FRX+TG
aBEe7UWCxI2eea1hH5tFnhxpGKWlTPtkLdIl4APOpvEIkM/mJ9UT9TowWtw7wlVAXcZpa9BWjqFd
pX/ajZ9fz8OmWcTSoTXRTetFQuUeQ3dOG6GrVqC17600pA1tkV2NRYClQIiSnbEJX82LPusWTeOp
pLvnIkyv3UJLb0n3sEZcpN1oEXmlvHCfzPUidx6yRQpOHcNdi26Rhwf5bPU152M6vx+yRUS2Fjm5
ZZG9bS4aM7fDRW/G5OPhqs6300WPpmxgJxeJWiDtHq1mmPa5E40Hu+URSXelfaC6zZbfKEH/Oyf/
7pzMiY0Vz/9/Tr56yZuXv+6Svv2R78dkFyQyTRSKvd+CU9QXXPx/il5AyWNvJ8Gy4FUBn/53l8TG
58e5mN0RSyW5YF9tao2xyP8bqLy5UFB+ApcQ2HZ5xGNoJwftUHLxztNegZRK42C0rzK9dKQHiEoS
IJcoK1SWNaJsK+zdyCIDeSGj8K+LfJIWjx4Kld313OLkf0gpTxMZKxybbfJGzGNt+nvH74iqdAZN
jitVpTMR4BDzvtpmNXrncN0SBAlHTqhqMD2zQWcMtm2TZvapN6vmNQmGu9aMFIITdVUeFY1qm2KJ
ZHFRBetSn6cH4cyzPM1tGIHhxHHHOLp4lecdU+KCdRhlSt6d2j+csHUTUYxWOV11iy89eajps31q
0tngrtRUUIPquo/LK9LeIQfmyf0sqAQveInJnjejm1JZiZYOIdSY6Kg3isi5Sarcfqo4iq6FWwzP
WEbiW1JIalt0E+4QLBbLqV/HFVoYEIQwaopyl8xZegBqHz7bjVV91huD47CEw/BauM5rOi6VifSw
4U3OpgP/8M99ZxvkuiNtD3tGbtrYcL2Rcxf/H8gAd11MRtPTpgmk3RD0SOclfo0VtYY1ARgfvt0g
rX6fizm77RCI6H3K0Bnqadix6Zvu3Eaf6CuLlxM3wRyBSCCifZjG0RvXg3UHAb/HT1vo4gb7HEsw
y67x242SY2ubfwhnRUU5OJbbAtnH63GCFJ5JbfDZtHr9k6AM21zZlW7cFGawdIuklJ+Q1T/0kZyv
Upwd/TrqzG4jdQo6RLi4ocgNbI3BmPcpXXk4wqj+eRZTVm6dKBU7LCDzwQz1+ZXjuDqE+NIeZm3y
rztRFaeCFFa2MynsuRm72YajvR17s9XtZPXj35xrzD48C2txuXjRt+qi6nuRUUn1XH7k7DKkMBi/
dR2x9ePBgdcf48WQNsO80ULk5dfLbeJ/d9Tf3FF1kz6LX91R8QiRGcr+Ij18/0P/vadSrCMVWHFI
5tRhgVT7zz3VIB1kU4KldE1HseA/fd/PG2r5L2DPSCrrSBI/7q/GHzY2FIxYvMjy55x/c3+1LJ4O
P99fL7B8uIEuqV9dIkEs/pefdvN1D/lgtJknFyvNGqLDtg37dksRsXOHdBvSaurSR7GiQXO2NjQT
d+Jj2FrxG35bnajsSDH0nHtZBjZ9R2WjUX/oQMPRPOxGnEa5Y5FRjNSTxTLxGEqso+0QAxEVlBVX
WhRlR4yJydZOXPbpfZyf4rKi3zIPy+LcE8GYiQ3KXTDMvRfMoV5uM+xk7lMfsdXaO1oY4PyvJvtz
P4ydczvpUJsYpsITc3xrbgy7x1PrYmiLXvpWhJ+7mgwtBUMF3RYlVCibGUYLubfTx6yZgIEud/1s
iBxjuE6/PRGcy+OB8xO/LmfcWi17L5T2ffvtiZJ9e77kloltfAUOESfGOmGN6F873x5NPqEoHlTR
lHU8tvAMcoLs+l5JT16+qsO3722CDsm3OMkbawbQEBfA5rNv9V72pesrd5ber/FbCVjozJUp1yST
TUQbm9Go9Mi96qFKVk5MZU/8Nvtkayxw+fTAWus+KCKTpyUbkZ2egIq7VhAxDtpAaAJHN45GVxgr
yBHIBktUKxSih0Jb6g+4xmG6Go0GWknmw51MB2tru+X0ouCQb/CPpt6UTMCNiqYizp4lJxBTxo6d
ZXbA8tvt2L9UuNLzgq74Pu0OcAU91YXJNsugyRogQW4sHcW8DyE32iaEcbO1Fj9lUOyb2fXv6mzI
Pvm5YGZKfPqLZtGXJLvtj0mRBXdGUDW3Q9iru5Td4VOY4f8MXAmwiwT8HddDsWV3GT2mzejfpjoA
AZy+AGuHriOfrNCpgIupa9dN/MewHI39GNriRoxLaILNDJ4EVRsn3/bTnYhFNK8lstj0WFaYcokY
kH+yZf7QEH6XTJZhMHpWXBmjh0EXbEExzfMhrzndrICrZJjb8vYwjHO9G9hNP1LKaly5s8JeKktr
+GC6DFnEUBiM1l1Sp3/KwbQhrShEKELreb5JdPawk9St2zqaMcoPFv1PivLvzlyS5aM6SaydLPGo
G81Xfo141wWBfiXHsdhz7OtWbTzxWdNeU9+FqZ0/1s1I27Cvyi+DHn6S7Dy8NnWcI580G62SEp6p
KZ3zPKXjnY/94pibY/0hkMb8uWMVmC0xJv01LmrtSsy5YnFUGerIstXdmnH5tSfOu5eWVm1Czvx8
gip+cIHHfdZsQKxTMkefjAFRzrMqJyGRlruwd/mG2aJlMa1g67hqaLdRaV8NRWx7Gc/aXVwb003u
5tZxGBsoVkBD4hIR0BU3Miapv+hHlFHaWnRLgcN4HNG+ag96PcgHucS8LWfE29higYbGMzHEwq4l
rUApGF2+K6XS0AuExozZDMcC2sPamCz90SRocdOK+mM01w9xKdTbaBXMQywrtIRsMdqzp5dz/IHm
HvMq49l/0lqkHDtufGIewcE1G3Wehrriq9E1D7RxUXVda8Wr3WkssweQKobvzl+qocAjKkExrdyM
mtYgDsyPAbFnD8qkzjo5qybYy25wJnfcPbWWwJya0gCUZHhASfnPLKDqIx3twUtjhNFXlpid1/TV
Se98XMv2MK7DvjM+6+GC0xFKd8jyDNNJRxRYm4k9sMludcE3zgy1a1mNYlsX7HvICTjFHV4H1lJl
K12SAqO87hvC2BisIq1f9i6Q4fSwHe8BD1BNzHnZgJzkO1+SIaNXvIs60vzEwrBt+GzSTAEMp+hz
66UjNHIFa6+2V1Mrie90Gv1LgcwRSkjoNLimTe2sFvTLJEVzrXC4TyTg2YmCNQUxQDjzAAiPs2Y5
SSBdUi+uOV4nXKJW4bXa+FrxzLuXg700LfmNx18KTTT2m4NF9HTXVuZ4Eq0eea5TOq9Q96w/C2G+
RWWln9A3m9YjZUWLgUtpcB1jns1Ech7G0Dm7RpKcIErb8SqeX0NNrxZXNqjxcfxYaPXDWM2a58ia
Td3CJmJXFm4jKS22WLN7h6mj2AhbJ01lslDeByK8TpM+2JpdBOUwr+WnqLLMXRxY2pbv+2s85859
pTeDFxIh/xAoyR0krFld0e28qWvfSs8WlCcyQHl/LnIt2IthpMjczuylvUUWd1y52ZogGx6pqajf
EOGJuesozxx7TOcxYLdw5Cec1vpQLgm2kt1hmljZLck/a5vqU3GQOQQQrdFGtG8tOgkUIVSFvNi1
3djh6xvbJ72uwzXeZbCGKnluG/klrkoacnk8nnryU6RBmyGEt1Jlq7wpEPyyUKdUb2z+lAZyIm6Y
7iHWbGvTm9TcFYGTbE2nwNBcCwglvWyuYbDSfeMaFT9FVN/0QWzITYwxf+nhyxxP1CH42u6qjmC/
WPnwpdbM9Bl3LzEnWonfMtaBm4mTOmYt5xmHydc6iZqDIXjcaypJ1pXF//Lh9K8mXMJ7gHXaQYtJ
LzMq6Fu9jZj1ShG/ujHm+zYNxa5F6MIe5qd3cZsaR72Joy0lZdWh40Cy6SpCnYZZNBBsOHkJbDy7
RA/7K3Ry0tbpWFbrVgqx1hapbCyLnr19k7+21hB5/OwfAPOwIp9Ce4/QW9Fdf55NKHu5mbEWKF19
C8DjtdLKu65z8lUe5QuOe95xixasu8VnGZmYXULagaNkJmSUAktMtAIjcX2nADq7TbWb8XqstAx4
I6Qppow2OcbUibFMJX9WuRjO7SgnBBSGJFfTYOub6dnIBECmZhx2qd1RnTjFwXoGIsom43aqo3Db
ZhpO/kKQk0qZ8PpOrpMIlGHTlsW6nct8DRYdv0HYyV3eG9BMhDKwkI1QS1yhPrQmMLA59gsPJuzX
yrfFxppiTOXkdIhslxYPsiTkeWB0dwMKx2uUTdVGCS6/ohF7m5a6O1v0oONatki9xXituWV3GLPa
3ePDEWSmZ+eYtdNdGlnPtF5//N8slbdRO/1mlkINWpgEv1Cn2N52r8n0lzXutz/0Y40LMoF7O4nI
H3PRjy2u+4elUKVcHX+xg8CLkPRjknL/kExxEgwD9aJLP9h/pykb6zTlqlwo2KAJNPy7CkSmtZ+H
KRq4qJ7Rl7IHKsDAFbwTqwzbCGsHmPCxl36Lc9iQ6m6Al4JekNNPUtGT3VMayE34UFbkAXGWOe59
X/TtHhNrvzMqCL3sITTN++lt/IcYA2flv/1o/HKoehrlHlQjvd8vj401WQlo9YPqiTrdcNLVbpzZ
RjdDcLKSleyKh0iawtxENdS8gM2XKHsSa6Pb+W/0+sm7hoKLqt6Uk8rUJ+51wTWuuqFF/GrkUwYI
FKBl2pdwD3tg8+sU5JR2wwLJaQQhx1Y4+yHx57WpJTnWaE6WJtajAuxE/TGEWbsv4OXE2NystMJE
2aTT2lQNiwtuHO7RqTu5rIrjzVi7H1DKwrojW+oYtyBnuo9uAZ6KI1XWr1DDUtbmQ1x9yaZMuzd9
oGIrphoCggwC3OEdklOSbkE9TI8kf1MIldDrALXiJb+DYLtOwINyjwMI6wdixxm7PlZBLHcdnZKv
kRbWNy685jUnuivSMseSVOwHlUcAF91x2qmma4nggVobRS/W1OSgXnFasK8rgNmg0sKtgOvIUr+T
xb0w3SfNiJuViMhAr+ckDT/rBJnUSuus4SzYT97hOMLuqsKJssyoH0+Bmh9gnKY39cRcRp9ATgZs
sGWwdRJhkqwljggzmencIqqNyqlF9r3mJOV9T4IVyI+T3Vo9EwfIfJhRZ5y9jfExDjDtjFJEN/Nc
bczJ17dUlQwfJhaMqzzE7zLa3FxJ2eTbUrXAzSVygNdAStlw5pf70aBvhyCTWBkzR/1RK0Ebze3g
ySqw73jXqyuwAfWWtkrtyOzgHl1pO6gCWgp1O9fSz5wmmw+FKuI/qwFBxUs6UT5UTTRjN9fHk9Fr
6i1Qob3FY1Vt2NMTdtehb0FfrTd6VLQwKcLe3MJ0xOxWJmX4knDZrwy9Hr2WK201o6Dda4o8C3ma
/soamm6D8c1ljRmmGxLHOQdMIvoUoRj3YZvBU9dmfRXw4OKSrjPlb4c+aSaP4dv+bPGXeMTj0SUd
t9sQBpQvehCHpEOn6atO++e5wvK6dsax3uO+xbjRxrH9hKo5Yyln8XbQezuu18VgTKE3tygLO9RM
tvLKahpnpVeZ0tnDc75baYY7rdMgDWaOS774YI3NgpkSaQumr5ZXLkQ0ixZhLT30RN+aVSbT8ERp
cQ4oG8qEQXPZ7Jl9vImbHh4EYgngZMc3X7F9DQQO06EmjVXmp4Unx9s3V8mZqmJ/axQuyXYnWr5d
oVNhz0K77Xe9nRpE+kFs3imwS9ZOJYV9SNr6oxsO8xdFH+HGHxrz4NowkiKboPm6lCACuBMOT304
OfWqdGywGlkw58spoE7wbZHOnnhS1+o5hyLdrS08xGTpSMv21zgbzMMosdStYEYwZ8q+DbPTVCgq
ANyp7w8FRCtQW9xEiNGT9yXZUNiAx6JAv8G0MNzZNedFkoRhj7yfN+kNmD9Cw7oDgHwo+oIhB9G2
X5f1bF/b3A6uspDcHnb3NHtEVK7ugfS1AIVTHR/iss8X1bLaV8uWP1r2/Qo5Ol3LLjLX2uIHsC/W
gHpxCfSzRdhZD8PbSB+Sj+XiJnAWX0EA2Iye2AE4y8V2YDVJ8hoHLdJbdDEmoKzZt000peIz0Ras
C+PiYtAvhgZ1MTcEcH7rrbl4HuoZqOyUyeEJVABOl8UbIVtcEiN2iVnYgqDl4qHQLnYKuq3Nq9Dt
460a+voB6DnGC1/a4Z20dP1T0WfRvZrGTO6bugluCYuVhGqgnqWersLmuZg0eCUmvmFrVy+OD3/x
foSVWwHLoiTo3OK6wYgkB4uGbcNhTZhMbYi+sjhJoBDycvAe+j+5v2PMEFAdK0UmnZoYXiJwtfmE
J9vYxpMBUSzRx0014GDh3jAe4sXVgu9Y8g8uOu7zfMkT9rlQJCG4rboZPgK5dqwxsYVLRl4MM2rS
F/NMg+7JwhpLTd8Sf2gd2758bHvhhEzuNaMuziFP76XaNKH9GhsId4Njll5SjcYjjojyELN4uXUp
OuRVs1cdawgXokVZNnLDCdohtxwrPQWT4+P6AagJrm8Fi2L0ApmJtaNB+ilLM76eLEBGJksY/sA8
6jc5X3Rm/MV8RGRJ8wD36GtQrjgQav5Bx5l4jhfzUq0b45VpVWbqAY3E3GS5/Wu/GJ7gOal1jcd6
t5xLvqSLMYqr1GK+vPilzIt3alpsVJQG44PkcVpfGc5ixbKMEM+VbIhbQZQXpIGwaLjGdkLYI/mK
bePRjts231SLqYtoEf6u6eL1CszF9xVfPGDtxQ/mhGpgL+ksZo2LY4zYbv0EDip55AjHxwVnwIz7
GwEG+n7S7AfESWsXX3xoBhT42cub0Dg3F6cay2L9xk8AUnPEKp6nxdLWLuY23F58XrAp8LyBpM2f
DaIO/J1Y4vTFHKddfHJqscw5VSNPDbczvkWLpS64uOs4d+G0Sx2izYg/evICie6pEdJeW5NEAYMa
Vx7RSYVa8a0TJss2MItel/pDvhGUM9/DMGqviyXPRelDhL1mCXktfmVU6iX71TXNfeAOPKxJnJ7B
4YRY8viKnSId0X/Nup4l/WBGBCyszMRLs6TM/CVvhpxSfXHcquzJ7wr3SEETUBOWDcCeSNC4m+kS
XquXHJtzibS5S7qNUYugW0kVPIQgMSuWpXHcnyo5M8cPl4hcfYnLcTypP+mXEF1vLIE6vL0kVi4x
OyoSidy5S/quj2ueBNhh82oPQMgc1+Pgh6TJCRwQUUkN54GqNXNdXIJ95pLxc+jWHlehu5AeCjuN
z3U4JSMCiMowPjnjY6271T3GLPVc+U68K2ycUisGQvzw0l/M0arKd1VTkxQQQQavNZQzjwzaVbpd
lJXyVicIkR2dEkRM0CloT7lmRiD8Au1AyVSqeXnRixUcE5sia1xkRntlO5Ne2N8O2f9bkf1mrMMu
pWNn/f/Huk9TkUV58PNU9/3PfJ/qpEaXPcZXZZM11ViV4dv9sSGTkv+EY4qRyvnm2/0RYKW+nkGG
ilJTmTZGAVZX35dkpoYJgXWzpjkG5l3yI/9mSfZuqvuegF5mRJ1Hm/u+7xVvARglHvTXXfYWNClZ
ly8/vRv/MJ298/7+7QUWD8TPO7jRSLNy5AX45hLZIlnnvpDjjlwvzN5+/VIW7+TPI+rizHAsQ+rU
dbkspLR3I+ok6T2xUlOeYyudKCqCqaZzgCdK4uhJZT038Rg4r2HhO62200pchZBgUwv+7hH4YBVk
b+TMHGD2QYco7KqdXwfabnLy7iuPJI6Ip67GLmFeaXY5H9LGjf0ajLk2XdmmKPwPU9VuYwg7x6aN
5W1cFbgJJh6Teevp+PJXPIFIpXEoFqjPCFtuu7ZSSCrJQ/UN0Gebea9wdxUOLbicKckE5Z1OlqaM
Pk5j2l2lUBBxUTHR0ezyjUeoWFiurdGerx2oGcOzKDQbFBIu0xVegBqBzzKNG2pRy/kqppRHPAya
ANy6MQgPuaL02oQYPHVxaQ3Y8PKJ/O+u8Zu7hnQp//zp4v1b8P1UdFHzN1P/tz/1Qw1y/sBixPba
NJxvi/L/3DcwMhFpB15AjbGkNI1bwH/0IHbuOlINSXlA7Sy/+T5+v3Ho/IUuIhVxelJaDFT/yr20
VMv//GWTkmMBaQN26+hL7P+X//7TF5tqo6ErIlkfLB53zjqOhbzXwmo+s50ot0UVO9CASqV9aYTy
Pyhg9Icpy/2jqCMi50wNnkqVPHG15ruEWq/lJEq3hcOU/8EpM2YOgOi4L7XWZZMcjzcyF93XuCYa
AMg4fTT1qt2ULMsA/eDVoSQDmkyuq35dVxS5yUCrh12biXnP6cV+6PJu/A094p19i3eAHjndtHgb
FkTBe3pEzIiHvFWWBwbU8db2G5c28M719LZdfi9+7p8ukX+4lWKMePeOL3dozTBpDUOxf9+5qAsq
EIIkKQ+DqCkmDtIvjEq9F/m8B79+pXc37eU3U4Yuebig93E/fXfTnjtwRcwE6QEfe7PWOfQxf8Kv
gusZPUBHMndTGPv3v37Rf/j1FKwHVEYuJgcwyV8vKGDBOKWZWQ9sjgA8isWY2mi6stbdaAHI/Pev
ZqGLgohwQIy894YErjNEeRaDwtMGKznnNZ0mwEDkQNWT++HXr/W+DXV5P4E28SLKgBOBFeavv9oI
VSyE4BodqnBMDc8IUQDXVZUVa6eWpI7Bt950iICnoUn6PYAGulOixv5dVdrf32GeiQ5IUQ0dWXFT
+euPAaZC4dJgzqw6AORrxoOG3iPf/+DaJJB/8wb//RqyOO1wwHeoKTaxVv71xWrkNaOt7ZhM5zzf
FU7drFvBN5hkYhKCGYt4bKmcRflvXveffkllS0ppbBshXXt3X0qCGAK5DcQ6H6qeUZ5PczC6gZVJ
BMDv1x/su9filMHfj7+IrBR3Qe19t54ZiUH2oRsdIlRATNkT9pRSq6erYBqMj79+rXf328trcUrj
rYTWY1ry3YcXZy3KBhPfYZ7mQa4LZoxjGhn9d3vx/9vm/l5MX34njMtL6eLlctX/+rl1Nr4Juxgj
SIj0ZTMDoUKszIlNmN8b1kOIrYmUBoEP9lzIzv4GfSY8//p3fXftLL+r5FS8VNkqHYT0u2sHSSdh
G9zyM1BviqzWV6iUswjOvjFlR1akiGC2Mf3mfn55C3/y4y4vq3MLAuYEVIZ8+rtLpw9sZkJfwamC
c/CpBnh2xMQ2XZcYPXe1UeZ4BkQxkhKfxoCF6UAd3WGw8/GNOHhVv5a9mx0TPycIsZhyfRLTVB/H
4u7X784//ZyWthjbFKcDEDbv3p7EMvxhVkLsNUPZX6apM2uvZ+XKR5Tag43jFOGGk6dQkE2KITlD
tIN0ZeRUundJYV4R4PUPZL+Ma1fYjdoCyS1i8rau6ne//ln/ftU6lE8aHM0h9VDj+e5HxViCfJgO
EYRQjd6bhJhxguLRtJtfv87fv4lQfvjI0C44if+tjzgSOm+KaKL/Y+/MluNGtiz7RTDD6ABeYx4Y
HMRBpF5gpERinh2Aw7++Fnir2jKZ2ZJVP/fjtasMMBAOh59z9l6bRPda34XpwvSv8to7I4L17n9/
ra/bOeskMEEI2bwdPSZsX1nkc9B7vasytvO6I9sriMaNWSBoxXGU7/AmxOtGQRS2BuW/GGUV72mE
yD/cWMv8Wu4sf4aDftzEVskPHXwdexUdKi+eDELvhqmbj35hs5nKUDnNMUZceIeO2nzz0L+AQBs+
cwMSMqzSFPADKgnTO/dkwJ7CYZhv5Rjaw6pvMxKKWujgsGfzUl+KpCdaCvDbN1040ceINecpmAt9
0QXsslXYduLeb0lFQYXgncfOZMPty8n+5qE+vBdJYx4kdqKrBAv2sIFkbgD5nfTdHEfOsCpoU9+U
MDpei2g23zSpEBdU79grQ1VFHySdeM2pKlvyeaqxiQ5YA92eAQuBVQjGuuWMUMN6WFWt7b4m0BV+
AkNzHifHadqVij6TZlTkfhSjdKdNKfEaAaTLkguOuPLkemwtVjemb0PC5l33sffBPCqwMYZxbKSJ
Y8IVn9IwHkB2CnePNIfDUOUT2hH4sO0qZCovQTt1wbfaQjgH+qOMSYmrQy6PjcuAcNOzd2KL9180
vqWNytEz+ct/29MewwzqQTNt06mfVn5aGA9h7cwX3jPFU9vO083n7Y3EJLd2lZh3jUOlCPET6dYx
smKB6gKsySXHCQ9FVicZ86nP3QpFybmTmh0qIJLlR1XnrMjaVETGF4WlD4imuHczzMp+3Zlm8gA8
1f0+dCaMcJvk1tsFhEBUu8vnTEmaXITE6tW3foqwJAS7HnXdHMN9CwuCEj1eCngMncegGvFCGTb3
tnTs9K2IS3uH7Md9pTmNLIqHBgVTlJb6zptoj1N4kvJkjq26SWdk4RvftdIfhZBsTdpamDooQbbO
sg7LBVMVDNkEwDAhPWejlcUBxiprvavGgrWE2lNf4omcLhjtKRJD2Y/6rvQMxs0LtmQzJD2ciIwv
wOwomzRcCxbYFg9a85pMscmENmD1ermrbrsoQUs4wJImy602HkSSc8PM2J0vsVFkpzwotqGmvY/b
Qt0QItjuoLhYMKsAmrd95JExWHd3MfaIoxl01ZmRq4uUqiBm0u7Ni+VU+jS0pjigp4seYumTEbs4
SkWVX2auRjyb59+U2t/nKfEzLemXyKgy5yXAJLsCPb0361kyPCZRyTSUZlRh22sLQfIuVFizIE7A
y+Su2k9hOt6kcTWfMivcJUnr7KYhqUEtO8xojQH9WzmFK/D52anICcWGZ1pAvVgCAnqXYbnnvnRM
qi/0E246BZAGT4IiQiogkSu0nZ3Xpo8iEggp+8Y+035Zm6TKIJ2rpn0eItbLNbnsiTYFDgQCTtMw
+dYn8xvghtdmMPptZpQknNP5WDJs7KNhBs/t4gvDY9GgvFUBb7WhsX+UjnvScOIgnqXXKHvwqbni
YRyjc1358bPEl7JNiMk5JUXJBuwuZ6TSnq9F6jgX7IftnZUW/ckYQSaT5n2V++0cEB1bgkwKAVW3
dty/tzBID7NVA9khfCWCcBQ72cmq3dpaRUbsXw1ewR9UF0RoMCWy9aOnXWenpgIusxzt8Cwtq73h
oOQmm0ks43bfLIhFm+NHBh3T/Vx7nB9q9Kbk/I56vuS+dhZUhr9zc3IfsjLtjqoQcIDbsOSinKIv
dKG+Bd40ffOned46ehi2y/vHWzHxAnGPeK+87SWjBJ8nrTgidOAoYOdgg7qZs0geMOLOK9GvEZKl
bEXVtALkwRsBfaF/aDJKH3wg+abkmLcjtYgOOUppFNeNXd70pnzyCw13nvH8tdtqkFkxrvVsIwUg
iyV8qzwbZK7tqiz3bk3AJjvhD/F3mcXT2RnURqbRdMqmwaT3BZD8h5MpELMemTXE17NPHquwS05O
y7md+TRsGD2WLMyMswMlQmHcEf7kb8u5g5hKmIZZyvFlcKvgQ7oqR9xVWfaDXXr+dzXpUO9NYoQx
oU6EBtUD5zGSQg4NUtJrZbQCzBnzbaeuG3JmWx/I8RQeQmWRWdNYQ/fe2EGwbaZsPrXSufglcsww
6iB1IVy+YvpUcYSpfOyzRXhHM46QsMiJHIr/LHFpU3TWg5HCf7dkEZ74UbEhexCEeAkXROgYo/tT
abO/87GqH1Vb9ZughqoaCJaAyCqMyOQc7ScQdDsRSGDv0G8ec2z3t7HsHdTXVnaMsta+cAfTjQMe
pR0jaz96Hgs7rC6C9sE6KkP7Niar/cBM0LkKY5zk+Bi8+8hrLfLDpnpfmLrZFboPXocF5cJG067H
HmnAOpB1B0kdoPE+GSsbkz5W8FXcR2BUTOVco+Ktb0wNbpmmNYL3pieUbDvnRu3CFxiLfZFX/ouX
C5o4dRufleEFNexatzjORji/S8rxK+lMw510DcjIThMixEEFwzudmCoCP+vRu6Zix6+FWYkCwKpP
hTVLni7ZXKasLG4b4cmboFfq4LSEHK7TMDiUKM6PU4AoEXkSqbgQsS7ZgGnKjcfyLa+YuW4RwLbf
3dgjIlxk+UfolaAYGx8hB/5deknEcDz55J2WfPS2a2uGjqFHBOO6j/T4ajLIxH5u9KTPNANn2cAy
Jal9FfTYDHwBMHO0izUaHm9It3lp/5yMkGwCKLUop0On31ZxPCPuHeo336rGk1YZM9KQdyBjG70n
nzPaMK6Xt5Y59m8ZGvxT1ha8NdgEujwmhs0Fxu09SnOo/P6nIIQMcrtbqeQjMbCuy7QviMtyZUWZ
JI2PViTVRWFxuE4nb3iEMTe+uV0avMRDCJFoYSRAE4Lez7jMm8vCL0mcKquDIdz5hEoD/mMpxu8I
ldNrMy/JiAhGyA5Zu+gdyKhcc4pCJmXP/kYWLV0Nu40AXxXK4a+S6uBWmXlxp7TYFPnEO4MB+Fyu
i2EQ8BvzOhlWJCyogxVN8mR1UB02iB9rtrMZ5nLgZDZRI5494NFRvEYsukOLOyJk9+m18ZAWobkL
Ca3aNrwU9o7ZyFOj0+FnQ220zFQLcllK7kIXpD8i2u+gozjiXBK/scl8QTNzEKYTPaF6d14NuzE+
bARjV1GAz9qrdEZYEB+rXBU+WlU6rmy02z+ixk05TprhGt3OIwfjaCsjAbMhb78J5ylG6QETj+01
KiIWVflkepW5Mgki8EeVrzK/0vTjg52LTIGgFUiAbm6WK8XhZOMTkUsOJZregBobgaeLBlSlbyQz
J4RiUyeDa5A1r8qFd27Yu0FM78DYwj21vLtuGTXucivw13kp0OOWxB0hHl6V3rDDr4ROGn/Nxo9Y
zmamrPPskeGorVfd8MFJPQR7e27zFSG4xR6EiLpvEWuv7SGIL1k1fhgNw8lWE5cjxtE+pTR2tz3d
rFPazcUhNGkP2GqceZ67YU+8o/mWI55n4uHy1uEgdAII4QJeSVsS6WWPa0BlV7ml9jl5AiuHA9ea
olpgpFQ3E2JGSHVKHLwOzLxZImft2wbgc0CYLkfBW2X15koWGb5E2b/Lzqi3jVHrvSXShXAS/uhm
4hi7GUuFRNm+0oxLgXPAUzVeU+HuamT5nFPCaxgQp9JoX6ZS3wx5dJK1eMSbcmHLpWFUpExTO/2R
tfGTFYKtJDOu4TQN55IwIzPFxwnSa+VLkqY8s1/rbvFZGpb3WC8JRmZtv6nQ4mBlxGzyiX0sRCc3
oY3CfWjQLfnTaojFz3IkTMEu6WpjnqciiHHufNeO/qkAZYuMbOfWL9JpPYdz/N3EJgmYuwvyE6o/
sDnzvALY6ewtvR3b9FmNCriaTK689tEMxgE5YRtukz699504OfhTSPpsOw7Pht0FWwUJ/DBSw1wN
QwdrisQXHvPZPHlO6j+L3q0YQ7fk9/XJ1B3TVtAenbKlnPDDRO3ryeIIjbLJhawn9BWoQKPbJaX6
5kE2/WUKwLUnoylo6KzysA/MvT3ak3NGM0NqEd7+UeFY6pbPs9s8e51pOk80LlCYHuNSsqL9KUc0
QlfThZGPJN3awfsntSjnPHTwncE3ruUgIYH1pO+CTAxpmop+ouQkp2vdDXb0EsREiPeR4AHkqowY
PJRTHUcRCqmNHdSURTHLftjUbC/0mZaZxlwP0csQUyBERkuNURMwiuFIERs6UgK30XwxyIJZQ74x
tnJuhXmdGV46bmU4U3YMPtvS1GfOmjgrqhOCtcb3TNvTTSZmwFtWrncEVOenhOzml7g0aHLHrm99
s3pPbgUAMxI8NXJaUmuEd8G1uJS8oazndeI1PRjgkaNDYQhz31hOd+Rsz0eTTGEAXaFAR9SBMNe3
fOorCEg/RFHam7Tj+Iecvbn1Okx11lgdgSFmCPPq7mjnPS/S3olOTuLRFMCffSGehB7BMqn5vN7Y
uMZ2Rm92jITDzIa8GOxLbvn8+U8IOQLZISj7az8L977n6QPks+a1L0EZr1Vn0yUInOlm0hx7DIpN
Zj26EliluJlYtj0iumS7+2wUk6LFGEVhgsAjBn+vTBv43GkSAt/nTyyTKT8BZ632ovT673Uq+QJk
OZYIJJW+62m83HppYT2Xg8mvXuUmf/OkumPnVeQKqyW+HGb+QeeDvqhmnvEgmHwvAhWjh8aj7GtH
PJprlPftnqMatf0wFKTLE0Y/5aRH0BWheclmMJA2Gpm48Wt39AgDjkifZP2b2rgK67h5pfmXEruY
0VEM9Dnsuh6MfRFKWjK4/6G1xbreSUCb7lXRSvPaQ0Z2rjPNhEx7NK8ijSlhWXdGWundmPELOBok
ClRifZfg0aRMImeCvy9pog8DyQlNEcqsu2JY7kmBAxBhub7jt1LXtT9y22hSrpdwoItdWRUuRlpx
/VDpiw9x9UYXE+nwdap3wmUFSJdR8Soclw/Ej3gf26EBVnkMiA1CFSh9vFSq8s1nXA+a7Da3O/rV
8v/WkrtlCcWCtRx/vox8EA6ULvQ27WSYz4nluVDjJQFwac+6TwyO1xahKDyRS8FP5kP0oS2XplLG
anI0Hwqmt36llViBpavs8VHaOOFDi/DzkeTv1ygx1e2MQhabXMIj7DoDs8lJRqeoserX3O+RkmLz
ciCNjYWJ1qiIrG8UB3zDCmH5kg2BfW4doHjah1VqX1G3dN9luNzekvyJ01Bzm8a+tr9NuYQVtTyw
dp8nv0pdNq+QKrm0GvrxRDpFdJS0XFE7BEb/qkExxiYdOdny34UdWSFsvm+D14/rxCLRqJHNz8oM
wjVG42Dfj110MiW/jpQRD7viCYyGOaRjUWHh6ka5jWsxXxxa4JemHKMXTJJwD7TQ1rmIbeumckR0
8oolD1RS+Xibiu1wb2LfJsW84yeGcxyup4bWHK4nWgrwMkiUCpAEr6ZwYJX42nyLkVC8Moo0gOEm
mMd83GLRpqY6RTfM/hi63Cn4M8aDpiD48KOGLxzKZQ12JkEzvtdEJ6SpuMECmC8HwyebnCwCyr5A
JON7IKiTiUOx1HNPKMkPNQZMoXoO5B2t1CbeJhwreDNCxryy+rG6Jpp3eEjNKfjVjG70kdYKz4EH
8Jb4O95Mbjq1u9nz55jYFVbAYsx8yYRHrHwPLgmDYk2De1M0aT3/p/38/4UOfxQ6BC4t/f+7POry
mlbvfxVHMddZ/ov/FjkIiCqOICbDsReS/1/xAT7aKNrsdLnRTHFupeP/P+IoMgG8gEa/jwkrIG8Y
qcX/iKOQP3g+hBfGyCEDAeQP/wtCy9ehAtMECmY+h1kUnhfxZR40h8AWCYZDQRCh/9x684WUp7/c
jT/P9JnlIfKAeMDxkT8ZJcXfp22MkJbDYagPY+RAXw1WpImsAsEt/T/3/P/hKssX/YtWo4tCpbyE
q/jVj974Uat36f1BMvDPe/X3L/JlPOmntUvpziUGjcPubk43rX77/bewsDTxh/51QhcEKOFdhjw2
K8NCs/b3L9IXBjTDse0OnlF1P2vGv9OWDcHecq7VBy8C5wifhd2zGHhF9+awU72jtoKKZz+rcdqn
Tdc92Yl2LJDHfbbppH8HDHz0cAur6SrssAzWUWduHKlGMPMRFkwg9AkN5iF7mJdWmp/5pD6LkfZ6
TbMgaADhBT0gR2s8DMD0MTQk8NeZT29yw08uxG7OoACHGj8h9l/RDRwHzMI/m3iUmA/5xC4n3pxc
zNYQ7N8F/guTxmhieHDT4nJQkPKghWOUGa4IctaPgFpR6jXYSDO//Sns0mfWWBKoZLTjpvc1FBa7
v3JzWz6qanbvJnhA8Cv8YlsTHcsxBy93MVjujmxBVLOqsS4BFf6WcDW1UtRx3xxf8iG8EK58neEe
x8060+/srUsEw/NQ0xxYx/WQ3EXZOP0MJZS6UTuEbolIgZAY8RNBEnifKhE9Jw1Kjg0JgfqR4aTn
AI2z3rtOGcWaMZr8MFqXJAqVFfKJjFfCPJWQ7t2IHYYYLW4wKo5LTZkuV8xl4FbOnsBMEEn42fQ5
cBBA9Iy8ym+w8cN6g2Too1vOjGss5e8SuR7jWjn8yrR6dLX9HgLsflE2+druYKTPMlckic00fldd
0mLKnNz35UQcrpKp1YesxR+UMdxTlA3EAQwmn1cq/o5M+fmpDL3+KSXWnMTy1j+XwZDwRp6ireN1
WKrQMd9NhZ0d48oZN2HXdDu8GOYeE4ymKSREvA5J9doGEJw5iBdBfPJo2h8opriArcW6bTOsv2WQ
HzIvG+/zWg/3son4x+RTsTDAyt0VMapwIp/yE2NtiG5GPWxHJsc3QcjtJLrVijYlvdyNzd55LSei
SI8ZY5pdU0D0Adedkj0xdJyGMNHEDOdS8z6rhlzh10+9G7uwsn0So4S03C56i3wP/5yyjejankJ6
zHnCSGtxSACTp9F3MydEws3xLNbwy93T3HTtVWssxU2px6MIG3EbGY6xR9Dv3PpWGV9NrkcQVsv5
CMcFsnVvNJm+0IA4tp3E5jCoQq2Bl0Rvkgkk7q+pJscdIMu+Zhz04WZ58EF7S657wHnnzrfCtyQ0
rW08tC6wTjDyEPVkSD84XO5HZOZYIbT6VTCryYAGqGKbxMwq0Y/OhxIi7hVoaPeB2kFvozmA3ucY
nrUP/Krbe9iJngM7GjHweMmdWbYmfmm7EIsbnGO9n440auly/rTyXp5afLvX0Oan147c4Us1xOEN
Fh/ngSKAmRI2KGNLcox3nux4vsUPrndYXYJbINPV65x40103z+pWZYm8Vn0rrizFcbpvQ++cN1Rh
VuuNa9is4r7BfILDeNYHTtjBuPZMmwu01rJ5FTbY7k6bfrWCnpn7q0oIb8P8v8YpOJkfbipkuUqK
OiHTYMx+AbTpD4DT+y3pvv2epcHwErzvrpmbfi/rCfpn36Q92SsJFgrTbc/FJHC6JHWbPGhOfPGK
IEk+04sSsclCWGKMFPWJvzZ+sK1an0CqtGdmB/O68KK0XWeiIlTMK7PwGHBi2OE0EEwE4/DoEcq9
k9QSWxIbcCwSHo+TXhDqtqZLSJkbmnILLLI7/qeqTNpg3iHcN7Z+NERY54iHW4O/5z6oWgOPpEq6
rYqufZtaKdnGxvyuqF0a3ih515Jd4AdwfU2GpO8f4AWO78DH9M5GdXL+rJmmOgXSQoQBxW1eW28Y
2xg4FpzdP/qQCfmMP/wG0RAF71Ji2ZXw7jHK0VVQjESxzPhLFYyiEa6+3I5BznGUNfzJ2IVNYcXL
ZGa5JLM/Oit0YUa88DZnd6dYGmu57L8TXd5vOPvyT93OMbYpauHLZzlv97H9ja4wR183qZ/GtCz3
MhyqPRV5tE21ZeKKNcv11NLGNNVy2K+HV3zE8hj4IsgxT5FPGES5ecCCk7N5duN1SNOZajXxjG1n
helF5DifLINUO1AttTrU9PZtsC6Wc8SyMxLJF4zlKestagGfPEdYCZnWB1k1/MEmYuUD+Yfi3sLl
9/w5qU3dpTPzKef0mqDa+5OgeNHNwGVTmiQnpYN+ZUF7ofXUGg9EYCDpMhQ/feCAoqt92iBD4SS/
PivCfKlWy05458iqkWUKYgBxLGIDIsk92HMa7Y5OY+RPU4g9sqpa+hDt4rWHHMsMhM5C/Nk/Wl52
fcgExMjopUyCbo9jUTrVIeOYhJ7SrUO4yatVtqS+NCxwfDj5SbOi14i45Jb5UfWe8Q4/MvftH/pc
6CcWUnwrEiO+kdkQknrCGEe4iEfTrqn2QeeIZ8mBVK4G0l6Jdqri+T+Vnx0Z6lbKXN9pwxzfxyoy
HsslF0JL9OabwBD//Tvl6Lk/ZpM/VrnOtDPdxrqmH2I8xFHOJkNI5ImIaJhvnkpfqqEP7sJ6JFAG
U+53Z5jd72NnuN8zr5mveVOJXdImxmYmSHZDb4EeIoFFFx0b3TcI/dXW7sDyAb5W1593XXpM5us+
CG7shfEKLIMXX5+dQZ9YBO7AqKtIDVjXLMQdcBnz7DND2VYhubflLJ1tA4WYdpFJThIOyfk0UEff
RIEVHxn5M3b5XMs6sFD5GG7AuSJwzxrq5jUAiWjLGCMG0YkdcEXdl9+YbVYeif4Qz2GEq1NGSOtg
sfIyxDzEz68RLOd9TcehpQEWA9kg/3Ompve0tbQlkDzks7pmU5iPNnnjN36nNSgoD8InE+/5iagi
jxgrPWVbPcwAL6ycDIhwzgBT+9kN7FWsUQ7NL3co6SFOGiO1P9FX7Bp10/o9r24SHuTeb2taE0qX
fr4Bohih3reIs+DdNB4BfZAIFrk9AzBJIOm68qv6YUCJthvYcDgDMRA6wwmQNy1tQ9qeAqJYQgNn
noD9Q5GYdsh9iSMlQ9d46E2TChvbIidm1+lXBUCRtRn3PJrSIxhTf2ozg5HMTzxZdCGsqngyabVu
y4bOlBOm1tunGMItGXC702S+wdClgaLS2lkZUEFOCVPjbYo6lCkXep8u9/2TmNx5G8i5g2Bs0ypx
5hGhTBkKLFRyRMkDHsXRd6ZgHILJraB3FPE/HuAXxXIV0tm5GqSRrSP+6S0EFIDWtQa91MOU3qem
o4/418h6J4pw+UY3fqLsNc2P5NrSqd2vh7S8t1UOYiVgZKmbT4pJLckn8Wb7x1zNAfnOVXvvjA5i
uTw1zkzMbgeQACtAsAkWOeM9aIFMWm717AyMwgryVa74GvmmMGt2Ti/uu10QdNMWVJG9jyLmRgSe
yDPinw55WGv6W06ICYMqcrBlMt/a9CLWeS/Kn35l/KTnd6PgUu5sNZXLua09Yi8kAEunD1Od6HUX
GPGB3WrPjRjXCFKrTcwcnzlY8GxUqN5BVNZM5/o22gQTkKzcYeBgBpDQSO8ANu83fF+srC6nKpsU
26BhRNiQ51gl8RocT7UVaYGys3bGAUhllvyIh9E75PA8gXIN5JySWF7fN+jiNbZWBFGr0k7OSSaa
26rKm2cjzqsVb/USc2HDMG70UYhZyGRA5DT5cRhnTQZ1mO8hYA8HI4FWsCH70oWP0+nbLBbdfUNo
7BYFgM/8T3XlRmghtsrvonXUET1dwGnfjW1OSW4W6Ql0wUyDXZJd1+nyTAynQ1+38MJuM9WxMzEi
GlSen/vqjeO99aJEFVyscJDmurO9+m5sMyCldj1Mt5GG+CNnusyZkfQ7GSCJsMuS3I4c3y42x45f
cYN9881N3HZaj4meb1xLZneVJ+vdgCXiRXScr1bKSuzrOQjlC8QD/0T0afU9mn0zghI3OE/m8oYU
VtnQ8g6Sg6qq4ZykgXtJyl5+x5zvHZRsp1PhxeOZEOz8p3QzpAaJxY9LzGF0O/pN+avsfXM9Cst9
ZZhS48wFrHCyQGxedZJ2usAvQLNzrFxq3R7O52xI99Gp/HLLfN+ij40t9ro25vd89INnu/Yrhvqa
ZLq40DvEWtk6G2FBccbTjFISIspXA8DqjZg7drKsyA6ktZGOJ3z4SAVv29NMVYGM1NGQTwPyDRu9
wYn6YBTMpSpJTha7/IrGTUBaLHOr3Gq+d07mEKRCX5epsd/iiOdkvK9DUT6Ab6qvpC7sI7gnjlLb
uEQfgcE3b4KByLZ+MsoD5ZIw3mdJ6tZq6ryjNYjgSRrw+qk7gz1VzLSyjTR6pBsqr3gpFrccFbNX
ZTn1Y9bm7XMzkO+3bwyMsKs0atMcSMFCj4b4Dv3HkNUdBMypWn/2KIFEklUxdFN2Gu3hHbwSMzza
O1cqDKqzw8n2Z9WYAnIqQWzCyK91PYI36B2j2EskR2umQvVVPhINhnyykddM8eNriG5ilblF1m9x
uLUIfgT6tC6zv/H8/5KkeK0G3mnhasC6y7RUklZe98NtjpkCoFCRPKmud3hxwXmyqjK66xunfnOM
5oeb9dMPVFH3ekDPtfPpu24MWq77rNXs7I3hEIG2BHItDLo1+rDum2eCkVwDwtuJZDB3ehwJJGPF
Yxyv3T1QJZ8wPgIAViQIA4GFl32AHR+/0YLGrsZOuPIcA1pHrPwHSh3eJygUfyxBx5smDr+7iqx4
s7HsPZ9iI5pv5b2bur/8IgBtVcsZV0s0EpSI+IX7NmeXkHCw/dj53LE6CPbQShRRUyE3xYn87/6Y
uA/pWIPeGFIe2C7E611xpoIeFe48wp+kk9i31CBPbMj5jWq0OLVIzFZykmLbFFX0Woe5Xhc0xoml
c7JrQVQELmWDKsbuON0CmGnX8ThV3yoQG5xwjbuyLOVRBnN5F6WGuPVbMwaZIuxrKxmdDyuGzFln
U7PthpQs4ioZbipPJVeFl3v3boO0CSWjjozhJavgayR5vy/ZbrdjQzC6lsq8i6JBHIoJVXEt83o/
Y3q/l+y4q0Hhqg/h8e27YniIB8jvyjfFyYnreS+n7kcSVv4hixPeWBwEiRbzjQNxy+MVRzmwhS6i
jT5uc86/dfUxyGxMN4Vs3hzEvy99IAkHI6g6yd9qM8vMs9UM0TmYFlyjgebOjXv7YbANNa/JC/bC
67Qg2XNdVy2Z305XN96urZSmNEs6xutzVzxUZUj+lTeH+yRd1Py0sB6QQb4rhcjQBBTMPNrpTqae
fvoeVYNX2CU0No8iqUVRoC3GZ2UaQjzrrYOBMOXE8+89+6V4KlHUrN2ojg+cCosN7Y6fvZ0yyTVn
QlYz3q/zNB0GJV59ShBFxp3XmXecoQSdM9pExhBYP92wmM5u7Tlb0To0UvKqu4kj6zCGRvSRCMe7
Bbht3/Uq/GiVazzFPHqPtu2DffP6umU+1qlo0wfWEtLi1XszVAO8lrbaCBkD/keU/Aejwj+7oBj4
fE/g5gutAGfx37ugAjoHwctBd5igyq1Gg2Zc2tSsyXZPPV7+QWn+j85usFwttBDxg+sVX00uvvKU
hN/QHeaawFYTnTQ0Ml9ti7gpNr/v8P7bpbCb4Yj2bA9f3ReflNmLhvajxRdLgvhBZS6vjGy0LqYk
nPP3l/pqMSE/CWcbtj08dSFX/HIPscqaM9nX3aHqquEqL+QSVJ9x5GTxrtpYlft6ZHH9/qL/9v0W
ErFDHw6M1deLEv0LUZ04lMNMbOeK2HXe0h0tO2pS9w/f76uNZ/l+PNCMMHzsgq74citzNn/dNEZ3
IBPQWdCVxJMbbZAdc5uOJrEJ7W0zW3QQC51chkKpP1x/6cT/vVPP9R0iqXCiLjOaL536OXabxMzj
/hCUBg34ii8o2unx9/dz+RJfL+Jg4Q4WXxuWDPvvD4KyeF3I0O4OUtK69aeEU0TsO9F1YZv6oGdb
rcYhVNuaDNDd7y/9b+vHsbEqmiHDG2uZaf11pIL/XFmx7XRLk2RGg+ZJkLRLI9g3zCWANuYENick
r/3+sv/26DuuydmcXxZwBqOvv17W6UNR+ymX9dusOFnl+ChQnBxiwaoNfdbv7y/3bwsWozDeGvDd
AV7jv18u7lrTQg/E5XrpPbR2u6f4B1ET+eYfdpl/mGqWBQuHwHapwNlovpr3Q63/+7cUeph+9p9r
c46GX0qyNg0ypfBLoHcRgTZfE4LsDnKiFf/7r/tvixYUg/CF6+BB/cdD4ztS4wXo0OXH7p0HRejS
xGyxv7/Kv91UfsJlfGUy+PzqrnXxpAxuydbzuQuMZNCgLp7VyoIm/Iff79++kItwALoEXXlMin//
/XI1VAsrgA11aqFZTfUPEdQ/fv91/nSNLzsp8YK24EXdHRBRE9jW7d2g/JPjbXmavj7orD+waSxF
j2y6v3+PMMyCqbNld2g4u17iwbRPNmkYkBCm9BmWN0uyGk1yqBizQH4xjxj4/rSj/fPRg7eB5QrN
ohnSuviyo7leg3ywDttDbJHnJOGxrScrbwn8BHuKtrja/G/v6yffA9iH7eHF/vrstZRVAXTq9lBW
igOKmO9Aqvl/OEr8cy06zNBBStLaBTeykAT+up+EsSWJIyraQyoJDuqbOl3jKbjyM2YZv/86/3Il
vkTgwTOx8DX5X5ZJ2KepnuegPrC1oVoy+jPBdg9Nlz39/jr/8jNZvgtphd+KneszjPAvs27RlLkT
dn590Km57YpXIyjWWV4tgqvT76/0T+5kAOTyL5f68o6lRyUW5wZWoTGkcV+5JPBO/n9CzLBkjZV+
nD3OYwA/o27TujLYmKSfvAhK1q3UBMhmTH/3dk8brewApTA4QvDlBVlzkg55ifGU6EtUUAe6bQXS
fBEkUlfJbWGTqnfyx0JdT/VAB3vGt7umzQbmTaT6D1+UXJuvjx9vcOZ6Jg8AoOmvL7ui+C/2zmQ7
biTLtr9S682RC30zqIm3cNJFihRFipxgUQ3RA4bWYPj62mBF1pOc/sgXMa5BZq6IDAUcBmuu3XvP
PrNmBdXAmHZJ/xBgK31ljP6tct30uZwH72IoCuqnBZ1IaN13HgZ71Kzdg4suKHWozBoLEtkcvpYR
F6PehRFdl7dCAl2PSCyVdd5sO5rEV02KLXTUZhZ9mLKmR2s0vQuo9MN6sms7pLYtN32PRo/nZBtS
eN4xB6bPBwbdNLFfb4JYrmcvnjY43BUBo2UuTO+50797S2PX+zPgzFwz0fPTwcGZRci/BAm/zbWo
HAG3tIpxybTuOOKQceCrT2GctTTJY/Uow/cf+DbgsSAJ4U+EggeCx2nAgyZhHKUo6zDwe1iBaV1u
G5BSR9cS/T7y4/6YkHq9g/kYX77/5DPLl2hOXxiz9Ky8uXO0GPJqyeBWqAeV+ja6eGY11HvuEKpn
v95/1JmXpMGD3YhcB/85DR2pi3LfVEMVlmNLVQRBR0u6Fh9mpCbtwe3y1F93FNjx1zFJ2r//8DPv
SVxlgWp69Yg6lZ57+KeRdqqqsIvqdN/I6i5etN5+ptq/HQbYyyZlIODlegVX+8/JQw6oixGOFiGS
owelKrkx/WlgFVnW356mhBs0TNEYxe3jjV5cwF4d4nEo6CsY5GZ2Sbxa2bWUjgse2/35dwfQ1i1e
DMcXCAyAr/58rTgtRGUXDa/llFaInLeqqSFS0+mKxQj5/Ye9XYA8jNCG0MChoH16fDX0hiTuUPJm
mn2XWNoD8rSf2WTd0RD4QQyyrOU/QxAexbXU5dXY81/V2L+t9RKTAVVpNGIgS9xa5EqD2sHWsRhn
eJuoeRbXgvdf7vwT4f/QxrYsutPjxRaejyA5DxtjvMgD8Vwr485qsSgcYLNA2DWP7z/w7dy3dQJv
NOW49fLEkxnpQFtBfevloTYMF6oYQ9vOr1NX/+AxbwPG5TFcDa0FMAF37M8ZMvr6lOLqnoejZi6C
cHCHYuJEfP9l3u4iPMXQCTZAObhvRPooZKYqy4w8bC0yWmR66CkdXrzKvcmanoI6bsBY3n6wSy6G
dG9mybJx0N+O080b3kFUzigAEpIJgYOOXRYBabhK5LSZB1Tp8TToVp2C4rxCMIctI0BhQdlL9/b9
1MQHYGDFThIWzcppbmnEhS4gBMHBEhY0iwiBtjj3a2ACeUAR6Hzw689+GMAfzDj8mu3TD0NLQoIt
EEuX7HS1zVSQXWgTec73P8zZWUZfJSkl2HpvQs7SbjhG4roIq96Dq1iPoZ4bd77XfxS1nPsUeEzS
VQl4gjvsn9PM8QqrEk3FRjQJi0aWKDlMrj7t3n+bczuQSwgAfoFLOWP351NmsEVTPGg5zUMoWkaP
YwoBID31XfGdfv2/H0VzZ6RNlCNjYSSd3lDRvruwYFmiKo9+LmPXpu5N2UYP77/VucWz4NQ9WnK5
GJxiO6Yur4y5ZvFgEuB/zpVBiS1yflJsqXdt7Pg/ZAFhh2zhX8S4/yd95tyeRyOpTVyNQeObSw+p
Uz2x7DEPsfS57isNBQVmVtm9yOYvLMT9+695bsJz7TGZ7AuB8XQ0gSHQQop0ORSxyPel63iYKqDK
fP8pb3gt8I90BtEzOY4s2pxP9tVgMKfBIeUe+oPU71NMVHYaHcerKLPGgtqcJ79mhl+vh7ofrxtV
5VdO4Vl7aImwuhGxUVjOxMZo0Jijz6AfYxiyj263xtmR97hhszJhmZ0GPm3U6Y4sS06byaZM0DfP
Rh9gAWj53SH1/IdhIjvhiYQiRmWl97kcu0MU1E8JHR2zu6gvZWkfyCIFK1dpApg27/H+QJ5Za9S0
CUE9zyK5eHogFh6/IZ0It2U1/xSz0e90QTMlJiRBrZ7ff9aZ4TBee4ydJVFL1P3nujahT+iYKRLa
R8ZPnYTDpnT0504VVejhCY5Iy+0/iDDOLDrDoGJHRMOJ9SbEHttCTW1c83qZ8y1JY2gcdO1Qx2jn
lYU682vTysU3pRrDv/+uMMqwFSKyMazTndLGgzJt/a4OuatdofHD1r0tbsjGxyhb43uF6/QHoc25
L0nIRhrANLj9ngLRWCuIQO2mDjU9btYQvOlKqKz+RgI9CEs80j543pkzhxckhsIFkHzt6wr9PXiL
WjtJa4Z2GmMqF3aL6UtTNxuLjth/8qhgQba6BIzguv6cOALL6L6suKIZQV19BtWOWtPr3ct0MIwP
tq9zc9RiQS06hCXTfzJHR1riqpnMQNiVwx1Uj1+O09zhktmu0ri58RG1/+3LERsYogsTEBnlk9MF
aEzU2sxursLZnOnx8+RtO7QbQR7ggwed2ZhJqcMhs8g8I+NYvudv30vMqPX0iCtgETsP8TTt8QO8
e3/SL5a+p6HaH8843ZW1LM9sm2fQ0G+s4D6LCxA1zq05uEBkChCtaawjjZKtgDaWxV9r2ULHdqjV
DoCfSf4NdEPiPbSu7YkOOGwyATaghk6tvr2YbTu5MQPc8iqFQisSerUvO5qzuN2qNW2w0SFxfIoU
+oRY0VhoRrCwjds5KGm2qgx4GnXZYRA3Ypf7Chy7BvdMdFgv4nDcBK6TyUv22O2qQ4Fg9Gq0kvLT
qLVj6OfBXVrn3ZoRxoSQXFG7SmgUDGlOxJ5WzmIbDYlDs3Auj7VtpVCOsmH3/vCem5uc4tjXUTlc
KKV/fkHQJ02vXOYmbcLPzdQ/+4m4ti0N980aUS0eB+8/79wKJ+Ym2CN9T0Ho5HlOoqrGilUVAvxf
ck5X0swPsq8+CF7fltUW4imFLWIT0nTByWMAjiRWOwVVSBP5jRBpS8+gj+naV4rQn2hIWQ+O+RS3
1QdXJuv8c8nSMqJcrk8DskCAwRLSISeC4eK3ZMIO2W9t7Qahi15s6ZnhjtM4JTyCfGw2BZY2FLcr
NvLGHA8OXf5OJrWDpQ/azujtah3RGMqEE3vqnVSwg+y7Y2BjICdaAUHSxJugN1xyL968iY3oi5mj
4/dnp1mhfLRzVIXI8zJ+D+gH8QvNB7jjVwT+hAQPRRd/v5yddQIIeevBLrhvLOejT3Hui7sAaKHc
kmawFjfv3/eIVO+cssrHKgQgpqgurZTU97nRjx/MrHN70W/POQ2MRjGWRQ32KvSdhbdOvmGNIdD2
/el77kB0ofVRV6DeBpX0z5fRG1PUDdimkKKTv1aLZFHHnSLHtyPp1Aeis7MPI1/JnQU/8zdhr9uy
GVUFa0VLXCyIACdA+9nRAUovdZ9+MHznNgKXtD+nBZK9N8FvoZTlZnRRhW3W3gBEc9eQUh7qov3V
p/QsJO4HI2mcmxdLzZsLLC0EWL7+OZRzJwrGlzgtmzC5TGfTuPDnVh5McvGb2tKS0BbN4joXWLep
HiWhihE1xHVaffIX872gttVXD0kQ8owoBln1/pc++/PYEEkjkb8NTjdGOUWdlieEObIRv6wgvk/M
8Uth0UfyD57j+dwUuf4ukrk/h6EbNZUI+vFCbqKCbE7/XClNbuqh/eAgPRe2LmhbUizLf3kn69CS
AQoOei/DHs1I0tHiKqubtnawkzCu8ae/K4vgg0TFuQn82yNPA9Zstgt69PRysXzcY/byK7ALmtvd
i7YeP7hzWOfm7wLiJhcNbptc0p/j2C+WKPPklWwzpnrqE/ECE9Bdg8Lx16Rv4/XCB8BKTK+2abNo
DTRj6cxsafoDbfSAj3ryEDVQrQYTxQKqNnRGSd9+iecA/G9VFFhWdf5u8qR/7zvsmgCtOhqmtG7C
MGtJbdbmiy5N5CzwECahP2X1cEUrjtjiEfIr9Ue5KpWVbodSmV8ETdcc9qbzwWw6NwrBotQlxcG8
PS3AFoXoOowRifwg38/9bKx63X5APH5JzvShT5X84IHnPvGizKJRxiPZejrsIjNi1RAMhWkDc2AU
Qyt2r3QCKwaus+qWnvT3F8xr78RJhpeOGZMXZLlwzTz50rGm8P32izJ0yxl7Ajm4X+zEGNcV1riX
SV0U9/DQ4BDYdE6+ygX8BBRDOczAqWjp22sStN4Hw3Bm3Ak2Fgk0cHiuE8vi+y0QDlzlw0GxihB0
pL1NWuV+qjDHDlVWdw8Z8GjM9ZLvHwzEmSQmXQlkfZZd23tz940nZxbRyIru5ohWViu2dzSkWrsu
arHO9FxrxUyhc9IBg4iv2lpRk0F5gWH3+z/k1X3i9IugC6cdA2Y2hTbzz7fXaY1wyz4t0S1nYFRe
dQ2pBfqC3urKuWRkvEOf0Y2MxApKWUES2dBK6qjwRMbP0pL6TqkI3MQrX76f9W+ExdU+kUwpFFP5
jqY+Z09L/i9FMzZb9ri13SzZ0itsb1qt6sPEbbztlAzexo8vzTq3vuRWNV2zbBGhYV46PyT+EFwU
uveoAwX74GJ+5qzgyASfSwGA2O80cUS6LcOt2eL9i3z6AqaUXlR3Sh9SjIp374/1uUfReE2vAWp0
jo2TU5OiEzzy5VgCQppsROMvar5J5BdBUsQP7z/r9budftcl+4tRB1lG2hj//K6V5haDxFYlFCMw
nhXmdRj3zrNt7CO8YGGsFsalUevR534y5ZVpavGN2WtwS6xC7EUFzuX1B/0vvuEDfANteT47zv+g
BN74VHx6Bt/1XP38neDw1x/6i+Dg4VTDdrmUOrhOkhxgI//L3sYLMCDlDk9tk4qSYTLl/q9rKRVe
ZnZgL6H77wQHy/sXsQTXK5KttsdpaP0dgsPpKYLPhUuaHNMLnTaaN72rlY4gv0xywAex4cwQzO3q
SD1XfS2xbkPo4HyEQViWye8zmwd6sJg5sfjlbzPKYB8TfBZdFU4T4a6ujWj7XJnuf/sIn//73/cf
9AV/Jujsu//8P6e3QZ5CQ/7Su+qwNb45HHsqdWPjJFOoetRO0pyam7xusYLwbLHVNVmsjI4Ul91k
2m0nvenr+4/HA+LNa5KmNFEhYgvLNz69BoOMhnajvD7EOKuY4J8m867wEqTQNEocJzNpLya69Ls9
OggopgJI5gKhTImUOqqsX+B4GvEKIx60zCCGoV0ZSJL8WeY7Zeb8s6i/ynJtFdo8riaBOBglcQfj
hpZ79UJmIb+1Mh+QK3KkMLHRQEee20DcdJpvqInVfqE/Y5IeG4qMR8PetiLhOod6Mxl39OSJqxaC
4R2oAxSVFqwI6Xbi2S/LVEfnMaqXpOONxqoY74sB20qcg6pjhF39GmWeb6xlbVbHJNJJf6dKPGI2
wh+UUxocO3A9WyLy6DYYgRJvxk7o9YGhqkpc8XT+bMTma+1N2NvAeLwOdgXytDtVK+A4U51cOygz
SMsENJmhIkNf46XtTV2MGK2Ni0gj6z14eC6dQbM1pSQiSrnBl6O9yAezuQG3FV3QkjPt3cYoDg1t
RlvD6sf7DI7efZPN7he+jrmlIwaEtQmvd3Cn5oeqcRKJPaKdVFbqK42r9SPmoHyZhv02dBe8hifh
Ell9FRxdjFTDpknUi0Qf91Vv+SNKb7sHF4HGMZpi+4Bmz7gbYIw+ZL2sjlNdB8eyJJjZBFljZyu7
RL2zcodZpwW5ENtORMVaVqO5hYia3wo3Qe0C5RoMQt3+sCP+Ms5pEMTMntxjCDsUsYk9NBgPspxx
71Z7Nx2KQ+3zcZUnJHZoGYC3zqLBG388fEUEolQyF/B/Pdije82I8tuYFj5Yq0lzhWmGA9I4Hn/l
OhZsFUJbcme6zqZh1E/p1Iz3lDvmT0Ez8q+yErUXeM2ujIk3DqQmrqJ8Wexa41xrsT7S0sm7uHYW
rDBdKtcjcqJyNSbV+AtzA7VXqWlfxzZfIqJ5bGVXQm1K6H8lfKKBcc2hh3lF4Kwxoctg7U4QwJBW
RdGtq0fND4rP86dKJuqryUG6B4yLCLFt8h0o1f6nnrnGHdaacoNTDqg5jbHtYr5jNixDvUzRogJJ
pzDI3c3onGLYjnwJ20VDYhvMf4ztxGMRe9FF0eWPUusGOPBteR37L3AToWelWukmXJBL85B0zhOw
gWax9h3uY5O5ieQqT/cmqsiNjRU9NuMj6FdPYKXgMCkXotWU8KEQVPe7qLHFtYDvfB300rkeVGTc
VWknHgfHrZ8QrTFbPeTxrRnVTxZKkssMHsOXyV/4zVoGNsuvZP0cQ5aizc9SGoqMIN+8vpyfsAi6
utNuJyWqfjOl2fyJLG33ILiG36q6N0Bac6UA2WugMi+ycu1KPQ372vTQIUdTukcljbdD4ep8pjLH
fwvoRIPFPEJfiAEeuhHTaq56F2G3+UDy1cjdx7GuZP8jbQf7MUWRlcchZu+VTZvlrGG9pety+KQa
GTkXMrYG+xZNNupce1JfDaAA69odkmplOBNtg83s7piHDsRLkvLAo6eerWmoroYazDPKwODC1vLP
vd5pN7Ve3GrOcGWXotyhHXNuZph3K8cD3ds6MQjg6AreJdRwcnxhbM7JoTTzrx2Fyy1ej8N2sNX3
1Acob4/Dzzwxy4NWxT9wmEgOyUw9qDIGcawxl9wWzjhBxo37nwZ6022cdpdT30Q7uo0N1Pp5sDFU
CxfFc2KaGOL0yp7hp4PEHdW6RUbsZv6FlotmkxZNNa9EEDUH+m7oUtYmcKY62ogyzclJlkXxEosZ
9Dg5RNDLna3WgV3dqspLt2apBZcZ9I5PpOglijUWLJJv4zJV9KkPgR/jl8KHNI1RP+gQmMPSQ1gs
esvf1lIz19BjWZbVgjjRaVQ0tVK/lE4ahENsfLHKKNiRXOmORhVYxdZk7H90Qkp37XAtpXMRM+aI
i0c/hkh5MdIwJLz9CJxmB2i1MvWBHs7AIEsauOiDI7fZqKj7YdVy2MdOzJnHAe7vUJKOq8SksTOr
3OaW8qyBpDXvdnRtJRhM5hrYOH968nFkWUkrny6raZEWFXn+iEqp9tbu5Ko9rHcwoVS0/Q3eEXSX
jLZFhGhRCzJMqLODY3kH8oymvlFsIsAQcmF2K8G6+mQXnbgEiw/3wtTNAz0T3cZKElZVt4WL16wq
Ei4rYMDOhXDb6essrWzdLuwCilChLDbWqNVwfN35WRS6Q7atnO9EJmrk+F0QTrMTHMohUp/T3Jo3
YzQ0F3kp7LVrFqi93HxcFRKb1c627BuvI8VcR0vXQdyihNaFv2u0kRrL4jggHQv39MDKvnlujExe
VxLLbIUqMxi1HU7XNY2y5U1haJzlwKEOaWrBJKZzchNrcXAPZcfYFykz3rXq5OCPEwagMrI/1WT+
YF9L7RavCP/KaGZ1sXh8FZgcBHBOGrctf9lxc4X8wDsGE33va1tKiL0FfWM06ST5J9HNxkFQbWnw
Y3fby2KOrMch85S98hxJe64pMa9NFFD2dWZk+i+BkrDADL5yp42e6eNhbppgLUqt3Q+4GT7KYkjx
O8jT7Gj3cfejtDIXB4HOHqnAGRWWv49oAXUUU3mHhLau6ELRpirfeYkzfq8zo173hVziAtHcILkr
NjTrV/UWPkd6ibs3fbsokzOP6VcmB/rn22PQdLVNhy2JQ0yjnRSBMpb16yytnWtlRmk4J5X4bgrQ
hiDiVb58G7h9S4iUZRbn0GIykTlddQxMvBD8SvQ/fRjwgloJV+idnnccOHT/qhfu0dAilRbdCqoO
rAHcM45epItoEzsLLTBJSxjbwrmewU/carUQvG5qJbsBF1UkxlSC1iVBXrKx3Ul8n8RAdSuh2QLR
P6czbdF4Rb8GX01qGneIxbufAoCXvzGdhPczyiWbNCllbglD3S8Tzq8d0vumAWwx2vkmS8ziQOK+
OhaQH0Jb77ASqSWbcZvF2aoUUK83idNxuAdlrd1WcTDcp6aFiWRJpFE5rriK59dfETTfLOyp01XU
NMumjC/FSw87DE8Ej/AkaBrjM9tg9dMSLrdgDTsiTm0sWtyYjWhVtvychTmxTwxtuE9SmJQro9H8
CkRyq/Zx6apLfcQGJBlGuYkXPWhNsPVIn2m57tQS/qIeevT6qQBHwiuQ2KHxqpzUC0KDdD/NUY2r
SRrAq5UQbZQT6XgdCKtANBY0H3Q7GOfuEIu/E/cl6vJv+sBaE3p3HGt9GGtmcxGRwl3CYa9aN1nT
QuRZwnur8TcjH+apUy2icVkx2EPvfHShMU5z2EuSfPkl+G3AI32jBhxqqy7BTPahnRL5r5EgOdee
25vbuIc9o2wCwiRgZPtYnz57MW3XWecAGujrpziqmJgVnuSdNarLSorm2zDY9jVUqOmrJOL+IFPz
Jk+5/NhFi0XNn+6sNypCsje5N2pWF2rp4kLRAdFVgoWmGxm+4wOzjqOICWaMzHhgQagOOKcWI4T6
ORPEzR4wng8cu17zsX9efDHcRjO1/Cga1E9bqWJkw2aQovcrSwsYPD0LiyZ2aI6z1MZ92w7Jhq15
3ioSTZgmDERQmeDy6iXLMqXj6zaTdnOBpAKEYOTUPzF29m58N0bs3ANii7S2blZN73zUnUUu9c1l
lj4zf+l7hXK0FI//zEY5g0ZLr0IkNSH+XuMeLrJtUwZqV+M+wljSmR0klveCidYYAs2Kd5phPiPS
eIDNY1FsJlzSHBlvBjrzP42taT+OArBGOlv5pa6X1pNJr+eElExU4yUMCx+CspFvcHKG8QR/eF+y
lYRxAGxNNxJE41NJvFqUwZEAEvr0ZKlL+lckzpb0b9fLDmMCr7sd49b9ogE8xSsp1hGUVratrayO
PRZFKHGvrHFTHNjAAOQSs3NZ5l4S5/xDM5ae1aqFR4XGfYnVp2pubir6ttlTkNlvbPhc3wLwyitb
T0mEg3LemlMkrnJabI7ZABV7xD0JWXwy3sd4s6GycMziqbWwfrroi9nDijuSMYOU4uuhTV0/bZ04
T/T1IKyogN9gZQPIEsB+WmdveKHKvK8jgG1dY4EK8dy5iA9YqqebaF7+RkRAH230jmLNOkpp+Bzp
i/PNSyqcHfQAaxKcxsT0rZ5kFZYTCW8cV0G9ndiEYaBNhPLeBP5KUwT5XKd1VI1cRDrf7h500COY
9BrOunPw7lmXAYTkqeXi5ie2+K6yId+1aZ/uh5HoSs8lMxIAdb9JKne479PiyWu5P+JLJB59WVjp
plWLXcoydsGCMriYZwafQ0e7hetgHQwOjpvcGtN9RD9ntfadvjj0mGU8T5gHPdvKIDY0C9NcsWzz
ndX77Wduov5RNTrwFsml3y2q7qHC3OgBX3LroE/sRv1yt6uSoMBeuccC3p6LCUh8IYedMcflARIT
t5bKs1bETt5NabXDvW7gSAVSuX52uhZctc0NSxjcnjdtNXMC9LXRPZgZCaWmKcQVtHVQDJHNbtJH
lb+x/J6bUWTbCOprZ2aNdDhUGEBQ+D97fW5+1NXEqJQzHlDcDldOas8hdfTmohENWTmTgtpqCpYj
NCnZLh3lkQAqzeYbrdD+0ZCkWYAFBsfYEO1Fqrzq6MYMHDVHta9001nXfjXeUwrlei9VuveXDBCV
SnFV5uSHvJRrMkXJ+cVnlc7b1J/FY+6Wn8fJE9/Bx3Pd1p0Yg1kbnI1MqFDb/EsrbQmcl1892YsV
j08DWYtf9PINLIlx6LJUp2V/1/NcbjCfEE9OM4EcbUu8rjNqdtthTMmMLJfXdNK5wCeT3dzoVcuX
qTNCkdezWFRxhUI7NtVlTlcZHh6tJK9jgaggscrbFZ66nGMAb9NIdu11GqKSJ5CIK+iD06CpT3ZM
xsPqVHPzmvGpLKYPWrRi7UKRwt6JWzDgqDQsbAKqgjrncYhcGjSW9IAWawwDbdnemoQjQ78k8uYU
il4uSAjJJHlpfayKZpZbtZ5UTDAiF3ynH5O90sWU3zaCFijY8nmw4BYdOlnBpTUDhCnYVnziWOoF
rl68EXV7kyTOzBKkqYIUXIRNHKkdHc+oAR+HIGMKArIz5LaCF7lGiQ+CMgehR8CjtyS+KKpS8yEj
CMCr+TZbNokyp5fND1ABOKvpvfpagb5ZRWZbHLQluYKijW2NGz1g+yVTszgcrHxCDexm5pR/U2mS
7GlmtjjL4PGv+ZvXQ3LKyd1WdWLjS6X90vV5CZc9jc9XlARLTUeD1X9PTRxRdsImNVTVRnSrG0V1
FLWZb5Co+Ee/75pvtUEODfcCcmq071ZHiaTkerS5aQEH79ncNbP7iWatfppigp1Wb4Kj9Nhna5kw
hImDw6QORxSsRz4Y6OVKUjku4XkPIv24zOemXbZhhEsdtocFGckg9Yh585Y/ziGqLlPaae6SJetN
XLKcAlzQngyfKWHPQ/dzaOCoJ0YUX3v4B+6Mdpk/wIugEZGHLFxeJ1qyX6/hrR+QIYX2lN+WciSL
hKvUxqUd7O71bDB6UsCDHyfXHls+eSeSqKPm2NderDkcFTLwj01AGNKo3LyTLbjwoIRz6OIWebC5
Dq8TNzPuhAufLB34kEjwsRAq9OoIZ7Y6OiZBbLl8g4Tw8LGj6VHs2rkmOJcGuxm2P/dKEiaLnPyc
XhfmHU6MbLbsY9+g04lHJDRQ9ikwrl9TgmNP0tIH8XYRV4kENk/42bGbiDXXnHy3+FbumnoiOOm5
7JQsbLgyFlnQumBRKH2snwpTI0EtyRlbacRVoSdwtoAebEySy1sOeybP6zY7eYwGmSNs+mo7fuBW
r7B+MsvlPtFNZKFaa/rckrT5Kjyidm2WpCzGbmQwdba3ZGQd5TgKPejuKLjjWcw1TY9uJ0m+zCym
Mj1UttNcSFGQRFy2SgRb5rbNrfwaki/wXzd1yHrB97SagPMhIWXCmmzJTiPKWEyKDJRGjTf88hbr
uZ6fjkFazsJNAy4hwP/Fd3BxhBxNNxeHrGKRpSJNroF8Po2jw6jhT2odTD9hqYw5Y9AXOrehUTbf
iEoyG4wNrP4VtKCAuGVw0itsAdhkJZ4g93UdEUGqUW3GgQ+ufPQzuUlK/fUvXxemKjOOGA3Lrh+O
5EwVHCqHau6nz5Bp1a5MshR3kpoFnRJVxp7DJkOtMb5GVEWLxeyk8yfhztzIpKeAROcvgz3XLkYp
XGBfE8UeTlA2lNtbuUQBamq4kuExN+xJJPDGEr/NDLaMbz9i+5IA7SGY7UmobAcHWv4qx1Lnoo/6
v/oc/7dU+WGpEhbhb2WqM6XKrnv+kQz4/fTdn/XK1z/5b+J88C86KfCHRqFl0UsZUMH7d73S+pcD
kIGGf5+yGsaVXBT+jZw3X6uSIAhgy9s0E3JH+Ddy3viXaS19dFxi3QUE4v6dguXbMvyiB0WAYXAu
8OtOOh4CSwENE5oI/bR4SQj191C3olXq04n82+icqSGee5KJhgG5BwWvNw26RYVefQlXQ98ELgnl
7klU9bSSUTJ80Mx97kk8A2EJ7f6ARJb//7celrjXorkVGCv2Mh9wstCvu7HMaE2d7//2K5FIgKqx
9EroPOvPB420DQR1O+PgyHrOi/wl0tKXjP/9J49xcI6nB/ht8RP5OjJ4ZxLcSWWwDXyKi/gWFet8
Sv/B0DFXaZBAIEwJ/VS3EAu9tAE/CuwByvY4Ya0JxNokBqyyD17KPbkEQ9b3XeoHtJ9a6K9OG1C9
ETfUPpAiTCQWN+6gblU83cMMvRcj5ivvj+BpuuX1YRaqPJTkJDBOpc84ZNWszVqEpBpJ8nGUhBmm
SqtaS591n2xVCtR4ZSiQ3u8/+MxURJaxsFBeO7xOl5fb1tyGyV6GpB7qLwPgsZUTgAEG4WF9sL5O
OwFe35GUCLsC7XKs6j8n4zxkg0KfLxDT4leAoaXaZqYeffkHL/TbU5bcxm9ra+mwGDWKeqEWTOCp
2+l+LGV1UbX/bOh+e9LJziTzMqkpiDNBikFt3Cl7nnG+Xf9/LC/97VdCjOf7zAwvsMEqLHP1t5eq
o9Lxy1qUtAeZ9Uboo4ZdseBsn+1SbQPK7hsjaI0dFHQn1Nup3mSFFRDL2NUFfRGoUST3D6j6IE1a
CnE/XtPIXhZZh8WFYzd4+YsCmXOIZ2P8JDzcSDHI7NyVGZBjqgX/iEqicss136Q8Do7Tm5ryRrWB
+ZB7Zn1woix6GksCFFlOThh50PxrhTmPzJjPuTcB9u/UQIGbpBsZzIbYsu/R1A55UW3pWqu+QLK1
L8Btyh9NxC5v9C6/HSbojcrs+hIX1DFbJ56f1FtlF/r3DI4wSkF+j0Y/1XMZ8dI5jpi7OojFNYW8
etMDqaAv1YqibGUMRQDGzOpxB4Q0vGt0qmFZQ0ZdwzV8Xeq83VyyceF+26/Jj5s0ULC5JHEKAhbu
I4jhydjR7VrjO4nC48IuCSNRotWXho4LoV8S7vgBPtleQaN6nIzO5RQb2VPs18W9K8koNZ0lHhu3
NB8i3l2sPEluRJT2MPObxggBuyeCfm1ZirU+uTb3WY273H0nAa0TdJc3OC/1TxFDA2C2EdfukL3o
Bt90ALT4UPrpy9TJ6EvvzvVBLltj0nX1pSqWGkNLuImdXhAUCSx9d7oFaGMf2NH7Na0h6X6MC2tF
GJAucPyhwqYI7s/KHqhTxpYI8GmLqxcXE48rzIAZxKFA62Bqkmz967QvOqwNYOn7R6yIq22eMgiI
avBlsLEWLBsR3/kz3FFwZGn+FEBBxpdQ4oTqJBklfnjHMwjs1i32KVVC8ckgrxRs3CQavyWR0IIt
BcvOB5OCAfTKJWNwhBs3P/gQBu+o7pQvpoeLM++otoBVoxUNQ01o4wN3X0MNu7PwYsnWwA7xqGtp
j8mRYyYjjNqJpGKLHhrJh8kn6KMpx0bYFHG9At2rITZ0g/uuaVl2Ni5m69HmiJvBO3PbEQsIFCRl
co8wNx73g19lzwGdybugYh0BwqGnJw3GAgeraCJuDsZvczvne8hJPcolrTXTXSYsZ97ONO80q7aL
5bDCmM/4jg6++2nOrC1bo/C3KaTTfR29XjzGGS5gnirYQ0mEOTSBatYFzWgpRUCJ06+R8yWcJM6f
mtisLqYIiDG1K3ONNeMLF5CAvh280vkheAdCkN1oquM+ktC+cAXknSJxXCzEX77QYHH0AXkieeZz
A8cxJ/qSjS0Y4ERMya9KBE5Y5S75NDfB7dA2hm+iU+MeSRPs7GBgIszSr2BsphgOIrppNDDDnVHs
IXj/6ofW2yTd9AWradoLxu9DotKLsnJJE0U4VXIUejfJwKKk2DxtSSGMn8a+DbZxzjpHixqtTOHl
Dz7mbZdAJnfY9hbc2ibRr0uZdznM6ixdWX3BpGZXnD4nBU0l1ZAF1xZBJWU6Vn0+FFyrRhGRJ8bZ
ZW7Z3XDkHPfGcu4Km/c2y+w57TT/2keI+lxM8OGtsTfoOZdkE+zIupgGZhSwoehpCGid0AtVb0aU
cFunm1lGJZaTiLcHMG5ai9UiIGBtnWAnc2O4bUNCuXh2HDbKtmX/gITv3cwpRgFm26pN5OF2DkF2
8G8Afbdk/wD4AUhkGmJb22BdXA6bTGVsYuZQb1zJo1sSc2EKu5QyvyF/JEiNRFX8F3vn1SM5cqXt
X0SB3gAfvguatJXlbd8QVW1IBj0ZDJpfv0+OpIU0jdVg7/dGkDTTXVlJxolz3vOaBrvhEYNkvFGS
oajurA6T5ny2fB5C3d2N/bWvbs32XBkdLxOT50TQm2Gjf+LbKdIALMEFaPmj6kJS+5Clb/zUZ6qV
ur4jjr4Zt2Uqi1vhLNlOrWh1cHa/plBq0iF9xtmNLFoirGnNyLE2KqJsl0htbvsCnSi427y0iRfd
GyKb3BIcKSSVu9KHAW8Ht3lWXZYSlNY0p3Sb6odxovZoGdVjDjj0par5zoN22lkCWVbWqOLWSk39
KzAmeQZqoR9tpzu/HKvD6OpqL3LECXWQaRc5FHdWYal3TYjxbl1yeUnF9oaF+gx9BRqav2J9Y2+G
c9iCYgNO7us7rCTT+6r88HosuVnA/mqzq2+dLF44z6+D0kmlxa2EIJWaKGLdQuy3woHgWsz2FPcv
zWmJlPe49K5M9qNW5NUrZtjNaWioOHrtQ1jSDUIXNx5p9/ciSyoCpH+ewY7Zi/Rfl2wh7u0mwtNu
mQ6oHOxhD9gdmkCxcyjHQJC/W1UUM8GQ1/OKiKCOYOeVx2budfJoIdOhnsQOkoz7fhvCqrOKmkVo
L3XoGXN/zaAwX8barE9zb9Wn1pN6B74MXcGqximeDFQWFTDYgnPAeZ1NwiS5fKqB+ld7c/rYg2Yj
Li4F9vJ2oer8NIvAwuKeUBTln6DVtE2YupPlWRG9OJT2cMOu7Ne4ipxQEVXWPzsHoo1RZN5xAcOG
bLgGwxWpcXQAx4W6vvpXwjRRJVLeN66HM7mwCQJgk5EJpAj5YLM5nQzF1tcYv/mlXsIoWqqnWVgL
fELDBWiiuYbs0HmrOjWVKGMSNr9sfyINXkAgWC3QXAeSuelyvigc6sFxhHYxrEaDjObVWDLa5rrn
nJpW2Aq2xVPly4PZY32x9OlnmTsloVxmSfwK2yQyO0jjlOZyO3FHsxvIiNhqbHPSIgLut1uOa/Y9
qzwYH6UxakDQS0BrqWnHYnF0f+dlNfXNdinfdkZ3wrRkz+GMda8Td/zCh5KNCLua1VF/QbX9nat+
Jdv6tPCBw8oVU6N/b0bHjRCjadSrA8gU9cac1QWrPJJU/YE+gcSi4nZFVAblbaOvKAMivjjwzhna
PuwUI/irQQ1+dvevi1b/7+Tfq/Mcvke/ued4GUFB+E1Uh6E2XicdDLGkps5e8dlU02O6cs395xHj
t8kwuApOTX6SQT+ORuBPX4CtnDoDSiQnmCasIVOHC4rruGny9qzZeOb/55/3u4Dv+gM956r+wXjh
NzuCZqDBsd0S4xafKKOrZX4bF2OjCFob6k+JB2NSjqiJXcef7/+4dmbSRNx9bs7GDr6fFpED53wS
DqH2C1k8fzHY/a5K4fMhgIeFdeW9/zaUd9iu4dc7lYe8ru3TpMb6V2vhSh7Och6J885smu2KwFQU
FMKQt8ql1zRKPnFn0GhDo/yklWlOvgm7YTWZPMeigx5crZNztklHuGkGMYDojwGp9z37AslG/JBd
Dcks0rraxPbq9AmbSvvTcpG2hAH/sfc1w3uAO8kFnK4LIvKiEN/+uBWbBhPbaN5K86/kScZ1iv3T
24hkFU8sBAAOpLI/vRzZBDuV26s8SBTyWKaPbUiydxbNlv3eE46M01gHUQ0Wzc4h/TXCrO5/a/OD
ayyyPAivPBJe0z99AkTms4vqrTgEzNt7R8vac2fPf1UGfkMs+CkAFTjDYfiIBvtPI+lUTCp1m7Y4
uDbNs4vjD7ZOrox6WCxkOZQEn6yC4YENmHr/z+fB/P07pkWBXeFfHTp+d85cjdJWQzWjWx3nLGWF
B0dKS9PgWz3RGpNU7qx3geYEr429vpbB2v/SOmdO5KoIuZNtkxfXejvIsCdB3YLS0tFO2uVwoP9m
GQxl7EefXiO3tRTLj78jLv+HV/8FXo0g3QbX+J+lNc8/l8/xX3Hqf/yJf+DUwRWMvqJxRkCZ8ZB6
/DdOTTX+G5AtChNIU1TJ6yv/T2GNi+SGQ4CFoc3xR6n53zi16fyNgFVQZWQ6vsct8r/CqQ08wf79
6GMWc3VoR4Zi84Esfta/3wu61DTVt61+nHtzeFOa7YVjtX73F7O63QytJ8CS4KwFc89HtK2XcezU
u6tEj4+T9tSjFjhNzFFh73vbxW4n7biy8k4J3xD5/dT02ufkeW0IY01nsvVTOAcg99l433jOaj3Y
dlGaiNebyvCOmzH45i1VUG9fxqo3J1qYcmutfcfo1F38btA9Io7UvOElzQmVNZ7rKfYfO2533VOQ
EYehf2GTB7cs9Jq6Mk55sLhm2JtpIBMW4va4yyvbxJjVxuLQDEVTQilidF5Jhi2gLRgnr13NV3vN
RpTjmGe1LAO5Cfw9bpqrc5ygTxIAQ+Pmied01bRJhYZX4taQtw7ErCb1f2QUUS/ezHGBUT3kcHZc
6LVeoT8t24AFlOQjjPtyac0zYtGNTCM3yM+pMNiXztJzxp0itEElG+QC2vhWHOqs7T6WBkuaENsm
eWDO9ZMZ1uQH1YH8H3zKmZyKp+yq8A2RTFx6s2kPwpxfRVtYe8Qb9IqMDYdyzvINJkGWvxVLMWfJ
qoqj5y+X1h7OiGWnN2iGDcmb471VL8TlNCpg55a530kjmxnb548NUmhkQm8tF7C3pXxdlKRhDwxx
wkLrKyvaIbHScnra/Al1x6bVe3LvXjXQjNBB0rEfvdzb+SaWuUHwqLbi1a3MX21VyPNGGQwpxbdb
3ntRPckP3FNONTT8QymLLsYzPSZcy8R9j1G7u0J8Q7/dM620YWmWr52uFfE0QEAoa/UTSMe91O6W
3pNw6YajvqApmGh8Rlht5ToRX6QgKi2bujOF5TJPw4XHJ6OCgaTym3Sqhosvr7G0eOkePSxbIHGx
dpzYz0fb2PtfxWSqPbGzxRfak4WN74qJfO9oj1kHVbgR2U8kU+2do8knRxZgBvVa7fWuZnph0XpF
IVzy4XQ3tIhG1cLGmXbSd+wjdSHfDXArd9BP7Qi6UbBX7vyzdcr6KHOQu5TaEeJyim8N4oav1rLb
SDlEuGUZTOZAr0cC4Gn/x0biU7NpuI/pqkJXC73YN5dnw2l0TErBzKv0uG0NwNZIjpcjtTcHrW0I
O12c8t4JEMaDg1iTM3ybNg+2swxFOcPsHlVP9NS06uVNrcrp7LqSEz8NPn5M9qb9wlkbs2MFwO6E
LVq7LB6E2tZorRftQKjc9LgaavaeKoKA7pGp1Q2pfkNx27Fs2Flt4SepR/xOZFRE9pKtJZlHIT/t
C0KSTiRwDqxz4VP1MS9WiSgQocZUwVnUU6XusfM3IsVwDXqAxj/0l2X9Ab1F15PMs4mjk8hWTYgB
c0CgD48m0lZcBaOeTwsIPM7yl9H3M8DfnHY7ssym/NcqxoCzNgd4Qdl63yFp9Z3xA9XFrMwwh+6w
Y1jTz3kT1Pu58Lso7zVzr2NxDkWfTfMqXIiSLVViAQFuicFMHBK6Qqu72jB1vZWkwVaRjENsnOlv
7wsGgq/wGJdbcnA/OVJvJm7YhPOUbVL38kQ+kn2Lc2EZD6TTnhut+IEHwRAXiBhe60FAoXfZqF9M
eBkGZIfNijejNu77On3pK7P0gQ+t4KazKyj/gdwxzKobNRXdo20F2hNmMd6nWTtFDMDWR1sdDMTh
ZfnVCXYxUTxBCNut1apf3HRtE7bkY5xJKW+rEbybv6fZtZq+7ofrqS3t1H2ACWShE3KWROurfO9V
6h6nyiIp1vEwG3puhmQiXe+SDTIpjdrDbK0fzA3OwVZ18H0wxwdvsfM5HKHcHWCsvbuQAEMYRVpC
XuXRhtUVw6qxrFAanfyVtradCE1qZ3ryfOeryYgbfQuSrl2KcM38bAdTkXrgr7fF7EOrIJHxshaB
CLHi9uKiWcxwIeopUh5Bi0iYsn0ekK4MKcyPCOCdGMOH/aplAzVYXoKJqrVZaIACLEMiXS7NUZZE
FWLG5iCOnB/xKzWJ+23LpEWEFPK7BTj1oWJb++A46CrFjGLRQ88N6u8rImpkoJaMJkPToDOUfSzq
FqI7MX3jc1CIANZeuWJJXgWwXPpjoAWgCFr3a+m9l7rw2mQLoAzqhLxe4Yct0mwbqk2zQLyf6gXh
Tv+DrNpLJdPpbKAiCLeZjKSKzcYdg6R+Y2LTlzT6KnZzIfXjhv3xAaYqVLSO3D7VNAXssbIKoWIB
HZSiAh8pqXe9+w0h2ho2PlFWeSm/AeaXZ6dLGTrXpgpTa17DbhXGDe/AuB8L+xpzBHvDrYId0U7f
MHIkvA9IhTgOCOyXFDqWGSpB6Qd4+qo7YwavlJApSzONcmWMt7PtKy53swNozz5aw/nVBf1PoK1q
Vzk0DGqx32oIzFFdjj3ykWuG62APIaHQ8hcKL2K4RxAUmyIaeshZ7zEGFg+B2XZHneX6jcIzaTd7
5bepTvWYYtpStQv1BszGhSGtJ6wIwLQyzJ+hHVHXyeD7Mhtpgl8xXU927e6E8taoCbRmN4qtvsEJ
+drgbzb7nvVrzFPSuTHVC+eAz4AUpCTJrfdf0Xhu9yWEYL5QkhBdVi7ER/GFgfOGSpbig2NfygsK
Tf+59xz+rKWvT8OUHpH1zpGGHvJhGqv53gGb/PAIVWW7Bnexyggua8eDBcXLQsoHNd4ZU77ovMjt
l8AprynO7oBeyE9sTCTMqB+9jCet5jXeelLl8DENDMJ3zR9OA0E3XnnO4NtGe6eMTR50LFfYujn+
N5BtHSnq8l2Q+X236ZZGTBak44PopHXn1K5KCBlbGiprh/cTRmBRYCpCwFLH4Y3Q68feD5zHedUB
g6maJLimZgciS+Lsr3FAxH09qBnPFAyoDVdvcPddZzgcmcbF/3EYg42VE7MnodYWBivrxMJMvwG9
EO8j/ICvJutPjGfpFouWGMU+s35U7ug8NW5hfjcyodVshdwAE+JiWo6EV4PXFDg7kUjlrMt3vfKr
uGun8Wmbh/5IzKd3UTl5cUHj3m9uc0bfJb1YcR0sB0PbBK8z6fM/0syroxxHJWSTTvHmdIPNGqlw
4qGesQQrrC7q2m6DxdsT+ddKq30cIEsW0cpXcbuU7EZCPW2dkC3LlMXb4Ms6VgtuUw3kk31mDIIE
1lnuDFh9Scfn2svB1fbCEWm9772qeKOalW9ccdN7NS/6UylketCFVxx1Z6bjTXuS1kiqEqhFR2IR
GdUr9KGFWAGor4KZDZJgoJkciFyfywTKf3Aye1jleb0YxCiiio1dlenJpo/Dg9wW+ab72/TD6WZs
7sY2OBMTLe+ABIeXFkd4wobHVsjY6t24rK+cL7qr7TUYZN0SLu2M83OGLUUQMSdNQczSyXJDmy2J
SgrBeTizl67rxE8r92VO/c19ZydWIFfzl2sg62QHHMRhkeE6uEuW2MBUty4Rrx8Is12NZmV6qraG
9dWYN9oFiW3xwS672Q2pX9txvcFZnKZGj4UvMsSkdqmh5K7n+o31bPqg+FcPS015Hergaa7pjcem
n76amgxdLffEzpVbdh4aWtKqUb0MZa3qZyOfScKDDrOf/bpknh/73VpLQnizvoo6bavgEQ8Es81G
Mz9UtjMMMVHQdUjyG0Gbwphu6mYjwd0UuPt7S3ZvQtBfH31PDO3dkuWLQ6rCovduGfmey1LzRw0b
ex39EG2Byd6OdrPwCcQl33C2n1qZuSXL9GltfW8YDwL5Mw6GYlXbuVpsNj6jMJJq65oBxnJOHV38
aqF1cq2DzF3nzYSQOsUE8XTeYSg5i18AQDD/NexgbgqlWKzxCg8iMf0MzqnJ6jQqNcDmEF+l9kZJ
6FPTGBiPSy+ZBZBI7TcUALGSq3bqIYoeB95JdERWcYMeuYhSc/J+1XAx4deWGH4NxSDFfqk7ApuD
tPgwDBvPNzuYL5LzCHN425zYRU3+s/W77IABPS04jFct6ovBe93ErCfkcW92EowVBGEsMz91Gusz
mw2HfXN123pX41r+2tNm9vJqJNi9ww2vH+cZgeXWIeM0a7tjBWlYXWjkGAFn5ShDPFHoDnosKJdS
GRFBlu2tbfd1bPEZX0a6yIS4pCDaELQmGXcdzXm/Jos5SPS93lFDgRK3DO6PMiuC3VDq5qdjL/ah
LocuTEsqE9xOP/SKNt+zE1fs1qCcsyNhJQHoOn9VAXIevO7vrCUPfrCYvlN8knCQOlpa01wxq696
WqkpuykZaUk1Cuw54b3pdx0UlQS+L/MNL6UeGqLIkzmt8ySouMbTRSu/ofzswjbAbovMTivWZm6S
ZiY+DLGrHCNY2AT+CcvaoRQhBT7wtDtpbesjjuXk/JXVZSmnJnIywnDpwLUqqdY8/9l1rn0h/bGg
0PbZIWVPZZcjhX/q2KZUeRVtQ1VDkEXH6y3z+pBLPbhVC4JU0RTuoYQvm5gViZM6WQqnQjfuffKT
w3EcF2ybu+wTMrmIm3aVJY1d79+WWj9ES62XiVGldiiqwPrIAiICrXkE6q2LvP7QuvGjtzx4C8rf
285VmkL2zg8SpUlNK/TtuNZQ28mqZS+pHMISlyar8A8lHEV4mUswLnvUwMoTxdOCWby8dz5DRAao
vPU/GlG9j0Jd37dJb5NJNiWRJBZqdSx5wqoI0pMoRuezhHEc1pkOacZaDT3SmkVUyWBy52X20t+0
rmh4W0ZvT6K9F5mDXdxUKILvwR90PZ7sZfITBUnndpT020hYzbi/wj84NHRXUWPFUhwhQCZ8/efc
MKIJMicPtU0i46z15gN+FiAC3fBd5guZNnUhQh2F2wn+ZZzna3f0O7fnAtbKk+nV6mEr82yXFf0X
8xqt2NpcmQDoCY7N1KkSQdK4vil5NddQ88VCOflKK/VcaH0feYP0zkQ6zlG/bDSOyH/TeSPEOJ+0
AXby9C0w+stsrIS7C/MVn6IyEsq2d0ieAdDZx7zli8G+sB+amE0Jgh6Q+eftyktwgNfPzZrfFFrz
ISEVwULMnwbX+EUMAv3fSnfUoAB7ylvzw7raEliqsX+MTjXEejZYcafVrwuLzl8d6l+o9Y3vyhDU
g+YbWWsebm79iDeAjm8Kocex7Hw4SNBe0HUpRYZxsM6PvYGleVj5aQrsJOeZGF97LWj+a4MZZ3H2
5WQFjzjPODKEiNFir6Eg/rDLyqXGSagTVy+Hk9nQSm5FtjDqpAib+XUuJXnwd8q1aayNUmtZd5WF
EZIDDaNJ+ZUxJli3d7cm2sUj/4V/VDb+LzMzH23RUjz8Ij8FnV6eVofL1bDm72nZTf2+1MosWdwJ
gbTHctupltNWeCVH3XgduJKiypAoJswrFohSJlqDyQsB6NX1TNDlYXi3Nx06YcQolAR3QVxzwCLv
4KkeNtJ2Wnjho4r95rFk+Z0GZJBuldNDh/JO6FvkDkG9l3hkEJ86B/ivD/Qxamj1IzpTeFF2fzNk
6iEQ4w8df5gYEbuTBEvzgG1FEwPMeLDtS1K6NZnvmV0AELdau5tNG58uezzLVOvieXCLCM4R5mM6
1qkQA43DIhjOBmcajw26UpALyOJ66fzo5jR4mDQdGC6diyhv129lZoCcydUiW2koQiGtr9RRxhNU
qRIuHuLFSEzt/NMZPfVE7TND1jVD5On9dBp6wCi0ofhuavalIkMcnKUoIEWgWzoEbnOxZTVGiOzs
KTaLOZgS3JJqDwVTTuoE9yPClXaHaUn3OZJA/QEz1qrjUtu272yU0iUy1lL7bN16QJ+AsE9w4ZGq
7nkLVsQssrySEQnnSJFjv5GdBs3OEqte1y/6LI5W1tWfhTD8u3a20ssm8+m7Vri/ssGABxDk2njq
gaEfNsynI6fwSGLuUPW/+Isz3Zsm1m63w+K3pD97dbsHBa2Rl0BWirctcHdGWxhe7JbFEndmgeCH
ELJuV3Rswmw91W6NYnBUhKcz1hypel4z54UOwXmClNfusn6VB87BmrjDiDYh8F+x36fC5435lOlV
F425decbY8pCr9EigSFMZOB8RaIuQ7p2nk2aGvzygVZ7qfIzPYRc8NIbWqwTCnc62Q31J3ThGIh9
ls7LFSSqyC8GC6OnqbGBIIdB0N4hZXBwdmiH16Gz+3Pf+z6yjdYLCATWwfjWTqTRSl34cFuiRm7n
wtGfFX+BG/v9tL1NpYTt1XkpoBEANRqzZh0v1tRNNx5vTx/p3Sz3c98UN8SGdkPMhYVzzTBldEzr
TGq3KWvJNX/thKgyH3Xpet/sgZzWsJyEPHRQFeE7LQRvI6gk4S3TKsSmvrU8OVMHu6LRS5IMGMOQ
1JoaNgzmmP2AtyWyuIFKssRgapCOS7WUkcVBS7Z+wRXOGxm8MZSC6bTodRcrCwNO2uuEFcEDSkni
paG3nLrSlTE8s3mfkeH9sGTKfCOivFlirE1q5nXHuIfxYxRh1ZNcNjoD9ym1rL0n20y9aXYxnSxk
MBOWHoF/GchKf4OHr9/irrTuzY7dHMPraD2MuOc94rnB+IIcNThrWm5+rVVRnhBaqyfTtABDF3Pi
lLYNZZXkY78x6RnzPC6cUXAo5yt3bZpBBUNrCDJxC8IvuU8CIuDOwsCndifd2eFJ1yJJ5ZCJeCnH
+y2DTkS2QmcmFjDUs07M2UnYlMqmwomp6mrjIzWupv2bS9IcSMdwmwdossnQLfq3yXVaOHjcullr
c5nxSsUMO0WC76/Yd1AbdYSH9XnAzfmoZl0m3eiWN6ysG9RGKCluWuRVL1I0cqHKFnWcazP+HYOd
Uk6k9tCVfXfrrIRo17mRJaPauj37cDtCvMtbog2zvPhVbb2D3mpcYnP3rNPf3aDrnneTpPsHzvRA
abT8ES4VxiKYMQHatyLKurG+TDL4rilM1ilO6cHNHQmVbzMugeJoWMLE9ru3jm1u+PfN4i7HGTLI
ydU81A1uisWGZOqY6Bgj8ObhNObBdNEGr7yBh/zV+IuRqHTVd8JfPzP8JCI020wGvgBWNFJ4J/2w
viK4T3feYOQJSiArgQXgo8bqxkgNq3ksxxbMpi0bcuMDf4tzazFiVudeSH4yvay+DR9FhXsNowIO
nsPiblxk43Tvey04sBFUFX4RpqoeFycv4hXBYyycsoVqt6nyRvP6eHZY34CxGnQabb4zkLcSir7d
OuXG/6+nD6O1rHfYnoMDq/I1GM13C/OI2MF0qLAxXgEp+QyawQ0hghXxPOdZPGoVXBxPa3cmm2Yy
peu9nYnHze8YFWy0ggFGYGGWbXdEYFlhJfq3buzFPUtwFBDmgcZK7tVmq28admqQmrR35Gb6Tt/o
kJdeK/ad4qJe/Omzxo7iYZ76h6k1qxW3Ep+r3bgOgnml3RGJQv6ybubHHlXvDcT2H7bmTRe81oZw
oP6HBWswgJ7AfscoCnOYerlRXbcch6p/+2MX+39r679YW19T21j0/s9r60vRND95kT//dXX9jz/1
j9W1j++jf7XSIKXwqiVh0/xPiVXg/SGWwpSRlBPHcFx+1j8lVsHfwNqgOZCMTbqL47HV/qfEymKr
HRBFdM0gZ6Ihxvb//79/ixQa//S//9U8kUX1n1bXxLeyNiJ7ygNMx4f7D1bLvwgMLFgaNS74+rnR
tTbvJwTfrhYjWE8x6DKWLilti2ZstVQ37BaSHZiaQBuJrK+Qptdb0QD+cn+iYbQDrj0L+uSyVbb9
yiFGQDiPxlfmm9lLvSCqLjJADaYIecHVSt5vuM+mu6IVpKq0kF8v2cw/jJS7BN1eEzmJZRTZsycQ
m6IueKgGuj1KbYq7C9Zt4EauKW+UwAPrxSrTybsZt37DVqFy5wnaXm1NP8RGXGHDHjlK2Z+HWJfs
thXnmq0c19gadAttgTV9wO+d84WLrdYupVUgE4bd6XW7kmf7hCla7UYW62CQuSotXox8hWiaI6SP
BuAy94i5JxJ26veTa0/mcfRogM1F/Kh6GKqFV1zNHnvGOaVMcy/M4pnZtbx3hZeKA/+KdcF4KK3x
tkNHK9lOc8rhvCXS0D6XkmUJCGs9Y1ngaQAagZX0QHcQaBGVxlvu9U6yQT16NPTKuaiA3ZAhJ884
TkHQt2e5BenrVvveU+c56fMgV9M/ooqxtFiMnVOhkLZp8b0hFe8KiWeiEbwZ0dR4fAdQlnqA8pMb
tNWZronvcqrZ6ZnuyIYTq7b5jG1A5kda1uWJV7jbY99kdqHv0wwtU2nQJMoBT2wWhVg1z1sTe/6q
8shOe7Hz1zQ92G1tvnesfGhORm17DiqvskOZQeQ72JruV6/FQILLS0bui6dzcSEU15IZI7Fx3ENw
AMM9ouQG7q9F5RTGZzaiQ+XJsbN0yINI6tFm197Ztxu81mTRU4Qd8PSPhdoe/Tx1Eyyt4AiX7Syi
wmGqs9sePNkN6PImepnwGvpahKPDpgEXK4UhlE9WneY9lwCCtWMes2m4OKtPB0YPC2J0a/cbg7rD
dnyp05NXNrsGJPCFFulhgc8YDvyYHYR1GSKd+TD0edt5XpHuUrU+6ZUYjz3mKAlmSeKmrzX92Dl2
uZNpbwISNxL8iSFz1KBZ1/ZSnOypoqHx2+KsVet21HuOpgkh4CVYzW+N9DGRMzKmmOtky+Wvdm3j
SXnCj1Ycx2L+GtqhOg2FnZ171wNv3GrygjFjaTEaHu1u2tkbPThATlzUWhNlvRZogDsijzIgJWfr
35HI4MuWMnu4PVdkYA+4eiEfxS9mWrObxmErMTI27TGJeJJg4OF1HGFT46SRPQjjnk8vzsJZtSFM
F9kd2T9OPxFtr7GfW3w5HLZDzzUMI90CPGAv0vY9VGbmE6t6ZKS+2YwUccGkR7hiPheu3Lf6GJy8
bH4cA1TgMB5iDNKSTPDtZ+Tu+gqYsO/3/rpchKktmLZMy27oKkn7s+GhndqvLlz1cG4gAhh19bOy
cV0wweAQWeXTE+jGxWcAiAKJCh0/Hopg4V/srh5CUbMtw2THYAlt2g86HoZJvQwNw5+aebc6XNt5
Hu7eHGuwPDqwgz9U3zePPh9TuuDEupws4cHCkSu1BN2rFCis8aPmVBgPWd4/KDHSdvFLbW1zu/i2
+Kyu1aycUg+wX4wa3A7TfixMVg9tJ/OIBzbsuqULYK7n77o2YjRnLr9yyQCeMVxgEddXIW4ykB20
NICTVFjJSFl/kNaMMcXmBsdSeI+pOzzMSjKmc6+wdtBmLxoZOt6oK4zNykthEVlS3Arw6KiHGrDX
eVA7ve2nWydz8kcLYPYyLPrjNmgytkX9gRsKu8NggoNf7xr8VMNFdB5xouPjCOTJNwS+Melih6ua
xcdr7U+W3jjw5NwOPYHHpUE+rpDPFXyQnVlv6RN46aX7A3s0pHjxNPHiZAFDj6Y+xy14dzOs/SYW
gR0+jtibgrvDmt2N83AE59sHpkj5FiEHmEbWs08YvjcOaIczbONBB0XrUq/kBS6hdNd5pc5OP+u3
YNSPU9DdsL1/dUsTQxd8nvTWXkMqbYKI6hvQ+RhZtgPMRy3tNP/eHy2Wt2J5BK9lFdEpYsAoo/63
Ms2M98rx3XiwPI6aZiN78dQFonqi+vLk+abcOao3zwMOkmGvuqKPMGbNo3Kt/D26gO2Yt/IgO3FS
RVruMR4AeQm0LiywB+QyA+xNA+jbsMfxBrYn+7ut8bzwB9H823XT7Ye8vnpjeEN/wXwPWGxWbcKi
IP8iptSOZnO6WYqeO2GuXgxbHRrsEwMIKrElAoRbg3xS63gL+7X+rpaGqOb1XXhllSh+H8RObRmR
eVCc1YoLECTunY0FlhlljrPdLjiVsMNM+y6ettw4O4WT7VbNWsNxyqyPtJ26R5rrsmGckk2X+CWV
SdVWc59pCoZ8O+T4WXCvsUFoDmvriNgwjG4HNDrdmNjMRAUbG6iyOi50lvbCCHe9nvGuat2AZbxz
O7NIeoVV19zpWaeW2F4rCG9Y3YvpsRGafwzGEkxNWS/2ondf5E1pAOp1gz+S480WI21lEEAGXQAj
IO5ZM1HMbbWm7o3cQ7Ngz/JxdJr7udFYl5TaQ73m0x3S6Td2scNuWtz2hOPpmz8S6bEwVpuaIROD
Xy82saf6RnllRkG98AnlbkhmokeORKWbiWhVvndxtgh9n7DxGt5IVIzqI8jItWl0X7tkaobohcds
GKCt++WSyfhf7J3JchxHuqVfpV8gaO7hMZq19SIj50QOGAlwEwaAZMzzHE/fX/BKdSVVW+nWondV
pkXRJBBAZoYP5z/nO+vOLHVmxip9Z1g1PdoDfqekc95UYpYeuGL7BQJHtNZ8S3hE7uInWD24/gax
FCFQNKAUQUycJTxEvGHxSo0KTgjqPc81P15QN9kmi7+XdfIxCQ3lwM37r6rBnuF24YWQIpPvxWZk
x6UkvxDRU+fNTHJXpajTE4MmREBocpwR8uAs9XTfJj7aKG64Tde5xQNmhAqClxN292Bdnf3MoOWr
Nrv7op3Gp56U4la6kRt5LnLtHVDj71XifLI6p6RnLXfd1X73jPp2wnLl7kqXBJY5aNGGQBobBEUn
6xZ/jBeausg91Bb9kkM98aiire5i2cwrpjLTXUZKcD9gQAHYWH2mAW3P3ZhG8laWiJQskM24UZ1K
HaSuIUx3Rh40WyMzEjavBrm8sl11CiyEj5Sz4MuSsZoI3aSMjwgYqMcsVPIjT03rw4hybD5zG9Ce
GZK0kikHho7XXCfgCNaDjBRJ1aPdzRrcGO61Sr9iBIAqClwaXwO2znSdcfIg4hf1uPEyX4J8OmFP
tLdY/4JHF99MLc8ctLwMqlTtzgdLH74XvmXtKuAh66wtCQ0Cjjn4eYFtYDTdFZvkjnftaMZGuwLD
Wq7TAmlqNLpvfWuQS5vLbpWDQUffJnZW+xX7X1KALs8hv/glarwj071qKZEOcbsdczFs/Fpd4jBW
z5Fh1bu0tJwTY6PiFLcASRLbfZzmcJv2Vf1A24WxE/KjS0MOTDFUHKTIZ4mcg9ylr9F9FdnSkh47
E79RH/vH2pryjV3RLpPzucvqsVnRDSG9QstL0vf9mpFsxXICJ8Zw0NqbChc/k5dvg0vbPAf8LYN4
bQUm7ZkoQ7EBalEC9spOg4W4hZqbrbmqEGdrNbiOgV2yJ6bFoSiMB5ee0B1Iy880756LcjKvmjXf
M6EXHJdNYCxDDn20bNelMaF8lmaNTjP20H00/QW6cLNq0yx7Htsm83RwPh7ANCZskhGIwlAThyZx
cT0uirskm5+J4o5b+M+uFxV+9D2p5VqO9kzikE/5mFqrSfyaGjj+sy3TO0KAxqVGpvW6Kv/J4Rft
K2w2Mp4LL9RQ+Uejv44wIimj6bLn2ogXrbcLtmTP3Y1BgxeHbsdcTVqcnmF4L61kSbZ1hVldGGJ/
4GOgWy0ZSasMyXhfTTbp2caSzF5sTj2SSBFa8CUfp+5CcsrLEMdwjOJsCA0xXcizHTWqjknJFcqz
8Z2ubNce7hxlfy+4bwC9fcMA+B6UGAaRlu645k68GMl2SOeD7yR4gzVtl4Y/NWThlbQacSebuNxX
SX2rIgVXGJOcG1aOB+FIbMuS622v12oHQn6nF6ZcqTg+OVKxgcaCALLzbNohhTDR/D7a3affBR9F
kfD5KdR9157twn8u+rmF95MH3zQN3l4HyAmi0OwFyr5DbH11SiKcrltgbGZECUUblrqvY+HOhbwz
jPI+HjidaU0svLabsaEiJwqSlzh+g1m7gXjtnVWSjTNbQowTSmcnqFZCK8Pt5NBeW/MJ/jbV4Q+V
ECdSPg6yUC0jisEgiA1YK3tLC/xxVMLIjOpdHQvAWKiUA15BZBdcPn7CVm/3PfL2kpBOdnGEc495
N6xBBD9SykSPIm8cGLfWZlk9D52THhaX0oFTdQJ1IMx3hpsz7ZhwcAyis7Z13j1NNf7NqnCvrtPF
tzzS5E8zarrTHEbWETJ1vUcmS44dLOStORj1k4Hst3Zq/Z07fHxOcoMLfiCuuNh7AFFFcKdGcoUd
1v0zpn2QxRjed6qAQRBjO9v2gO+3rWsTvUUW9lWe7/pcGetgxKOTLRGmqGmDNdoGlmIl4NNTm26V
sdogwPtXiyg+VTQMbrLOBZpmA5dKecU41J7zjsa1Op4OZt3joBj6i8wKjhVNiAUjcb+5QkRrvP6K
YWTYr0io5ByD6nk9JPz1jUv+lWcnsBhG69z6t4sbBWUAPXUc4y1WeKD7nD7sLI+9NM367VJls2E1
n3jrzXyTQhyIiVhxmXIeulgzdlyFUVzUGL/1ibv4wQyRnNmq2YUGbguXqXFPNG05q5IgwFr3bfzZ
SeZpEBRWhdQrQueNIOqTRvsmMRazRRlTf9iIU5vgoW0K9bOaobi7JJyXuwUW24tkdd+MgBZvcc3b
WCRwAN2EBoY0xU03aExFi6hdJ5XDcMiIb5G++BKL7BxY9kvhuM2O83VFNx0f/2Yct7kUu2BA70hb
k7sM5rYFfMxf5XT6KoraH3NR3ltFe57wRK7qyV/PEElRGbhn6Sr3MqBnqwEvEGF/5BrVeCIcWZVJ
IuxDOvg2MO9MDi3TceBJ9boFhiy6ljXSlDXY9v6jt+MPaLIHx6huI/nlQ9RM+por5Ikl+oWaqHxr
dOOGqxafZDnZXts3JDNlJAiBdPrOGQdkFFxoTJHVoS7lwxRrByfuNnPPdB3mcY5TPJzzr5XBuH01
DIOz1VP5xNr5oE8BdsGgbzeJNXDzcgYCZFwHW01QF8RUGEVgLf1oOIZEZVamkX/kbeHexwGeO06z
u4pUN/NRNT870rjZs0sDQCl1fEdi2zZ0/xpYaKi4KsDKWmAWaSohnZH54Q9HVpdm1k+JY70rqW/L
9L2V5BFa52e94NqEw1hwGc55TeauK+bUMi5jvI39z7KlHTbFzIKLO9xUBlaKJQCf6AWj+RnF3p5j
l6lXjhYQSuYLrFqUusU3pmkJPNKutkavBKZ0zbpeP2qc6UsSXIROhp5LeV9NNf8ROzl2B0x0+L83
eTMuInrL2L4i3gD/HvSDZ8VjxkEsSbstKk5wZMsymSVIBgmAsKsOpsRc7wxi2i7GYaM+RGnl3xxW
NZxGjazxg5phRSx55ETePmmGlTXbzGkArNVawsxZyRCpzeKOMLF86B14B8OVFUYHXiPTL9EcgFOK
u47CqY8mGe2khcbgNigWq/8vev3uR3F5z340/3sZBHxyuGCdC9v/8+c/Iib/NidYIGN/+gMwjaid
7rsf9fTwo+lSvvS/dOjlv/yf/sv/9ePX3/K3Srwp/kaJb5qIfzCH/VmL//V1v2vxzhcq0xdRH+jR
b4L7b7gzV36xflHOdHJqv+fH+L+/ie5KfKF0zpaAQAwX77Dp/DuiOwL/n+NiBiwel/yioyylXEP8
taAXObgyE6zohyymRcUOYKICvOTZmDOIulg5xL6tTAgiumzZiOQvo1i/9OwU3CWfZxoDOJBi8kA1
TyyMUa6c4LEmvg4rMYJKaE9a+TaXSY1Rvomjbj75kT11PBvLxFS2VLfYMH/5KVnkppAq38uvOhY7
dlSHcw8Ycx0qt1nFtG0/VBprWR37VE8PA+ShheH6q/XF7g3/WJgjbBcL5/IdfjZIyv6Ql+/Kzect
oWZAh0BKDlOHT31lhQZn6n06leiljxKWg3Z0OGVJzogE9b73gQqs7YCTTX/Bxh9Em6wLRgITEH/M
t1C4wBgWXmYbnvDwJo5aDZxph1ul25iC7MAZCD0xM3W2RTLJ4GHAyrUFDZ9VzMuCjPC83qBbYSAV
yjxIY/kvA6Cw9uuIuTLfIV1aDOsTTvrWFLJyMUO2g7UcnFnhZkgsSd5tlVm+sC2y2Fjo5ym4Ykcv
NgU8VBRie6qY4gWV8zp3Y6uxKg7jBlQ7XR3WvG75E77FHlBjXPUXm2Nj4yUiUPvUUpJzOIinwYd7
U6f3ruOmu6zOloIDJ4UvtC3r3okp27TYbzgVVEZV3qow0fnAlDYQflJ1nja5mGetaXxmM0teRUiX
tp3moaco0/XaKDF/LKa2BwcENe6esVpjpHe3ITzcQwsS/I1YGhtPGBIzt+v8ELl5ezR88udSpg8h
dIT7fmzzHIdPYONGrKgOGiwOAPlhdKcnMLJ9vdJct/kwF/ZrBs95jdEuwm9kAZEa2uxki7TZNKWB
CDpHKSdibKSVJsNdMBbup0W/RsqlsI5vvWZV70HP9sshYBIXd3LYIBhda0eIyXzVJHJxXzfo1APN
MC9KT59irdTfLEjpwTK0/oyIa79YDg+VQQp7y5ZuHAKutojUIwBoNfzwcf2/z6iHG7csCFv0YdC+
I/Ft4jmq9/iJjVVSDqfeCM1rCkBkq/qZRJhFAn1fB0ZyKFxpkayw5RtOB+ci7ZwWFH1oD26cQMA1
JpdTftE8NV0RXNVgFvtEZepEXRGJJHqiiSWWJq7XUF4w78avVR7Gb7yj6W4cO3Xqijndd3kObJym
188SHIrv+XVgH6NazbfKbHsuNoTnswgD18ovsWRMcZsRJ9GQzTVqsc7OVKt7dxYWsXweiX061j7y
vRNFx5zL57VDlLjraxV9HYn39Ss1DeJcJn10bsOkeuoASiy5jPKoEoBC2hi5byia8UvdW+2JeT4N
kojV8VHM9qxvZRZmN/K8/qEE9bRrZ0JrInYdQoa9+dPsAdcYtjV9HWMyV4iRhzwpyeORT4GACqy8
CwX2omWElQcH3S1PkymYhbuKw6nRfe9yzM0qydO9CJDYc5Mbk5QNXP0ot7d6KKiKHa3qgxaA7iRI
n22xGUSelRvDfVxw9Qwpnd8Xdafu/WmYXjtYUp+mL/t7XhD/OhZl9xUVnuCbMWRrnpN2XWRjTK2L
gTXEiC1AYV2RPNN3nu5423latKXo207K71RatLvZyVAQRl8orHwM6qusbm+0iYE76LNpKfHqQzww
pv5z1kPGKMLCiDQJLjOIDk8QpPszwLUbRgH3ohd68Ko7PP+z6VbbkUKnfiWmiLRYlIiz2ybuRWN6
dj+NPUFf2UzuXVEskKV0vKZVV+KZ5UE9YkGGg4LIm3lE/Di4JjI4lgXXisDBjMeLkZ87TPTQOFlq
UDxPmmXG5A8M+WhNDLiIYWm+11TW9BnGw8h9UXOw9XRNHO8bIFIfTAsZrMXJkb3E3fhVoX+LuTYf
Ukydu8qIoicyFM1DQHzjgnkPMQtsPvD2Kamem7xzkXvJPvccDt/JfzCmhV70kEYFih5Pj32XD8P0
ffE4TV4SVLCncnM4akHW73ys3pe+rdVRT/V860RV9TKQb7iRKPHXE+UwOxWN4T07W/lmuV3x4bS5
/XOKFhuY1TYEPd3gOwpEvHCJ0dIgTA1Qbk7T2JhrzD4tYh8/p+dqDad1mcQD1ue0fy8B9aRerw8K
NPSsxUdieNWL3+XtBk97cXDMLMKmZ8XJz9yQ1ZYO5OqrE+SWtTGKIPtQQeDs8mr0z530nVPv5MBe
cHUcQtdBlk4gBk06+xuKWpteWkO419jJmnMiJxzsRD6OVaHBK2o15lFGgl6dEt/W+rz7SpMwBL8S
bZfxHTFnwrpDd18GjXM3a+70Q6gu7RZKF9s1nL/glA6t9hSGpvUGU4OlB1erwblXi+mLG1rMavPs
+5tWOMWVWaa6UBZOQCKH+pc46SRXsW86O7tFJOMzMUTwfFwN5pAMCw86kPOeiJlW9Ui9w48pzlqQ
m48OYvRKilHdDa2L6z6Y9Bs1x8KjReS8vIHHKlVyN7cdjKM8Wrry9DNgqPgQ6CAmaiKUtyLQ1bPt
tP1mtDVk3KowdxombcySltrgT9TXXIabtVao8sA8g+gjTVO4q+sUG19bzutu6N1HaWIKyKtG34qw
lk8gDUOD+2Jp3BK/As2s96N7nwY0bsG+KrxBqDvHrwfe9swQOBmQSA1rPLqt7mwk7uof4LP0FnQQ
UrDfVqS3tBiDZNqQW/On5kYSqbwlU1ntgYHo+5EyLw8Ms+YNw+zOO1/W9lfOAvrTqNyYpJhJ44aT
ad1bRlnkFq/wq1ml9kaL3XulU2PA7ycW9xCoxL3Okkfer42hLZW1drCwPkQeHc+1z6ZdzZ9RWWdQ
WikhOuodnsCC7W1CRuKjSbA/ixPz5nM23UqC8qcO5jmGbae2Y5JEM+cP3AjdRQVdxcW3fqF/Nrv2
mDZKTLPC2LHf5dseIAy3dK5GGo7TvQ4W/GpLe2RXsKM3DmgWim+MoF1N/p7Ygc8UOaG/zZa1TA5m
GkiPT3Z6w+iJT6A2xphglig4vuJn32CSHh6sGjvhMKvhYIkpv6JCMKBMlVXz4XBtpM05RIFM9F0i
WFYwv3CYHjmp5hRJiOGxF2nwLJIifTZ0zoAGhgEC4n5VXaEkuKeZSDkhcNM/CLvERxKIWOF1IKyG
8tv7BwgoqDVjoOJj3GKxYJwmo44jplvsufsFzQ8FTLIh5pa0k8QqoCqqIHv8yWPr1EczZXpraY06
I5JOF7dCiHWTCEBJQP49zIcZX18bvM6o3LFhPQUWGK1Ojy55hOiYKuOYYUL8RsOpjs5Ba3rlY2dY
2Zn1Cv1AP0yana/6IVTrqoNrXqr5vQ7psrO1e6dE0HPD3lqns4SPXzGdKdp82JElhPYGKW3kinCK
Uplt0jh45m1R2w7IksdNtVurlMONlkbX3ojUuTGNN9kwlIRdgAMtSdJ1kjhogVnKC5MNzAIy5AH8
UeRYbICkTK0V8zdnG2K5PTJ0uIaTob+omjS254xF5gkrrwnZMQuetXH2ACAQtyZKwnAy20FYGFZz
FKu3SdNHhEdMCRk4Rtc37etohYlXWnlypgozedcae6Mvbpesbax9iUn1iIAtzmGWRus+wK05OzXb
XBNGh6i0ne3UtLNXNnQHTUY3rEqiW5dcS9nZk3i6moJfLnbSTTS3GfeEsm4RA3FZ/ME/9v8AUf8V
rUPuVMd0wdxO2RZl139B64Q+8kHUOdEhzhquddpI6WQ9O6zSJlUyj4bIq0/q1aHs43NI/oZE/FfU
7PLNLaHrQjmmsmCt/BligpOLSQh5q4McqRmd4xqUfpSGVydxk4d//Xv+FQjMt1IwlhWBJ4FJ+K/Q
4wgnlDWGsPmX6pd8wzMyQdWfguLHv/4+/0QsW76RYeOClDqEGOuvVUxJMU04Uezg0JXoxqFTGwer
+1X5GbV0RCT0VpKPZSo+Gdl7uQDFWFVoatD8cLlcM1fLN//6R/rnt3hx2kFXpU+eO62NrvFHoG8n
WifE/x4cKmqGzmJpK1MxY0ayly5pSUF+8xOmJO+zpGL21/f+j5Pzb/QjZfDJ/sPb9E/A/Of2Pfyj
cPTbF/wmHMGe/yJA6xFjtiB8/Yk/JI0vgofGNZGWXAch8h/6kaF/EaD1JR/v/xaS7C+C/ylhStsE
YoXc9Ltq9tvq8K/cm79A5H8gjglqfJQSClepMnRONH95YouqiEjEONMZsUWbWUKHcqLwwRrcF3Bs
6pCMYwJ0MwjKE2t1811OYMFGEMActPJ6X0PhPen452/M1XHJRXJ8CKfJvOGXbwQsw3SMmJORuBBL
fU2WWYY/PGj2NOZ429we4PYzmRcXsHcHXpJL8dBj3BGpr12XBhOQkcDbGtdDPCicnwrCYtTtB8vk
knkI7E5G/sG3mbccGcNU/SMDcmE8anlhk7HGR2Dg1Rrq+cRraZAtSYjXCL4tgY1y0Wno68KDacxT
+1BnyAndkEYXP8tCAtlY0hlyW/5TnunhE910as8vVbDrddrHwMrz5MQGUY+Sdox7DgaXdiRvzhks
YL7id++uxBWCYQEKaUTKyLM4AXhuAWzT9txxtqHrxpSJmAAn5wSQx2YYRF+ddOJOufRiPPSXMEh6
7TAOBTF/rHPB9KjR4jlDPQiSeGFmlKZu73SuJt2uh+PdVnspAl8uChMopGR8sLDr1OdyRF3hXeAW
pmf9fwEG/7Mi/M2KoKMa/a2iXJBM+eOq8NsX/S4nsyi4pkuPg7Xs2v/t6za/2DbuW+vXg/+7o1t8
sXAXsVKQWmSHXb757+KyxZpg6EiGks5zRaz+31kTOPr/WVymMYPTLNsq/g5YMyxbf95gamkBN6+C
8DjznJFhTunObFdG7OuMdCyjfxNBZl800yweonLKL4sHe1U5maDwxu3ijbRhbMVtMk8kX8fkGnLl
ogVBy/F32vVudCN1BGgMC6ePqCw2nREdtqCzkrFignNkCs3w1KdDcSd+pXyJN9yBJU1udqGcXSbc
cLcwiXZGwr3WCzKNckQON7s5CusDZnPr3DXL8I5iCc1T3YQVOhvotqMQfvhGDmziFG3D21VhB8lX
W2bR1Aw/FJUBBjXShvHQiY8E5Nk7RjPnPCfK57Y4Oi0XAlBdA+byLUuJdR0AkgUbabmp8JZSwMPC
gd0nta59LlyKn3YZuVfFs3yAwl//CEbdr6AxlPIWhWW3o/KofjAaYzjGic1qOXFOzJbwzY9YFHie
zJgmZ5i6OHOmwLoEIg9OTTlrn2huAAjh++oXba7ywxRVrz1SLK2PurVLQqd/Dsu2fXQJyGFa0eb6
g9Lw4JU5U4KYaOJiQOEknoURfF5BHj/gnbJxZLNaHELTXZLJuqzfq2kcOmTQ4Su7I3PKLk8/4IO1
e3eOIFmgyXzOokvvIlFftTkwj0ndlsfan+cTBfS9l5t2s7WJLutrEpv4T8TU6fUKSSp5xUfFSs+r
1PG3ZVqDsE5ga5K2T8tAZvGLjvB/Gul3dzIyyUGaItwBw02fitwIvwKL4rTOnID89jQWkJiQmyTW
MlOUuDBVQtMVnz1M0EZ3BjWx4N0KocBmyN7fhjPHpTTA9u2RIA9Z1BXXO9Mdh58RllMuIKMi9ZOn
zbwr4zC/RRZZVgODyV1QFzPEhwn+cu1k55LqgTtdUxJVKRtwOqJrMvnkThy80GSgkw1COfuoxsGg
xqg0cZKkeGuoRcj2M8ApUCS2wWTfyeVlzkz3PvAnstSOtqH3GKvY1K+t2rzA8ug/KRpMDqLGkDjE
2MDXfdNRMJ+H42me8Q9vY7fNn90i9l+pkw+0I17vKt64uS2/4yxtuoUL0kF6Gxir91Mi31qGN9gE
wGLcSxKA3+oJ7oBbDvI9wT6ICWJqp4eG4jtnT2Xl0Kxqh/tppE8N9bwKZdJvKQxbdb5UL6oX4akS
ofGBhUTQl2rwofXsGvG5JH39LbYFsWdznAQ6f+I+EcIqcIMSX1iq7tIemEDQFNSs59m7GYTuM2Oo
D00MMEvKWsFisaYfZlkTmmg4C+Qb3/Hz1zhgaO2lNal33qy8fmttTENgZ2KC7n7RrrFKcvtumabd
LY3ga6bJ90xDAIjRFN4S2oWzRCu1sXHScoYQxFRm7rsGE2IZrQ081cTtW9peC2kfTdEsWKkwdngd
kHKLrmNFw1xne5oLgaKnDvBB7zVzV0QiGdea2/rGxrBr8aYnIeB/AADYf0QJUycnmI/aVaaHYKLu
HntlxwyuUBxEnMjghbWz+CsE+ooee4l3msXM7w4EOzEyO9pQfmNkVNZkG9BrQHEHQN7F1FyNptY+
C9PGPt7IuOeQBqQjTmao3gVaD1h9w+i3GhyXb4DBhx/gv4a3ycjlWSHngLsYYHCtlDnVvuf6quJ2
7frJmia3DMvb4B9CWht0T4ryEYJGueZiN2Ad5niTpWCxrNw+GuXUgq/PmT9RCc1FmSMapLpgA6Cj
2pE6fUK663ZNjQ4QccvBDQchxAYxOeXY4HtrU4lx/j5D+c42vaTjvVAdg58iJNWXCie+jgvMvzsZ
aWXlLdb/oYy+zlqAY2ZCIkjEqzMl6HZY/5hTttQHT018BQmjrXQ3tq4yHvztLNP6wcpS8WBJO7ix
LI6IA8l84GL/gvMhf6hghT50pJH1lYhi/2WgJPFVacRIVjkTmmNI6/iLQ98Ai9TAY+VAHb6Jbsxu
tKIg1UIMXKZlxsWFtu3h2sJUS2KDZZvdDpjFFF063e2wt9oVyliTZZfYFfy4VqJtZZNi62lSreRR
Z6S8knVj3VWSH5/Ah342zdzHFzS3/qPh1NYhjhJgPB02NPAX+C3UrAEe0oIu20GnK+4YDvgXl77v
RzIM9iHgF//E6g1sfarN3dhW9Gz61fwNqQ4Ex1xpECZkOmFAIH05kgTaVLDJNgmOwn7dRXI+6e1s
H+BTYaob4luVdvXKrHR19QuiQCyyCVVvs7/44PVzPRZBQTmksQDnu+IWzHa0W17Pp7oY5R3FhczJ
CCfu4qrWrknS91ik9IGwFkyj735LZ2I04vdZ1dVY8n0opTxOTFju9aQedu7kuodeds1L7RfUkEqz
3y+YOyhdXUFyvrRxpsP67aPVDOlmTRwsxB+l3AquHdFoxtvKJR67INLMiHbFKjWueJdIz9vueGjY
GKNVqQ8Xevk+RRG5n7JROgzNxqxeI0yi38TgJ4em0MpdrkIgRFHPUsPHL2STNlJFnlYIexv1cXLD
Wz98K217WCettN50+IpXfYIX2YbLokleXY928zDQ6lHXul485pP7Gulkujd96ITlqWqqTnoid/SQ
YdDgvkWanzya2ECqG7n6qNkr260w3FtWQpl7LCvwcRYOQezIMhfAfloqHpcEGK98oc/wyapgTcid
glIVWva2hKDrhTk3Hy8OhvtZ6qRq2jptsn3XauGrWSozetctHnFvgh9pbuqBrBRGb2sxtpylHBHz
dkVAi0t35COr1+QM+hy18r3y5zeOveNXbjP5Z9yP+otLyuxJVkF5rKroqcrtaZOpKjvYVVN6dgd1
3y6We8z8xgL4k0Lx97i13uxu6D4UbCbAAzXJv8bs3mxXi/eW7aS3SqYbgrfaHW8OYfGauuM8aauf
ajZ75NuyAo5GH4ETYWqOQL+jDt4rc0gmr+uMsFqV5MiDJ8fq6k026/N9iKQekWgYzExb/UdP+Z/5
cYAm/ys95Vzk7Xv+l1zsr6/5h6SCbqJTkO6CbhaSPoF/3J+4JX1BS0ElsRb2vbEkVn+/RXHlEoJ/
pdOsblKszt3mt1uUYXxRlmEyoNS5+liWIf+dW5Sx9Bv+EeYuTAutBxVUKdPRya4vCuYfYrElfkXd
5zB3tfH9ckjRMmyhQ0gXsgn8a9rbRaJyDIgB7ZrshOU50IHtp1isvjfQ0grcKJlOYaoAaXsI5wrv
IWNM63OudZSWPHIMzPnldFfgNk6/RrMBXaiZxfdYBaO7kl0CAXFRkablENSrXaRZxTOZPVs/NJXb
90fCAfVwrlG8N2GbMNigiwP/52Ql5xLZ1ZOd365wgN6JbirRMkonwJaXzxCJpvpbz0meVTrECdmP
jNenmD4XhBlMcZMiKOE6CKAbnDxYLQ0rjM5pXwwHhob2Xqu7+tAXWYylDbbnfQ9TTI87fV3oLi3w
o9oB7Gsx0gfF8lORlvk6miwHhB5I8kzjXehCGtkvkRUpsbxCW193RRozNLdVDYxH5kivDI3qhiGA
j0dvxTvPqyzmjquXHplHqmSaW1MOsXUaEIc+eUXoi27c2K+fZqucD21tNJpxsmvIypu4lqvSGKyx
3NVOGaYbfdSHM8WraWSki4eXe3m+JXCVgREbjDBs1T5GlimqkVhb2Xf2CTNPTvrBk5xedQw9IZwP
tng3qEe9P8iM8FnPDNUFZNKy41qukxwCR7Ptcl3qTEl6pcuHppnGG3EBbfzOqb6Mf7qkRn7CCWaC
fNHzxszkI2UGcsuCbxfNCkKJ/VoOKZGXKnP7u4EJy9EivsQLVSd+iE++iw8RXmq1AUJ8z8G63oiI
06MfJsO1mYhPLcUHfCwxk6+nMgloTJPy6MSwb4NAzNs5ipJdUoRXCSD3oYU8RMO8lurryGW+6qVV
G4Cj5ljuGYpX29NjB6phLnChpmoyD9ko6i3ra/Ne6GX6qbeVVAxMGgvvd7WYdRzfIfLQxjWZTTB0
x0YROTJUkDIfImqzN/LuWxgbfevN8BVuGq8goGOjDL4FtSFOFF5lW4Lf2q5XBsFhvt0Zq1S5k7Mc
7/OilUt2gFMlAFob26UzUJqii+S0ZPaw3mL34pRr5QvEg2sY4E4ORG1q3FnALI6cwvDOxgJ9rmNn
qhV5ZEEIrQPpaYWIEhC9rDth2w1AusT/xpnA3Rbwd7lVKmOTVEl+7KRdPscN2AlY7PfLJ/uKaUys
UQQIGVfyPMdcKNm0W89RgAc5aHKHNlQpfhZyEldg1MFrUEbzqa6M4a7o6fpoUkyuU2QFOwDmyc6P
KOUjBkcp2ADtrrRq9zEwNDxqdKLcgQd7mXVxzVVMhJtw1h2EDJPJTcWtO26Gr2ZFaTa46XEgqqf0
twzQJjn3aYZENaRCPVi60WG2adRPjZK9zGt5NbbJHLcHqso+LURoMu7YpNZaB2B3lQC+eizVMMIF
sfvi03Cm4ImwTwCyLanND9Ir9IQTzebvKLUDHifdYwKIxtTRlz0IQm3JSLzaoV1n4/fxuFV54Oxh
pFKlDpMPlCKNitvWhPO0srs2Okk37J6Y2eMk5vV5asbqno81gS99unMHVCIz8d29RtWww7ARlJVT
axHt60bqfB+tPLy5qRNRG1rk39G23HUqOPqsyowij81UGAL3jTz4VvzQZrVzgHQwrhM+3Y9So3iR
qfqkY8dQvje0eKcFOsU0mqSpbbui7yrlUIJhRX0DBAtiEHraehykEa9HYZlv1LLAF/6/7J3ZctxI
mnRfZV4AZQgE1tvcM5lMkslN1A2MKknYl0Bgf/r/gFK3lap7qqbtv+026zabMZHMBQh84eF+nJay
KyiiZM12cnglRMN5nkyrWyuvUTp6b/zdGEsynZZsv0cEMziIVfO2ymPYhrYlP1mEl+9mgRzVj/58
P5Xga0QetfdW09Q3FIKZj5ydcwDAkXymdlWlYc5Uynz3667ZQKWrrqltUF84cSi8jtPOWNkcMH/H
nW8eyr703iQ7AmMzc2ltZ5acdUxjhruis3yA5MfK7w/IHp7fu7eWmiOAtobk1FxYz5HCoeUPTnyq
gqZmeMOg3yqTjeAUxNO3ZGqgtpNoTdfUB8QbbU45uxxBXikclbsSgvPquZkAydqW+gaDR245fgzY
xVrVLRHgdG1AmDvPZQWv0zO2GHGCW9VbDjikKYnDo6Qk+DY2hdoI9JLPue6pXdd5fevVPlH6QWi8
Rm4cXO1gRCr0cT9VEExxt4Q2fdyAZe6avs5eC3wwr5FfNvfEN8KXOguTm25UhIJxfz6Lxp62sVml
+wk79zacWoVxq9QxLB1FNoltndkey3zuyUl73bNtm5gJE1uXGwOTzdp1YEajr5j3Ckep3HroG6dy
MFBAi2yYbhy0w4w6HOiyfmVLPsd2+GSP5DCcnpA4oWicEOSc55NIhPu7xe831lVYJvdRy37ITc3g
dZodksn2zIPeLxH2VjrSyQ6jmHuGf14/hV7fwB5yGqIFUYhQsfGH8dypqtlhxwQV+d/h+P80HFOp
/ZfD8eXbl+ZdZ79Oxz9+6Od0HDi/UZmCIR2nuGsy6PL7fjrVOQHjLJKZ2aXB5AP/8s/hWDIcU8vl
uxw/eL6z9PL8Yzg2/5NhGCDBn4Zh7GLMmjZNwQzlDi/s12E4lx0I+jDuzxIiWB+jqbO75SqStkqn
8tx7iT3h4UwW8YIFEB0jWyQNZxE39CJz5IWP4lHy8m+bRQaxFkFk/NBG2kUmsT4UE0s2pNLnpPtk
L4JK86Gt9IvMErR+crEW6SX7UGHqRZCpRazXRPLlpV3kmnARbszeL9CDzPK+XWQdsNEoPMki9oAg
GU72hwI0LmKQqYaQzrDYoNjEr4JrHvvFtbFa7MIISdoXSEqLuOQqZ76iWTVX/D7hDkMWKk7Yjltj
kO0pq5kKR6iJawprx60d23hCEizMTx2J/nfPKxSdIlWIi3Hm2FXxFL93PTd+VUXWTWsWlHojo97a
BbHH9Oeo+OqMLlRv0+65V81yBLg48JRX+hnnSgtwUlhwA2wmyrUJJOypbLtsbYrxC4e95EFln7EI
GH1yVknJuU1ZO/pzUs6MAIrv8DnP0uLi08yxA9E4Q1fGObGKmfk3ee/TTEGVi4+bz0jurUCnByOP
7kilpTsQPBmkGYeMD13FB5NjzfMYl925NARVT6Jw/VULH+6RlbHbZYjE6xYZ784nTnuYMHncesoc
ziyI0wGjhnwnWVCdCIa3jzRa5SPLoJFtS6uGPtDE8GkKlqTbGQFkp4RnbMowLx+oEJWP7WS3b1CT
8u8Thp4ni44EoIZjeVdox7jIxNtFaEyf+KyQajFZBCy5fvFJNkm/E/6CqWStxpOfzXuGQgPYTTOi
sGt9hyGwOqdjO64DuZCVUy4c3KHY2X8HlMK5gmoEmoUxyxKfFPnirc108VDq3uSALFDtdgqLeVWY
FZE8TUMMSvV7b/X+TYkVdg/wqb7YjYjWcK/JZFmw1GMdjbtR0Fi97Rl+z/Vs24c8qv0Dj9D8W1pG
6b1ZY+5KMqBjGT7Fmj7H0PidTKlfrMJIA+NTgwu8guPI7gZCr8fRaByfOLbOVxBf001q5M4n4pzm
azOm49kNMnMb27q7Tbyac5GqVv1DY0Tzm8rZrGDvqscbGi+ipwBT6Z1PdoJtU7Tve4+TFFO3qOTs
DTNHtlgT+5nclRBAUh3oHvMqbiHiuLoF5avhGnAi57s8pNM0PFpQAI4OqL98BTUFHxoTALtcjInF
C8tIzVyDHR6CvEnvReFsE6M2b70YUvceZzx6EqI/TUCTuiuiIrprYtvauMqVn3POV2hEJBn9qsOY
I3n4atMjEpqM1rQpGlTsivjAfFmcuhnla1VAyA7XvaGcflcSLbijDhuMi+HQJnwx8EK+eKLEeAtk
MqzXtlIhK0mCW3Quqq+5MM1lRi3GWzl7C74/c5KMHtbeeIl6TVFdKpwgRDIA5CgTQfHFnNJzuxtR
2MB7+PX4AD9ZvDY6LDt4flZTq13uVhzX3gpOdUccADIqsCntmEyiIlhHw+RyVDmalC8+hoQOJ/cZ
4n3dXtvlFBQSTsHdDivbAp+0bn3gM/XG7q1seGzSMfJ/tyP2iyWgq9wcnOeiTwflbf2adPjO6Lo2
/Tohc4iMlIloGh5cMNH+azH4G4sBT/AFpva/4+Meq66N/2f93tDK9KtW9vNHf04Dnv+bw6/yXBdB
zPmj1cCXv0kHVWbxuP00IfxUyqTzGzoYV4slEUd+IchJfEm2zwyBTPbTzfQfeJCc4E/DgR14DAcY
n/idGPoQw38dDnA6Z3Q0JtVh7D0xgNLKYEoT6Az2MffQDv8xnFTWMf8B5wAFjaBnkwtqDJW9PHOJ
X8tOPKVhIl9dHU/3lWuVj712w8+Y+kas0qCHDt4wOwcOEgtqW/iMbhKD/lGM6HQID2Pmwk0zxhR0
Neo51uzciC+ZqEAfQPiX3PMqVwDTkohDF3hlAkSSGxMT6VOwBgVVPYADJnuXGdq+i0U63mcYMTH9
jxRkmMqQnIkj8rMaOIDNDRlDZaQbgkKvamI/RBlwvW6tUB67QsrTQOvzMRgTswSpoHBbFLyoDW1B
7Tf+CgdmDXQEsSYmoGldr1VCcM3Np23AIHMcw9Ilx0fXRsbyNziHBISUt5WzWXxP+MIPTuiM9y7Z
B4wLcxJ+nV2HKGAmBv2KtcDj9/LKXrEW6ddyMLMra/14T7dVfDd0YflUawz8rWYLc8PaGzkbWHWQ
3Fk0fY1ZNxcho4SCPjGzl34gLTttlVvzQaYi5KTXlEnIQXo6Li3Vc/1ZRL5/H+bVAE19bkyxASaE
TBNg/th5RBUAgVPcW9MwTZI7uHcw28ZnYrHOgVa3etdXKjhDqVH7OY6Hc9wFLJJxT0iFLVP1KITy
HwybqyXNkCWIfzmHgtpyOCWY9GnEto8JPKATfmT7SACpussa1RuPs11AKfZScbI524O1kXU2vFmL
3RE1auCm6DZCc0jUl2Eu1FsDgPO1Nicbg9esHBdiPig/YRQ8bNq4ZRc8TMHDWEcxYqYdPFrkaGG4
zZReBGMDTMPp5WcrHDXYkNxwrE0bG8M7gBB/DaUtONe19CI81GZ0wsleJofQU+1M+QXL+D4JO+Ns
hUY/rAeI7ltpjj5UF82Y2eLlyBy4DkPdXcmmOtkZimpwX1NuSodq47rPpZjs21hzzo4dJgeVB4iC
RClpZ9QASaBuIoa1otp6qKcVbVFZc5icpPLfVF+RFGmDAUNL7cqQ78cY+hV2w04tDQU+uchGzBZU
06oxKMly68485kpNyatV66A9OfxnQQFa5ifMOMYj4GSo3Fl46xVFf5P0rX6NVXEhthWdoYNw7pY6
RsohsEVDvG2cosL0EPR4ED470kx2sKgxmMztDOplynYm+ctVKyEdIDcML0kLR9oI4upWp7Haap58
aSegCDOxuACDLAH1gmvoxXWB0Ry4vQ3oRDLcV01DszUBiqJeYxCuNxhEOOnOKCk32g/qcslrOExm
wiSCKN5tJkojbgxkniOqDkSioLxWs39uU81JOBVJ68CvxtOQkNr3eFJvbUwUcCvGPZt54ysovK3K
Q0bFcN6PvkAvSCzirXXrXZB/H9sZ5DpIuj2mKueFhy1gsK7DyjN11d3gm1cOJOi0aWa+Nh3Em8gm
ANXnxMf92sU0WBLoSZ3yxoSj/S2dvIs5W+Ebqs9wGAeV07PT+3dpX2m6EZiwbOSQe04C5G4JVKyG
JMZy4s6XRPnTHlBPu4455t9x4EuDn8FPiYygU9I0VU2wZ36rQg8/fO7dzXVDM1IWwvmI+3Umq2av
Qqz6qWuYt00TDneuBibBVudLwGq7J8/vb5NwCncVBE9SL7QdLiCJw1xVyTrve4wN+E1vSMv3q86L
PleJRfGZiBNoPlO5YdMHIIA80euQquFgFlH7zATecmEMxj5qxu9d4+Z72MjTtm0G8dQLK/wMqcoo
iN7FuLxRjsGm+JZ57NxqyA6ysJ2bkgbhHXBp/EN1hExZd5l98lG816NheA8dXS77ZObRhP8+2beO
XXBVuLMHIEMxN1LzlaRbXyXtlRPb8CVQDresU4SobSCsALioL1DVoBTP4Lo+1VCxdoKsCGR+y98V
ug32FQrRG1R785VaLmPb9uguFRjRC2fC1c2khuZQyMJ/oNKuvNXuaNzpZRyNVGGuRcDWiqiKe2ms
UKDhjm0mTg4dw+cgK/wAkDmGmLxNAK1mFr1aK+XS2EOOEUtTu3QbWkJeZEiiaS5iQnxUoCR7YBf+
3qu9DLpCREMS2WzyuJ3x0tamfuWKK6E+dkN9Y+J3c8O0ehjn1rzINCs3frv46XMuA3vYmaOl16OI
7YNlETbqSZ5BGfXSb1LbxbeOLDMuFBSENY0UAwcEtjudSrQMuU4nxaYBcudzxTh7jYMM4ZYWnW1N
c9dZhdZnI+i+J0kZfcLKhp43lSbBNue5tB2DIhqdrfGM0YIgWOfmSYXPnB7sR5l+pl0ewpdy9hwv
tKs5pBxUJtOnqZ+CTZtX1sbzMMphf1n1klIEZP4tGlz9LUIsW2WpUW0sX6aH3urKCnLVZIPkDMV9
rt2G4u0heyiFeymjtjwXc9NtqXVH9rNwK7TrIcbbstWimC/R1IbbutBfOTV6IujJKMV8kWBbWw2y
5wwKptLG4SBIrYjZoCo4Sw8HoaF1a7OnB+okKZwLObjPsifDcquNHJT5ObYApOJB8L41orl2vfge
kuwil6nIKnpv1MGaGwLCWL5JQZ2CKZzPtclpkifVWxURyJuD7sRGmCZWgFjbvlSYhaKe069xKo4A
f9mtmRSsuOI5GaYMqKEK6dx0xQ5DS8Ch38KUNNN90+f1qWrHR3uO9Q6KR7nKe2fdxen8tcVNv25l
Vz1SgNOvEz3zWYeFnDb5hOTtAGyhtkQXO0RqMPKG/3sYWZ+wFIRvpnLkHZpUDnzOeUAR5bpyfi8s
+juSuSPXxKnKDQcG1U2nrG9eMZCLFl8pcYNzwlFDveZMYzj4NR5ubdc2SHSgdL3vxnsmFu8qcLjB
2h7SHdnW8Y6ej/AeD8qJ4tMNh4/7JAbnOEGOBTDHJSr8aDPFI15IkYqLrNPnEYj/NVzs2zUVA90K
U3h17WJy9qlGLEcCd9yoolth9M+G0u5Gu/NLmyZ4XmxEjfKOLrOIltRg8eB/Z8N9UBa57dgw78JB
3y08gTym6KfRkFvr4nOTowPMenwadHdfi/auhT/KtAZa2KUSlP7BkT4z1KCw7+gGSbnNHR8n0saR
iUNIC9r0uUx9/+wWir2gC8p08hyNd6uYOUkos5v/bvz+TwIwoG/sBP/7xu/ybfift6rJfvGW//ih
f2z5xG8IuBaDFkGhn07ynwKwF/zmYSMn0UJCbDFBoA3/wx7hkDhxfAdx2BOLDsxW7Z8K8P8PNhxz
+x/NEbb/kaoiqMbOL/DZlv665RO9q3rTjKpj7wPLWGdl5NxJVrvLnA/+36TSlgzLHzIuH38L2YGo
FGoZzJQ/2dl7bWKS9kV59OSAybafxCXF/vUy8QmcwT4E/2E+i/e2tIVjS8F6gnHqT++tWdjXdEfx
9wpBnf1g1mw64Y8LIiJEaso2JFksGe2eBjexnv5wHfxM+PyRx/4n7/7yZsnAuiSJ+PbAMP3pzSrD
pERLw92YG/CURV5o6u1E758nMcOHDefgJbTMv3vL/+Yjdvi0CD3J5Vr7cySt1ZzPD74HEKNgx52x
6HztsbgSFE2a8T4yafX+67f5L38Q4YHMA7IFnZASHeLX6yc1aXGydBMcYiOsbryFzzHFLb4YXxqf
Zdi7b3/998S/fK5oFJiNLIA2fLj4eX79g5MW5hyFY3/oqpFG8s4NtQUpjnNKdnc2JWQTtsiLn5f2
0cNafVW9U76Ude0NrJPZTIOLp70r3HSrWzW908E3rmN9FmMwfpos/2+uAsf7N68XHZ973+bb5Gb/
0+stSbVGadF2B8fDjfNkFGCyb3SUc8IRVQvsQ0ViOIkqnnLsc60jnrgHp6sBf+3Aht51T4lGhiB9
67xHUje0nbrMLCv8sNVNMfvigiRQxKfetOi5AtoiLgVU0wIKrTMLssYa7JDRJGC2Jmv2d+jE4kJD
iNFsO5LYN7UxjVfRcqIRUp5G423TV84Xv5fgut1mHvstT2HalBu5yBWsEu4m8UHPLZVoxivw7CC8
qsZquOTCVEmyy5r+X4CHgH7FN65SypFWgkP+kWR90NsPYzkN59KMc6JYTjqs+sAm/PyxEDScnCL5
9nq8N2Bb3AeZoqAMQ2z91qUWGKTGlEeX4llYcj3Dt1/I/t7UmrQxJdQsX2ArFs22cd79xhyvoNA5
Ein6sKaarB2vBnCaJ6ft/E0yJ867EzhWecTYOVIv1MJswoqGWYfg8Hjt7IZ3CqYEI0BOlzBO8SR8
ATmZNZuOQ/L3vONz9Oeez62xxVMX8KXNvgpeBjU7767hjtckQkFWkoK1HbSjlobk0Yjrle7D8frj
Wo3TCEhTLJMBCT8b9dc8rZb8qMObtaa+pgp46HOq0thI0zPmhUlxzJSh6CxyLeiKSwVz/Br3pAT9
mvV0g+HDG7cFSVl3hdXTfq+0X7/FUc3Nj/PoHExN8FLnRcopVplwZTD5wJGH1wNabeLrXzp47hE0
6mHTuxYfKXd3/TaOdK1Ra5vNatd3DV9SAB77yFiI4jYA1b0mgx1wGBBV2MGWz98eW+y2nW9Td+x5
m8A3OOFTZWBePv5NG5J3KCYzZd2Y44PBe32IvbbfDFEQ7DqluYBxbfkbt80QDbVOw/AGNIxZA4Qc
OlCDox/AjMYrQbe1L80OfCo7/UurXA37j8pQa3ysXaAGECFxCfS7HHfQQode/EtAfM3jIFqvHwkf
GmV80hqS/X4yu3TYqMiYwmtdlw4jXOU49APEXRuerTmYwI6Aze0nQ/U4wvWc3A8k2IdXzccf73VZ
9nttkftfzTAJ2LT2nO2bWcJZPWM0cIInSkjj7bhkcMIymHYBxBEVYywcpIKj6afy4vgVnIx+OITB
NN60eO+eXDg1yDu0tVJUOl1sJ3PXmvOUT5qNxqaOJ3cFiEWAnI3b6xArSCgtkILPrZ3hH4ylHiSw
8GS86T2jP9g+zJJVR/NuvjKp2fHpw/qqNMumWyTeqUxi91KbJXpTN9vTmVObgi98NHSFxSrCEVTP
7dcgidVAy04XJRsu7gC0FPXem8DuNaZHzwtfZKnpfxKG/QxF0UCKUO+l8EDJ55yTHxSe755/KLno
GrPnkpoyxLpY8H+sWJfHK485rmUrLOPk4BohT+m5SfaE++s3R7TkYkFsp5gz/WKxVvTjdR7j8GVh
kF1qW9RvE2i+nI3+8D5WbLxTNig3RWVlkKXM9DUlEDOjRCLVhiYKQeJJSSdjgIYaBGG54TFaPbmI
AugE5UbzNqKdYDvvwHyYsWjMuhafi8Yw5uMc251/lAVC3bAWtcYGxS4Ogx+K/hc4j467ZSQ/5UEd
ngejju7hfMSYCoMnL47VC7Xd71MxLqt/Il7gLnabFAbThdgV67xTi+REYsD63BlhN6wJikB0Cgbv
EWdtRid7PxwdTvX7ZSNJf0EsvBsbqc/fBaVV3o2dNXa7GTRDEfv1pho1WlJfYAYiUaBIe6Cr96tC
huWl9Az7Sy4k/77midU8O3FghV8Cf0iaFcfdYbWb6aWg0zxChkURzYwzB9kdH12BqjVj8/o0eT65
JLuEEhJLep54S5y9wwnHoh7qN5CtzCJ1u5SvDkBSMtHztSpknG1CXIHFws6jBruAnjBvpf7FGKfg
pSng2G4M2qe/0qcRnFHOWd4yd+aiUR1Xio6oX4P2ulxKXUSMLIorNnaAaxbdxGJNTwknvPQWr8Zt
4+CsB74agKsB62DRQZ/AEAVnOAEKFa3iDFfkapRRABK6phEssjLW+6ZHcv2QtHsnoq0Ev4d/Dmqs
wqlf8ZdTHiaEBiFb3NeSP+86qHh7b+I5jnCW7GU42+/zlLLgfyyBXtyFzRb42nLpD2Ye43Mo/XLV
1YN9HrrOJKDmcMjStIb+WlLHDBVGYrbgyaqcdyiw471OqIymtCShbHNSmMwWoKrHxDCxRdn/eFmi
dKBbsV9mkggNg8eXRwzkRuVNc+inbrxve2bfAnMbxxA5LA+L6CLdaN1U2BxiUq1ANW8TVG+Dper4
znJ6XnVS1LxX+k/5k2WTTN7VVnUOnKZ2EadIOsaRorAeFbT3vHU02u6pyzSuRmiJ02NoVM6bGwsW
1qkhtQfcZkxW8DxT6hQ6ET0NHqAQ1s3cPduz9DXrIpaKvDJoxOti43vbKI6kuiGgh5e7WGwSwwte
rJEoC8J9w5NcBa14kg0aIe1vY5ntGs8mPx+NyfKJstEG8e7gb1h3tQ+frGhYqh7D5RtN8YO+z13B
FZdrvkZDcOCzaq3ZbMwN5mf42rmPwPOC6IDrh8+J0fLRlYnRPZJHxe+5Tugfi/1rnvmBy6MKXwnU
FD9Ccd9NGYhl8Zz6TMvRfhxacDiCcQNeGqfkpg0Fn36iZNMO0BwHd7L2hUHTMIJEbJ4yigkvsmjR
Xox42vJftRkx0p/ydK5v+frVtaKO8pjRs/5pNILkZLQE0nod8+iZ/OIQWVQvTvCVdnk3OLwPCsVL
E3HB9IIbe9LhWhXyIfJZ0iWM0x0hdrFpZpoGG068j1WPaSVqc3EtbZYYrMwEetMeUJTImEhat8i+
G4mNM7avQsKkFZmelvOJDXfgAH69/F6SxaXW5i4Y7eHIdc1g0CmTpvfapPOeSFOPm8LVU3EYO7pM
mY3Dx9HtyD/xEN2kKqbyx7bvULvtWxh95QPfNs/lcsxPPPloeMN6AhpJ4tAt3G0U5Leowjhp+Kju
zKmOnmvD7d6aypKXqofYuZaRyQA5qn0e5CWl7PeyEFcmv3JLvs78jtHAOUkJIicBDB2kJINKj84q
/2Ck8zfiA3whdsctvHMcOcSbojNpfWcioLvb4AmsVxN2EVaQ2GSF4HnFatimHyoXOCcJYfJWZ5S4
YjZltUnchity7hdccYgpRd9P2ZAm+JH6v9uKL7uOX7biPh4SIuUICwIJ4s/bftBCacATrz7U+BsY
+kkOACBaBt+/3q79y+4H0obgJFk4bPttNm6/7taCMG67tGoBhZI7IqDqeeJJkY3MV/YoFsbusnX5
WA7/+u8uu+s/vT8fZx3pEXamNjvFX/8uW/IcV+5YH2h9dt9bg/qqQo/5uBu8mPWrKsrp6iJhs1Lg
rUh++CV/6Wb7494f3eZf/npgsSvmBudFLPa9PyZOiDmingi3OtDjwQYEPJH1hHuKjgNPs9pjZ+J/
zbphW7JM3pZNoGz18QH816rxN1YNgkjirxU7Hrb/3qrx80f/ods5v7HNcvFCuA6QKjwZ/zRu+gSU
uG3w/VKgtwCeuPr+YdZwf8PWgwLj+Dgg+TF+6qduJ+Vv/FNBTEoGzo+c1H9g1vDMPyt3gcAvjmaO
jcQXpvSIXf3xIvMW5z1pwPQAiGyZDYIF0MqZJFO51Te40Nq+Niva5ryYTg+Y4/aRgTCAfD/DD1hb
g7v49eexyLaVU0UKg2Al6LipEYzMlcmm4WuRMKjhFrWPMLTEpXJy+9hy5k7S30rVG90d8tgnggVk
SHPu6SyH6oWvlLkICsNbuew9a3PmhqPgatkplsI/C2gw7z90imBpIKvKyHVXnNz79d7KvbjZMlgu
PyIBwKwznHv3lmLc7/B1IWLUJutIq/3xGlFR8vJBumlSiyk+K3hQy3r0mrvIohYenHFT+Sc38DRH
CaagT2qRF0RMpzFAUvSH2ibGM1HO0uEjWdbBOlg2zpYVNQdTSPEEg5pRyxrH+6oyuoPsY/k8D0x4
JcemBy1NRku30OISWYr3D3UqfEndnF9NiHIJ9zDCE/MgVfM1bRI+gdIGBZjgaX+T4SJZjbLhn32s
hQU7zfcpWkaWLuIFOGLg1Q60xdybMsIJH8boHJ10cSO6wTheGzvjb/qZrN/Y2y5+mo95sRtMeXFt
SkvK2GNeyJiw/D4Uq2ZIKL8Jk/4oq4Ak5jK287BcPk/6CZZJeCzQPLiu+f/8+EJzADcA85OQ6apb
vuGPiZGvVOtP7lSRABuAcYnNmNFusAGlmSUPKFy8hQoePiezTCI0F+mcrZaTd3wuABOYwOLRWOab
iegLQRePPaVqC4dmpayI8Ta62pa7vJjpY++H+XscEs5bmX2JVJwPVw4Jnd0EN9he099IHaKl0wev
hxwGc1MZ61oU1lPJgPL2sResnIILPRvtLtwxAvCb5tDif3kQ8Nri5SLCizrexxxHk0Roe64Gq9F8
s4FsPfnDzYO439m3uefxgAaPwMVnWMy+YW9x63lD3X6FXIaTB3ajuMQwjIcNmWW+4AoBmuhrEDG4
Z2nNfF2mAALXGbW4xOq5RElOcFueK/K+9oHmSHlczBWSgIfkdXM8xqxaQDlB7aDpinqugismFJ3+
OjJFRVt4UXx3/XKdoGShlC1DvS9bNEMqqt98ofllJBs4rHIILOLqYRPd9wFcJjbJtD+ELx+X8McM
PdH2e1MtN/sSvHgLXbbVA3G/Dk9LNN2PEbcCUdzqxo7xF+8sJNqXH/ustqrZUtW5vwhki7D444n/
cUt0bKP2cEf48D5mIGWycCQiUW+zxzZEObCbNm7niicbJMaLsUiLq5pNcrVKFS6hvPG4Od0K9Xq2
/ISiFweLy5AUvB0Tx1CiR77QxRTN/WCaXGCG5CbXGRVgmFCQ5z62fpNJiHqFTiuPXlwF56HKg/Os
qBBatcnEb6io1WNjAA+XohhPx/IetjdkEKPB8LFtoznYmHntHSihpwj4YyuqRoONd2w0MCkzrh85
YvLezXrq4i29c9xhSKO8ILYx47WwyG9dJz2SMU3BdCWTYl9IhuuaBSzPfpkZKOci5/dQSmAfSeBT
cdKyZJgm+kfr1B2fIPuya82FDiYmztRbZobqEAgd7YGAWE8fZytuBt0RhAcix6MOAuQWdAB5lDNv
eMwyrigjILO/yakhewrNea5PUeWxEZJlkccnrMbUjphzsu9sa8GODXxLeRLa7zqxWJpFOHFNhQx8
/WpyZ77WRufOu0lqHg22FMx43YQTkNpsAnkNRW4rnNRcLwLfxLYquUoHgLYu/HUlLgnc7aeCI5oG
r0a9BOyDZVb0aB2ZyIcuM7EVhfprlGHzSGKHqxuk8BNmSaSBxBHpjV13zYH4Hpr6xzVvW0R51mbL
e6a3aLn+O88Fyp30wYvjCFQlvI/8iX4QqiX16mQjRFsao1fsA/1NjrWB6zGYtL+ulR+8gN/mi/yx
pKVaMNCz5+NSckKks2Pqa3L+Csh0Q5DBEPe2y92V51mQAjLj45XMnR93XNH79stQtiMYdOU08e5j
Za0o93bB0frqRSSU17wMUTRlrw5RBPw19rJKiX7AdB63zjuGPBTuThUPIu4slITyK9yZ4NjU9fIw
UObycAa3DzaXjfEFsyULGe4B7mC/8mu8QXFcCvbxUzwdWH5kMWxE1DFCrCIar8TarebgpkC6g5Xr
hahSsAyC/GFOsbCbSe75nE4b0QuP0uZQtmzaTnZpctdkix5ecU9S2MESg/Y5WEQMSHy5X6uyeKki
0ZyCcOzMYTWRVmIOkc0Toy/Y9eVBRDVk/oRLv6ZBsPPvsaGbIfduL4GNU9iqhGgvnAxVN/RXRLTl
RvFz4ikU2qkMP6vW2hpWpc4azte6ab216cFsH1ZdIQpjOLTtdNRxV1MwGTRFeA8dp1oDZXqFuLOr
a612huvhx7P7VVp419AiRfM6of7Q6O4BQQqPJHILVlWyy5yEuZsZxdna1JwobizXmukC5egmWrnK
TtfQoIoDjkdchold03dpZ3KXlVZPHQltDGZHd4xDITKFd96AZ8oqEXB3k4s56xBwWTbrSHe4+Snm
C24wXcx3/th6J50GPOaSkRTKaNSUzQ7i2RY9CGbTLe8STIonzwq5egU7Xjf2yQX7ac3evh45Xsm8
7oa6MVz4bHnlShvO+J7bVfo8ecWzndKZds6Vth9URrup0erBX9tzE7CVl/13zanBl9gHsq0H4L4z
F9lWUfa48ZupocgxJUXSq54wZUsvIK54kuY2iZVO6vTWb3B23fJ5uV/T1i93c0daBzaquY2S4TkI
4DVnCTQyLxw+czKydpLU+wI9d7rGDvYxQdXbTmZeuqJGrXnQUDUZf0ocGWMx/k5Y/ckAXUS0U+tb
P4nnB4ocnHXldcWuokFtHwa9d66DBAKh0k8q6Aj/Ny6T0VYXqsJxFC5MP6xMzhDX24i54YS/SZw4
1DQOTlDpYxZ09rnCuEuqYCy3faYcRAlab0al/K1BBSHyomvQgltk98SoNh5TJwxHccdDAPiJTZkQ
CXL3mIMoeohoOJOlLA+WoZs9/n5m1oky3DEKOCPM+MLo1jXeNImKTVo3Aalj56FLaLylq8G8Zk3q
n6spb5+t0TLOU1ETwjR8j58bmF2/tH2O1zC0rPmEHK8g67bVp3RB4CJ0gnnj+kYBx9Tl48SWxsV0
FR3bsHcwCdq7zqOpLq2ygnCv571jJ0FHWpQ8gf9t3TeN3hkelw1gp4Gs7dx2ezPM4rXDGeGaxf//
sXcm224badZ9l5pDCwg0AQxqQoLt7XR7SROsazXou0AfT/9vUHaVpKy00//Yg0w7M60kCRKBrzln
nzjUbsGDiHSa01i5X5okdnaCrAzG4maxnlbWacGd/RYp8n3CqO7mD1TEO6prRSWYmlW45Ga+61vH
e4paThROflXu0tpihZIKeWRYYx8IaV3CTiyE207kciI3Ri+9aeyB1FkOElrtNuxd84FkzMIC/lwo
QFmy1XP2kKK2IyEuK1degO7G+AuHP6TIVUvKMrXBMz+SFRgnEWLTetWd9qsCFfNr6h194hNejLwT
Po+9SHhgS1CuKiSsatWySk/VN2nHfZHijX9pPL846VX9Sv5kvgcNpnckIvAfM4mZc9XLTjEa4ZC1
wqqjTb+ravOLxJbg+Piald1tsupv11DhKxzNN16ObJSHV/RYrnrdYEK9toH4GaE0a1dJb3eR95Y5
gddno73ofjm1AsxuFz1wdhEHxzRu0V10EQ03q354vkiJo4usOPpdYzxdFMfuRX4sv2uRxUWYHH9X
KccgJuyPuMx56q7J3R45n74d7/HjuOVVy7i03edkqQDCdUuWn6MSjPldWEs73PdUW9XUUYh4o8Oz
KWV8vJzNVRqxCDSgzHPRirUTZTkhML8PR/7tfObX6RCts0tjL2ighaSN/kWbMSQRM7c+zZBEB4zO
y7q251ftoET74CxoCQjxDKhGahaARJ1NOQ/fPx9P/SvMGEEI1hDeyAqRtMUv86kp8axaiz4+ujP6
AFaBHTPXIbAicWsBso4pNqPmkNppEl/1TaSrXUNI+21c9daTbw7WrcMudvw+M/o7lwWVDEogynbP
+RfxSGUPUQ3BIT5WBqUfaQbo4ueU4HAqsqjY9gA7ynAoEZyGxhg3f6XsWKdiP87suBi8vLf+ixIc
7uXPA41qkTkxBJprshS0QhCTFkIvutYvM76QZHGBKdmTbz/lMjJO1lp+Vw5RHlcjywdxhwYVUe/G
zPs4OfZrB920cZV9u6zzp2o1nPztLxG5h8UYlVkfm+ZfxTZjEKeGbfgFUckjqA62tUO3ikwaiia0
Be22akrIEXPXvhEKuzy0PVTeNqGXT+tZPZSgd//iHa0zn58vIaIj2yGMypG2xWP450touADDBuoG
IgsNysaLCqFnJPXSMeLB1HBZNk1CdF8QrNinZqS/qCZkEgcL+jzqw65ZezCu7J+/Mfv/emMr0wds
N/Pmf5mIShb3qlRtckT6ToUa4zNZUyumScmZqsjuqkdwLr5zWup1nzODlMrPoyNGhBgj4VUXiQM+
fLpl4n+oi62eNtZIaaLABlO+p6vWoohWabxaZz0oDbizDTLvKE3ZeJFoyGDwy/emNC0nFB56nQJU
SwMpOVqlEGOm5/drHfeWVsDEK43+NN8gGaUD+vPLIX4diwcWg3fpeBZzA8cLfhWHJZbRpgu7+IOd
uJyBotZIEHxE8fxmZt79RauBGgkLTCXWPfVcJrwtmMv6cQ48rlZsQ0/cuhq9e1Y4/C0Xi3+fYeDE
u8t4yBbrlHkivBIywMSa/liD5sOQI5sx3sUE7B71skrDXIGRGCPFwroCnHz55fJh/5lE//Ukej3W
/0Q7eplEh2953f8MELDBtCAofev6//4vI2CizPB5vWdsHlrCYtnwI0BgXTKYAvI+f+FE/UM/esFr
Iclz2O6YCBF5xP2hH3XfBZwNWNVMBO/rSft3iAKO/HnZ4WBaWxMOeJDCVObnbP9y5iCAbDA3SHGt
kXXE+pB2q0Y+rIW5KZfuxkD1hWCefTWCbbLSNgzJ9UemZ561Fal17MbGuI5477ulNcp9zB4b0pzu
buq4OkKOHM5+O8kQpL53VQ+V8dhWEKgYGhtXfeqvOKjSexzpOViqgl1lkJwZB6tp6025Lpw9UE20
cNraC0ayROSMkX3IWky9vG+IIG58zNPkxkO9cRYBaNikje4n3d6B6g7XM3YD28s6tl2DxQ/BxVYW
3tlyIsKt8iBkzf1lYFAbDlnTbctRZVtlV8sNqV7giYmno+P6nBikt7dFZ+woraw9Uyh9wGHN2ROL
g1G51WuwjBlOqDwNdeHsyPS6Uzn+BE5rAsxEzyxUlowioK7ifWGPb5XwdLhSDj2BHxyXbkgfJJqH
sLQszRBVBNupXlYGTzMeQTbdqSUwty0R96xUieekBuMcNRusCKZrM9+FQDThUsYGWXRnurGbxEL9
Q136EJjltOthPAflcAS9heKfaKbNEhBSCPzJDEVkcg5n1pYU1xe3Hxc8IeuHIH0l7EHtYA5Awq5c
w2PfPPxWdkB05rk8N+TUXTVoB7Y2GK5ay72BBWzv6rYKYUiTc87Dd9O63jGIgnO/wGH2c9FsUh0Z
L4vNgIGW0sWtAynIHgiVFQ7p6Qa5XCdBFfMEeRb2g+WP+EII9epmy4VsbNA3zKYTVqg3kNSzgh88
mFzMknaBlX1q5sa5agnkZahADLdrt+HQqWlj09SwLJSboKVtKfCh51n7VHfeiz/r60xMchPDUtob
FW0tAtXkIJvyTbvZp6ztnUNWYyObsokEpiAzzq0IvjpMbcN+DNyQ38RTAdnGm/hJ+Cq+Bxxc74cY
CiLNT0FGVs+4w9JbpyvMjdW7J+SY1qfF0bhfVXc1G/lvuFnm3YzAZ5el2XJ0K4amWhMCDACMiPAq
a3GqNc4x0fChHPLqtkwv2zC31Aej68swl3MUovogprVe2oPl8w3W5F3uvaxU+8jOnpXw4htUm+Xe
9n+Lg848z7Fst27jGU+FY0FWxannhLJI04dyxDBZdZ7J2AGXGuxt9QT+wg8RyOcPGqV82HX6pgNm
uQdgNqHxSry9pvEJXWHKXTXDgO6FYUJ7VnpnwiXY8bRLAGaTAgXTLdvUMvNOFm3sNo39ETdJTOzc
KK5oTYbQYCj/jFGQq+iTTS8Yb2y9OJhCl4zJjemuNgs3M59hhJO1aFged26r933SkAgwAKmDv1Q9
5oa9EJ80mGeLcYi7obbB0jYZebLzGn8i/6f0tsRD5zsbpdmetzpcS6Oy+QeN6wqd1IFAz1uGP7+l
owfxp6IbHFuQBgOP9VBqrmfDJuMoiWIEO2h+w+zmA5yq3fPKRMGr0z8Sx3uiJvbOPqTWjaPc1bXV
7tjw1LsEzvhGT4UXOogtN6INPgP5ekhZabEdeF8QXrYxs9TCtmh8LR297AsCGJiNXacT/3wnqwMC
k3U+UVV7GRtqiwqmCZdVtZBI2wccnb61NSSs2GeKXIv5KFeZXpFLA2XP0G9Z+S87kWK9UmSfbc3Y
UzeLkHsSJN6CdtW8EPADHLVzHyORxNtSBrthISaPWw0aVvt17BjRSQ0S11WZfTALiHZQ5vJ9Vohx
R6oW+ok+b8IpKP0jerK7uhCfPK+7zmInO3Xu/OJPOGokqL5tsdgeuPi0egqC8RXf5hQi+v4KLBk0
VLSauOLiSVjDlXR6ddv44pzWiiTgui7Y63gQbdT7IkH4F9mJvyU/6ptSgwk9j1AkVw/1wXGgk0RA
L3bt1BfXbKIIGZ6VD/8LZFmRVVh9k09Ym4OnxSGWsKisK+1lw34US7vv/YIZj88rVlo/MSxO33fQ
nDKLh9BsYMXOJ6zkZPkVezW47sYs3cd1G4YAtk0xE3anWIGxGEfbQIJDTDbSfjNMytb7WOTzhyka
hqNc5Jd6EKzX4iLZD6KfDnM1G3vWRgxXyjG46wv00rHE5eo46xufbpoW1U+P3hgr9kOd6XqHF2I/
tynCbM8pTlZivA4BEeEtrEMb4h1n4TCc/FErzppUwUmJcOnOc3pOmIAfYoNTDmo6njGo7KixBMBL
bbv7mHETCdj4r0B6W4dYZq8TqRsnbfhPS99ddWi9N8xbv9lGI89FVUTrqAnfa4NJza0lcWxOaZ79
hnVa7fAk15yqe5DX5Kz6CxyX39AHVv2zAxqQ3FMGbm1Q4aRFkNTA9AIMNL2gyCnlCt/yuqzYtPz6
Sv8OMWFA4phM2HRwkyE1dDsb/1adjtZWNp6Inu2B/hFI0rKoDniH29Wc3vmmha+WwuURkftgOyXj
n4/1SBRQdVb22Mlgm9WrDGdTZQWCLVKRGhzM6uaf8vo/sWatYwpKzX9fXr98RRda9T86s37/M38o
PKx3dMk4EJAnCS9wKYT/qKyl/c6hhV79O7SrFhKL/62sL84sAVmLyRG1qkSX8UdlLd4RCGUR+0Fi
h0W1K/9WZf1zL08OkUtKteQd8iKOY9IS/Kjv8K1x0Bj83aNPcikCMQLLs7i1Nz9ck/ffZwM/SpV+
HYX5cHH5jFTpNv2D/WvESEQ8lbDrmPC+rKqszWgGgBfnqP5U9VgbSo8pQaEB24a1Rnf956+9fl8/
jSvWF6e18c2Ayya52D9/RIwsaC9QSR5jJ6jzvVQdroMZ41JJSNtDBvH6LQ7KJth0VWqHnV7Sr7PB
GHznKc8OC7AG6OtYVfajX7BpMlpUphBQOz9j+5sVnHr9ojDuxrEmiUQSYuwVU/j/8SHoywJIQDRp
iK5//hCmcho0mTo4Ml8WyBNrvS8Nlrcpy53nFpE70dM5OgIDfSOPzMvuEwcKkhv2FH0arBAQwr4x
avhoHBi8BUGi96NP5PAcjDkbGOahZTr0aB50j5cH5PBfjCN/lRKt34MvvQBLng9+RvwyeeuYwA5M
9IMj9OMpVORfY8IhzUzW2bc/v1q/zvgur4Q0ysUf52M4/OViuVAXaKd4pZHe4YgggC/P89uz6u32
3nQpW//89dZf0I8DsfX1ArpfZ1Ui4AFcf4E/sJ+FhSOjNApeL07VPSdKt9EDUss/f5X/4/o5aMHo
z304rYR4/fwqgeK4KIjRPSrBqNjnqjV2kB7z7q/sZJfJ9C+fxxVQqSQ3HsLGXw+FjOFZgD7bPwqC
E05adoI6kN/Mshp2ltIGFGYlXrdBwpE/LCPyrabw8tAB+vKQDJW+Kl23vVfLumD3RhzDuAtY4o+W
TdBA0RABjwT8kPLbfEb4UNGcaZMsFcK7WIc4MS9ChyR2li/SYye87nXydHr886v53Zj506dEpIFq
FN2dZB4cuOv47IdvLRJRMSRazccpw1cPfXo6oazqTgZ0DPLgOwEvt/42k98SunnBAoSckSOmJmot
q+n3eaOo8PJ0QihWkZyJC+jVQuV562LX/iSnsnxFurtT1iQeraBcQ8pZI22VR6YNxGEy1AlQpDlL
5uckrkRYxelyyLF/ZGP8ieMsP3oEmdzFg3CPY1oj4PSChFCySOwIvU+PBsaebe2m5Q6pm3Xo7Np/
QlubnTKDQVsFeK7foGz+nPDg2ZYoQk9Oo8e7hlUWuSRaOtelj3VgjDx314zC2XoIHLboY2qG8FZM
7Liq85e+W6nOFWVFuRh3btAQqryw58In3u+YHNgHN3IgKWVeQgQnBvfQkNq5d6mjn5qhK1+ZGOTf
IC/WFJ9mwDJtBUUzNKjZD9eICj5IBCmhLAVatCAoTtkCck63gXfnIW0P4ThWwF3LdLob+gpaRrZK
QNqOVHGED0mUfzVyw78xoLaFTpzGO0OqM8FzvGvPancMKU7zaFS3cNkQyczV1CPVB01L4unBbLLr
9Xri3idt18Y9tulqYm+s0v7oItRCMZeYa/x7ee1EzfJsFHkv+F9NfWthk0EUsHLtTJ4vW8JL7YOo
A/+Emcl+U5HXvc+4TtWpN4dg28qOhYKzr4Dn7KAfsLRubfutblW9zxOBuKeZqWNrUannikHLts5J
QmdPDYmANI3jtAz7JLHvRVQObJSb8QSLYtksBqrMlX74xVZ858qzmvtFFTdpBIUdPk9OHksxhEOU
q02CO3SrTLwNAiGXGZM6kwVz/Fhl8Q0InE8J7J9j0vfmQ2SR5JUp75Wu6E2UVRVOWIkI4PXQsCFG
wXekrGs5D9O5cnOiZkYNjRH14GbIkKj0o4ngj30aRxROIqussq2DSvrK8OPgkHczQRKGH3000CPw
ZmbimUSOfQxGTI1Hq13nwyOzOB5D9Lux71VhNqXsrWJPHFTXGVcuTJjrngjjrSKy+y2bOpPddSd9
5uwAzjamyJo7Xa9iePjr7dWyWM4pQb5/tOzUhMTP7eIZzHpyJi2CicAON0pCO5rQ6vZJtBo8q89q
dOIPGU3uFw+z6Qd7VNO59P0R40PAlJFBx7UyCQFpeyg3WDXG02BxfxlLjrSyWJbYpjGWnYUEMpAa
2nBLRHBJlhqdmJ6fnRGGvG2CBjPzuNk5Re2ANRnQV9ro9wnCqa5TrN10jJgeGORV11k10KUSxtie
gwajgleTB2V4gLjazsz3UTYu30bYNvWtucBliRqKAuzv5gYnQh42osSQGvPksHTkb4Q5NDtznMSO
T6zO0kPbMrFADrGALFfwWrpXHUzOneBGvSU/vsViErGkRuhRj18t/N8hMWj6uGSZ+pxIlttencqX
JIVsQg4Yu1WT+qKoMfPk+UR1MlLyAYY2CX0MMt4dIsp2M1gmxYzp5Q9F7LQfcMXkIcnfE1Yb6kLD
bYAO5VhAJ6fN9w3ahZe670A8pXj4tJGYNMTIUDLFh2wbyi+vqKOzDhze12I3t3aio7PsVj/fZMM6
Y/aNv6Ouml2gRj45M9m7dfQYuoON1qSHEYvZJr7Tsom6DTwk/owIiu4V7fDaauLdm5Dwkv00Yo+J
DG+dINkSvnWfZ+7ODhL3zuJgIG8Fr1+DnedoItTdBnKIztQq7raJvIAJdaHOI35+Zp/J8o0aeHxJ
WVzv7Fq05wwMPw5Z1xEHyyzbQ1QZLokstfGw8AIsRelAEZdKxJ/ukrifWISv7tPVk2lKloJRHg8P
ykRpoFbvpum7dL2MQuTY1ocuE3piEmnaV+5sHvqWQ8FSg307Xoyhq0UUT6u3HYss2deribSuhicr
MgQw8z7duDmOHhQUgE+qAOBNEo8HdTGlcvll/lk5fptcK0QvI79mshmQhwwLoFdsTcpmknYdRCWO
LGdecI+CMHKS23kSc6lPl8f7P/ugv9oHoTagMPz3DesdgfM/dqurPIE/8Hu36pvvXBbkJuscSWP4
Y7eKH8EnnZZNNDHTbNF/3ANZ73AIUH/YFnX92uT+T7dq++9WCjQrSFug71lxHH/Dj2D9WgPLgPZB
uBwgNmG4dMa/1GyTEY9J5brwFM0mCkWm84dkrSiBUENqWtzuNbAzvWfkr/fWNEdnv6CjZJI8P7sV
RgHHy7pXoha4p2fOnh+u5H/Q5vLuhMnH5w1i8/B+XYwHg68i2g4H7ptTv7mJA8DZTNYDcaYSbtNi
OXByM/5u6tz5ixYbPQef/ad6do2eYdFLr0tBe/GL/FTPJsy9vCFtyY2LPpRthB51GtLgJg9U7YVe
48prYRJhxmXy5NXsBOkz53j6adaV/iKHDmldoxf7HBdxt8uhdB36Qg3wrdrau5eM/Zct0ET3FE1l
f201drNnueOAcuChlc0lg0Vc2eVdIhb88xLPLQC9lkS7iaY8HAYNVMzHV9lu7B4k15h54iP4/HxT
I8HesAYH7IFteAf9dHhIoIihrHOqlTpo+/k+xr6bEFKXIPZMHfPVoIiDGSGfBkCSBSrClqGx9Jrq
VjkISgyQilgwa3s8LqzntzkM5k2Gkgzcl5xGYoA5MLdNUiXbUszLBzBH+Lsh6FnX7pSxpVBL/+pP
0QrnNgueWqaVzCOnso8+y86X/ZQUHtGmIkV4KagZTU+0D6vs7x6bd2qFDFHMj0Vteuh7pKlCH/ns
bhqASu9HYDBAgLmVALT48UxUR+vhjkN5+2QNdbKrejkNp8APijjETNM/zOnAXsKyJ3I9oGmZe2TM
PMOrqMeWsXG9xjJ2LEXtq2pWJpP0OBUTZzMyNaTZDl9rZjhHFhfCAHCKlGty3Q8yW3wS0LzqPTTW
eY+jR6zcQ4QMDgA+ACbmbO1Nnu571U8u/hVhHLTwsfAnYtznEBhJ7wMVBWjyBHqofNCgJKAk1EN2
1pmfhb7byzdoC81RUzHvgqLpj0tKnOa+R5KEFzoTqLmYUc9snli3roRDi2wKfz4HvoWxP4Mm6U8J
U9NCuslXZzLHO6u2ZneTVrL8ivIB9gE2ZZv9XQpuNSDCJaUm16698aTyspB77xEoALSDIU8HHjtZ
RNb1o6XKdG42raxqnuJYZOJtBkjVApnY51+qDKEGbHKVHYRZT1+Qx5eMrCCKEiTdVA3qVuKDVPo2
pkXRHIMKTcRd15G9rgfNHMu0s/HDyiMJrhcyKd40RtFhGwXDrLgrWqP/XEUDFZAK+jbZQm510l0/
qMrYwdVbbuBr0BB3puyt3TAikXpcbELpjwsjtGFrRNWqEa9UGYdqgLjxCUMI7TgBay5r58Wt0PVO
uXnUCIN5FFCNqWRKm7BlmfPW1QzaVg0OP/XZrE/4MPIH8pDWwxC99gZaYXWX6UHeigHUKsTxgFdT
62dbksh9JOoVYG/rdlRHzOG71z71Mmjf6ci7Z1Onj3At9TGtpwZpqYubewQKvwncEelpMnEj7zqE
ycZmMOfhNzNj9XGTpco1b4NoQp/XwDV7Q+TPvhKduQZbwVHO2prr5KDB3fWZzzmaG/0Ijkbol6Kz
jbTe5pOtybmZ144eLJ7jWMubOwyIP8/+mJr8JYf3wdad5CZWOpva0tP4oYrnIgVmBsT7jdDgkp+O
0t1VrcAltp3FO0azWBv7iUSZbAMsnFLfF8UdniB4HlS7THlI3ZxpPWJ0YXXNjUX6eXGn3IK0Gvxm
tRv6KPJPM9w2upKxT8rrEigOuWC8A367IOtP+Bj88dZpQa0jPHOjIaw6JT+hD51AfaYqD7ZFrCuL
zFiPMhetr08z18rpY03czG3iLUEZ+l5WbyLfdE4xgt1dPoHV7Kz+2Z4n7zSifnYPsCym+8Er7CI0
cicaDz5WAJIm/bREHF4jVXDcLNpbg5nfJPYYofeFmngN7049CWT3UFOTwf1MpJ6HiMm2KA8norJE
DUC8wFx+7UCVuSLzIbkepFbdhmUIs8XWb9ydPyvryibk6xQgGYb83kXGU85zRvORgyV0QIDWGyzw
UkDr6Tpo6bUgh2HpGQ4dqskmIxeGWKZCzvF45e06BFhy4Hel3b3+Uzj+J5sOzAZ/DqG7I7G6rn4u
HS9/5PfScY3hQ2XGiF0E0kaqw9T1DwmRcJAX2cx9CSjhV/gjgs57J4AI8efYg6ASElR8fyw6qCq5
LdlNUM0gYzODv1M6Um7+XB+xKVmd6BRnpuA5TYX7c+2Yd4POpyFI32c5B0uwRXbDblvFuXcXRI3j
3Dteq7pDXZhwaqOIFQx6lTH1tnk01tN8i37DYoNHitemI+q1tx8S+M3F/Oqyas/NrYcHaYOvNT9y
v5rT+75ozS+l2Uw8kiW7BX+rrMQ3N2KwauwFNWMPfzzUgRPvyqTNzmVWWd9swCI1UM/W/81YLeMz
HP+zzJ2W5jlGodfL4oGMqOgQa4KpbXpw+uuU5xirwwEOKz4wYLJFo1xuLcd4lqbxmz97QAPQfW8q
anWSysYUIKbOMGk56UmCwfk0rccr5RyKHVV5yYMiHZfwpXpe3rMgigLGB1OpdnbDJ6aK0z0nOekP
ISCb5KqNqM/GlC44nrzf0mnsnzvECNmtK/CtYcmVd6ky4UsshORhNvLWlQRQGuBEAcuHTWdijHuU
bg/Ih29i+RAtdUWWSTAOcCSi+BFtWMR6BrERhBfe/in1ouRKTzO6foot9+A5M4O6yh53gZczsTSR
3lt7ybyCopB1w+uiePrGcQv7w5djeTa6Ctey4ZJ3xUpa+3c+SfQDW+c1tDnTKYePnJNOhxnHkQq9
Qi4fKR5b7z2fRJhbQVEwMwGBCk/uqc1jDc0oiY/JN6lQtSRxmh+71Bn2U2x7odumTOHqRN63muoU
0FMeh2Lp63tQ9OpMpFjEKr617g03mHbVWAJRcSQaBqVc78tEnmSIUGy4RRyn0Y4tdZmwe14ok/Zt
ZTTXRKlhfjGrgQHAmWHa5DfbwMUYzTobDwJbd5qm5r0D6LQ+aVDLzgYy+xJXm8RHUYJ/qQMGE+WI
pTbUAb5P2BmLCCcs2VXb90MX811pa5SPEFlSTKcMX5uXQo2yZTRFeN2SBISxKXP1DqO7kl3oibgj
rgVJEnwbUOhfylYuDesymctN4S/EtY4QTDv8fXN92xl+ej1WfXLlRdXE0DEh0C4HwbVbQMAspzlm
0oFqiPkoYiPPTJg7FaLGyOQU1qa3lp4gRh0b/dFUpdwzSk/fpzMMxG3SjkBcayJDuLMjHw8PyLm0
D1W2DiebCHHytSZBqA2FAdC9Tvg2w2Zckx3NylB6kzFnj1me4dzbKswt8mbW5XRbdK55UPidUOfZ
McE8lmMw8pCQCQtDprcGio9xP0ZRAVTVMj30/4U/fRAArw89mpr47JgdLKk+0/e0DZ8NHVTcU4R2
zlsEjIt729d2R63cMrjdx8NSf2BfajobH7vPk9bAnw8MpVV14L9koBsYVd8fOYmWR6cN5vokXDQd
W0pU4R0KMxEsN1bXr1036hvk8Wd3AEMD57XTj2MuxuY45YlVg9db5tBvDJ7XXWfeaAIQ7x3E29Um
coKs3GUxp5k7gCjJlzY76Nn2z5lBBDfZYMY8X8/WRB+H0lqHvBIBIX7U7QorjkBz8V3V+7jRWSgY
kt8bBKmMe3tIitALMnFVe1Wws/0MJ4CRrl5dJ5mtJwJuUtziBVD0Pnfi7DfVyuwtM3vjmT3U+JHO
flQ0jY7DvebMYwgzxd6Vlmf0J/SRuLcx7HQ74hljdcU/4ODLMVYXI/OMZsFM5+M0ODtY1QRUR0e6
DYKypaBrQrRHYiECs5gWSzHOrShjj2yHkEVFRBfF/QbXN4ZtBooD+2wSh54sxr4vuMlfsRKQ7Pnd
MhxUpjh6/iTvV2R1GPeYwXqRtCcZ0BtirWb2ShBAFG/rGcl4FXXObVEKoJGlAip6M6m6vsHX42UH
v63tD20/f8AijdOvB9dthVYaFUizR7MHqEQ+4nBTNiXo08XqHsDPZGrL4HWO760ZqhKSL6dY9HIk
ZqKXeCcdg3nBue04NW4dP7f2/9RT/0k9hbXEogL694O4x0uay78Ks3//g/8rzEYkZXmuH8A9RYb9
Q1VlOu9MyCA2jgdHfmeH/CHMRn3NwA25BVsrhB0/FFXiHYNmiCOejT1gFZ38naLqMir8cegEbJRI
mHWP6lnMvnA1/1xUBSZqqChqjSu6rvGe+g+UHQrCU1nofCfZAIYY5cWDXXh0HDXjHQuS+sm3fPBp
eT09LTwBOWq496y291FJm6O7QcFcbbEJZ1tJXhY59PFD3NhHJ+9HjqF13OPgXx7y9xMWbDRtMfbX
nA2OBWxky91DlGfJyrJzcu7d1inEI6tDmvdGyK0mKenWmcbuiWIIG6TsnXAZVPHFNKg2fPuZG+ab
3RDXKKPhfgkWkiNqzz20k+tUGzsbyoeUFvmMIpjNksQ4twGRkpM3q9MwK8hfWyZPnsp45rBk4nR2
VBTs+24ACZ7X2oPzZpq3yjPEjJdyiZCiEHhCtdHa5IWYpJ2tDLAdkzWyE9zWvTaVf+QUf2hMSzI6
C6wb0oOvqmguw2xmxBP7HB95ki8bjKLRvsctvOUHU+/8yoKoF+cQ54jtiHNbbfmySpY7DioY15BU
nET0RjVBLYMjm/0s4hkxW2VbhFZ3TNHyQj+2Ljj/aUleyKIRz1PpeqfZkePHyqrJgWMSEpoMKKLb
Ri2kpBV1kir2nUZimVdjFdn6sVJ2zootnWrf+Ay7xZJ6w4jP0PsBgRzFR0WO9Ra9LLZo4i1bdgY8
/x6AvPq3QYxVGaFfa88k8YztdChFB7EWiMBBspkk5gzv291cMiQzZG+Chk+NksW3rzt7BIGUutcy
VyY0dvIVdkauiaZBD10C0huc/NZYKA4NDDzzjKeAB5ZWiqDn70K6/Luujv+jVWXXfNfcyajqVwXe
qsZT35V5QVenq1BPkT6RTfcM5cpD1da+jO/YDYHY3DO2NAd9cHSjeoIgFgZfz5M5kM1ljAsFPvbe
rCC2S3wP8TKB/6yZXjkTBCK+phT7ULtHQkn6l7UGgWGxn++nSzrYckkKw+IAZixfA8Qoh+nljaHD
qYT7x3hJLmljtN3MX4GnzTc5yg+Gh0FL+Ejc8pxuRfRQFQmxipwkyD8z/MEv0fdss2wR1rZcI8/0
OHnwTS9JaAOFZIVKvKrOyxqVVq+haamW5Keh2V0YFK2palBQ59c8XbPWUELYn9qEALZijWJr11A2
b41nAx/UbKH0kdnGG6DgMDt3VzI83c1ruFu6xrx5AK5fqJmw1Mp2zYFzLplwVmCpk1iD4pI1Ms5v
JOlxbrcmycVrqByQhB6n3ho1119S5zJ3TaCz1qV9Ynb9w7AG1DGgiA+SSUhije5dgPjiKboE2l2y
7do15u6fB+J/8kCk4FxXFv/+gfj+a1V1LDffqvRnp9L3P/iHntJ5B/yWTRTgcZRd/N3/jBkuyyug
HAEThYvSEh3WHw9EwZgBVjmLLdsKWJTgL/p9zGDDx+cZBgHfR8XF89T5W09Ebx0j/LSGQUZps002
hcO2zPt1RVUwktIl8VCguKt8CWn2qfncYiKyPSKoeOW1WPa2LFNV7qfeIyCbI02dwOUy2NetmpC1
FCYxUW3XF26Y4CFBl8JSl4nx52bso7vJ85arciGsw0nhYZDNQjYA3WfXQaVenFB7BRYWwwYnu0P3
DsVBJBDidtjH9cFA7/gCaYa2E9LhLYs7Ezyo1s+RMCBgOLCxdipAGrOjmWsfITPxTDBbclVCazbl
m85sxDWkpa1tlWejkmFqkMMkxNsxJNUxlTr9alhW/HnSRnoz82c+uEudDSG5mM51UhbEa1iSOfAG
yyvRjoMbY80nu+w9HuXiaiTJ6i6tk/5mnDo8VlGmt5EZOcWm7sd5x+gD4b6Ms5FHFPn08zwNgMdZ
iRdlCakT+q0Jpsi1n33FZbYMCVdgWLmWlRcPuwp5KD6ONt6JgCvvpI5FAFtQvu8N29v3ni7v0SXW
7zNWeXcJ7BmylUxS2xGR0bz6mk3SlMi9oBbqt0jPbyppxeZukd6UbFROb7OtXPOVjVd/PdTOh86N
+0er6yr/wG4wKOgysxgQ4+Dnh4q9+8tc5GIPltw/AKWhevl/7J3JctzGtrVf5cadwwEkEt3gTgrV
sUgWWRRFkZogKFJE3wOJ5un/DyX7WKJ1pP/Mjx1hKyRSxUIBmTv3Xutbag6Ca2zX8Xoy9dRHezxf
W5Zq74iWdJMNcVWgIhdoJEfFYiNz485Rt/mClWwRSezoBNzKvqcpzmHZXFze/ZOxICnB44w3iigo
34NZqbVu51tnjGUE0NJc0JZ41JnOV0lxsvROXqdSfIoHaa9x16fracFjFgsoc+pBZtqale8HKJp6
aXR+St7rXdCD2Oy11lkHC3aT7vcuTWj45xJrRNTr5To4ozq9hdqZeIHF9g/JE3PuixF42pYDHLDP
qIP7yU1Oa3dhgbYzVFBwQmR8u9ZAyLqQGIisU8nd5uPzuUTkE63QsSE7i9rHGZQcSUqQRyOG0Str
oZEOLZ2DsIdQavQwjjMFtZSeY3hRLSRTK6uqawir3sGBr7NOQHii2CN3JjtTUFXNfXNGo44LJbVi
CkK9ElHonSGqjFtpbtP8vpsWxirqTwlv1SZOLjQ+ukhc4i0TxWGZ0RmzhNKaDGdmK2GGC8F10oCr
fxBwf4cPFudMOK8WZBTjwZDcCxvdSuJLu9GdE9ycIPo0yhkpUG8kmbktvJJJCFF4E6+v4qPnToLJ
d0USXwYZXfkNBpNmA2lesx5HzyySi6FcKGJZOSfDagS7JIsdopJGfVBxLIcP3bcJWXgel6WmrpKn
NO2auSD2MC2o2SKrFf5U2d68Vi0z0zW3WRg+5UYcon+LDPpCqVbm3J64Atm+p9mgy2nE42LRGSaH
wGDcSe4G+GuXhqhyXfnUlwjyXpzUM1Ib3DbxQmqV9V15YHBFEgATTtqs/M8O0osEeK1Gx0oHkn5f
pL1N06WmC+yLjnQrHizilP+7U///7NSGeeZQ/vudev88PMfx96OAP7/lr1GAhVZkaefDfjWtb8aG
v0YBtv6HgPuwnI7BY9Dx/9ceLdijEZBgSSBJRcKb/HuPNtw/PJhKNO1N3TH4k//ITWxxZv5ui15c
CMsggrICGa3L8Zrj8fdKCSQcGbybUHyARFD1q2rOse8qg1rCn6nDryoZNqcozpoXUs7EfRSl2h37
BaMoqdHEzGLX8jFT2sUKjeGwRgfmd55WAQtSDD51nb/H1kJBHrcqGTc0Y5USnQYDviQvbNtLIUB4
gT/AfLigRwr0bkk67UoxYVxMEEl7xIdQkGr9V7h7aKIjiRRPW1I5qYo5GURtNzx7YTU9OyjI4oX8
i1QNMRaLQpM289Yh+eNgTVr1hb0veaYxP91q6WSQTpZMTww6G9+DUuigBZm7r6oJjZWo4G5yODVO
YWSfjE6DRoxRV3zszXFOf+NnOEvi/66Szh8BlAbc4WiN6FMvVdz3H0E+g27Sgtb+MDemd2GZLKRo
QWmieyVW05UJjNNZxSL3bkunElfFsOAiYd2Ulh+nuiIAlCA/x7HKC2/uFX1KK2JoLctXI061TwUz
6rsIeewGzlNy3VudEa1cNpeHLCO8LoyaatujmL5x3eZjl5nW3qqGK2IWxb2IxA4k1iv2rfrLd+Xs
7bd3970LxluaIT+8aak7yw3sUodKlITLffmd4rzC2h0GelV8gF4ePBnLpx+WpfGI0gm1IzKRiz4x
m4s8GTr8s0VOqojWzduWMfj12I/6l4rYzZh5+jDewJBKD0Np4nqc+BUrofjK+Ny4hBk53ETAlq5M
+Fa3lhs80PYUOy+Os4e0QIsJt0/fx8VQcORqtF2qGFEs3IrNrCOcpsegq0t9Nl8Lu78aGmHsuz6w
9syd224lsbrSWU83o4V2lNIv2lrxU1Z5yUHKcniJo9JcZZ05vFRsQYTjAKZvOoO+TUQOZKX6bYcx
9I6HMj06iiNn1qZ4GMxXPY9pBtgBpdw6TWbr0pX4NBioj/06jtt6MeN6O31uBIZ+nC1OUYx3sKfs
Gvl9nFznxN9dTTgBkS0X1VeXGTxxoyiXcWBbXr0fEXOiv27bPfjK+DJD6Xwd4FG+pU2irq2Uapuo
0R5cZh3NyX6CJ+b5swzFnRZ3403bGVxQEYewMt0Z5PLybNJPOOWUqZ8kjZAvHtTPKylpf+h0Z4+/
vnferVkWR3KmpAAVSEzGYILJ5Md7h4jAIAiBedzhyJxPndcXlPJt9jCNJGg1DiJzuDfcOwhsXgbh
zn7btSi2JK2bV8hc47HCY3ioO73+xGm3Aj+Y6TsOv1QHMl3XFGMf85q/JVXoF+Ctm8UOxr1xVS7p
jzqCnQ217LiZyLa4G/UG/Zoz8VanXpuuJYoZn+Vq2ippkXhUzWV6aKwKCYvVaQLkfI/9IRnVeGzo
gZ3Ot20FH8GPY3u6bmrLQFBWBm8l6SqPrpaj4ksMEolJ8jrGbdwkq7yKmAiYpPB+KfR0V5MyC6aW
/leEL7+3dxCVUmeTImq4cfW6nL6VAv8WWnQeDv/96C6Xn9k0sG/Cy1D3uecApu8e3aE2WloBTXBH
+LqtrTukjuhFau1DMnu8AyNhKGjXrXafTDE6IWusvOp6bDA47FxGR9PK5BnsVyKrkSSmqnpOFRoz
9OdDRea80QRPjWSysyJfyUDf3Gvf2vD/0RtA6cmPhfHKdMQi0fx+7SlQyDB+Dp27zJ67zUhD7Ihk
OtzW+FEarG+sM0ENCYuTMktMEVnaxnaL6lkPdOvSGOzgjWfPZGGeymdzdIwrexjTQyQqgLd15gb3
mbNEGEQgj93fSBvP+/G7i48AgNO0EI6HUOHdz87kOUbHNlh3JablYgWEL3jjboYuhzYpeyDYer5O
xna8yRxV7Lp8UQmJorDpCcXqUOYujnpPNBeZNTQXpVNr9zTCvB369i72m7ovbma3ja8cwfsfOEyJ
FV789k2xTfARxfJLGyDIg6jhEmVbw+/pQVQUKKqdxq8Sa16NomEZ6vvgk4iMZK+5mnto41psmDja
W2RK4ZbjxvjU2MW8awYVEERNeT4XTkFkpxDjVyNsWa9EvkwR20oYG9Ic4KmV6RcDqjyQ2ALdZFpV
F0ymgqfC4VGnJhhvz48e56fwtQm0SG3slN/sieg8zGMj7jLRTv06T0zle6KOXvWKmWKiR8ETd576
KonwZgVZLk3igCSMOW1KnXM7PBJWvophNxDuPL3XKzET5kQ87KOTJy9mmZcXKMzGi3Qgw7VphEIH
mYmraBxaNIHZeEyMmb3k14sgReIPOyiPoWeiTkYDzJq9lIPvygbW6rwHuFsj+jXgb9Ivj8bVeW3O
6IfupgCp2J/I5TkKt5Ri1bMtuvk0G6xJmzBvL1CgOsR4JtkBQW6LKCHX49RXWhLnKCcLJq7p8rjC
ef2yBKZ8ZPnvvohBqq997Eht7RHX46xb0JfxrqAcu2ZuTcvS0SfuA1mY2QqNVZBtyUbnNObNEE3c
UBvX01yRbS7zj8AX6Ew4Eb0wFHY4MWtbO5k8WAQd9Xr/CiiWJTIlYKYp63I/GnO7kzy1e7AXS8m5
fK5YwrtP8Ij3lpaqaT2KGIWlOX0yyJNa4wQzV/w8Ub5qEx4IqL/crIkgmpT5kvOCERizkFLpgREL
UkEvQ2pgmzOx6rUgMhtPjqTh3afRA/tA/NBqSYY+tRrANZRxnnxqXelBME5rOyRZy9Gx/5isBqs2
qqJXzXOMO/LJlwKHNIKD7o5sVW1uk/GxkB1MUq423QjRj7ebsuRlZcuFagf0jKug63kMpkjQaXHt
Vso1oK7iPgy7lgAlya4zG4n5JTIDkC6hYVfppdZ1S/njAb3swMht6GnrX3KcJ+hRajwvzHQMoJrF
bFyF1pAeJm4El5B0HHWanKLStwzTfASUh0CHZK75lJBJxZDYSYCfU1vuSU316Ee08/wm7NS9QP6i
bbIe+iGsngALiN7Mw0Yq5flua8doOgkxXg2ENsWruKbKXI1hs+7IY9dWFu0puI1z9gYv5q4ra3Bo
FmUrhrjUwbM2pPnRcfLoVuRECbIZeFwZb5pP5wfpv+6I+6n6+n//+/yaY52MQbvEL933x1Th2Iv9
+9+fbO+i8vXr/1y02XPx+pNv/KsHbfxhCBYf2pveck5drBB/nm8dgliJEmSJ+iuG9e8ONN+BmX9h
02Ge+FHoBipSP9st+O3/wB8Bg/PHBVKisXNNXULNgZm1bPQ/bvM1gTpN7nnlXkNyhpAhKj94KYlU
YHo9CKfCehxypa4zrQLS2lePWWhpF/qA4rfsM/qNc4RVjPjtk6fyAryL/oC1LeToldUJPTpqzbnX
zIsGVCtpP5qzBfw2wN53jlWmUhyWxm1CQtKzZ+bX9pBd06uEGI5VowNWiCEBlX2mUEuQ5/PGYhcf
wbWgAncqmFpFWa90zWUZtdCvx/p8WXr6rW200G6a4XkRR2BAAgYip2XaFr+1WULnGfnNBhju0THH
3QB3DnR+8ealxfVgKOKWrYg2b78FMX7dT/OtTKZL4CSVD7wQTHX8TH+c/OZ6frFYRzJlvJSO/VhP
7bZkFUfyE5mfglru48YF0qkzVSvbYF4Vmns0OvMxVdmzA350q4fDHWUxi6dx29HfXcs0e0uqBRAP
G2trZsR4mzlkq34ho6hB3YfmcOcWI0RTqEcXhDW/0Nv2dkseOmjuy7QXiLWWlAdt4Pij6zoK3fgg
FiD3mJLWF013QyUfIzM9IGV+burkuZytI5FoHKNt2W4kb2iQ8VvZTbeSwd12Mrtt7VVIezkxAmki
4xlNMmgRuISi5EKJiBx2/GTdigZ3tIlTr/MJfSsvu4pOY6gt1zLKn3uDGDP2O2ap9PowDpOtLfkC
rZ5vMWPedmLYYa2+JAI79zWlX1ZOqflI6N/MjC+zjPg6TcdL5iFwJ0o0h8n5gCenhznoAo6PdgYS
x9TW7MQQYmLcBBGmvqvGSg7lND80klxxEO33uW6tx6kY/CJqOkC/8XOhIJdnYnxxy/lSiTCmNdnE
x7R2HmMO0EySb7whxgo4wEgT3X62gLrXo7qfa2tPdgY4scbchwBcECDCe0ByQM+1ny/tcoo2w8Dn
iQvKJCWTO4FcezzWIjeJEdAfitB48UwMxjl1P7Pn7GA46r5u+ns5Zm85Ej1fJwF03efjvRnQkEjj
rtoiYyNvwNZQOJNfSpXGdTcK+4gy9hHXZ7IFeHmsoIBsu+X7eJ+kSTjciqb9CNB62pOqAWifcr4S
WvU5CZgcOUk0rRstUCeT/Ix1NoaBD8fN8ic8G3uEeOpQl5a6YFN2F3u0dgNBK9tAmslv0BNOW3JT
1QFRausLLTNfOqP9PKnGvjJcsKPcNWUMFa4hLC5Z42w31046D8+Bw6FsFVYCZ0wi64JmQ/CQj2Rh
rWfZeku2FXrWKDjKIv0MpJpaesw2Iwp2RBnxuoKisamxXBMGRuAStCpCDg5uCYzCdupjpkW3RYms
AfHaQ6kZoQ++3Nqo3nom67V5KQqOVwUKzE1GS8B1poRjqGdv8zjv0VqWwa3R4UcMC27/OREvpVES
klrn6CkVR7dRGFvTYajNT7EkUnIb1gETthETGklgTr8bBTfdlDqPjmYfe1EPF4Fq3rShuZR2evhu
0/lJp+idVJlV3OOkg+yZR9/BQrP8+XenzTixJRGhabmXKIs54NbdopM8xlZNp8uwf1NWL+3O745X
51fz2NDwlOq0Zc8Tze9ejeS3vrAnp9iHPOqQA9KDyBCj2CYL+q/f14+NVxpeqJjQXtPCZRCL4vud
BHtwnNFMgqrcC6zleD7S1bIcJ8YAAgI3RXnBr/TfnHzpGr9/dya8DARPLtAc/v/jtQzNwotctBNM
HKwIqpK6Jx+SytuU+0GzMn95vyTHXDYtq9uv3+4/gLTn98uBAIw52WTAoH98bdCow4zPqthzuDNx
Hufu7YTxbFkuLtEZpXvdG1+GdsRQNSh1SFTLc+tBd2ui6SVCUhsC0+hD+LlYQ/YeSUZ+0jcb4Q6X
g83yDeO48nFzrOoyuS7shmAKdTfm4YNuRcBWR3nsEWz7Y1l6O8sqq6eQbG1fuiwPv36nP7mFAPxA
CEUHplvivbZeZLFHY0jC0hTtVpb6re7NRLhwKv7N6yxH/Xf3Ki9k0joGA8qt9O6KeoOBmt1d7lWP
djVDwtvJgLqvM3ZnTOQla3C6111o5KdMTbdIgvITnLIYg2D4VivW5aVUodmekocz0ivFUecN/T2A
1KPZqF3kstxbxHEiFo/sXT0KpJaWmHYch6slUDe+7PWmvSvS8WFs2PZ7EcsDiNAcollHYE0RvwUx
1McizfgUR7fcjVryFpTzg0vU4dwxQxuRssGZ3hOREfthPp/jpC7h3WW+6OdbZ8LRhk3G2AKk+NxY
EBodgxrr1xfyJyuMCRWcs5ju0g16n1o/O1pZS/Jr9vNATAjlxMjKZlXCXmmDuf/1a1Fh/+Mzs1Aq
8mk5Du7Y5c+/W18aMcXg/KeC4AF1J9v4kNMe/M1L/GRlcTDcSsBCwGn+EdhOTHDaZbpe7EtPVds2
HoUvg/llWekBw027Dg9bKuTe08RxCLxo4xTZQRuDT22SfHFtVdB7UQ1Yk8TcK/rvq8hjdaqm/Bop
w9tsD+aGXOx0n5k2mnCYdnjY5vaKE/kGLOxHF+nAygbbdiEnTqakfg4r2DOdj3Ci2ooGcaIJa2LX
j6gxdBG/WQW3YB2n14ouWmqFE8ddBhWTwXDWMiq/YMrso+i9KwsRbYDZXv7mgv3kieWzAAqtsw4z
jBA/fiiFqLqxnPJib2QcFFSUx37c9VTwxDFcG5j1VhjzEriq7hHNX4Wskl4Q4/gbFOsPLl6BDQIE
/A3BPCArM0rEH/rjkFTmmskgNGxlH4PegV0ZWMcIzcuagFhSs0Byr7GePuhieJlbfRU78Qc43FRV
NW+40cZdGukPE4XYqgqiamdmA57p4S607MXNyv0p6TgSv6AGNO8yWedB5u2ENT94VaO+Ue/+bdP0
Jw8Je8byD013Tm/vrtEQ1gCFB1XsB/ITKHGAiA/8OBLtSlCFv/lEDONdc2vZHV12YZY1Op3uP57J
WpoTAoe+2DeiLTaGDRvYDZJDwE7lGXw+M4671TxxQFKCZQrx5iOzd9IaKAD7MrDxhXrkwoIZxQYz
5yvaWx1IFPcL/IcrTbk3mQdBNfKo9seiNIHOtC95Mt+NGXIiZ9mMuc1CM30OhqVKHYSfzPo17VGE
pqXwKVc3CgvmtuMjPR8vMbMwDWIQBNSHIGqt4zuqQW2roO9WGWCRi5G8sPMhKChGEIodeXlFP9zH
HQdJF02TT8cJ0d483DddSK9xke6aCsOhcUv01ME0qdYMTBaw0qf18gst53cCtdyQVa+2hmzazfIY
taN1LJ3h3kZdT+huqvE8kTmf1VRLepBcjzUwIafiqxsUEXVi8Yh1QX3lWeNL03XrgTwM3CnxdYw+
2PdGSnGo/49JpEgmk3jmSyhMBcYhhb05B13SkJ606rrswKF4lwfsLDEjGhpu84M9dNdYIj9H7VAc
UsM6qpbcbNFMtHqBZc7wSAbIP0y4rGPWyUcBn/g3+7H9k8ebWocuKemk3FHviXtwSpOaTnq+b53p
BeTuXauz7ykOkoHFY73UX+ejdomgeNtBgIPoxTNfRADgBrqidcK3IdVYp12RbDwo1K5qTIfo55Cg
LOEWG2/sp33GWIQDWgrxNsTHDCgqfCGj0LuuGgJiZlLTN91MFHbBHu+jDz0KjTUm6aYHZVJu6Y2J
+lOPe38MuxRfEJV1yMGwGi8jE4AuLvrFt9Lfd0TgrRpBBAr4bfC5dF37/k5aoHLKzB43+GRBcA2Q
x6KBDEPafrmhAZ0vpxe7nattQ3qKw+kAgbl9VGwiHDL7e9MGxU813zl/7a//7bD9psNmmhSB321F
6+fu+X++nlUnx+ec3tw9Ks+vbfv16/fttT+/68/2mmv8QRqq8y/w5Z+tNU//A+U5FPhF/UlFv2gG
/myumfYftNV0xJaCE8zZ1fAveaf8A73H4i/1WFIXO8R/0mAD3fm+mBEec1jWeIpQ3fsHW5ChJznP
g1VcaCrFJb5TToAYcRNow8DYKNeBxS+xDMNVtyQH5W3NurWkCYGWc/Z1LmMewKDNN4Jj37GtpU3l
RRaRvaQShaHdWv7Q4F8K7fERVXpdowO0TLQeZBqJJd2oZ/rvE+8hqUec176oyEAyieUDgRCuQcfX
vrFkJc1LatKkdB0Ul0mU0uyN7daKMKZnBdBHOoPloyR2jozUNr/okb+TTWcjioDVoYPw8lUShzfM
Jd19McUQ6/CEE2XXSqR5iK7Kx8jo650AUHBoz2FQISm1Xxh3ERE1nuOictxX1yUcjY8piVxXI3vJ
XY+cYF1kzkn1hnetJ5DP3TwMP5NCTWCRmar97PRqncYctYNEb3ZEMrL7xhIGOalWZVU6Fw1IjK2N
mGVFc964KRzvEEKQs8oxvYUrRjI3wZsrOlTuBpBJuerTGnIByJfNUEvdR/gmrzymhRd9O2v7QJuN
g0wj7UAZVMGLq/EMYiFbt+jNrkltRA5buxre2YFjghFXJE2ByLkKwRjtQAznW1GbFn9rO5+g6LXX
TqwFxNSJe3tJDpvQqW3aAcBJ4KTtaU4Rvw5Evm3tvhzXWkX+mFySyHoiyYjt/IwKot3BVkn2vQrF
DotP8KDcuNwic7dfMWumE0WiSK5D1Jusl0sI2jiSh+bmkJ/jyHX3ZDU1THUFClId0S+TNJJQllQ1
UtS8L25TDG/hMHnbeYGl+3VAeAzPjTxJ1n2A00n1MUJj+BFb5vSMsknnXDVb+rVWpurS1RYuMp5m
Quc8gsyqEPoYk1h3HS3JcIFORpy5pMURTP0xGpcAOc7Z9d7ty/Q0lrV2cDHp3oi8IQm+BmVGX5ns
RT82tNzZ91ofT9uGAAG1Ig2N6Lp5SbHD47ZNCoHdjZGmuY2WtDtxDr6rlwy8qXcR3c4ewXgUTzpD
FAHi3RywHZHlHjKqo3ZiQjvnt7Ae9iTmpCsglfV1Y4vnMqud4KomOzG6rIzskx03zh0ZuTs4JIZ2
0ca9DMQOPQvRdivlDYX3MkvyNDdhMM1YIsb2tu2Fm79waA/mK1nQg3K7/qNVjeZtA+6m6TegzO9l
0LKLNj05YVnhodtxBMCSoCVhrMLreleNGqofH8NGuK8klpWPIhtkOq5B1GKLXRe2UzqHorXcVsPK
jdoAb4nNdc9VxeDeTjj8bwDs6k9zVA+dr8O4Ptak7jmfcJOImrhjazJOBYKJ4DUJaOyRCOOtWOGQ
mUmNA3RffuDOtdIVc4Ke2rqRRuqPaomN1zsv+eJowaTt3ULBDbFKOKSr0u17CIN9w1AvGCOMkEOY
k5U8VdZzihCBO0UHuAHcG0HRqqgZrkO2ka+TRAC6o/mL6ZTDrlOska15FFMGpvsNSEFecs7CBkP1
SEqNidOdhOY2o2zVByJeWft4Rah78P3AiyALyUMQ8JQhXlHeOChhSxtdSh2Z3SXpjJa+LkuSXkNn
dIjOjQr7ZlT2uLWWWFtdzxRJfRbX2LcJHL3PBldc4s5qm1VaNqTWzbk30M407evCk/VFGns896MV
LExQ2XFiN51db4hoVzjK3ZVRk94WIruaQyZEq8awyqsxsqLLoKociBmdZN4pXWcxk8aEPPRFj68V
FNLBJZwQfWuyPKuYiQwQn5smLE1tq8Nb++BkKPJtgSDaNwcyqmytKGj19+WdqxwqGLtWT/A7xISI
ybucCOBaZXVjrNNRhhx+STNezXNPtEMO4Pilnuov7FHNkdrR3g4kXfkxpJQFC1jrH8LZCLYwEN2P
wPDak8QhyuZQZBcZssSbsnM1bECTflCFHrzMGBNpahnr1mGKwdIZ7AkA1B9Tx4jXbe65T8qox3LV
BaLaJ1Y9Xjqzg8rAEgxh65Fp0zAlnyOkKwerLtVRhuOWiatkNKGjpu/MCOgCY2i5SaZgvqXFgzOB
MUmbFdXH2Sm7i8lWPclSKCsslVvY9w0U53OLkGLAjnZDZDIFbzMK95LcU9B/0CHWFQEqK853I0FH
0loJIyaZlICIWyzBkPyZgm1k4qHl5g1sKxQHoCQHGbE0zvLRNOuGvdDyqmfliu4aR5vxVTGu2Vod
3uPUCIy93dbmJ23k9YRXhuuK5NxtElfVpim67JjqQ/3Q8xxek8bU3C6M7iu6poU/R0VylUYjwWhm
pI5paREZSUN9n83qc+3K+GqSUfQpKHv9GAQGeeVJa1MJ5MCUexciZpmb+rFlut75MU/+rZU44w7D
TPNM08yvWzC9yDm7E93OMUfl4doXudd6gAiWeQ0OxS8DKKhVNeY60QilfhHp4SdONzZh5rlO8UBc
CmAYk1FiSiqBbmiPYxHoG9mE1bUVxzqclxaFKrt/vR41s1pLBlocOI3uoyZ6cm+hCbSEkROP62lA
cFo12nhdaKH6RLpPSI9CQdskXzq5xKyBWORv0wd3NhnP943q1iUNtmcxutQU5EMDktITVoIGUg6j
LEUSovMBHKobsuWFeRxG9609VfF/J+jfqvTf1fdL+tKv6vtPz21Eqdn9iIqhU7t821/6cFAxtFQs
qJnfbM0IZf/Sh4OKcc70mDMK5q/h+RI0RXOPibZl06xaVON/2rek9YclkWgwdYP4tejK/5P6/sdj
M0pwPGL4BpnPc5oQnEB+7IrBVKl7PDM2sk6S4f0iHvtTQxvFXo1D3X7+7sLcfutaf68H/rFneX4x
OkvLGMSTdC3ft+BCa1zcVp08RajKnwoiSsmoUN4DjRY2P3R89OuRyj97Kml+05L96UujHkD/vljB
cYH/0JKNtdQYu9KQJ84FvLTXLPGL08BD6aAcvidGnO271RtCrZl2I2T59Tv/sbG2vHNHEDKm0/Ai
YnQxof/w8sKMwwLLq3nKcg3IjaspWBV615MQHpN6QbkGafc3+PSzNuzv0cGfL8qtIhcRJCfId928
ooK7FlaeOFmiELi/XfNC5DY5nFgSvIeqA2MuY4BiWGx6OEBR13evdgXINdNwNvo1yK9dhfNs3Lda
Q4D4PM/y2XZFW/uBpXTjUlUBCvt4XuIBiTikMBmzgrj6X1+7dyLy87WzMeJaSEiovuW7GZpLNmU/
kiNygkHNvdIzBhmznnBCtwWXwXy9vBxT+Li/ftUfp2jfLh6eSs923EW74r37xGyNqOvRaoxTYihy
D8/RnU4RvenJWJ8ArYx3Fqeho+UQK4B+i77Mr1//nw8mMWj4NhxKUu6b988KDLMC8NJonM5pk/Hy
wEwg9W5DRbb7r1/qXR/2/F4xifJkuTov+I8ZUzA5XaHrvXGS5CbcwakmU17FBptMYJrtK9Qk+ax0
e3k69Tz3v6W0kw9Nq5OD5G8+7p+9cQQ9rJaGQ/Pj/V0rpFZ6NSLcU481vvalE2TllaDRoMAgEiD5
6/f+s4dkabzwXPKv849ZjVElOnGjSlAgsFcXU0QsJCVZedk7ekk4cCIv8MOXl8TccZef09+J/BlD
Hx849muDbJ9LzVbjXVhbC0FAF+5Vl5JUb3Q02/AAgC0upoSnzEL7Mhw8/FzZ9tdv4jwef/ekOwBs
6dGwVXjcsT8uL0kWBr07ecYpoIlQb2enafbn+4aTcvXUNIxRgfGw7k1cwNxFMRLG8xJMOmEUYObD
8SIGuZXt5mEm39MI9PbVbfTx7tc/509WQYd4BRy2CAgQgL37MTUE4coOpHGyGMchuV0us1E11ZOh
B8Z9TfLIb+5s8f5mwkPIXc2eS4uMTtT7V8y7UCR6OrWnoSLj3upy6xkE1/IfE4ZQr5vjbWPaWCaC
OAiaDSbAiDKZbsGHGIJmtSJ1sHs1iR+6xUAY73SNhyA2JQvnck+cLxHUIDYv6mnvqlVOeTlB8r1C
CikvhMMbmqe+/M3ghHfA5/n9581mrfM5m9y5mK7/Ybme3dRziDoNT0CXCBioprlZJ46W3HCwn7p9
oSI1wGZSSbcWFvwoDjtEtm49MF3JiqmhqfsTgn1fJASCwVt3tgQEA5OK7LY3EAiEk7nibBzMgIhm
tKB6NGgfKy0Pu7XulCVA1TOfSnqIetfgwXgyknboN2wBC8cqAW4o3ao49Qvhym3z5ErkbnlUCRTv
tVs2zJNQzWiPBuHEIE6n7EWnt7jOqAPQZJEVjVd0VNHrRD/bJqUwQvzYsX8f8Mwx967NpLoFNMwx
eTyDuOTC5LIcAI8r5Tha9dAXWTKszcBxPngM2qClJ2DvaKirGsiQFcK58mxvwrbWCfcLDfyGaL28
7dL9zGFBrOq+l7AWaugaFwEM4isR9phJKxUcdFqvH6ZBGb3vSBU2J+bHBtkCVldYnDcEvcgcTml1
64R51vgct6Jg7SaD9xBGPdtuyj3iTD2PHAorD3doxLGc0sDbOOAb+OlKy3pu8ajEfuHORFLLZSFW
lT3eEWHPt01Om5FFb6LMQuaRcXDEIetcwQZOe3ZmIzKgoc3f2GjEwQBKI9ajvgJhBj4t/MZSq+LR
vSA+IjoqJG8vbgF6g/NgpO90XElrxIzhsRESFi4yJkTZ1dOg6/MjcYEI8pQLMYs64AtAN9TESH53
uBiCrZjN8jOHK+uRU7y1qm3E0dwo49ewD5JuhT69WOs9Hw8xFh1m3LCymFo4KOnz8BynwMxsJAOe
49YKGdSrrHXbJ0M9rO4B18UpfBW3TeWhKJjr3TsKubnHDYDQ0FnnRHkuqBOAVi6RYhicA7TLaB4G
weQL7J+G/iyetMkGHpoaXvWIeQBEB4nkSdGsp3rK3a0GyniXzdibyzTlSheLElAPXYohVnD5XIO0
An2XDbgkckIkP45ayyc2BZ1xzAHw975yvIVNhrZ6F0/clfDmDDZTWRAH5dMggcxNuy+m9TLzocYJ
c2Bdb1yi+AZuryJs+egxyzw1sQxPvePOnT9PtnwOrAHMcaxTr3bZMmLMB2Rgwew9DILY6XaO5IXd
AzjTJOsQcndvkzfI2WD+RuQX57nJXz/VFj8cJ44SfWIYPPQ2OpsUg9NlWuD6rNHQ8EVl5l113WKs
ZDkLmC1KD/ausfgjV+G8JDTQyDGOCJ74DRD4JVlKFhenEezUK7yFfEWDKeRIy5ElBleqexXWmEw9
pxzvgGYslLZz2sGyRlLDuVcBAReXTkJ0clC67WvtLZdyacjdt22/YHKXnzbvexpiJoK525KyU8BR
iKdbuLD8Ms1s2dwUedqgJFXGETmbwdSLynASg3GvMFpv4KtOd33MccPMEsHMjHSoqBuXgJ+lepwE
194g8wVuOc9vAk5ata9xyc3ATLR9Vc2SmxiSCk1+hbKeSSYCbbGUR1XGblt7Yf2UpDnV74j76f+x
d2bLUSvbun6V/QJaoS5T0uWuzlUu22BjmJgbhenUt6ku9fTnyzIzAkwciHW/b9YKJsaSUqmRo/mb
h0uisBZdra+XvJQv5XuuSl5tx83QnMm/+h4UIoyjcVmgU2zf0aqztrKJ6Wf0ZdHcsI14d665W5DC
HDyqgRkTc0d2bpOEN0gW74VTtE/xaGCzunCtfh/jt/vMDBBu0tSAhjx1qufOJ/7NZAwp8K3urB7H
6kuCM5pUpVjz4etL8eOZM1nnEe4qYDp8MM9W0aENCfOfdicCAwhaCB+Za7Torjh2uMHWZdSBCXo9
53tk2OLPIBe5eH35hBwMepbDtPQmDeLkQYhwvg/9WX0tI8U7auOQ5I4/RonDAVz7gtjWmFIF/Wms
O7RDYoDD2knypu9q5QUnHqc5e5MlHzI94rSJByB3O41Zf8T43LkbzPYUdenc2UnOyVSA+8VVcSJd
9SEDj7ftnFjpsUpBjgI6QMVuA3Y39PYGan6DzhEbGMUo1mxwwujDMmXBY15gHbQfOju7YkTBHoFN
KJ7TConuDWpWPP8lCICBQhohQ4hyW9I4vUH40zt1IMXOrTSXr+Yh3Obmqy8Hp33KHTgZUcJbJd3v
jijY81YzDMd3JQc56zCTgkZ1Fn9ApmF5u+hEPvchqKsC+BcTtWy1kNcSfPF9r7iTy070obqp85wR
AoRDjr53etwiyWm7RL2N0IyeT2FjXlDegUs9uE3cHauezlo2rAsKe5SjCnzuQFLkhiM5kEuX+522
c/HsGVNd1wqpAaKcMsRfQudx9noWGTaPM22I8xEuQVnUPsmk5UPvnHl5e3lCTiJyZCWJQH0DIOBS
8K6z1T6tjscniiPUY0botjczJe3j2PEfG0ac3n4wWdqKDkr5kjFejk292uyotgSa74Upz76Klqm7
i6VRPrqwfcaRSsasWo+QVYQQhYNUNt5UfPSSpyiy2H9ux4HvtU5RLi8L2LX2qnFWDrzVYy5YOlh5
0rr7CtqCjwtYLNExVT1i6ylbnrlHEeNxn8XS288Ig6L1LiDTCmb14mHpZ4TJayYa69bqbfGM/we7
hp+OPlys6Mty9E9F11jNnpnrXF5Xk+RfY9Dldu/AHc5skRgjpi0Acecuyy+xb3Ex4W4ShyBPKpKY
ktwfqFdofjbnywK8xCJTuE+5S1wwgbVPAk6cy96Nk4VjbRlwvF6CTH/G6i++v+xP3x3jq5xGwNVU
d35xG4whWyS0AYv7oNiu00TT/XzZEBX+nt9bXGunbdVP/dGCQLQvzRQkwSMC8De7Qi5wmjeFGzt3
EozgldPVzh0wMhahUEbDXOKLCPhYYCS3BVhvbYPOpQkBBCtbN5l5IGuu2H2AsiAl+PCarzSJUL8j
3jt3CIagimaCA75VzbxzyoQvK4g7TpjA9bxD07Jpxrwh2nuZ8wY5m/WeSp1NbSMING6HmaB9iYCI
7BUVPdaAxR5i1Go2EfMIhr7BzGdjDiB8uRNPI546DQSFJuknGKBWGBGusEkEHTeCp9h7nea6SBQs
D5X2e7lB/yBCxUuT+ImE5x71hBiyUfCzdrnfo2PUkwut7yYkyRco51OdvnHMFPZUE0bvetuQx0Q4
cIUka9jtthOv/eMgRpKQxCqiD5fpUM3kjecNohkhHDd4N4ZL9YaW/5fUiq1tEeXqiD47Y3G4aee5
SPLviceUODDobk9SUm+nBg6ft3A80rDnRNLZvG4HWp4RGYqWH4pcs85ZywttxLwuVxas/YNdo/XO
RKMBOjgt1Ylef37r+cpxtpya1YnKfjnWDkPeLZoz9W3cYC4XLSX5gnSBscLeZof1ykVaeVnUYF8D
2C/T6zwGIrrF+IecCqIYFQyutSercenC0GUbt10Zz9a7JHd5PX3V8r9d5LBInoCoSgcQdo43Y+kO
3wU32okcpzIpXZeGywOu32R4S2dtx27mmzGFMuIALIwX8alGaYdVm91ze/Ea0GxyG/IDHwMQOACX
wyRmOvO0iqwpvjXkmJwuURvtc3OGO4yCPsQA2IzfuAl2Nth7kNY5HkX9QExr5BLEZ/pp/TFIm+gm
g6d4MmLHd8kiog+ONaiv7qrDnfQKlCnYTujeSJfzs0cX/zhWCdFqlZn7OHHl7SVuRnlBcIw4MPe6
q/kmSpNvtnEU3lQ9Uve4YtG+mhe/fUKKcEZTirjXd3xCQ8loMYut4tpqxEEmJjKva8MJRG2XHl2R
Zt/8SdrqLNqRL24wo3BkA6IbXBJMhtHRI7E4mauiDv1TEKx2cKJgWwYDwRoRzR77K9yrxkOJ/kdI
rTJgZFeszmMYOrTsRERUos/DkgRI4NJril0qiUpysEhUAh9RVJS7tcPBoRUL38OamHBwSZmFXX2X
KP9v6JJV9gHHOoyMpR7cA1dOHxlCL+/hWaw3KejU9y2u70h7B/DBBNXOeuBAxHQ+kJWNwI/fWm/7
iwwx6TSSxF7vLUc3EdaXsfXE1xzr8m8lWSVc/UWRbs9lgg6YdulcKPvGMfrGpVE6BqaD6PF4EUDu
4LF0+65Z0CTxluwOkla4S3KZ/VO1Q/JOkuMv27FiGF4YWWUdCn2HmFH8HnJp8aXpNL9JXBSYM8PF
fLtelJlLKFd4Jw828gB9NMmnS3fm/xBcf5vwMFigwfL/50j+800N//Mh65PslVCf9/Ivfwx5ggCf
Yog69Pcd7JB8j1/6Y8gTugC8UKdl6nGZtbj0qf6d9Nj/kXSncDCC94fwvyEw/ivUF/wHAoe0bTxk
baxwcRH4L6iSMvy1GQYZxTOaf4gQISxAdH1Nskm0P5e4H6bQoILx3IQ1qQywaHX2dAXv2B9IfIvR
cx7Q0YMlnjCGzJZshwDnfCzS3sr3MQjnQz9E/Tt6CRYAppK0EajNVQohf+NlY9Scm0V0B9Q1BtAU
RSpOjFOC/jDmY8xk1/JnFG9CgSGLXwi5myKEtEVbLSS/FPZhMWJipJOeQWaYvHdqFVHFiD7eRjL/
iHTaBxRAwP2CLtHvV0Qukfso9SGbLHs34JhyD8vZuWZUx3R7qdW850AvMQW0YpTPQLHc8E+cdtfb
wXTVNtZ9Fre52qVLPh97r0Nzetb1ZlGe/c/a99M592z9iD6/d8ChHIpypGBaRat58rIu1J5pSob+
aA66KcAnZJPOunqXpEIcXG9BPk/x14HdOWfOp/cNs22DdZhuQ18fwqkctlaHSlyC6wps68wf3hVt
HryNIcvfxyBcF8IMNfCh0SNPXIbWugPMEkH1msBkEdY3UnfljntmxK0Gf+s3DIRdi4F1vHj/jEXR
HmlL0g1Ayc0Z0zdJuDJNxq3KL3cBoqDQK2d/A4J19XGXJKtBFUMiJSvXYRNXwxH0z/DeVzqHWZat
zt6a3B5fGu1VHNu14H2I8QZh9uOQ209Z7ordyLPssU38ENfAJTDqea8L7W8jZAs+ofOor520DTaV
RgwZmsc+gaGGSFqSPCh0BIDFBE15G+YV5Lc6BWEblVUabNqqkbjCKvm28KwY3btgeor72L3XkID2
IpEoEK/tt8GFFwv6e5X7uMuImXOurhfOlT6X3hau1HKDZy/9DEci3Fhb8b3jDR8BzNVbjJuKUwqL
PTnPAwCZ+4WSpXsGz6c+AVwYv2f5xCCmasUZgK73rpDg8LHRGW+EUp3cDlPFks1t1d+Orv2J03a8
s2An7t3Z/ubX1SdQ9I3aVigLn6YcQfYy8+w3ugwctat6HT6FtAYfV2tstvkUl3vZ4dQLEGccq6Pt
jyIH8ITiLGCEef6UAg+yd46mNEM+v1PYzOY9mpi85b0IQMZRfk72/dSskDnt1L5pOzrJ28XR8f3U
um9n4TytKnqy+xEDA9qOfWBX2DrJjG6NjyVofwUry72yATj+g/vpYxK332zKA9x5AOXse6ZIZJTk
VW/SEo+hOkJtJE+lC0OJ2MFvwILCUylYz+wcymg+LSApyJsl8vbbMVGze6sitSZXYQzhcTv27VOV
We340A8aBJGtDrk1xm8n6NGbviuQK5y8aYfBxnIY7egKNFV6KoDMdfcu/lzVcYwdpITDUefnwrPz
Yp+pFjFs/J7ErRJevA+8Jj1R8Tr7rh3mjQwsa+cgrfWP31dabIb1XNuBdURyIb0qQo73WLrWQcSk
t5Gt50Pt57S+EK78uAhPIy7SzecwC+jqDfif0Isi2UF6e1P0ubinKV3sW1lMGxQyq204YfWadxU2
l4WH9PA4gqCFErSdnCq5nScxswL5ujL9sMVJDGF/uyD1/2FOdulYwr3COKMqVUuzMGlIlC2vOuTt
WerlI4AyzNZIoE/LGq97wU+dS2E3t07p4QsmfGtBDhuxY1rjI5O2U0G/j0jVd/de1HuPoIfBgEky
k1SAhd/qdtXAAOMm2EZlUTytpD4bfwnms/AdDNL76RMGxTnZ/ogGCYPP/kA3z9ks63RXron+Thdl
4m+D4JCKBP3SIGthkcbqix/LbicRGQOIKI2zk2uPp7hCDqTBL+MmK8dPhjpzmIdyOtZrN/OVxvgs
bYZ2nvFyrrLhi1tz2uwRzVE3foXA+JQ47xJGI0fPquwznVEI7nWYX5WBVW3SlUZZS7WFdm6IBiqc
bYdm7tHta/tka6Tj4qhIT3L2l70ZAJ/lgOUdJ3Z4UK3tYujkROelDjIadeVDLFcoaSoJrkjW8WqK
DZWf3lNDKz70UWoi9kK9L2mbux3tHqeiJkyKbmcbTKTTbK1mcfVW8Inepm1COmgDRC1K6BpUvtFO
oGZ9rYcuxnqrOy9V1e3tdVFfRdMv8OXamfFA2d7QqyBDH/301K/gWqOhOiWip1uajPuxmD9XlT/u
bTpm+3HkuHH69ISCWXIc59KDNRTeTbiVY2/t3XmVCy9wnMQ9bPnq0FvqLtH5w2gr635O87fQrcG2
IkrA11jeJUG1HhZZRByNWSIwtJ2UPIgVmxi/AKe9EdOINiwdjvd+QT9uHlnXhw6xTIkx3kDDTSs7
afYuJyeKPxd9THo6GrFMHza9vZfMOex9GkcUw1VmR9bH+aK3mQU0wKHbQCGkFjaSnEvhlLjNBIPj
6GMrsnciMLZ368UCT4FPZJxBuwuXcAdKYU6nDcBWX33TFxc9tE66N27jWikGgf36j9eOyz9VYy/X
gXHiGzs8+TptgSadqgCZAkfT+MCrdyb0lzVrMKU4+hlvP6ciYoaFJZ+1cf4jn8uvJzsaPUw2cAYM
1xHOn12pHeRgRPuiGeq9cRJ0R+tKDSj/Kh12B2Te4WBfzAermvBa0PMChamBNgBCSz4glt/CHUMD
tW9pmqDxDzHKCENNOxsa/2ZuRthznG4w0hq/9c59O1bpfnB70HeM0UYciDm57IMAIk0zR6cAh1Uw
0rYvKLS1ckDQIwQ1IfWU6vFcIvuIGbzxZqQug7YCGCN64whLDttmWLvsUAg6zk0YMW5MvRGpXKRn
npRADHWHwmp+H6Z990DzeMYDT+ps2yABcqWymAoWlMVxvXhKgmqY8JfUfaBoSmA7WcJH28UKK8rq
4kqJmoH+CEPeP8AOuPIGlHY32cXKMsQabdPRu0PtF6fLJDOml1amkr23WLgcaFPEkgF15baCVXFC
7tj+Bz23fJu0COcii+thrdlebDZVMdjbDCrUR4L3uvdYJOQ3nM+AkQs+bErMDW8UW7iysDWVJuz/
/TyMud70o3C3AwTIduvLFAWBToUILBTpuIdxfduKuT1ExjN0Nu6h8mIkCvpG3KuLvaiiN33lG/wy
Fn3edTgqjEjL2tdfccdMP0Xk3O8RzA/OMZKIjG71FNwobCfkLk6cJLpFA8Lbujr4OBgzOCyimCQm
GMSVxirOXYR9goCK3iVET/nktT6jYBXSLssAW3CWuNFtiVP7NxcbFLqCmfNMPM2us9lyaCH48iM6
SUrDP6iC+GB1QOx3AFOB1ONpfND14D2g8O3thZzrTcP8ds9wLbqKFozaxTJN9FSm+Q6z4/lBAeve
5PW8bHNRAI5GZf9Zg4ru0N5o/IOTNcDMWqdFBQF6H9LPS7bx4qGDaJnKgzvZwVeAS8sNkKT1LkSs
4V2LtarYEs9zND4c9YjRTPkxcWx8QwVDC7QycHaBe2tfY5YLzon9era7RN576zBvZ7vFJojG8d5a
QRRDX2/3Gj1rcn9b7gVWhNsmGNKC0FzVhxkD2au8tOrTYpOLt1E5PzY9UsSW3e+HtkO0O2FanefV
dJcHgXsmSEywCFM+lgAovpqIfF7RIxRodRAtqlwi5OJU2BZMuoNUoPjWez8/txk5SlnZHQnUUH5J
CymM9FU677NulDic48mJjUHKpKWMltsJ9TTvMPd+84Ii+b/6/y/1vwMa5U/l//+WzFyff2ZvvfyL
f7GdboQZtEsmC4rd9hEU+7fsR9r3PygjOXbkUvxf6vd/q35Uk0CJ8ONgOwRIJwMI/FH1C/5KAJAM
ae+B6KGR8N9U/QYo+jNUhNuhH06CJh18CBF1NJicn7joFIu6qkbb/5baa5t/B+QZe/YO7pbVIf0y
4En7AfhQNhyU9sqKfrcW4suCI0R94zSC7PHQWgQIDqcQRgzZPtr0SMuWYLbf9zYOcJqjv5WrxAt0
SSZUb7ypM9bUJeJDkGXzUblvkIdvA4p6WBrze3CGzONKRhoArnwdZS4CJSPY7StoXVknyDJyEfVo
gy3Qmw71lKuW4aZKMYb/C9bMMYijn4A09FXIyRywChgO4R/0enUaBZF7UKv41qp5olas0Coq0Vry
Pa+4jRIRccnFyerqeyf7TD/6BjrZb9107Hme2pmT5f1Pe+vty7V/xsi6v90S+QCEKl+EEFkRfn71
wpCtW6pG9clXnE9EcYvOUHLRLurAJqSWzKAtV0HGgJ0JdRuOVH+oLQebnOBWIBmlNFzdYMT88Lq0
J4W4zhonK4o05cKr2A+wU9cPaS9jtIIlA2p5t64YpKT7KvIVZAI7UWMQ/QX++qsggo/qtdmDDLJs
gP2Sb+HXTRinxQICt6y/2TMIjHeizqzmAWOEZn3759V7hdrkQmRUwKalMNhJrvfrhXRZddGKQNBX
2nOu4+1bhmg+DpQ2X/jiBbn/BqdYYYyHpCitYds6STA9FJmo8+9/vpNfm23mkYGAuwZ3FkJMwmbj
1ztxaEagdZLLr5MKe3knWp2jnQQSj1P4mjnoimbGn6/42yILVEIIJaDCUF0Wr3GyKARZ9E8C70s5
QrbWu063UDY3EyYOiDP8+VpmE/703fB0BC4fYxE2PBxT07T8Oaq4kGOKNhPu1wUdz8z/5tLMSNMT
FHX2Hb0Ts8QlHgpjtP/zhX9/SPYQqD4JjhLGjDTIuJ/CGagD1TPzUF8WkjOEAWhJhIieuUa08i/P
6Pz+CsHs0xumdcuOQrf712vlKFUX8+RWX1UJsTw4ZlFcvy/dgRiFnWcSJ+2bJVpju7ppMggj9l5M
abF+yFXQtt6mKgmIDJMgZ0f3pGIgI7fpZKhSBaixUFOX+T5Sp39en99ejMB+AXc0ZN6hBaPX9+s9
O1ERuotr118ALvbcBTj3Iv8+ORoRgKapJCoIcTUxBfrbYv3+Ygzz3sVxxjFI99dhK7Yce2l7YX0m
tXJcRmmByEa1DcI2xY7Kwc9QlTSZ/CJ4BmMLymTX9X2PfEMFLHR6zKp1RlKAGd06fIb7m6MFy+xL
nwXDVAARf1mlV73wi1ENKbz5TJCg+B0YKpK57auxbz5jCEoXY5OHeljfKrn0bKpV24meriLVKnln
Ib3J16RqPNisLbpRmmAZ4cyov7ABq/y7VDYrw/HHsB/xNscnO30JwPhVEl3EMibyo8KRO75UlgU7
le6v4u3UPTy2YYcB2cQboUVlQrSl0pQLunopw3skQYbladUmhdh0NHpYCwpbjyAPIFWiUej6neD7
7nA9X962dCarb3LG+cNB1zxW61s+/0h8rBn0oiO3Njn3COg5grjpwMX7WKgGC5T9iEPH+mEdPBTc
pr6T6Cfk/JcZfeOcCLJJGbPzzlz0brk0cLIMmZ7cay0+9Djkd3iQH/McCVrAmjiWIG+au/ykxKuR
H8lkgPYafLUlHe6HOag4zHS35IRgRQ6MoGGeRFzayuaIH1+x1OBqVoL9xh2T2ax76sJMTMfYn7rs
tvSZPV/N0Mzrc9pZerweF6Sx2+0SxibyQe1z9DmcVMphaccIsCM9E8awcI9t2BlJosav26I4/ngA
kQ8pj4o3JWOGnW3HFgsq7JrthyucCWIlcrcWSukqlvwf4zxdUUq3dF7//R1dC6pq72WxQBCVLYcB
Jcqvq2ANRi/TXHppIQte4x3HMyUvqwrlF2AyQ34Kd4Neovi4rikSUUZy0shc0bMCsjbdgjIB86GD
jscj0Jvt0kQoVXz3iqZm08CWzqsHhHkb2m85oupslxbaLN/UVEd0rbDhA1SG7Nhi8wuhATgxCnuI
UITeteUj9PSlq5aJNWyWicE5JDzw1PG7sLSRptvBUgfwdoplPTG1xe7Z5G5Ianv8nUZQ2zxEHoFR
ve28eKoT/I2MIQsog4kosO9X8FrVHhM5s38Ztfj8KQm9zpuuIzX5/JZGNz6fAsgCdIF48wP4EvC6
yHWABebp+Y/zmJt78aMUEudW4mmjv9BHKdgp3irxOZpk6HF7eZWFJm+LcTLK7hTgf/ERXjN/QMpQ
YyCBI2hk1rhD8jP/DuUah5XNGgZmz5WkgP4xHxaf9UlsabaoSa2nxzas+d/OCZHS3wQ5AKk7Ukem
8HsfFc7pQfcapXxgrkAin/OOxg6ftI+9Q8PAyYevCZyIvBHQS+sg+RJkwPUqTKeCVunjtNgqr26n
0nf4hV2vAFVtV3Ixs6u9jD7Fri1ooInjEpZiAe5tP0apyKJpx8gPpQ9gTCXkwIO0aV3Tlmu9w1Do
xGcwlq5gyZLJbte3QuuF7R8qdPj8fVQxPatJFOZG3kkhJur11B5Ai2xlnHvZm8YBsYTTVD6aN1xn
Ewz7g8u3PFmnTNlwbzYg+5gbbpdSKWs+F7FCGA6RAcW76XyI/OK5ps/Ew9RxrhPEWSsmffUdEsgR
TVCkUJjg7QnEhJv94CW5Bn/Qjk0UwUqS4YKPgiuH9BhjRCkSkBUFYVZ+WWdGiaiKOjjjrQfUDYqV
kV+fLmma3BQNhP7gblgiZTZPlpuQEgyzRpmq0LHZl/a4KPZQ7GVdkZwbQ4NrD3Qhxh7EvvAIlaoD
bAx0pOB90PgENTR2d2qWLiEXC8KRt1SDzucsQFQK2yj0nNDe9kClFkZcxs7aeJgONh1sfpISpuPv
0OQycQk7j2q5B2VkMsLUHxPCU+svkvUbUovoMLGKfAuOOyg21IQBLzBO3n6ncYkABOgfw1Kt3DiK
AyOX9h0gLe2BcMlxNGnER03DF9iG2od+aQ7ZYRg7tuOCH28D1CrsNfGBMZzlv1noxIFQIUQJ/9h2
MIHSPRB9QP4rlrxc37bmQn/Bc4pqZPVHU4cQ9c3izE3nIbRX9ERVKCVpPnsWjh7r2uOAFHrJrovn
Ot4jHxV378Bm8fAYnZVEe0O9446DfLZYJey9Az7sfFxJp48hY2RW8Me2rrLZ/B1gao+Nu2aLSZxl
Ywy5t8oKObSwYUC7ZO8FPaK5tD3LxOb7tGgODls/jEXgbOYU6PUdZhY1zdqo6AdEM1ZHy0+AVsv+
nV0t5WPkuhGyFX3fZd21rNsJnFIzje0XnJmxe+2TyvJvY+4U0+y6zbpPGTF3PaBi3ZRf/bxce3QU
cDd/nlennN+skQX5fLZKkGzgSGb0fkNwcoDROx+UFEJiM+bVd32XxpDFgaJU2G2UHKtI6A+Ts+14
RzRtkW7sVmYu9USDfQt8j+7cZlr7WYOGxGzEjTZtb+nhKXKd0X8nSxDwCQMnpBTMlNrVeIy1gMud
mH0aJ8NpSDnJym2wlvPKQDkrV7s/xO4KGmrh4xg3cihuAfs77WGKgsTbCRK09RG4Vdpw8MkhuFYa
CYqN5w+us9UgDRpNA3JQ0Q6QVpBv0YZkTpyIMjkCxRt2XWOjUxTTq7OvnNlJ3UPcMhLE9jQoV7pj
sSest23RVP57WqH4lF/ZbaBbNL1ozaPTNyzecGupobYeEG5Q64cBvBF21r2UPYR4kKONUdAN+vYq
XAQQ9Y09gVfeRctaFldxNgCgWhs/rJpNVDSei2B+v6ouxGggD+uvKSYy07Ir5KC7bxEQxXEEGo3w
ysb1lBjsqyHGXQcad2ELhF5jCJzyDii/VeCBK1vS2vRbisoHulLbBgCD2+wcMZgxtPQGD1UKurF0
C9/+yL5tDYDBeQBT2wC3mJvMHKht5TFcfj9r0bb+ro3nPgarbdsJOQrtXzQuVcwgGlmnRZtcEzhQ
zmcIUskoPIqIQMLH3YUmfew5wPkcUl+aCFehU0gogT8Yo3GQ63IG1sGDtXN4XrvEIiVFJGfi6EFA
M+eUgcWSuOuVDgJ+52EUjcn+ACyZyiHA44C71f5UoUE3dlUmP4pa1dyK04Jciq4gEdFraMdOECYZ
jpPZmzFJ6175LpP6j/gLmCw60nNLLMvDzBwaSAnFqOR5FVioPa5UcvWOke+WpES1S51tnbCht3lQ
8hIA3FshGJoTEOllc0ZDD/VJTeBsDSxQWwfm5AxpM3OnfZIGXHtEgaEBaOkLmD7bBgYYv8zOm5hv
STFl4/5VlJs4WfhByY/gWBlxR3XcKgdp7x4ZuewqiieijTuMvfw8z13dgGPMg/omaZixoCnWtiaX
qtvApCwp4znWCCiKHJzvUKxh3u3m0plGqLJOTd8ATH28sLaRDea1uiWGa5MiXdo9UlXmlPpxgmFq
xzoWjW06FgzUzd07XmyxkG2CakNzpbOKogOPYRaWMJObOxiVlbJ9/l2JteMT2oytt5KRQmTlNzYV
riD+rnCQzAMDD1KGJcts8oAHUS2x+Aghj97Ty2vkwHScD5R/4/AYdjFCJQcvx50CXCI8Eae/q5Ni
mlMDu7Dj6GkqsFovjmkrk2o++aSjKE4Dn+KpnLU1zae+H6csPbU2UBHUxAeQtDPoWG0K+VDStP9Y
0a9zlm02230wMGt0yVLQrDDZ/NS0fS+OdpuoKXyL8J7bZDcyBsnQH/UKEkjtPa+3edSJqdr0WKLj
xCfCHN40vADn8QPxhO3kc+7gRP8x6xyzwbx4xMTkqnODkjw7eTld02lKODTHZiZR3aLQRxYokRwn
3xyk2Y9xmSOwurVZAZRP1wDpvi3/3fw0WUmPRHgZBhyXTsp9uds0DUxqWMgxMcm815q7ffk8ikHw
XspxbnipvSLwVTfe4k3JpymcEzCgcGYLNCarjr1QMhoiJ8gPfo8HE8ZStRvVt9XsJKB8kpKZ1HjN
L6g8klrmrLxblM1xE9nXa88j2O2UmWYFsl+IWkMVmR6SIMr656kfMyA+qhjbgeCiZ9+78WdnKGqU
vFz2GbBJUwTmraBiszGa5oUon+ntWwpP3vOgxarPHswkfZZBpJcJLWmvK56n1FlYlPgl81GJPZFr
qCbsedpsiQoSgx8VcbjWKHcfliSxqb5qQDf8KaFmQQzfsqzlizeNaK/baK3bW7hNKeUI7jWJQrFH
tt74KNfSGy2U5B3W3wJ5YHJ2GZosDOS1KfLBL5hEPmmZJD7GKk54a0NFQ7fZLWCtsGrqJ1GTo0QC
MVtW3UTc1emoeU9d0NazMvUD20kKLk9rL15NqAR3Pslji2H3kII8WNj6Ryd0kDfWRUge9fLp1VNp
UqvSqgCwQszCd67bDdOkzMaoZ9M/smJPmy2JRdNcv7H9Be8vFmQ1FbeIrIGFZBpmPnGq5aS9lTjh
GLrpnCdXcVqj4wDceFW4dyxOeQyVS03BwWb55AfeMkyETgnLiF8T+QNi/Fd5V5tMlJEbUXw7v1SN
8AUKvtIOABRBioR/lFtF58ot91EymSrwpbAo49XcdLMus062fGUomm6GcKXi9acwZ6NTJNns/jmt
a15pBiCNWx+hRCcVmuhjPAx75GMM9aClOcIPrpodpd3CBKyB14hi/FKoLKvRAsrUymQAk6Di2WsW
U6Hrl8iB6ptJdCunMLvyz12j1/1AmloQ5NFvYKATIKvwqh+IQBgkFMaAn5d4MHUmzqplKnaYqnRl
tFEo2/BK/3zJ1101c0nKUyjMvnHjet1n1W1dh/Ygh89CzmZ687I1wAKazu5/eynAoeS4IOFcmuev
BTRdOKvrRHfic+bHJj6B1/KgPy4Ea2LXn6916Qb+3D8Gd0Ob2gMN4aMq+NtUStngOOey8D4vXgUV
9jymFSaaW4FcFJ9h2lfoo0FCaggaI5wwVDzHqexQMW8Hl7qbLoSZbESUvCb2vETmH7OPuk9MiVAH
Apv6m0B2M3/68+3/9lYwJ4Jqjy4D0twOCoy/NlmXHnRkMgfieciwiAYWgG4IcZjDlRLqz5f6bc+B
2UXDEZIkgvV++LrfTRqVuTUJ1HOUIoOhj7GGSowBWGA+ERkn6AT95eFej1AcXgySk5i+MU1wQeb/
+nB9p7wwoX//3PqpiVEDfMb17ZgR2R8SF2Ck3sUR+T7JhObP30o3sPs3xldDnP787K+XmampQPHD
TFX53BDB+PVOQJ8umFsk3id6EpSOsBLoUoXoHxIB/3yl16uMO5zN03pYuAZMkF43rwsSQ0yTcucT
mMMAOfW2NKV5hgoahzyMLM7aP1/wlaZJYARFaDsz5BVM+Ggf/fpoiAqvBBPdf+pr5kQYkCOmR5gj
KGrea9x3JfSgNIOJgblFIWBf7f98A/5viyvZxEZeCBBVwKO7v94BVSKOYm1Qf4Idr5N6zyxrLfZ0
PdIov3pJW6Y+Nakx+kQmfv9oiltIflFeVBITyvQ0vyxOlQvT4qH1r/mKG8DnVAtriZ2eRx4xQ+rd
hd5ghZjcOMVAtA5mYQ5LIBINDgxpbBudOI/oRC4yBCPNI2fulxnRsYIW3T4kmXeHU8ZoGURYU1gm
t1K4exMsLEM8po2cdeY4l21GbhMozxzxLdoS3Fbw0qBXpPZEzaJwTdKUh/AoOF5dxyTLcV5hP7Gx
ga2w/mGS93Qm3WmBgnVO64K27J+X/7cNFyDcYCP6iu8FdIHXW3ukskgt6IZPTdp55KxJO5gSKEIv
n9D7o2X950uar+XnkGtCbXSZ0YRgAYLXEkQMyoAYqnB+ihJpeoxjFsniFu8Kt7DubGVzB6DMo5Ei
anFikxRaJYoIfxsUvX5yz5O+TeSUEY/N4P3VIVrLrp55l+lTARCvus6qfqjeu8Xs9jeuGv6i//F6
k3skZ0ZG5/9xdybLbRtbGH4VV/ZgYR4WNwuJliVb8ijLiTcsWqQJkJiIiSCf/n4NgDEByVKu2wvU
RVKVciQ32Y3TZ/7/Y9qGS71ySKJja0xy8tM8/1ptQa/dwQ0nxGK9ToVn9fTx6oMrzepw9dD7bDtU
3uD3HWxstavVMIwr/XMMls2dzkhfFquLFWlUIt1gvcM6nFHwjviPQ8IGuawFQJBgzQJZmZLWJQVD
yCPq9+kOgk7yCAdTOOoBc4j+gpeVW+Ena1+ktWpFpAHcAqSnf1W5tkgTbyKqI7eVohlsTtlY2CKG
m4tKkVbB3EFUpcGatL1SFPRoeBEn6sp8hj9+cN6cAcx6ECIDAHOgIB6egWWtCi+yAV+V0VpY5llC
qYJR0LuEyPnp8xZomlN5Fu8U5QVeBgYz8vpDed4lKTlVzZzdumbSfFZpkTrdVMxFwDSh6lFBbe09
pEmHU2B2ociSdn/KqlJkCJSdyuFapiPymcSCKZpOj6DV2F0pm3WpHK5zrioTTII02uxeQUxAwPSS
QT+ExwzGFWFJV/ijWiSKSApwfe7OwVXBp1xUCZ2iBuDkNZ9CjzvusNOmJiqNDGgBisAXb3Kt4bXs
zpwKxZ9MGfMmEstdCY0bieyuqXlg92b0x7HgXot2pECePlK3//ocB2ZIR4x5g0UFW2gNX9+WHVQu
nXP3YWU4f62z2NIvdMqjl0wBTE1y/JClr8zae7N3g3A2TU24iiN9E95VUFPAeOoyo9fLV0wvU/aC
J9cvtp9nxK/5e6BzlX/OsBH9MvDWHyJKbfdVaubpmZ2B0j6nlmO/q6xZ8sZneOwNFsk/CB6GajNV
8rXx5UAduXo9A0NigXL3VBP+E2tzpxyUguAAMlt6HL3svYlVgm0DVPiNs8+qaZHuty+piYd3PjV8
sJg6VYJ1WpDOSzY7SniFFn6la8J6s68biO5hq2pTI82cWx37PE/9RLPo97Z9UhirPH+lr+P4FhKQ
8i4wDJ8+KFUx46lC3u7vTelBaqCk2SfGg+W4RbPycl2X6wvKBHtBvk9x+bzeeYFyVppR9TqMk5fF
zmOsg+uv119KBvGSNZ/BMFvssuT2sC5JiZma4pPtU8xz1VY/mMVe/abvi/wrDJwm3JxWee7XdsQs
lTx4yUCy4Bmmob6yRiAoK6PMLFwFU8dRGOi0hPSPs7VW8YL3BY5fn8UQd4fNhKpMtT8/I369C91+
GARczbBnfLihRzI7mLh2DANa2KoT0SNUq7daTH71LIqYGmIaJfHfKok+UCJ0Ns/4Yw8kv9kmvTqU
bFDiw7aJ0sq9ZAMcZLGNYwJXI0xpwo4Mjca3pzfZrPTDDDe7BO5K4wFMiBjkYRBZM1xWr+iVWWi7
hDtj6JiLs4SAJ5hCZeN8jPVo9jHIZwo0xKHlpVOjSoPwVRWAlqthjYAvNyjsd5mdea9jJrt+xt7m
+EllWNxFEc6LXsTM+NILzfwAnVX8PaLn+TomPfuh0vc6c6aJU8+0RFPTc+Z3vzMioNZnihPZZG82
1OK0nUdiLfP2i3WyKigllNmFtrLUuVoXwI95f8/4QoMmPI5EuAG4QZyLgY0eugQaozVq090fFmYp
Dt8PDP+VkazDy/pQz2PNC/82FK+elvqKoscWrO6lGe+tePr0m7GEMPfeDGyaIqqjGZDGMVgi+flJ
a5G2mUWUD3xnsSopHJBOyzZntQvOZQq/66GYViYwRScqoH4ArhRR7Umiy4S81Q3kTIwnCZ2V8u6g
rcxL4wCMENSi9xXkCqxQ2Ua5Ceg0vt4zmCc2IuOWHGj4LlF4aUyA39aMiihqyi5rRi2eO6nnfMRt
rJILMcxwb6+Dt4YDWHtDpvgSGFD6LrKKUPDC5uW3feiXn5lQtfmgxC4Gwq613YWhF7vyzMiC1e0u
9Gh/97cwr1R+rXlnVbGiBADbzppCCDbxk2kp7nXg780vGlltRnBtNlb9jNj325J4xZwts93wQW2i
WWc4EakkJcx7d2aQaZjWWwUCrzvanvfgn7ex+lbbCcDm069zQGrYfCS+ASGOpoN+p11t8DqZJZtF
mM7lOl2br0mbgQualXvlDYnK9QWFiAJNDxPYIjXU8C5Y1cV1EHjqB6XyjIunv0szUK4vWriaqE8d
El86cYfNgBlTQBmVxJyIVU2Bgbg9mX1NsoNfTbcCgbZV9Q0ZjigRBEpgsfZT8HTMy6IddkqexPNg
BVJg18wSm6mOgKRE6pcUeqzk/s3GDvLLrWHUb+3SXwEJclbmGWB3fXeWQ5MEzXOqRkD9NDc5d2FC
SF8pHMvFelMoNwx+YHY7qQzl2s79/XtGm2LO1nA9XKx2WG8AHMHmOqLMi0dpROBUw20Y01IClvNl
RdHzzqoITfFF8k+FXseg7EIjg9eCdhkkkXLROXMe8veGF8SUXOmoA9RaU1di4GXIQEN6H252YKpA
BwapTV+tqycahC7OLnulAvD/UmRJ8FcZ74rvZqAHpHqgkHsu8fVQ/4AaaydDaTbvZ6iSDZ1K6Kbe
bZags1WH8Wiwv9PlsadqyCsjpnIWh7ycXdmx8m3PrCz4QOwqjX5BYF3Rgozpcz14fQcCS6dUDle5
Ey5nkc0M8+aF2IfSDwHI2cWFeqi8223GCKq97c9ept6s/tt3MzjlfUjSb5+W2EGCrrk9rilyy6gO
ei2HHbtgT3cVAybWy5Wj2p+2tpZ/hLBPmTokdt9gF8u3ZbgtXqegW6/C2tBuitjBkDE+qn4fQMRH
Q3K8q64DpTS+0zm/tc5ceHQ+PfMt+zGA+JY2/a4WV5yeaYLKwZFBariPvK1ZLsl6b1efSSBYwGx1
c39Wwof0VrerDTWl/GAzfCmzku8+HBVMlIKZffeK4Zf5neWFq2uVUVCf9cwsqZBgBWDbyEKOe7V2
zs0t5d72Rf/f4Cy6jYhBNi+bOTYfymW2/7jMsUb5kYBA/PR9EsTFbfJrv/T0Qt0EndtmuvV9Ak+k
+AbQ3MSnOAxdZLV6vA3NV2q+71MrhCRmi3LBcB7Dm1giByZEvXmMP16ESYwL1fxY8eDhJhmO0aJ7
XTztB54c0c8O4en9taf59O/0dvDTCd/00QD5+DeHMFiidwgqQxFtSIHaTZISPj0Ex5oAayHdD91Z
8xAm8IEjOgQgE1x9qUMwtYklwh2SCq0kcKq9Q9ChaRetwoK7Y1y711QVsZXavcHu6JAk3U9a63Tb
rj2BrlfUOwC2NM/odu9Z0hfAZIY9Pj9dse0eEabTQ/DAcRmAcixGFDbP6EQAoInHm5OSAdNgphiA
fe94Awa6EMwaxQLQOyqJPfHo4xMFs30z7cDLf2zUQ4Pwc11oTpoMBImAVhQG90HTtAkXhfINEBTx
tLI3Jl1IL7SkJBjuhOtgWZAONXsUmzy9D5oqZlA4wi6OTQQsbrDs7p2Jbpk2BYpOzoe717wJ4xRE
pNDOSm0/cEQiQOwgXGE5baBOKDgL36e7CAOnwPUmfAyTNNwfTsO4zCLgLVI8UocgLgLFZ1cDhNu7
AXB9ga6i9ECo1jyj8wtJ2Epv31QntCcB2QT40jwDuwitGT8BsAjcsXlGpw6oMYo8spQQ6O7EoiBC
3qY9BKFgTrUhpyAGmJkAIUd6CroKuFnyFEx9gs4jTML8PyYLeAfAMvEU3dYPGZM6xIr9y0Dx534B
DH4kMF3R9NM8A6PgGkD9iSKB2I9VCGiWbZ0VCe8Iu8/gKeaydEIw8I4cjAK9JJSqWudIbT2RMckC
0E/pq2BOUPsqWexOIwzUoqaZ0D1yTCTPmls3pv17qClJVWCoTBjmGkDm3GnEvkL0NMIp0UvodlIy
OuOI5+LKmgVSR3iI8HQcg0KOtWcW7AnZAod20c6JHp8sUOuSDhr1CaN8aGSidtY8g1PwDBJsiIoG
+UjzjE4jUHi0ZfUixtEzPB1WkO5dD06BDJrNTwiuO2d6dKfAGYjRWFKOEt4yTVYU3ZzOHRzYSM9F
b5JOJeHa6o3xeQpQ9MrGDMxnpBWHFMHJLk/1gu1NYJuhykS3TfOMTzuKNjZZWXAmNHdD0EFDR/MM
bKRroR2p3xgEac0zOu2oazRnSp6CSZhIQpkA6nHtSKcVbqWl0TQ3OimgrV3aOoj4GTHgJvRto2MT
OGok2o5lldYlGZGfBIOJGPkopQ9N0sqitEz+4Gd3gN52Dxeh+/norAIDYTVZP8m00YdNr1MXGQ2t
gilYzg3i9NHlkyGt6pLcEiETORKoMmixb2XgQfYADQBvDqnWznUYnxDQoC7tJpJNNMgcMMi4Vfe8
61Oj6BAxcUSgarpTGp86pBNS9iqgDoHzEC/QId48g1MQdSZMooMr1h7D+IwiFl3aKFJHInluUEt6
/BS8CdGlQzNgV4kd4Y3AhZU0DoSP9KyL0d6P59NA/qEYyKVA5dUcU+udj8lE4rtJ3whzAlkYEm92
sjAInICITGjrQXW449s/Izlav0XCOpBQg5+AALq9CsNKm4cbzfYZAYKX0DyN2I1JCkyiWsm7QOUZ
2CktJjS/HXd5ah2AWE6ovVN2NEcXMkIOp8tKAXUW16Pg2DlITVH5dP9Um2CzdEVc3R5PW9wbkxSI
7hFZKaCCQIOnZ3UlNdHS0zsF7IaGMhTV9+YZXdBAC7toLpUKGgzuAiBzQaHYqoSBRnSFrFBloBGh
PYXRWUcusegikjoFkVDzgMgCCHjUR8A/QCNomE+1uxLNB47oRghZaK/pr1sHAkjg8ZqY2NS+a471
9EYgIROqvERX3eUb0/6BAUr7SBbNZ+SP1M4FEsHY6f5pThM8vqIZo5WS0fkIYMnlW5I02i8FfvWo
Edjl6SnQowpmXWRdf6TauHxjkgUTYlhJjSD8ZcrP9J91rtJAFprGLIeiEyPYRqcLSCPIesroAhV0
HP8MDAIk8zbHCwoWeLd4Rhc0gh+Udg4M9D0MKB7xc7vLoXPgToT/ZFGWbX8+PufAgsNF8hKQTxb8
n9AG/MQgNI6ySN93GYbxKURSXbJmkTQKrcocAhnk5hmYRVwkm5iSoPGHCzUyhWjbAnwt5yKRMuPG
c7c6D2iQY6dBz8Eq0BD5v7cl/Qvb8Q8S5NwPwkWDAQmW+WNQkZ/9whH98PDnHfLhavGfPwTEo/eL
AhLSfvayAaeIP//Za9tpLN/JD4+WsPmc7q93G3z40b3POu7q+D8vg2U2z+59aMgAkOy7r/l2HoEk
YUrIt3k0P4WnIH1ooR/f5D9/9L7nyft/ZuHHx4/8s/1fXDcLwK/1v7AnnBXpL5xt4PSd58eVxGtk
zhOqSHbl83kYfE+ywRTWtuVXeu0kTLL5Ijl+S/GtnaaVWn5lUIL3RXBfFr3FG8yK7OLTZTjfzbPl
6cotJEh65SCHZ+K+eJF8f3GehGX0LegJS9teK/spF5x6sOgt3PVsyq78apkwsbe/MmECald25UtO
PAiO6zTibVDDOf6PFrT2K1f9ajH3ewKotd1qsl/4KgyDOAn6N7LtEZdeOl4E84EWaZurpFdOdv2X
13YryS775qFualtfpBdmgfJ+sz+KQSMXbSeF7NLXSRnkD4657eSTXftmHsQ97UExVvTAyK+b7cN5
vDiuJI6jaymQXzrP5/d+mS+LoifTXZ+z9PrBPdRq8z7UtO0HkF8aW5AnRU+yuyq7/Np5HvBvmvZ0
U1fE/h2rJ2U2XFrURKWXTuJioEO65hvZld8uv2XD4W20pYoSpvzS1bxvt8jEiaqg/MK7F5fzKM39
oG/WO4zf71j/9TLLlz1NJVjoCKN+x+I3yzq475kxFheVwt+x+N9Jtjmu1KiUtntTeukkK/wX5/Ms
wVL2L2fbNv97PmA63wzvvmELMhTZ5d/5Qf/EW/SP9LKbEI+kH9UALBJlT+mls+VqiOZvKomyC79f
xnG+D6v5IEzoCnWyy3/0k8XyxVX+wLa1FTDZ5T8l5U8EsSsu/Z4PeCiIXb1CdvlbTn8JvVnPpYAN
UdQC5Neu+1Fll12XXfdzMfeP307oFNp3Rbpadtm7ZRZh2Y4LNSu3iWDplQMim4F4d0lW2aW/zLE7
TG/qX01QniJ3Kb34Mi9e3D325dusoPT6QX6fMG2i57kZba5Neu19EnEwx0No3mZb6Hx65ccyTf8U
Zx7mn47EII/9tX5yTfzGfbicZ3/+FwAA//8=</cx:binary>
              </cx:geoCache>
            </cx:geography>
          </cx:layoutPr>
          <cx:valueColors>
            <cx:minColor>
              <a:schemeClr val="accent1">
                <a:lumMod val="20000"/>
                <a:lumOff val="80000"/>
              </a:schemeClr>
            </cx:minColor>
            <cx:maxColor>
              <a:schemeClr val="accent1">
                <a:lumMod val="50000"/>
              </a:schemeClr>
            </cx:maxColor>
          </cx:valueColors>
        </cx:series>
      </cx:plotAreaRegion>
    </cx:plotArea>
    <cx:legend pos="r" align="min" overlay="0"/>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microsoft.com/office/2014/relationships/chartEx" Target="../charts/chartEx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529167</xdr:colOff>
      <xdr:row>0</xdr:row>
      <xdr:rowOff>127000</xdr:rowOff>
    </xdr:from>
    <xdr:to>
      <xdr:col>26</xdr:col>
      <xdr:colOff>444500</xdr:colOff>
      <xdr:row>38</xdr:row>
      <xdr:rowOff>74084</xdr:rowOff>
    </xdr:to>
    <xdr:sp macro="" textlink="">
      <xdr:nvSpPr>
        <xdr:cNvPr id="2" name="Rounded Rectangle 1">
          <a:extLst>
            <a:ext uri="{FF2B5EF4-FFF2-40B4-BE49-F238E27FC236}">
              <a16:creationId xmlns:a16="http://schemas.microsoft.com/office/drawing/2014/main" id="{00000000-0008-0000-0200-000002000000}"/>
            </a:ext>
          </a:extLst>
        </xdr:cNvPr>
        <xdr:cNvSpPr/>
      </xdr:nvSpPr>
      <xdr:spPr>
        <a:xfrm>
          <a:off x="2984500" y="127000"/>
          <a:ext cx="13419667" cy="6783917"/>
        </a:xfrm>
        <a:prstGeom prst="roundRect">
          <a:avLst>
            <a:gd name="adj" fmla="val 4655"/>
          </a:avLst>
        </a:prstGeom>
        <a:solidFill>
          <a:srgbClr val="BDD7E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67733</xdr:colOff>
      <xdr:row>2</xdr:row>
      <xdr:rowOff>21167</xdr:rowOff>
    </xdr:from>
    <xdr:to>
      <xdr:col>26</xdr:col>
      <xdr:colOff>296332</xdr:colOff>
      <xdr:row>37</xdr:row>
      <xdr:rowOff>42333</xdr:rowOff>
    </xdr:to>
    <xdr:sp macro="" textlink="">
      <xdr:nvSpPr>
        <xdr:cNvPr id="3" name="Rounded Rectangle 2">
          <a:extLst>
            <a:ext uri="{FF2B5EF4-FFF2-40B4-BE49-F238E27FC236}">
              <a16:creationId xmlns:a16="http://schemas.microsoft.com/office/drawing/2014/main" id="{00000000-0008-0000-0200-000003000000}"/>
            </a:ext>
          </a:extLst>
        </xdr:cNvPr>
        <xdr:cNvSpPr/>
      </xdr:nvSpPr>
      <xdr:spPr>
        <a:xfrm>
          <a:off x="3136900" y="381000"/>
          <a:ext cx="13119099" cy="6318250"/>
        </a:xfrm>
        <a:prstGeom prst="roundRect">
          <a:avLst>
            <a:gd name="adj" fmla="val 4551"/>
          </a:avLst>
        </a:prstGeom>
        <a:solidFill>
          <a:srgbClr val="DEEBF7"/>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211665</xdr:colOff>
      <xdr:row>7</xdr:row>
      <xdr:rowOff>74084</xdr:rowOff>
    </xdr:from>
    <xdr:to>
      <xdr:col>11</xdr:col>
      <xdr:colOff>359832</xdr:colOff>
      <xdr:row>16</xdr:row>
      <xdr:rowOff>42334</xdr:rowOff>
    </xdr:to>
    <xdr:sp macro="" textlink="">
      <xdr:nvSpPr>
        <xdr:cNvPr id="4" name="Rounded Rectangle 3">
          <a:extLst>
            <a:ext uri="{FF2B5EF4-FFF2-40B4-BE49-F238E27FC236}">
              <a16:creationId xmlns:a16="http://schemas.microsoft.com/office/drawing/2014/main" id="{00000000-0008-0000-0200-000004000000}"/>
            </a:ext>
          </a:extLst>
        </xdr:cNvPr>
        <xdr:cNvSpPr/>
      </xdr:nvSpPr>
      <xdr:spPr>
        <a:xfrm>
          <a:off x="3280832" y="1333501"/>
          <a:ext cx="3831167" cy="1587500"/>
        </a:xfrm>
        <a:prstGeom prst="roundRect">
          <a:avLst>
            <a:gd name="adj" fmla="val 7778"/>
          </a:avLst>
        </a:prstGeom>
        <a:solidFill>
          <a:srgbClr val="F8F9F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296334</xdr:colOff>
      <xdr:row>7</xdr:row>
      <xdr:rowOff>156633</xdr:rowOff>
    </xdr:from>
    <xdr:to>
      <xdr:col>7</xdr:col>
      <xdr:colOff>211667</xdr:colOff>
      <xdr:row>15</xdr:row>
      <xdr:rowOff>156633</xdr:rowOff>
    </xdr:to>
    <xdr:sp macro="" textlink="">
      <xdr:nvSpPr>
        <xdr:cNvPr id="5" name="Rounded Rectangle 4">
          <a:extLst>
            <a:ext uri="{FF2B5EF4-FFF2-40B4-BE49-F238E27FC236}">
              <a16:creationId xmlns:a16="http://schemas.microsoft.com/office/drawing/2014/main" id="{00000000-0008-0000-0200-000005000000}"/>
            </a:ext>
          </a:extLst>
        </xdr:cNvPr>
        <xdr:cNvSpPr/>
      </xdr:nvSpPr>
      <xdr:spPr>
        <a:xfrm>
          <a:off x="3365501" y="1416050"/>
          <a:ext cx="1142999" cy="1439333"/>
        </a:xfrm>
        <a:prstGeom prst="roundRect">
          <a:avLst>
            <a:gd name="adj" fmla="val 4551"/>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179916</xdr:colOff>
      <xdr:row>17</xdr:row>
      <xdr:rowOff>21168</xdr:rowOff>
    </xdr:from>
    <xdr:to>
      <xdr:col>11</xdr:col>
      <xdr:colOff>306916</xdr:colOff>
      <xdr:row>36</xdr:row>
      <xdr:rowOff>74083</xdr:rowOff>
    </xdr:to>
    <xdr:sp macro="" textlink="">
      <xdr:nvSpPr>
        <xdr:cNvPr id="6" name="Rounded Rectangle 5">
          <a:extLst>
            <a:ext uri="{FF2B5EF4-FFF2-40B4-BE49-F238E27FC236}">
              <a16:creationId xmlns:a16="http://schemas.microsoft.com/office/drawing/2014/main" id="{00000000-0008-0000-0200-000006000000}"/>
            </a:ext>
          </a:extLst>
        </xdr:cNvPr>
        <xdr:cNvSpPr/>
      </xdr:nvSpPr>
      <xdr:spPr>
        <a:xfrm>
          <a:off x="3249083" y="3079751"/>
          <a:ext cx="3810000" cy="3471332"/>
        </a:xfrm>
        <a:prstGeom prst="roundRect">
          <a:avLst>
            <a:gd name="adj" fmla="val 7778"/>
          </a:avLst>
        </a:prstGeom>
        <a:solidFill>
          <a:srgbClr val="F8F9F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391583</xdr:colOff>
      <xdr:row>22</xdr:row>
      <xdr:rowOff>31750</xdr:rowOff>
    </xdr:from>
    <xdr:to>
      <xdr:col>19</xdr:col>
      <xdr:colOff>349250</xdr:colOff>
      <xdr:row>36</xdr:row>
      <xdr:rowOff>52917</xdr:rowOff>
    </xdr:to>
    <xdr:sp macro="" textlink="">
      <xdr:nvSpPr>
        <xdr:cNvPr id="7" name="Rounded Rectangle 6">
          <a:extLst>
            <a:ext uri="{FF2B5EF4-FFF2-40B4-BE49-F238E27FC236}">
              <a16:creationId xmlns:a16="http://schemas.microsoft.com/office/drawing/2014/main" id="{00000000-0008-0000-0200-000007000000}"/>
            </a:ext>
          </a:extLst>
        </xdr:cNvPr>
        <xdr:cNvSpPr/>
      </xdr:nvSpPr>
      <xdr:spPr>
        <a:xfrm>
          <a:off x="7143750" y="3989917"/>
          <a:ext cx="4868333" cy="2540000"/>
        </a:xfrm>
        <a:prstGeom prst="roundRect">
          <a:avLst>
            <a:gd name="adj" fmla="val 7778"/>
          </a:avLst>
        </a:prstGeom>
        <a:solidFill>
          <a:srgbClr val="F8F9F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476251</xdr:colOff>
      <xdr:row>7</xdr:row>
      <xdr:rowOff>74084</xdr:rowOff>
    </xdr:from>
    <xdr:to>
      <xdr:col>19</xdr:col>
      <xdr:colOff>338667</xdr:colOff>
      <xdr:row>21</xdr:row>
      <xdr:rowOff>137583</xdr:rowOff>
    </xdr:to>
    <xdr:sp macro="" textlink="">
      <xdr:nvSpPr>
        <xdr:cNvPr id="8" name="Rounded Rectangle 7">
          <a:extLst>
            <a:ext uri="{FF2B5EF4-FFF2-40B4-BE49-F238E27FC236}">
              <a16:creationId xmlns:a16="http://schemas.microsoft.com/office/drawing/2014/main" id="{00000000-0008-0000-0200-000008000000}"/>
            </a:ext>
          </a:extLst>
        </xdr:cNvPr>
        <xdr:cNvSpPr/>
      </xdr:nvSpPr>
      <xdr:spPr>
        <a:xfrm>
          <a:off x="7228418" y="1333501"/>
          <a:ext cx="4773082" cy="2582332"/>
        </a:xfrm>
        <a:prstGeom prst="roundRect">
          <a:avLst>
            <a:gd name="adj" fmla="val 7778"/>
          </a:avLst>
        </a:prstGeom>
        <a:solidFill>
          <a:srgbClr val="F8F9F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19</xdr:col>
      <xdr:colOff>461430</xdr:colOff>
      <xdr:row>7</xdr:row>
      <xdr:rowOff>74084</xdr:rowOff>
    </xdr:from>
    <xdr:to>
      <xdr:col>26</xdr:col>
      <xdr:colOff>127000</xdr:colOff>
      <xdr:row>36</xdr:row>
      <xdr:rowOff>42333</xdr:rowOff>
    </xdr:to>
    <xdr:sp macro="" textlink="">
      <xdr:nvSpPr>
        <xdr:cNvPr id="9" name="Rounded Rectangle 8">
          <a:extLst>
            <a:ext uri="{FF2B5EF4-FFF2-40B4-BE49-F238E27FC236}">
              <a16:creationId xmlns:a16="http://schemas.microsoft.com/office/drawing/2014/main" id="{00000000-0008-0000-0200-000009000000}"/>
            </a:ext>
          </a:extLst>
        </xdr:cNvPr>
        <xdr:cNvSpPr/>
      </xdr:nvSpPr>
      <xdr:spPr>
        <a:xfrm>
          <a:off x="12124263" y="1333501"/>
          <a:ext cx="3962404" cy="5185832"/>
        </a:xfrm>
        <a:prstGeom prst="roundRect">
          <a:avLst>
            <a:gd name="adj" fmla="val 7778"/>
          </a:avLst>
        </a:prstGeom>
        <a:solidFill>
          <a:srgbClr val="F8F9F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332318</xdr:colOff>
      <xdr:row>7</xdr:row>
      <xdr:rowOff>156633</xdr:rowOff>
    </xdr:from>
    <xdr:to>
      <xdr:col>9</xdr:col>
      <xdr:colOff>247650</xdr:colOff>
      <xdr:row>15</xdr:row>
      <xdr:rowOff>156633</xdr:rowOff>
    </xdr:to>
    <xdr:sp macro="" textlink="">
      <xdr:nvSpPr>
        <xdr:cNvPr id="14" name="Rounded Rectangle 13">
          <a:extLst>
            <a:ext uri="{FF2B5EF4-FFF2-40B4-BE49-F238E27FC236}">
              <a16:creationId xmlns:a16="http://schemas.microsoft.com/office/drawing/2014/main" id="{00000000-0008-0000-0200-00000E000000}"/>
            </a:ext>
          </a:extLst>
        </xdr:cNvPr>
        <xdr:cNvSpPr/>
      </xdr:nvSpPr>
      <xdr:spPr>
        <a:xfrm>
          <a:off x="4629151" y="1416050"/>
          <a:ext cx="1142999" cy="1439333"/>
        </a:xfrm>
        <a:prstGeom prst="roundRect">
          <a:avLst>
            <a:gd name="adj" fmla="val 4551"/>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368302</xdr:colOff>
      <xdr:row>7</xdr:row>
      <xdr:rowOff>156633</xdr:rowOff>
    </xdr:from>
    <xdr:to>
      <xdr:col>11</xdr:col>
      <xdr:colOff>283634</xdr:colOff>
      <xdr:row>15</xdr:row>
      <xdr:rowOff>156633</xdr:rowOff>
    </xdr:to>
    <xdr:sp macro="" textlink="">
      <xdr:nvSpPr>
        <xdr:cNvPr id="15" name="Rounded Rectangle 14">
          <a:extLst>
            <a:ext uri="{FF2B5EF4-FFF2-40B4-BE49-F238E27FC236}">
              <a16:creationId xmlns:a16="http://schemas.microsoft.com/office/drawing/2014/main" id="{00000000-0008-0000-0200-00000F000000}"/>
            </a:ext>
          </a:extLst>
        </xdr:cNvPr>
        <xdr:cNvSpPr/>
      </xdr:nvSpPr>
      <xdr:spPr>
        <a:xfrm>
          <a:off x="5892802" y="1416050"/>
          <a:ext cx="1142999" cy="1439333"/>
        </a:xfrm>
        <a:prstGeom prst="roundRect">
          <a:avLst>
            <a:gd name="adj" fmla="val 4551"/>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539750</xdr:colOff>
      <xdr:row>8</xdr:row>
      <xdr:rowOff>78317</xdr:rowOff>
    </xdr:from>
    <xdr:to>
      <xdr:col>7</xdr:col>
      <xdr:colOff>95250</xdr:colOff>
      <xdr:row>10</xdr:row>
      <xdr:rowOff>74083</xdr:rowOff>
    </xdr:to>
    <xdr:sp macro="" textlink="">
      <xdr:nvSpPr>
        <xdr:cNvPr id="13" name="Rectangle 12">
          <a:extLst>
            <a:ext uri="{FF2B5EF4-FFF2-40B4-BE49-F238E27FC236}">
              <a16:creationId xmlns:a16="http://schemas.microsoft.com/office/drawing/2014/main" id="{00000000-0008-0000-0200-00000D000000}"/>
            </a:ext>
          </a:extLst>
        </xdr:cNvPr>
        <xdr:cNvSpPr/>
      </xdr:nvSpPr>
      <xdr:spPr>
        <a:xfrm>
          <a:off x="3608917" y="1517650"/>
          <a:ext cx="783166" cy="3556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a:solidFill>
                <a:schemeClr val="tx1"/>
              </a:solidFill>
            </a:rPr>
            <a:t>Sales</a:t>
          </a:r>
        </a:p>
      </xdr:txBody>
    </xdr:sp>
    <xdr:clientData/>
  </xdr:twoCellAnchor>
  <xdr:twoCellAnchor>
    <xdr:from>
      <xdr:col>5</xdr:col>
      <xdr:colOff>349250</xdr:colOff>
      <xdr:row>10</xdr:row>
      <xdr:rowOff>152704</xdr:rowOff>
    </xdr:from>
    <xdr:to>
      <xdr:col>7</xdr:col>
      <xdr:colOff>211667</xdr:colOff>
      <xdr:row>14</xdr:row>
      <xdr:rowOff>36288</xdr:rowOff>
    </xdr:to>
    <xdr:sp macro="" textlink="sales_">
      <xdr:nvSpPr>
        <xdr:cNvPr id="16" name="Rectangle 15">
          <a:extLst>
            <a:ext uri="{FF2B5EF4-FFF2-40B4-BE49-F238E27FC236}">
              <a16:creationId xmlns:a16="http://schemas.microsoft.com/office/drawing/2014/main" id="{00000000-0008-0000-0200-000010000000}"/>
            </a:ext>
          </a:extLst>
        </xdr:cNvPr>
        <xdr:cNvSpPr/>
      </xdr:nvSpPr>
      <xdr:spPr>
        <a:xfrm>
          <a:off x="3388179" y="1966990"/>
          <a:ext cx="1077988" cy="60929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F743F048-0947-4984-9F36-D8BE29CEF1F8}" type="TxLink">
            <a:rPr lang="en-US" sz="2000" b="0" i="0" u="none" strike="noStrike">
              <a:solidFill>
                <a:schemeClr val="accent1">
                  <a:lumMod val="75000"/>
                </a:schemeClr>
              </a:solidFill>
              <a:latin typeface="Calibri"/>
              <a:cs typeface="Calibri"/>
            </a:rPr>
            <a:pPr algn="l"/>
            <a:t>$10.7M</a:t>
          </a:fld>
          <a:endParaRPr lang="en-US" sz="2000">
            <a:solidFill>
              <a:schemeClr val="accent1">
                <a:lumMod val="75000"/>
              </a:schemeClr>
            </a:solidFill>
          </a:endParaRPr>
        </a:p>
      </xdr:txBody>
    </xdr:sp>
    <xdr:clientData/>
  </xdr:twoCellAnchor>
  <xdr:oneCellAnchor>
    <xdr:from>
      <xdr:col>2</xdr:col>
      <xdr:colOff>381000</xdr:colOff>
      <xdr:row>11</xdr:row>
      <xdr:rowOff>42334</xdr:rowOff>
    </xdr:from>
    <xdr:ext cx="184731" cy="264560"/>
    <xdr:sp macro="" textlink="">
      <xdr:nvSpPr>
        <xdr:cNvPr id="11" name="TextBox 10">
          <a:extLst>
            <a:ext uri="{FF2B5EF4-FFF2-40B4-BE49-F238E27FC236}">
              <a16:creationId xmlns:a16="http://schemas.microsoft.com/office/drawing/2014/main" id="{00000000-0008-0000-0200-00000B000000}"/>
            </a:ext>
          </a:extLst>
        </xdr:cNvPr>
        <xdr:cNvSpPr txBox="1"/>
      </xdr:nvSpPr>
      <xdr:spPr>
        <a:xfrm>
          <a:off x="1608667" y="2021417"/>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oneCellAnchor>
    <xdr:from>
      <xdr:col>1</xdr:col>
      <xdr:colOff>412750</xdr:colOff>
      <xdr:row>11</xdr:row>
      <xdr:rowOff>127000</xdr:rowOff>
    </xdr:from>
    <xdr:ext cx="184731" cy="264560"/>
    <xdr:sp macro="" textlink="">
      <xdr:nvSpPr>
        <xdr:cNvPr id="19" name="TextBox 18">
          <a:extLst>
            <a:ext uri="{FF2B5EF4-FFF2-40B4-BE49-F238E27FC236}">
              <a16:creationId xmlns:a16="http://schemas.microsoft.com/office/drawing/2014/main" id="{00000000-0008-0000-0200-000013000000}"/>
            </a:ext>
          </a:extLst>
        </xdr:cNvPr>
        <xdr:cNvSpPr txBox="1"/>
      </xdr:nvSpPr>
      <xdr:spPr>
        <a:xfrm>
          <a:off x="1026583" y="2106083"/>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twoCellAnchor>
    <xdr:from>
      <xdr:col>11</xdr:col>
      <xdr:colOff>486833</xdr:colOff>
      <xdr:row>22</xdr:row>
      <xdr:rowOff>63500</xdr:rowOff>
    </xdr:from>
    <xdr:to>
      <xdr:col>14</xdr:col>
      <xdr:colOff>455084</xdr:colOff>
      <xdr:row>23</xdr:row>
      <xdr:rowOff>137584</xdr:rowOff>
    </xdr:to>
    <xdr:sp macro="" textlink="">
      <xdr:nvSpPr>
        <xdr:cNvPr id="20" name="Rectangle 19">
          <a:extLst>
            <a:ext uri="{FF2B5EF4-FFF2-40B4-BE49-F238E27FC236}">
              <a16:creationId xmlns:a16="http://schemas.microsoft.com/office/drawing/2014/main" id="{00000000-0008-0000-0200-000014000000}"/>
            </a:ext>
          </a:extLst>
        </xdr:cNvPr>
        <xdr:cNvSpPr/>
      </xdr:nvSpPr>
      <xdr:spPr>
        <a:xfrm>
          <a:off x="7239000" y="4021667"/>
          <a:ext cx="1809751" cy="2540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a:solidFill>
                <a:schemeClr val="accent1">
                  <a:lumMod val="75000"/>
                </a:schemeClr>
              </a:solidFill>
            </a:rPr>
            <a:t>Product Performance</a:t>
          </a:r>
        </a:p>
      </xdr:txBody>
    </xdr:sp>
    <xdr:clientData/>
  </xdr:twoCellAnchor>
  <xdr:twoCellAnchor>
    <xdr:from>
      <xdr:col>9</xdr:col>
      <xdr:colOff>442384</xdr:colOff>
      <xdr:row>8</xdr:row>
      <xdr:rowOff>78317</xdr:rowOff>
    </xdr:from>
    <xdr:to>
      <xdr:col>11</xdr:col>
      <xdr:colOff>254001</xdr:colOff>
      <xdr:row>10</xdr:row>
      <xdr:rowOff>101600</xdr:rowOff>
    </xdr:to>
    <xdr:sp macro="" textlink="">
      <xdr:nvSpPr>
        <xdr:cNvPr id="21" name="Rectangle 20">
          <a:extLst>
            <a:ext uri="{FF2B5EF4-FFF2-40B4-BE49-F238E27FC236}">
              <a16:creationId xmlns:a16="http://schemas.microsoft.com/office/drawing/2014/main" id="{00000000-0008-0000-0200-000015000000}"/>
            </a:ext>
          </a:extLst>
        </xdr:cNvPr>
        <xdr:cNvSpPr/>
      </xdr:nvSpPr>
      <xdr:spPr>
        <a:xfrm>
          <a:off x="5966884" y="1517650"/>
          <a:ext cx="1039284" cy="38311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a:solidFill>
                <a:schemeClr val="tx1"/>
              </a:solidFill>
            </a:rPr>
            <a:t>Quantity</a:t>
          </a:r>
          <a:endParaRPr lang="en-US" sz="1100">
            <a:solidFill>
              <a:schemeClr val="tx1"/>
            </a:solidFill>
          </a:endParaRPr>
        </a:p>
      </xdr:txBody>
    </xdr:sp>
    <xdr:clientData/>
  </xdr:twoCellAnchor>
  <xdr:twoCellAnchor>
    <xdr:from>
      <xdr:col>7</xdr:col>
      <xdr:colOff>422275</xdr:colOff>
      <xdr:row>8</xdr:row>
      <xdr:rowOff>78317</xdr:rowOff>
    </xdr:from>
    <xdr:to>
      <xdr:col>9</xdr:col>
      <xdr:colOff>115358</xdr:colOff>
      <xdr:row>11</xdr:row>
      <xdr:rowOff>23283</xdr:rowOff>
    </xdr:to>
    <xdr:sp macro="" textlink="">
      <xdr:nvSpPr>
        <xdr:cNvPr id="22" name="Rectangle 21">
          <a:extLst>
            <a:ext uri="{FF2B5EF4-FFF2-40B4-BE49-F238E27FC236}">
              <a16:creationId xmlns:a16="http://schemas.microsoft.com/office/drawing/2014/main" id="{00000000-0008-0000-0200-000016000000}"/>
            </a:ext>
          </a:extLst>
        </xdr:cNvPr>
        <xdr:cNvSpPr/>
      </xdr:nvSpPr>
      <xdr:spPr>
        <a:xfrm>
          <a:off x="4719108" y="1517650"/>
          <a:ext cx="920750" cy="4847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a:solidFill>
                <a:schemeClr val="tx1"/>
              </a:solidFill>
            </a:rPr>
            <a:t>Profit</a:t>
          </a:r>
          <a:endParaRPr lang="en-US" sz="1100">
            <a:solidFill>
              <a:schemeClr val="tx1"/>
            </a:solidFill>
          </a:endParaRPr>
        </a:p>
      </xdr:txBody>
    </xdr:sp>
    <xdr:clientData/>
  </xdr:twoCellAnchor>
  <xdr:twoCellAnchor>
    <xdr:from>
      <xdr:col>5</xdr:col>
      <xdr:colOff>349250</xdr:colOff>
      <xdr:row>14</xdr:row>
      <xdr:rowOff>0</xdr:rowOff>
    </xdr:from>
    <xdr:to>
      <xdr:col>7</xdr:col>
      <xdr:colOff>158750</xdr:colOff>
      <xdr:row>15</xdr:row>
      <xdr:rowOff>81642</xdr:rowOff>
    </xdr:to>
    <xdr:sp macro="" textlink="yoy_sales_">
      <xdr:nvSpPr>
        <xdr:cNvPr id="23" name="Rectangle 22">
          <a:extLst>
            <a:ext uri="{FF2B5EF4-FFF2-40B4-BE49-F238E27FC236}">
              <a16:creationId xmlns:a16="http://schemas.microsoft.com/office/drawing/2014/main" id="{00000000-0008-0000-0200-000017000000}"/>
            </a:ext>
          </a:extLst>
        </xdr:cNvPr>
        <xdr:cNvSpPr/>
      </xdr:nvSpPr>
      <xdr:spPr>
        <a:xfrm>
          <a:off x="3426558" y="2667000"/>
          <a:ext cx="1040423" cy="2721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73454A71-1A1B-448D-B329-5B466B02BC77}" type="TxLink">
            <a:rPr lang="en-US" sz="1400" b="0" i="0" u="none" strike="noStrike">
              <a:solidFill>
                <a:schemeClr val="tx1"/>
              </a:solidFill>
              <a:latin typeface="Calibri"/>
              <a:cs typeface="Calibri"/>
            </a:rPr>
            <a:pPr algn="l"/>
            <a:t>▼4.3% YoY</a:t>
          </a:fld>
          <a:endParaRPr lang="en-US" sz="1400">
            <a:solidFill>
              <a:schemeClr val="tx1"/>
            </a:solidFill>
          </a:endParaRPr>
        </a:p>
      </xdr:txBody>
    </xdr:sp>
    <xdr:clientData/>
  </xdr:twoCellAnchor>
  <xdr:twoCellAnchor>
    <xdr:from>
      <xdr:col>12</xdr:col>
      <xdr:colOff>25400</xdr:colOff>
      <xdr:row>8</xdr:row>
      <xdr:rowOff>105835</xdr:rowOff>
    </xdr:from>
    <xdr:to>
      <xdr:col>17</xdr:col>
      <xdr:colOff>232833</xdr:colOff>
      <xdr:row>9</xdr:row>
      <xdr:rowOff>169334</xdr:rowOff>
    </xdr:to>
    <xdr:sp macro="" textlink="sales_trend">
      <xdr:nvSpPr>
        <xdr:cNvPr id="24" name="Rectangle 23">
          <a:extLst>
            <a:ext uri="{FF2B5EF4-FFF2-40B4-BE49-F238E27FC236}">
              <a16:creationId xmlns:a16="http://schemas.microsoft.com/office/drawing/2014/main" id="{00000000-0008-0000-0200-000018000000}"/>
            </a:ext>
          </a:extLst>
        </xdr:cNvPr>
        <xdr:cNvSpPr/>
      </xdr:nvSpPr>
      <xdr:spPr>
        <a:xfrm>
          <a:off x="7391400" y="1545168"/>
          <a:ext cx="3276600" cy="2434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451313EE-2B25-4170-90EF-62E5960D6AC2}" type="TxLink">
            <a:rPr lang="en-US" sz="1100" b="0" i="0" u="none" strike="noStrike">
              <a:solidFill>
                <a:schemeClr val="tx1"/>
              </a:solidFill>
              <a:latin typeface="Calibri"/>
              <a:cs typeface="Calibri"/>
            </a:rPr>
            <a:pPr algn="l"/>
            <a:t>Peak Sales Month: May with $1,034,687 in Sales</a:t>
          </a:fld>
          <a:endParaRPr lang="en-US" sz="1100">
            <a:solidFill>
              <a:schemeClr val="tx1"/>
            </a:solidFill>
          </a:endParaRPr>
        </a:p>
      </xdr:txBody>
    </xdr:sp>
    <xdr:clientData/>
  </xdr:twoCellAnchor>
  <xdr:twoCellAnchor>
    <xdr:from>
      <xdr:col>12</xdr:col>
      <xdr:colOff>14514</xdr:colOff>
      <xdr:row>7</xdr:row>
      <xdr:rowOff>116417</xdr:rowOff>
    </xdr:from>
    <xdr:to>
      <xdr:col>14</xdr:col>
      <xdr:colOff>268514</xdr:colOff>
      <xdr:row>8</xdr:row>
      <xdr:rowOff>148167</xdr:rowOff>
    </xdr:to>
    <xdr:sp macro="" textlink="">
      <xdr:nvSpPr>
        <xdr:cNvPr id="25" name="Rectangle 24">
          <a:extLst>
            <a:ext uri="{FF2B5EF4-FFF2-40B4-BE49-F238E27FC236}">
              <a16:creationId xmlns:a16="http://schemas.microsoft.com/office/drawing/2014/main" id="{00000000-0008-0000-0200-000019000000}"/>
            </a:ext>
          </a:extLst>
        </xdr:cNvPr>
        <xdr:cNvSpPr/>
      </xdr:nvSpPr>
      <xdr:spPr>
        <a:xfrm>
          <a:off x="7380514" y="1375834"/>
          <a:ext cx="1481667" cy="21166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a:solidFill>
                <a:schemeClr val="accent1">
                  <a:lumMod val="75000"/>
                </a:schemeClr>
              </a:solidFill>
            </a:rPr>
            <a:t>Sales Trend</a:t>
          </a:r>
        </a:p>
      </xdr:txBody>
    </xdr:sp>
    <xdr:clientData/>
  </xdr:twoCellAnchor>
  <xdr:twoCellAnchor>
    <xdr:from>
      <xdr:col>9</xdr:col>
      <xdr:colOff>420915</xdr:colOff>
      <xdr:row>14</xdr:row>
      <xdr:rowOff>9374</xdr:rowOff>
    </xdr:from>
    <xdr:to>
      <xdr:col>11</xdr:col>
      <xdr:colOff>226786</xdr:colOff>
      <xdr:row>15</xdr:row>
      <xdr:rowOff>81642</xdr:rowOff>
    </xdr:to>
    <xdr:sp macro="" textlink="yoy_quantity_">
      <xdr:nvSpPr>
        <xdr:cNvPr id="26" name="Rectangle 25">
          <a:extLst>
            <a:ext uri="{FF2B5EF4-FFF2-40B4-BE49-F238E27FC236}">
              <a16:creationId xmlns:a16="http://schemas.microsoft.com/office/drawing/2014/main" id="{00000000-0008-0000-0200-00001A000000}"/>
            </a:ext>
          </a:extLst>
        </xdr:cNvPr>
        <xdr:cNvSpPr/>
      </xdr:nvSpPr>
      <xdr:spPr>
        <a:xfrm>
          <a:off x="5890986" y="2549374"/>
          <a:ext cx="1021443" cy="25369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BEC69B39-03D7-4FFC-9656-8548875325D0}" type="TxLink">
            <a:rPr lang="en-US" sz="1400" b="0" i="0" u="none" strike="noStrike">
              <a:solidFill>
                <a:schemeClr val="tx1"/>
              </a:solidFill>
              <a:latin typeface="Calibri"/>
              <a:cs typeface="Calibri"/>
            </a:rPr>
            <a:pPr algn="l"/>
            <a:t>▲0.4% YoY</a:t>
          </a:fld>
          <a:endParaRPr lang="en-US" sz="1400">
            <a:solidFill>
              <a:schemeClr val="tx1"/>
            </a:solidFill>
          </a:endParaRPr>
        </a:p>
      </xdr:txBody>
    </xdr:sp>
    <xdr:clientData/>
  </xdr:twoCellAnchor>
  <xdr:twoCellAnchor>
    <xdr:from>
      <xdr:col>9</xdr:col>
      <xdr:colOff>479577</xdr:colOff>
      <xdr:row>10</xdr:row>
      <xdr:rowOff>152704</xdr:rowOff>
    </xdr:from>
    <xdr:to>
      <xdr:col>11</xdr:col>
      <xdr:colOff>188231</xdr:colOff>
      <xdr:row>13</xdr:row>
      <xdr:rowOff>108859</xdr:rowOff>
    </xdr:to>
    <xdr:sp macro="" textlink="quantity_">
      <xdr:nvSpPr>
        <xdr:cNvPr id="27" name="Rectangle 26">
          <a:extLst>
            <a:ext uri="{FF2B5EF4-FFF2-40B4-BE49-F238E27FC236}">
              <a16:creationId xmlns:a16="http://schemas.microsoft.com/office/drawing/2014/main" id="{00000000-0008-0000-0200-00001B000000}"/>
            </a:ext>
          </a:extLst>
        </xdr:cNvPr>
        <xdr:cNvSpPr/>
      </xdr:nvSpPr>
      <xdr:spPr>
        <a:xfrm>
          <a:off x="5949648" y="1966990"/>
          <a:ext cx="924226" cy="50044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52FA1622-FEC2-4923-8E4D-88876A87F088}" type="TxLink">
            <a:rPr lang="en-US" sz="2000" b="0" i="0" u="none" strike="noStrike">
              <a:solidFill>
                <a:schemeClr val="accent1">
                  <a:lumMod val="75000"/>
                </a:schemeClr>
              </a:solidFill>
              <a:latin typeface="Calibri"/>
              <a:cs typeface="Calibri"/>
            </a:rPr>
            <a:pPr algn="l"/>
            <a:t>17.3K</a:t>
          </a:fld>
          <a:endParaRPr lang="en-US" sz="2000">
            <a:solidFill>
              <a:schemeClr val="accent1">
                <a:lumMod val="75000"/>
              </a:schemeClr>
            </a:solidFill>
          </a:endParaRPr>
        </a:p>
      </xdr:txBody>
    </xdr:sp>
    <xdr:clientData/>
  </xdr:twoCellAnchor>
  <xdr:twoCellAnchor>
    <xdr:from>
      <xdr:col>7</xdr:col>
      <xdr:colOff>342749</xdr:colOff>
      <xdr:row>14</xdr:row>
      <xdr:rowOff>14654</xdr:rowOff>
    </xdr:from>
    <xdr:to>
      <xdr:col>9</xdr:col>
      <xdr:colOff>236916</xdr:colOff>
      <xdr:row>15</xdr:row>
      <xdr:rowOff>81642</xdr:rowOff>
    </xdr:to>
    <xdr:sp macro="" textlink="yoy_profit_">
      <xdr:nvSpPr>
        <xdr:cNvPr id="28" name="Rectangle 27">
          <a:extLst>
            <a:ext uri="{FF2B5EF4-FFF2-40B4-BE49-F238E27FC236}">
              <a16:creationId xmlns:a16="http://schemas.microsoft.com/office/drawing/2014/main" id="{00000000-0008-0000-0200-00001C000000}"/>
            </a:ext>
          </a:extLst>
        </xdr:cNvPr>
        <xdr:cNvSpPr/>
      </xdr:nvSpPr>
      <xdr:spPr>
        <a:xfrm>
          <a:off x="4650980" y="2681654"/>
          <a:ext cx="1125090" cy="2574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1F0032A5-6E7D-4EF5-BE70-5C327EE9BB89}" type="TxLink">
            <a:rPr lang="en-US" sz="1400" b="0" i="0" u="none" strike="noStrike">
              <a:solidFill>
                <a:schemeClr val="tx1"/>
              </a:solidFill>
              <a:latin typeface="Calibri"/>
              <a:cs typeface="Calibri"/>
            </a:rPr>
            <a:pPr algn="l"/>
            <a:t>▼9.3% YoY</a:t>
          </a:fld>
          <a:endParaRPr lang="en-US" sz="1400">
            <a:solidFill>
              <a:schemeClr val="tx1"/>
            </a:solidFill>
          </a:endParaRPr>
        </a:p>
      </xdr:txBody>
    </xdr:sp>
    <xdr:clientData/>
  </xdr:twoCellAnchor>
  <xdr:twoCellAnchor>
    <xdr:from>
      <xdr:col>7</xdr:col>
      <xdr:colOff>490614</xdr:colOff>
      <xdr:row>10</xdr:row>
      <xdr:rowOff>152704</xdr:rowOff>
    </xdr:from>
    <xdr:to>
      <xdr:col>9</xdr:col>
      <xdr:colOff>200631</xdr:colOff>
      <xdr:row>14</xdr:row>
      <xdr:rowOff>36288</xdr:rowOff>
    </xdr:to>
    <xdr:sp macro="" textlink="profit_">
      <xdr:nvSpPr>
        <xdr:cNvPr id="29" name="Rectangle 28">
          <a:extLst>
            <a:ext uri="{FF2B5EF4-FFF2-40B4-BE49-F238E27FC236}">
              <a16:creationId xmlns:a16="http://schemas.microsoft.com/office/drawing/2014/main" id="{00000000-0008-0000-0200-00001D000000}"/>
            </a:ext>
          </a:extLst>
        </xdr:cNvPr>
        <xdr:cNvSpPr/>
      </xdr:nvSpPr>
      <xdr:spPr>
        <a:xfrm>
          <a:off x="4745114" y="1966990"/>
          <a:ext cx="925588" cy="60929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1B91DAEF-6A36-4A89-AC6C-987A377E87A1}" type="TxLink">
            <a:rPr lang="en-US" sz="2000" b="0" i="0" u="none" strike="noStrike">
              <a:solidFill>
                <a:schemeClr val="accent1">
                  <a:lumMod val="75000"/>
                </a:schemeClr>
              </a:solidFill>
              <a:latin typeface="Calibri"/>
              <a:cs typeface="Calibri"/>
            </a:rPr>
            <a:pPr algn="l"/>
            <a:t>$1.8M</a:t>
          </a:fld>
          <a:endParaRPr lang="en-US" sz="2000">
            <a:solidFill>
              <a:schemeClr val="accent1">
                <a:lumMod val="75000"/>
              </a:schemeClr>
            </a:solidFill>
          </a:endParaRPr>
        </a:p>
      </xdr:txBody>
    </xdr:sp>
    <xdr:clientData/>
  </xdr:twoCellAnchor>
  <xdr:twoCellAnchor>
    <xdr:from>
      <xdr:col>11</xdr:col>
      <xdr:colOff>518584</xdr:colOff>
      <xdr:row>9</xdr:row>
      <xdr:rowOff>52918</xdr:rowOff>
    </xdr:from>
    <xdr:to>
      <xdr:col>19</xdr:col>
      <xdr:colOff>285750</xdr:colOff>
      <xdr:row>21</xdr:row>
      <xdr:rowOff>105834</xdr:rowOff>
    </xdr:to>
    <xdr:graphicFrame macro="">
      <xdr:nvGraphicFramePr>
        <xdr:cNvPr id="30" name="Chart 29">
          <a:extLst>
            <a:ext uri="{FF2B5EF4-FFF2-40B4-BE49-F238E27FC236}">
              <a16:creationId xmlns:a16="http://schemas.microsoft.com/office/drawing/2014/main" id="{00000000-0008-0000-0200-00001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402167</xdr:colOff>
      <xdr:row>24</xdr:row>
      <xdr:rowOff>116417</xdr:rowOff>
    </xdr:from>
    <xdr:to>
      <xdr:col>19</xdr:col>
      <xdr:colOff>211667</xdr:colOff>
      <xdr:row>36</xdr:row>
      <xdr:rowOff>21167</xdr:rowOff>
    </xdr:to>
    <xdr:graphicFrame macro="">
      <xdr:nvGraphicFramePr>
        <xdr:cNvPr id="31" name="Chart 30">
          <a:extLst>
            <a:ext uri="{FF2B5EF4-FFF2-40B4-BE49-F238E27FC236}">
              <a16:creationId xmlns:a16="http://schemas.microsoft.com/office/drawing/2014/main" id="{00000000-0008-0000-0200-00001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95249</xdr:colOff>
      <xdr:row>7</xdr:row>
      <xdr:rowOff>167218</xdr:rowOff>
    </xdr:from>
    <xdr:to>
      <xdr:col>23</xdr:col>
      <xdr:colOff>167216</xdr:colOff>
      <xdr:row>9</xdr:row>
      <xdr:rowOff>127001</xdr:rowOff>
    </xdr:to>
    <xdr:sp macro="" textlink="">
      <xdr:nvSpPr>
        <xdr:cNvPr id="33" name="Rectangle 32">
          <a:extLst>
            <a:ext uri="{FF2B5EF4-FFF2-40B4-BE49-F238E27FC236}">
              <a16:creationId xmlns:a16="http://schemas.microsoft.com/office/drawing/2014/main" id="{00000000-0008-0000-0200-000021000000}"/>
            </a:ext>
          </a:extLst>
        </xdr:cNvPr>
        <xdr:cNvSpPr/>
      </xdr:nvSpPr>
      <xdr:spPr>
        <a:xfrm>
          <a:off x="12371916" y="1426635"/>
          <a:ext cx="1913467" cy="31961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a:solidFill>
                <a:schemeClr val="accent1">
                  <a:lumMod val="75000"/>
                </a:schemeClr>
              </a:solidFill>
            </a:rPr>
            <a:t>Sales Distribution</a:t>
          </a:r>
          <a:r>
            <a:rPr lang="en-US" sz="1200" baseline="0">
              <a:solidFill>
                <a:schemeClr val="accent1">
                  <a:lumMod val="75000"/>
                </a:schemeClr>
              </a:solidFill>
            </a:rPr>
            <a:t> by State</a:t>
          </a:r>
          <a:endParaRPr lang="en-US" sz="1200">
            <a:solidFill>
              <a:schemeClr val="accent1">
                <a:lumMod val="75000"/>
              </a:schemeClr>
            </a:solidFill>
          </a:endParaRPr>
        </a:p>
      </xdr:txBody>
    </xdr:sp>
    <xdr:clientData/>
  </xdr:twoCellAnchor>
  <xdr:twoCellAnchor>
    <xdr:from>
      <xdr:col>19</xdr:col>
      <xdr:colOff>508000</xdr:colOff>
      <xdr:row>23</xdr:row>
      <xdr:rowOff>0</xdr:rowOff>
    </xdr:from>
    <xdr:to>
      <xdr:col>24</xdr:col>
      <xdr:colOff>433918</xdr:colOff>
      <xdr:row>24</xdr:row>
      <xdr:rowOff>111125</xdr:rowOff>
    </xdr:to>
    <xdr:sp macro="" textlink="top_selling_cities">
      <xdr:nvSpPr>
        <xdr:cNvPr id="34" name="Rectangle 33">
          <a:extLst>
            <a:ext uri="{FF2B5EF4-FFF2-40B4-BE49-F238E27FC236}">
              <a16:creationId xmlns:a16="http://schemas.microsoft.com/office/drawing/2014/main" id="{00000000-0008-0000-0200-000022000000}"/>
            </a:ext>
          </a:extLst>
        </xdr:cNvPr>
        <xdr:cNvSpPr/>
      </xdr:nvSpPr>
      <xdr:spPr>
        <a:xfrm>
          <a:off x="11969750" y="4381500"/>
          <a:ext cx="2942168" cy="3016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841D5638-D99C-4843-B9CC-2B7F7038BC1D}" type="TxLink">
            <a:rPr lang="en-US" sz="1100" b="0" i="0" u="none" strike="noStrike">
              <a:solidFill>
                <a:schemeClr val="tx1"/>
              </a:solidFill>
              <a:latin typeface="Calibri"/>
              <a:cs typeface="Calibri"/>
            </a:rPr>
            <a:pPr algn="l"/>
            <a:t>Top Selling City: New York City (1,004,712)</a:t>
          </a:fld>
          <a:endParaRPr lang="en-US" sz="1100">
            <a:solidFill>
              <a:schemeClr val="tx1"/>
            </a:solidFill>
          </a:endParaRPr>
        </a:p>
      </xdr:txBody>
    </xdr:sp>
    <xdr:clientData/>
  </xdr:twoCellAnchor>
  <xdr:twoCellAnchor>
    <xdr:from>
      <xdr:col>11</xdr:col>
      <xdr:colOff>524931</xdr:colOff>
      <xdr:row>23</xdr:row>
      <xdr:rowOff>84667</xdr:rowOff>
    </xdr:from>
    <xdr:to>
      <xdr:col>15</xdr:col>
      <xdr:colOff>529167</xdr:colOff>
      <xdr:row>24</xdr:row>
      <xdr:rowOff>158750</xdr:rowOff>
    </xdr:to>
    <xdr:sp macro="" textlink="top_product">
      <xdr:nvSpPr>
        <xdr:cNvPr id="35" name="Rectangle 34">
          <a:extLst>
            <a:ext uri="{FF2B5EF4-FFF2-40B4-BE49-F238E27FC236}">
              <a16:creationId xmlns:a16="http://schemas.microsoft.com/office/drawing/2014/main" id="{00000000-0008-0000-0200-000023000000}"/>
            </a:ext>
          </a:extLst>
        </xdr:cNvPr>
        <xdr:cNvSpPr/>
      </xdr:nvSpPr>
      <xdr:spPr>
        <a:xfrm>
          <a:off x="7277098" y="4222750"/>
          <a:ext cx="2459569" cy="2540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4F03923F-8131-4CB7-B60F-F27D35DC487C}" type="TxLink">
            <a:rPr lang="en-US" sz="1100" b="0" i="0" u="none" strike="noStrike">
              <a:solidFill>
                <a:schemeClr val="tx1"/>
              </a:solidFill>
              <a:latin typeface="Calibri"/>
              <a:cs typeface="Calibri"/>
            </a:rPr>
            <a:pPr algn="l"/>
            <a:t>Top Product: Camera (1,177,381)</a:t>
          </a:fld>
          <a:endParaRPr lang="en-US" sz="1100">
            <a:solidFill>
              <a:schemeClr val="tx1"/>
            </a:solidFill>
          </a:endParaRPr>
        </a:p>
      </xdr:txBody>
    </xdr:sp>
    <xdr:clientData/>
  </xdr:twoCellAnchor>
  <xdr:twoCellAnchor>
    <xdr:from>
      <xdr:col>20</xdr:col>
      <xdr:colOff>29307</xdr:colOff>
      <xdr:row>24</xdr:row>
      <xdr:rowOff>111126</xdr:rowOff>
    </xdr:from>
    <xdr:to>
      <xdr:col>26</xdr:col>
      <xdr:colOff>158750</xdr:colOff>
      <xdr:row>36</xdr:row>
      <xdr:rowOff>0</xdr:rowOff>
    </xdr:to>
    <xdr:graphicFrame macro="">
      <xdr:nvGraphicFramePr>
        <xdr:cNvPr id="36" name="Chart 35">
          <a:extLst>
            <a:ext uri="{FF2B5EF4-FFF2-40B4-BE49-F238E27FC236}">
              <a16:creationId xmlns:a16="http://schemas.microsoft.com/office/drawing/2014/main" id="{00000000-0008-0000-02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263769</xdr:colOff>
      <xdr:row>4</xdr:row>
      <xdr:rowOff>131886</xdr:rowOff>
    </xdr:from>
    <xdr:to>
      <xdr:col>13</xdr:col>
      <xdr:colOff>307731</xdr:colOff>
      <xdr:row>6</xdr:row>
      <xdr:rowOff>43962</xdr:rowOff>
    </xdr:to>
    <xdr:sp macro="" textlink="">
      <xdr:nvSpPr>
        <xdr:cNvPr id="37" name="Rectangle 36">
          <a:extLst>
            <a:ext uri="{FF2B5EF4-FFF2-40B4-BE49-F238E27FC236}">
              <a16:creationId xmlns:a16="http://schemas.microsoft.com/office/drawing/2014/main" id="{00000000-0008-0000-0200-000025000000}"/>
            </a:ext>
          </a:extLst>
        </xdr:cNvPr>
        <xdr:cNvSpPr/>
      </xdr:nvSpPr>
      <xdr:spPr>
        <a:xfrm>
          <a:off x="3341077" y="893886"/>
          <a:ext cx="4967654" cy="29307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i="1">
              <a:solidFill>
                <a:schemeClr val="tx1"/>
              </a:solidFill>
            </a:rPr>
            <a:t>A Summary of Sales Perfomance,</a:t>
          </a:r>
          <a:r>
            <a:rPr lang="en-US" sz="1100" i="1" baseline="0">
              <a:solidFill>
                <a:schemeClr val="tx1"/>
              </a:solidFill>
            </a:rPr>
            <a:t> trends and regional distribution across the US</a:t>
          </a:r>
          <a:endParaRPr lang="en-US" sz="1200" i="1">
            <a:solidFill>
              <a:schemeClr val="tx1"/>
            </a:solidFill>
          </a:endParaRPr>
        </a:p>
      </xdr:txBody>
    </xdr:sp>
    <xdr:clientData/>
  </xdr:twoCellAnchor>
  <xdr:twoCellAnchor>
    <xdr:from>
      <xdr:col>5</xdr:col>
      <xdr:colOff>131885</xdr:colOff>
      <xdr:row>2</xdr:row>
      <xdr:rowOff>43963</xdr:rowOff>
    </xdr:from>
    <xdr:to>
      <xdr:col>15</xdr:col>
      <xdr:colOff>468924</xdr:colOff>
      <xdr:row>5</xdr:row>
      <xdr:rowOff>95251</xdr:rowOff>
    </xdr:to>
    <xdr:sp macro="" textlink="">
      <xdr:nvSpPr>
        <xdr:cNvPr id="38" name="Rectangle 37">
          <a:extLst>
            <a:ext uri="{FF2B5EF4-FFF2-40B4-BE49-F238E27FC236}">
              <a16:creationId xmlns:a16="http://schemas.microsoft.com/office/drawing/2014/main" id="{00000000-0008-0000-0200-000026000000}"/>
            </a:ext>
          </a:extLst>
        </xdr:cNvPr>
        <xdr:cNvSpPr/>
      </xdr:nvSpPr>
      <xdr:spPr>
        <a:xfrm>
          <a:off x="3209193" y="424963"/>
          <a:ext cx="6491654" cy="622788"/>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400">
              <a:solidFill>
                <a:schemeClr val="accent1">
                  <a:lumMod val="75000"/>
                </a:schemeClr>
              </a:solidFill>
            </a:rPr>
            <a:t>E-COMMERCE SALES PERFORMANCE DASHBOARD</a:t>
          </a:r>
        </a:p>
      </xdr:txBody>
    </xdr:sp>
    <xdr:clientData/>
  </xdr:twoCellAnchor>
  <xdr:twoCellAnchor>
    <xdr:from>
      <xdr:col>5</xdr:col>
      <xdr:colOff>211666</xdr:colOff>
      <xdr:row>27</xdr:row>
      <xdr:rowOff>84667</xdr:rowOff>
    </xdr:from>
    <xdr:to>
      <xdr:col>8</xdr:col>
      <xdr:colOff>370417</xdr:colOff>
      <xdr:row>29</xdr:row>
      <xdr:rowOff>10584</xdr:rowOff>
    </xdr:to>
    <xdr:sp macro="" textlink="top_region">
      <xdr:nvSpPr>
        <xdr:cNvPr id="39" name="Rectangle 38">
          <a:extLst>
            <a:ext uri="{FF2B5EF4-FFF2-40B4-BE49-F238E27FC236}">
              <a16:creationId xmlns:a16="http://schemas.microsoft.com/office/drawing/2014/main" id="{00000000-0008-0000-0200-000027000000}"/>
            </a:ext>
          </a:extLst>
        </xdr:cNvPr>
        <xdr:cNvSpPr/>
      </xdr:nvSpPr>
      <xdr:spPr>
        <a:xfrm>
          <a:off x="3280833" y="4942417"/>
          <a:ext cx="2000251" cy="2857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A1B04612-BB23-4B23-8583-3FA824757F63}" type="TxLink">
            <a:rPr lang="en-US" sz="1100" b="0" i="0" u="none" strike="noStrike">
              <a:solidFill>
                <a:schemeClr val="tx1"/>
              </a:solidFill>
              <a:latin typeface="Calibri"/>
              <a:cs typeface="Calibri"/>
            </a:rPr>
            <a:pPr algn="l"/>
            <a:t>Top Region: West (3,463,500)</a:t>
          </a:fld>
          <a:endParaRPr lang="en-US" sz="1100">
            <a:solidFill>
              <a:schemeClr val="tx1"/>
            </a:solidFill>
          </a:endParaRPr>
        </a:p>
      </xdr:txBody>
    </xdr:sp>
    <xdr:clientData/>
  </xdr:twoCellAnchor>
  <xdr:twoCellAnchor>
    <xdr:from>
      <xdr:col>5</xdr:col>
      <xdr:colOff>296332</xdr:colOff>
      <xdr:row>28</xdr:row>
      <xdr:rowOff>105832</xdr:rowOff>
    </xdr:from>
    <xdr:to>
      <xdr:col>11</xdr:col>
      <xdr:colOff>222249</xdr:colOff>
      <xdr:row>35</xdr:row>
      <xdr:rowOff>137583</xdr:rowOff>
    </xdr:to>
    <xdr:graphicFrame macro="">
      <xdr:nvGraphicFramePr>
        <xdr:cNvPr id="40" name="Chart 39">
          <a:extLst>
            <a:ext uri="{FF2B5EF4-FFF2-40B4-BE49-F238E27FC236}">
              <a16:creationId xmlns:a16="http://schemas.microsoft.com/office/drawing/2014/main" id="{00000000-0008-0000-0200-00002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283634</xdr:colOff>
      <xdr:row>17</xdr:row>
      <xdr:rowOff>68944</xdr:rowOff>
    </xdr:from>
    <xdr:to>
      <xdr:col>7</xdr:col>
      <xdr:colOff>536122</xdr:colOff>
      <xdr:row>18</xdr:row>
      <xdr:rowOff>163286</xdr:rowOff>
    </xdr:to>
    <xdr:sp macro="" textlink="">
      <xdr:nvSpPr>
        <xdr:cNvPr id="43" name="Rectangle 42">
          <a:extLst>
            <a:ext uri="{FF2B5EF4-FFF2-40B4-BE49-F238E27FC236}">
              <a16:creationId xmlns:a16="http://schemas.microsoft.com/office/drawing/2014/main" id="{00000000-0008-0000-0200-00002B000000}"/>
            </a:ext>
          </a:extLst>
        </xdr:cNvPr>
        <xdr:cNvSpPr/>
      </xdr:nvSpPr>
      <xdr:spPr>
        <a:xfrm>
          <a:off x="3345241" y="3307444"/>
          <a:ext cx="1477131" cy="28484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a:solidFill>
                <a:schemeClr val="accent1">
                  <a:lumMod val="75000"/>
                </a:schemeClr>
              </a:solidFill>
            </a:rPr>
            <a:t>Sales by Category</a:t>
          </a:r>
        </a:p>
      </xdr:txBody>
    </xdr:sp>
    <xdr:clientData/>
  </xdr:twoCellAnchor>
  <xdr:twoCellAnchor>
    <xdr:from>
      <xdr:col>19</xdr:col>
      <xdr:colOff>523875</xdr:colOff>
      <xdr:row>9</xdr:row>
      <xdr:rowOff>127001</xdr:rowOff>
    </xdr:from>
    <xdr:to>
      <xdr:col>26</xdr:col>
      <xdr:colOff>222250</xdr:colOff>
      <xdr:row>22</xdr:row>
      <xdr:rowOff>95251</xdr:rowOff>
    </xdr:to>
    <mc:AlternateContent xmlns:mc="http://schemas.openxmlformats.org/markup-compatibility/2006">
      <mc:Choice xmlns:cx4="http://schemas.microsoft.com/office/drawing/2016/5/10/chartex" Requires="cx4">
        <xdr:graphicFrame macro="">
          <xdr:nvGraphicFramePr>
            <xdr:cNvPr id="12" name="Chart 11">
              <a:extLst>
                <a:ext uri="{FF2B5EF4-FFF2-40B4-BE49-F238E27FC236}">
                  <a16:creationId xmlns:a16="http://schemas.microsoft.com/office/drawing/2014/main" id="{9EE940D5-373A-4530-A505-9F821F20420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12106275" y="1841501"/>
              <a:ext cx="3965575" cy="24447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5</xdr:col>
      <xdr:colOff>222251</xdr:colOff>
      <xdr:row>18</xdr:row>
      <xdr:rowOff>174625</xdr:rowOff>
    </xdr:from>
    <xdr:to>
      <xdr:col>11</xdr:col>
      <xdr:colOff>238125</xdr:colOff>
      <xdr:row>27</xdr:row>
      <xdr:rowOff>127000</xdr:rowOff>
    </xdr:to>
    <xdr:graphicFrame macro="">
      <xdr:nvGraphicFramePr>
        <xdr:cNvPr id="17" name="Chart 16">
          <a:extLst>
            <a:ext uri="{FF2B5EF4-FFF2-40B4-BE49-F238E27FC236}">
              <a16:creationId xmlns:a16="http://schemas.microsoft.com/office/drawing/2014/main" id="{4D5B7E55-B07E-48F2-A014-CEF27AC388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14</xdr:col>
      <xdr:colOff>498231</xdr:colOff>
      <xdr:row>4</xdr:row>
      <xdr:rowOff>146538</xdr:rowOff>
    </xdr:from>
    <xdr:to>
      <xdr:col>20</xdr:col>
      <xdr:colOff>498231</xdr:colOff>
      <xdr:row>6</xdr:row>
      <xdr:rowOff>175846</xdr:rowOff>
    </xdr:to>
    <mc:AlternateContent xmlns:mc="http://schemas.openxmlformats.org/markup-compatibility/2006" xmlns:a14="http://schemas.microsoft.com/office/drawing/2010/main">
      <mc:Choice Requires="a14">
        <xdr:graphicFrame macro="">
          <xdr:nvGraphicFramePr>
            <xdr:cNvPr id="18" name="Category">
              <a:extLst>
                <a:ext uri="{FF2B5EF4-FFF2-40B4-BE49-F238E27FC236}">
                  <a16:creationId xmlns:a16="http://schemas.microsoft.com/office/drawing/2014/main" id="{9ACCACBF-822C-44EF-B4B2-FC6E9B1184AE}"/>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9803424" y="571499"/>
              <a:ext cx="3341076" cy="4286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527538</xdr:colOff>
      <xdr:row>4</xdr:row>
      <xdr:rowOff>131885</xdr:rowOff>
    </xdr:from>
    <xdr:to>
      <xdr:col>26</xdr:col>
      <xdr:colOff>87923</xdr:colOff>
      <xdr:row>6</xdr:row>
      <xdr:rowOff>131885</xdr:rowOff>
    </xdr:to>
    <mc:AlternateContent xmlns:mc="http://schemas.openxmlformats.org/markup-compatibility/2006" xmlns:a14="http://schemas.microsoft.com/office/drawing/2010/main">
      <mc:Choice Requires="a14">
        <xdr:graphicFrame macro="">
          <xdr:nvGraphicFramePr>
            <xdr:cNvPr id="32" name="Region">
              <a:extLst>
                <a:ext uri="{FF2B5EF4-FFF2-40B4-BE49-F238E27FC236}">
                  <a16:creationId xmlns:a16="http://schemas.microsoft.com/office/drawing/2014/main" id="{39ECF9AD-98E7-4EAD-9EEB-F4AF628BE73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3261731" y="571499"/>
              <a:ext cx="2906589" cy="4396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01.428775925924" createdVersion="6" refreshedVersion="6" minRefreshableVersion="3" recordCount="3500" xr:uid="{00000000-000A-0000-FFFF-FFFF06000000}">
  <cacheSource type="worksheet">
    <worksheetSource name="ecommerce_sales_data__2"/>
  </cacheSource>
  <cacheFields count="12">
    <cacheField name="Order Date" numFmtId="14">
      <sharedItems containsSemiMixedTypes="0" containsNonDate="0" containsDate="1" containsString="0" minDate="2022-01-01T00:00:00" maxDate="2025-01-01T00:00:00" count="1051">
        <d v="2024-12-31T00:00:00"/>
        <d v="2022-11-27T00:00:00"/>
        <d v="2022-05-11T00:00:00"/>
        <d v="2024-03-16T00:00:00"/>
        <d v="2022-09-10T00:00:00"/>
        <d v="2023-12-01T00:00:00"/>
        <d v="2023-10-09T00:00:00"/>
        <d v="2022-01-14T00:00:00"/>
        <d v="2022-04-02T00:00:00"/>
        <d v="2024-10-22T00:00:00"/>
        <d v="2023-12-04T00:00:00"/>
        <d v="2022-09-27T00:00:00"/>
        <d v="2023-12-21T00:00:00"/>
        <d v="2024-02-03T00:00:00"/>
        <d v="2023-10-10T00:00:00"/>
        <d v="2022-10-16T00:00:00"/>
        <d v="2022-05-15T00:00:00"/>
        <d v="2023-02-11T00:00:00"/>
        <d v="2023-12-27T00:00:00"/>
        <d v="2023-10-05T00:00:00"/>
        <d v="2024-03-05T00:00:00"/>
        <d v="2023-07-18T00:00:00"/>
        <d v="2023-06-25T00:00:00"/>
        <d v="2023-11-13T00:00:00"/>
        <d v="2022-07-09T00:00:00"/>
        <d v="2023-12-11T00:00:00"/>
        <d v="2023-03-18T00:00:00"/>
        <d v="2024-08-09T00:00:00"/>
        <d v="2024-05-04T00:00:00"/>
        <d v="2022-09-04T00:00:00"/>
        <d v="2022-10-21T00:00:00"/>
        <d v="2024-01-22T00:00:00"/>
        <d v="2023-04-09T00:00:00"/>
        <d v="2023-02-07T00:00:00"/>
        <d v="2023-05-04T00:00:00"/>
        <d v="2023-04-18T00:00:00"/>
        <d v="2022-12-12T00:00:00"/>
        <d v="2022-09-11T00:00:00"/>
        <d v="2024-03-26T00:00:00"/>
        <d v="2023-09-20T00:00:00"/>
        <d v="2023-05-25T00:00:00"/>
        <d v="2022-12-04T00:00:00"/>
        <d v="2022-06-10T00:00:00"/>
        <d v="2023-02-05T00:00:00"/>
        <d v="2024-01-20T00:00:00"/>
        <d v="2022-01-27T00:00:00"/>
        <d v="2023-03-29T00:00:00"/>
        <d v="2022-01-17T00:00:00"/>
        <d v="2024-11-26T00:00:00"/>
        <d v="2024-09-19T00:00:00"/>
        <d v="2023-07-20T00:00:00"/>
        <d v="2024-05-03T00:00:00"/>
        <d v="2022-09-03T00:00:00"/>
        <d v="2024-07-09T00:00:00"/>
        <d v="2022-11-17T00:00:00"/>
        <d v="2023-12-28T00:00:00"/>
        <d v="2022-05-30T00:00:00"/>
        <d v="2024-04-17T00:00:00"/>
        <d v="2024-09-30T00:00:00"/>
        <d v="2024-06-02T00:00:00"/>
        <d v="2022-09-26T00:00:00"/>
        <d v="2024-12-17T00:00:00"/>
        <d v="2024-10-09T00:00:00"/>
        <d v="2023-07-14T00:00:00"/>
        <d v="2023-12-05T00:00:00"/>
        <d v="2022-06-03T00:00:00"/>
        <d v="2024-12-28T00:00:00"/>
        <d v="2022-08-06T00:00:00"/>
        <d v="2023-06-06T00:00:00"/>
        <d v="2024-02-01T00:00:00"/>
        <d v="2023-05-31T00:00:00"/>
        <d v="2024-06-14T00:00:00"/>
        <d v="2024-08-14T00:00:00"/>
        <d v="2023-02-01T00:00:00"/>
        <d v="2024-04-28T00:00:00"/>
        <d v="2024-04-05T00:00:00"/>
        <d v="2024-01-31T00:00:00"/>
        <d v="2024-01-09T00:00:00"/>
        <d v="2022-04-06T00:00:00"/>
        <d v="2024-05-22T00:00:00"/>
        <d v="2023-12-30T00:00:00"/>
        <d v="2022-03-17T00:00:00"/>
        <d v="2022-05-24T00:00:00"/>
        <d v="2024-06-09T00:00:00"/>
        <d v="2024-12-01T00:00:00"/>
        <d v="2023-10-20T00:00:00"/>
        <d v="2022-12-05T00:00:00"/>
        <d v="2022-08-05T00:00:00"/>
        <d v="2023-03-21T00:00:00"/>
        <d v="2022-02-08T00:00:00"/>
        <d v="2023-04-01T00:00:00"/>
        <d v="2022-12-14T00:00:00"/>
        <d v="2022-05-14T00:00:00"/>
        <d v="2022-02-16T00:00:00"/>
        <d v="2024-08-28T00:00:00"/>
        <d v="2023-10-30T00:00:00"/>
        <d v="2023-06-24T00:00:00"/>
        <d v="2023-05-17T00:00:00"/>
        <d v="2023-04-06T00:00:00"/>
        <d v="2023-03-26T00:00:00"/>
        <d v="2024-10-12T00:00:00"/>
        <d v="2022-06-26T00:00:00"/>
        <d v="2022-04-15T00:00:00"/>
        <d v="2023-12-10T00:00:00"/>
        <d v="2024-09-23T00:00:00"/>
        <d v="2022-01-01T00:00:00"/>
        <d v="2022-02-03T00:00:00"/>
        <d v="2023-03-14T00:00:00"/>
        <d v="2022-08-24T00:00:00"/>
        <d v="2024-07-07T00:00:00"/>
        <d v="2022-04-13T00:00:00"/>
        <d v="2024-05-08T00:00:00"/>
        <d v="2024-09-10T00:00:00"/>
        <d v="2024-06-18T00:00:00"/>
        <d v="2022-05-06T00:00:00"/>
        <d v="2023-10-29T00:00:00"/>
        <d v="2022-08-21T00:00:00"/>
        <d v="2024-03-04T00:00:00"/>
        <d v="2022-04-17T00:00:00"/>
        <d v="2023-12-20T00:00:00"/>
        <d v="2022-03-19T00:00:00"/>
        <d v="2023-04-30T00:00:00"/>
        <d v="2024-03-22T00:00:00"/>
        <d v="2022-03-08T00:00:00"/>
        <d v="2023-09-15T00:00:00"/>
        <d v="2023-03-01T00:00:00"/>
        <d v="2023-10-24T00:00:00"/>
        <d v="2024-04-22T00:00:00"/>
        <d v="2023-06-27T00:00:00"/>
        <d v="2023-04-13T00:00:00"/>
        <d v="2023-05-19T00:00:00"/>
        <d v="2024-11-15T00:00:00"/>
        <d v="2023-12-25T00:00:00"/>
        <d v="2022-03-31T00:00:00"/>
        <d v="2024-04-24T00:00:00"/>
        <d v="2022-01-10T00:00:00"/>
        <d v="2024-06-29T00:00:00"/>
        <d v="2022-11-14T00:00:00"/>
        <d v="2023-08-11T00:00:00"/>
        <d v="2022-10-23T00:00:00"/>
        <d v="2023-02-26T00:00:00"/>
        <d v="2024-10-03T00:00:00"/>
        <d v="2022-07-17T00:00:00"/>
        <d v="2024-11-04T00:00:00"/>
        <d v="2023-02-24T00:00:00"/>
        <d v="2024-08-08T00:00:00"/>
        <d v="2024-05-14T00:00:00"/>
        <d v="2022-01-15T00:00:00"/>
        <d v="2022-05-10T00:00:00"/>
        <d v="2022-03-10T00:00:00"/>
        <d v="2022-01-23T00:00:00"/>
        <d v="2024-06-06T00:00:00"/>
        <d v="2024-10-10T00:00:00"/>
        <d v="2024-03-24T00:00:00"/>
        <d v="2023-07-21T00:00:00"/>
        <d v="2022-07-21T00:00:00"/>
        <d v="2022-09-01T00:00:00"/>
        <d v="2023-04-20T00:00:00"/>
        <d v="2024-09-29T00:00:00"/>
        <d v="2023-11-20T00:00:00"/>
        <d v="2023-07-15T00:00:00"/>
        <d v="2023-12-24T00:00:00"/>
        <d v="2023-08-13T00:00:00"/>
        <d v="2022-04-24T00:00:00"/>
        <d v="2024-07-13T00:00:00"/>
        <d v="2022-06-11T00:00:00"/>
        <d v="2024-10-28T00:00:00"/>
        <d v="2022-11-24T00:00:00"/>
        <d v="2024-06-28T00:00:00"/>
        <d v="2022-05-31T00:00:00"/>
        <d v="2024-03-25T00:00:00"/>
        <d v="2023-01-31T00:00:00"/>
        <d v="2024-06-23T00:00:00"/>
        <d v="2023-08-16T00:00:00"/>
        <d v="2023-06-10T00:00:00"/>
        <d v="2023-05-09T00:00:00"/>
        <d v="2022-05-08T00:00:00"/>
        <d v="2024-11-06T00:00:00"/>
        <d v="2022-12-08T00:00:00"/>
        <d v="2022-09-25T00:00:00"/>
        <d v="2024-07-10T00:00:00"/>
        <d v="2024-03-29T00:00:00"/>
        <d v="2022-01-11T00:00:00"/>
        <d v="2022-04-08T00:00:00"/>
        <d v="2024-01-21T00:00:00"/>
        <d v="2023-04-27T00:00:00"/>
        <d v="2022-10-02T00:00:00"/>
        <d v="2022-01-12T00:00:00"/>
        <d v="2023-01-09T00:00:00"/>
        <d v="2024-09-07T00:00:00"/>
        <d v="2022-05-17T00:00:00"/>
        <d v="2023-08-17T00:00:00"/>
        <d v="2023-09-07T00:00:00"/>
        <d v="2023-05-12T00:00:00"/>
        <d v="2023-05-08T00:00:00"/>
        <d v="2023-02-18T00:00:00"/>
        <d v="2022-01-29T00:00:00"/>
        <d v="2023-01-12T00:00:00"/>
        <d v="2022-01-03T00:00:00"/>
        <d v="2022-10-20T00:00:00"/>
        <d v="2024-08-21T00:00:00"/>
        <d v="2022-08-14T00:00:00"/>
        <d v="2024-06-03T00:00:00"/>
        <d v="2024-01-23T00:00:00"/>
        <d v="2022-03-03T00:00:00"/>
        <d v="2024-02-20T00:00:00"/>
        <d v="2022-06-19T00:00:00"/>
        <d v="2024-09-01T00:00:00"/>
        <d v="2024-08-30T00:00:00"/>
        <d v="2022-08-12T00:00:00"/>
        <d v="2022-08-04T00:00:00"/>
        <d v="2024-11-20T00:00:00"/>
        <d v="2023-08-12T00:00:00"/>
        <d v="2023-04-12T00:00:00"/>
        <d v="2023-07-26T00:00:00"/>
        <d v="2024-01-01T00:00:00"/>
        <d v="2023-12-06T00:00:00"/>
        <d v="2024-10-27T00:00:00"/>
        <d v="2024-08-04T00:00:00"/>
        <d v="2022-03-25T00:00:00"/>
        <d v="2024-10-05T00:00:00"/>
        <d v="2024-12-19T00:00:00"/>
        <d v="2022-07-18T00:00:00"/>
        <d v="2023-06-11T00:00:00"/>
        <d v="2024-10-13T00:00:00"/>
        <d v="2023-08-07T00:00:00"/>
        <d v="2024-02-18T00:00:00"/>
        <d v="2024-12-05T00:00:00"/>
        <d v="2023-12-15T00:00:00"/>
        <d v="2024-05-20T00:00:00"/>
        <d v="2024-06-05T00:00:00"/>
        <d v="2022-01-09T00:00:00"/>
        <d v="2023-12-17T00:00:00"/>
        <d v="2022-09-08T00:00:00"/>
        <d v="2022-01-22T00:00:00"/>
        <d v="2024-09-04T00:00:00"/>
        <d v="2022-11-03T00:00:00"/>
        <d v="2023-07-03T00:00:00"/>
        <d v="2024-01-25T00:00:00"/>
        <d v="2024-05-11T00:00:00"/>
        <d v="2024-01-02T00:00:00"/>
        <d v="2024-07-20T00:00:00"/>
        <d v="2023-06-14T00:00:00"/>
        <d v="2022-04-10T00:00:00"/>
        <d v="2024-10-01T00:00:00"/>
        <d v="2022-01-28T00:00:00"/>
        <d v="2023-04-05T00:00:00"/>
        <d v="2023-09-22T00:00:00"/>
        <d v="2024-08-29T00:00:00"/>
        <d v="2023-11-18T00:00:00"/>
        <d v="2023-09-12T00:00:00"/>
        <d v="2023-05-26T00:00:00"/>
        <d v="2024-11-01T00:00:00"/>
        <d v="2023-05-10T00:00:00"/>
        <d v="2022-11-04T00:00:00"/>
        <d v="2022-05-09T00:00:00"/>
        <d v="2022-11-07T00:00:00"/>
        <d v="2024-10-21T00:00:00"/>
        <d v="2024-10-06T00:00:00"/>
        <d v="2023-08-08T00:00:00"/>
        <d v="2022-01-19T00:00:00"/>
        <d v="2024-04-30T00:00:00"/>
        <d v="2023-12-26T00:00:00"/>
        <d v="2024-04-07T00:00:00"/>
        <d v="2022-10-18T00:00:00"/>
        <d v="2024-04-21T00:00:00"/>
        <d v="2022-10-31T00:00:00"/>
        <d v="2023-03-03T00:00:00"/>
        <d v="2023-02-03T00:00:00"/>
        <d v="2023-04-15T00:00:00"/>
        <d v="2022-01-02T00:00:00"/>
        <d v="2024-11-28T00:00:00"/>
        <d v="2022-02-05T00:00:00"/>
        <d v="2022-02-19T00:00:00"/>
        <d v="2024-05-06T00:00:00"/>
        <d v="2023-08-04T00:00:00"/>
        <d v="2023-09-23T00:00:00"/>
        <d v="2024-09-14T00:00:00"/>
        <d v="2023-03-17T00:00:00"/>
        <d v="2023-09-29T00:00:00"/>
        <d v="2023-09-13T00:00:00"/>
        <d v="2022-03-14T00:00:00"/>
        <d v="2022-05-29T00:00:00"/>
        <d v="2023-01-16T00:00:00"/>
        <d v="2023-09-06T00:00:00"/>
        <d v="2023-11-01T00:00:00"/>
        <d v="2022-08-25T00:00:00"/>
        <d v="2022-12-30T00:00:00"/>
        <d v="2024-01-08T00:00:00"/>
        <d v="2022-12-27T00:00:00"/>
        <d v="2024-04-14T00:00:00"/>
        <d v="2023-02-10T00:00:00"/>
        <d v="2024-07-19T00:00:00"/>
        <d v="2024-03-03T00:00:00"/>
        <d v="2024-04-12T00:00:00"/>
        <d v="2024-06-20T00:00:00"/>
        <d v="2023-06-21T00:00:00"/>
        <d v="2023-01-25T00:00:00"/>
        <d v="2024-02-17T00:00:00"/>
        <d v="2024-09-09T00:00:00"/>
        <d v="2023-09-01T00:00:00"/>
        <d v="2024-03-30T00:00:00"/>
        <d v="2024-12-22T00:00:00"/>
        <d v="2024-09-08T00:00:00"/>
        <d v="2023-01-21T00:00:00"/>
        <d v="2023-10-12T00:00:00"/>
        <d v="2022-08-01T00:00:00"/>
        <d v="2023-11-03T00:00:00"/>
        <d v="2023-06-30T00:00:00"/>
        <d v="2023-12-16T00:00:00"/>
        <d v="2022-03-20T00:00:00"/>
        <d v="2024-07-28T00:00:00"/>
        <d v="2022-03-28T00:00:00"/>
        <d v="2023-01-01T00:00:00"/>
        <d v="2024-09-18T00:00:00"/>
        <d v="2024-08-19T00:00:00"/>
        <d v="2022-06-18T00:00:00"/>
        <d v="2022-06-09T00:00:00"/>
        <d v="2023-05-03T00:00:00"/>
        <d v="2023-11-17T00:00:00"/>
        <d v="2023-10-23T00:00:00"/>
        <d v="2024-05-09T00:00:00"/>
        <d v="2023-03-12T00:00:00"/>
        <d v="2022-10-05T00:00:00"/>
        <d v="2024-05-23T00:00:00"/>
        <d v="2024-07-11T00:00:00"/>
        <d v="2022-08-22T00:00:00"/>
        <d v="2024-11-03T00:00:00"/>
        <d v="2024-10-11T00:00:00"/>
        <d v="2024-11-09T00:00:00"/>
        <d v="2024-04-01T00:00:00"/>
        <d v="2022-07-07T00:00:00"/>
        <d v="2023-05-15T00:00:00"/>
        <d v="2022-06-08T00:00:00"/>
        <d v="2023-06-26T00:00:00"/>
        <d v="2024-04-10T00:00:00"/>
        <d v="2023-07-01T00:00:00"/>
        <d v="2022-02-18T00:00:00"/>
        <d v="2023-09-30T00:00:00"/>
        <d v="2023-09-04T00:00:00"/>
        <d v="2024-07-14T00:00:00"/>
        <d v="2024-04-20T00:00:00"/>
        <d v="2024-05-24T00:00:00"/>
        <d v="2024-12-29T00:00:00"/>
        <d v="2023-05-07T00:00:00"/>
        <d v="2023-05-05T00:00:00"/>
        <d v="2023-07-27T00:00:00"/>
        <d v="2023-06-13T00:00:00"/>
        <d v="2024-05-02T00:00:00"/>
        <d v="2023-07-25T00:00:00"/>
        <d v="2023-01-26T00:00:00"/>
        <d v="2023-01-11T00:00:00"/>
        <d v="2024-09-27T00:00:00"/>
        <d v="2024-12-03T00:00:00"/>
        <d v="2023-08-24T00:00:00"/>
        <d v="2022-06-13T00:00:00"/>
        <d v="2022-08-26T00:00:00"/>
        <d v="2023-01-22T00:00:00"/>
        <d v="2022-08-08T00:00:00"/>
        <d v="2023-11-19T00:00:00"/>
        <d v="2023-06-28T00:00:00"/>
        <d v="2024-07-18T00:00:00"/>
        <d v="2022-09-22T00:00:00"/>
        <d v="2024-07-31T00:00:00"/>
        <d v="2023-04-21T00:00:00"/>
        <d v="2022-09-30T00:00:00"/>
        <d v="2024-12-25T00:00:00"/>
        <d v="2023-03-30T00:00:00"/>
        <d v="2023-10-02T00:00:00"/>
        <d v="2022-05-23T00:00:00"/>
        <d v="2023-10-08T00:00:00"/>
        <d v="2022-05-22T00:00:00"/>
        <d v="2023-08-19T00:00:00"/>
        <d v="2024-06-17T00:00:00"/>
        <d v="2023-02-02T00:00:00"/>
        <d v="2022-10-13T00:00:00"/>
        <d v="2024-03-31T00:00:00"/>
        <d v="2023-05-29T00:00:00"/>
        <d v="2024-12-21T00:00:00"/>
        <d v="2023-12-29T00:00:00"/>
        <d v="2022-11-28T00:00:00"/>
        <d v="2022-05-12T00:00:00"/>
        <d v="2022-08-02T00:00:00"/>
        <d v="2023-12-31T00:00:00"/>
        <d v="2022-04-03T00:00:00"/>
        <d v="2024-01-19T00:00:00"/>
        <d v="2023-01-17T00:00:00"/>
        <d v="2024-05-05T00:00:00"/>
        <d v="2023-06-04T00:00:00"/>
        <d v="2024-09-16T00:00:00"/>
        <d v="2023-02-16T00:00:00"/>
        <d v="2023-10-17T00:00:00"/>
        <d v="2024-02-10T00:00:00"/>
        <d v="2024-09-12T00:00:00"/>
        <d v="2022-10-04T00:00:00"/>
        <d v="2024-04-26T00:00:00"/>
        <d v="2023-11-10T00:00:00"/>
        <d v="2024-04-16T00:00:00"/>
        <d v="2023-07-11T00:00:00"/>
        <d v="2022-09-19T00:00:00"/>
        <d v="2024-02-25T00:00:00"/>
        <d v="2023-03-07T00:00:00"/>
        <d v="2022-03-09T00:00:00"/>
        <d v="2022-12-31T00:00:00"/>
        <d v="2024-04-15T00:00:00"/>
        <d v="2024-05-15T00:00:00"/>
        <d v="2022-04-14T00:00:00"/>
        <d v="2024-09-25T00:00:00"/>
        <d v="2022-03-05T00:00:00"/>
        <d v="2023-08-27T00:00:00"/>
        <d v="2024-05-30T00:00:00"/>
        <d v="2023-11-14T00:00:00"/>
        <d v="2023-11-27T00:00:00"/>
        <d v="2024-12-24T00:00:00"/>
        <d v="2022-05-21T00:00:00"/>
        <d v="2022-09-14T00:00:00"/>
        <d v="2024-03-12T00:00:00"/>
        <d v="2022-11-18T00:00:00"/>
        <d v="2022-10-22T00:00:00"/>
        <d v="2024-11-16T00:00:00"/>
        <d v="2023-03-13T00:00:00"/>
        <d v="2024-10-30T00:00:00"/>
        <d v="2024-11-19T00:00:00"/>
        <d v="2024-04-29T00:00:00"/>
        <d v="2023-11-22T00:00:00"/>
        <d v="2023-09-24T00:00:00"/>
        <d v="2024-07-17T00:00:00"/>
        <d v="2023-06-17T00:00:00"/>
        <d v="2024-06-10T00:00:00"/>
        <d v="2022-01-31T00:00:00"/>
        <d v="2022-10-01T00:00:00"/>
        <d v="2023-07-19T00:00:00"/>
        <d v="2024-05-17T00:00:00"/>
        <d v="2024-01-10T00:00:00"/>
        <d v="2023-04-10T00:00:00"/>
        <d v="2023-10-27T00:00:00"/>
        <d v="2024-12-04T00:00:00"/>
        <d v="2022-06-06T00:00:00"/>
        <d v="2023-01-28T00:00:00"/>
        <d v="2022-12-28T00:00:00"/>
        <d v="2022-09-24T00:00:00"/>
        <d v="2023-05-06T00:00:00"/>
        <d v="2023-07-13T00:00:00"/>
        <d v="2022-01-05T00:00:00"/>
        <d v="2024-08-03T00:00:00"/>
        <d v="2023-08-21T00:00:00"/>
        <d v="2024-05-12T00:00:00"/>
        <d v="2024-11-08T00:00:00"/>
        <d v="2024-04-27T00:00:00"/>
        <d v="2022-01-08T00:00:00"/>
        <d v="2024-01-24T00:00:00"/>
        <d v="2022-06-20T00:00:00"/>
        <d v="2024-08-01T00:00:00"/>
        <d v="2023-12-19T00:00:00"/>
        <d v="2022-11-20T00:00:00"/>
        <d v="2022-11-11T00:00:00"/>
        <d v="2024-01-03T00:00:00"/>
        <d v="2022-11-23T00:00:00"/>
        <d v="2024-03-01T00:00:00"/>
        <d v="2023-07-07T00:00:00"/>
        <d v="2022-02-09T00:00:00"/>
        <d v="2022-10-17T00:00:00"/>
        <d v="2022-07-31T00:00:00"/>
        <d v="2024-05-18T00:00:00"/>
        <d v="2022-09-29T00:00:00"/>
        <d v="2024-09-03T00:00:00"/>
        <d v="2023-07-17T00:00:00"/>
        <d v="2022-06-16T00:00:00"/>
        <d v="2024-05-13T00:00:00"/>
        <d v="2024-09-26T00:00:00"/>
        <d v="2023-03-28T00:00:00"/>
        <d v="2024-04-19T00:00:00"/>
        <d v="2022-04-23T00:00:00"/>
        <d v="2023-06-01T00:00:00"/>
        <d v="2022-08-03T00:00:00"/>
        <d v="2024-01-30T00:00:00"/>
        <d v="2023-07-23T00:00:00"/>
        <d v="2023-11-12T00:00:00"/>
        <d v="2024-10-15T00:00:00"/>
        <d v="2023-08-09T00:00:00"/>
        <d v="2022-08-18T00:00:00"/>
        <d v="2022-09-15T00:00:00"/>
        <d v="2022-09-23T00:00:00"/>
        <d v="2022-02-15T00:00:00"/>
        <d v="2022-02-23T00:00:00"/>
        <d v="2023-01-14T00:00:00"/>
        <d v="2024-12-06T00:00:00"/>
        <d v="2023-10-01T00:00:00"/>
        <d v="2023-12-22T00:00:00"/>
        <d v="2024-03-06T00:00:00"/>
        <d v="2024-02-11T00:00:00"/>
        <d v="2024-04-02T00:00:00"/>
        <d v="2024-11-27T00:00:00"/>
        <d v="2022-08-30T00:00:00"/>
        <d v="2022-07-15T00:00:00"/>
        <d v="2022-02-21T00:00:00"/>
        <d v="2023-09-14T00:00:00"/>
        <d v="2024-04-08T00:00:00"/>
        <d v="2023-04-16T00:00:00"/>
        <d v="2023-10-15T00:00:00"/>
        <d v="2023-08-20T00:00:00"/>
        <d v="2024-07-26T00:00:00"/>
        <d v="2024-10-31T00:00:00"/>
        <d v="2022-04-28T00:00:00"/>
        <d v="2024-08-15T00:00:00"/>
        <d v="2024-09-28T00:00:00"/>
        <d v="2022-11-01T00:00:00"/>
        <d v="2023-02-20T00:00:00"/>
        <d v="2023-05-20T00:00:00"/>
        <d v="2022-07-04T00:00:00"/>
        <d v="2022-03-23T00:00:00"/>
        <d v="2022-11-19T00:00:00"/>
        <d v="2022-02-28T00:00:00"/>
        <d v="2023-09-11T00:00:00"/>
        <d v="2022-11-13T00:00:00"/>
        <d v="2024-03-17T00:00:00"/>
        <d v="2022-02-13T00:00:00"/>
        <d v="2024-05-07T00:00:00"/>
        <d v="2024-08-12T00:00:00"/>
        <d v="2023-01-06T00:00:00"/>
        <d v="2022-03-02T00:00:00"/>
        <d v="2022-12-06T00:00:00"/>
        <d v="2023-06-18T00:00:00"/>
        <d v="2023-11-21T00:00:00"/>
        <d v="2023-03-31T00:00:00"/>
        <d v="2024-06-11T00:00:00"/>
        <d v="2023-04-25T00:00:00"/>
        <d v="2022-12-17T00:00:00"/>
        <d v="2024-07-05T00:00:00"/>
        <d v="2023-04-07T00:00:00"/>
        <d v="2022-07-26T00:00:00"/>
        <d v="2022-05-18T00:00:00"/>
        <d v="2022-03-15T00:00:00"/>
        <d v="2023-10-13T00:00:00"/>
        <d v="2024-06-19T00:00:00"/>
        <d v="2022-07-12T00:00:00"/>
        <d v="2023-03-06T00:00:00"/>
        <d v="2023-01-10T00:00:00"/>
        <d v="2024-05-25T00:00:00"/>
        <d v="2024-07-30T00:00:00"/>
        <d v="2022-03-29T00:00:00"/>
        <d v="2024-03-20T00:00:00"/>
        <d v="2024-02-02T00:00:00"/>
        <d v="2022-02-25T00:00:00"/>
        <d v="2024-02-29T00:00:00"/>
        <d v="2024-09-17T00:00:00"/>
        <d v="2024-11-21T00:00:00"/>
        <d v="2022-07-20T00:00:00"/>
        <d v="2022-08-15T00:00:00"/>
        <d v="2024-04-09T00:00:00"/>
        <d v="2023-05-01T00:00:00"/>
        <d v="2024-01-28T00:00:00"/>
        <d v="2024-04-06T00:00:00"/>
        <d v="2022-12-03T00:00:00"/>
        <d v="2023-11-30T00:00:00"/>
        <d v="2022-01-13T00:00:00"/>
        <d v="2023-08-29T00:00:00"/>
        <d v="2024-08-31T00:00:00"/>
        <d v="2022-02-27T00:00:00"/>
        <d v="2022-07-29T00:00:00"/>
        <d v="2023-04-17T00:00:00"/>
        <d v="2024-06-30T00:00:00"/>
        <d v="2024-07-04T00:00:00"/>
        <d v="2023-03-10T00:00:00"/>
        <d v="2023-01-03T00:00:00"/>
        <d v="2023-03-22T00:00:00"/>
        <d v="2022-09-07T00:00:00"/>
        <d v="2024-06-08T00:00:00"/>
        <d v="2022-07-11T00:00:00"/>
        <d v="2023-03-19T00:00:00"/>
        <d v="2022-12-26T00:00:00"/>
        <d v="2024-08-17T00:00:00"/>
        <d v="2023-11-05T00:00:00"/>
        <d v="2023-07-06T00:00:00"/>
        <d v="2023-11-25T00:00:00"/>
        <d v="2022-06-15T00:00:00"/>
        <d v="2022-03-13T00:00:00"/>
        <d v="2023-11-06T00:00:00"/>
        <d v="2024-03-02T00:00:00"/>
        <d v="2023-08-31T00:00:00"/>
        <d v="2023-03-23T00:00:00"/>
        <d v="2022-08-13T00:00:00"/>
        <d v="2022-05-05T00:00:00"/>
        <d v="2024-11-14T00:00:00"/>
        <d v="2022-04-09T00:00:00"/>
        <d v="2024-06-12T00:00:00"/>
        <d v="2023-10-18T00:00:00"/>
        <d v="2023-07-29T00:00:00"/>
        <d v="2024-03-07T00:00:00"/>
        <d v="2024-08-22T00:00:00"/>
        <d v="2023-04-23T00:00:00"/>
        <d v="2022-10-15T00:00:00"/>
        <d v="2022-11-02T00:00:00"/>
        <d v="2023-09-10T00:00:00"/>
        <d v="2024-03-28T00:00:00"/>
        <d v="2022-07-01T00:00:00"/>
        <d v="2023-07-08T00:00:00"/>
        <d v="2022-12-29T00:00:00"/>
        <d v="2023-08-01T00:00:00"/>
        <d v="2024-11-11T00:00:00"/>
        <d v="2024-07-29T00:00:00"/>
        <d v="2022-11-22T00:00:00"/>
        <d v="2024-09-13T00:00:00"/>
        <d v="2024-05-26T00:00:00"/>
        <d v="2023-03-11T00:00:00"/>
        <d v="2022-04-26T00:00:00"/>
        <d v="2023-06-07T00:00:00"/>
        <d v="2024-01-17T00:00:00"/>
        <d v="2023-05-22T00:00:00"/>
        <d v="2023-11-04T00:00:00"/>
        <d v="2023-04-02T00:00:00"/>
        <d v="2024-01-26T00:00:00"/>
        <d v="2022-08-10T00:00:00"/>
        <d v="2023-08-05T00:00:00"/>
        <d v="2023-08-30T00:00:00"/>
        <d v="2022-09-16T00:00:00"/>
        <d v="2023-01-13T00:00:00"/>
        <d v="2023-03-05T00:00:00"/>
        <d v="2024-12-26T00:00:00"/>
        <d v="2024-07-25T00:00:00"/>
        <d v="2022-06-28T00:00:00"/>
        <d v="2023-04-26T00:00:00"/>
        <d v="2023-01-02T00:00:00"/>
        <d v="2023-06-22T00:00:00"/>
        <d v="2024-07-27T00:00:00"/>
        <d v="2023-08-15T00:00:00"/>
        <d v="2023-02-23T00:00:00"/>
        <d v="2022-03-26T00:00:00"/>
        <d v="2024-03-23T00:00:00"/>
        <d v="2024-12-09T00:00:00"/>
        <d v="2023-09-21T00:00:00"/>
        <d v="2024-04-13T00:00:00"/>
        <d v="2023-05-23T00:00:00"/>
        <d v="2022-01-21T00:00:00"/>
        <d v="2022-10-14T00:00:00"/>
        <d v="2023-08-23T00:00:00"/>
        <d v="2023-06-09T00:00:00"/>
        <d v="2022-07-10T00:00:00"/>
        <d v="2024-01-05T00:00:00"/>
        <d v="2023-11-29T00:00:00"/>
        <d v="2024-09-05T00:00:00"/>
        <d v="2023-08-18T00:00:00"/>
        <d v="2023-06-02T00:00:00"/>
        <d v="2024-12-18T00:00:00"/>
        <d v="2023-12-09T00:00:00"/>
        <d v="2022-10-10T00:00:00"/>
        <d v="2022-06-14T00:00:00"/>
        <d v="2023-09-03T00:00:00"/>
        <d v="2024-06-07T00:00:00"/>
        <d v="2024-02-04T00:00:00"/>
        <d v="2023-03-24T00:00:00"/>
        <d v="2024-06-13T00:00:00"/>
        <d v="2023-09-17T00:00:00"/>
        <d v="2022-08-17T00:00:00"/>
        <d v="2023-05-14T00:00:00"/>
        <d v="2022-03-12T00:00:00"/>
        <d v="2023-06-16T00:00:00"/>
        <d v="2023-06-20T00:00:00"/>
        <d v="2022-05-02T00:00:00"/>
        <d v="2022-08-07T00:00:00"/>
        <d v="2022-03-06T00:00:00"/>
        <d v="2023-11-24T00:00:00"/>
        <d v="2023-10-14T00:00:00"/>
        <d v="2023-05-16T00:00:00"/>
        <d v="2023-06-19T00:00:00"/>
        <d v="2023-08-06T00:00:00"/>
        <d v="2022-02-01T00:00:00"/>
        <d v="2022-02-10T00:00:00"/>
        <d v="2023-10-19T00:00:00"/>
        <d v="2022-06-17T00:00:00"/>
        <d v="2022-05-28T00:00:00"/>
        <d v="2024-08-20T00:00:00"/>
        <d v="2022-10-09T00:00:00"/>
        <d v="2023-09-26T00:00:00"/>
        <d v="2024-02-19T00:00:00"/>
        <d v="2022-12-18T00:00:00"/>
        <d v="2022-01-25T00:00:00"/>
        <d v="2022-12-09T00:00:00"/>
        <d v="2024-05-31T00:00:00"/>
        <d v="2022-07-13T00:00:00"/>
        <d v="2022-02-26T00:00:00"/>
        <d v="2024-07-12T00:00:00"/>
        <d v="2023-06-08T00:00:00"/>
        <d v="2022-07-16T00:00:00"/>
        <d v="2023-07-24T00:00:00"/>
        <d v="2024-03-14T00:00:00"/>
        <d v="2024-11-17T00:00:00"/>
        <d v="2023-11-28T00:00:00"/>
        <d v="2022-08-19T00:00:00"/>
        <d v="2024-06-15T00:00:00"/>
        <d v="2023-01-08T00:00:00"/>
        <d v="2022-02-11T00:00:00"/>
        <d v="2022-07-23T00:00:00"/>
        <d v="2022-09-09T00:00:00"/>
        <d v="2023-02-13T00:00:00"/>
        <d v="2023-11-09T00:00:00"/>
        <d v="2022-05-20T00:00:00"/>
        <d v="2024-06-26T00:00:00"/>
        <d v="2023-05-18T00:00:00"/>
        <d v="2022-02-14T00:00:00"/>
        <d v="2023-12-18T00:00:00"/>
        <d v="2024-12-15T00:00:00"/>
        <d v="2024-04-25T00:00:00"/>
        <d v="2024-02-09T00:00:00"/>
        <d v="2023-04-19T00:00:00"/>
        <d v="2024-04-18T00:00:00"/>
        <d v="2023-12-12T00:00:00"/>
        <d v="2023-10-04T00:00:00"/>
        <d v="2023-10-22T00:00:00"/>
        <d v="2022-04-07T00:00:00"/>
        <d v="2024-10-02T00:00:00"/>
        <d v="2022-09-28T00:00:00"/>
        <d v="2024-06-04T00:00:00"/>
        <d v="2023-07-31T00:00:00"/>
        <d v="2022-01-16T00:00:00"/>
        <d v="2024-08-24T00:00:00"/>
        <d v="2022-10-03T00:00:00"/>
        <d v="2022-12-23T00:00:00"/>
        <d v="2022-06-30T00:00:00"/>
        <d v="2024-11-10T00:00:00"/>
        <d v="2024-02-24T00:00:00"/>
        <d v="2022-04-11T00:00:00"/>
        <d v="2023-05-21T00:00:00"/>
        <d v="2024-11-18T00:00:00"/>
        <d v="2022-11-16T00:00:00"/>
        <d v="2024-02-07T00:00:00"/>
        <d v="2024-03-21T00:00:00"/>
        <d v="2022-10-08T00:00:00"/>
        <d v="2022-05-13T00:00:00"/>
        <d v="2024-03-08T00:00:00"/>
        <d v="2022-03-11T00:00:00"/>
        <d v="2024-12-11T00:00:00"/>
        <d v="2024-03-13T00:00:00"/>
        <d v="2022-12-22T00:00:00"/>
        <d v="2023-11-11T00:00:00"/>
        <d v="2023-09-09T00:00:00"/>
        <d v="2022-02-07T00:00:00"/>
        <d v="2024-01-07T00:00:00"/>
        <d v="2023-07-05T00:00:00"/>
        <d v="2024-01-27T00:00:00"/>
        <d v="2024-03-19T00:00:00"/>
        <d v="2024-02-08T00:00:00"/>
        <d v="2023-05-11T00:00:00"/>
        <d v="2022-03-27T00:00:00"/>
        <d v="2023-01-23T00:00:00"/>
        <d v="2023-03-15T00:00:00"/>
        <d v="2022-03-16T00:00:00"/>
        <d v="2023-01-07T00:00:00"/>
        <d v="2023-05-27T00:00:00"/>
        <d v="2023-07-10T00:00:00"/>
        <d v="2024-01-16T00:00:00"/>
        <d v="2024-07-24T00:00:00"/>
        <d v="2022-02-22T00:00:00"/>
        <d v="2022-06-22T00:00:00"/>
        <d v="2022-04-29T00:00:00"/>
        <d v="2022-10-11T00:00:00"/>
        <d v="2024-10-26T00:00:00"/>
        <d v="2022-10-25T00:00:00"/>
        <d v="2024-04-04T00:00:00"/>
        <d v="2024-06-25T00:00:00"/>
        <d v="2023-01-27T00:00:00"/>
        <d v="2022-01-20T00:00:00"/>
        <d v="2023-02-06T00:00:00"/>
        <d v="2022-08-09T00:00:00"/>
        <d v="2024-12-13T00:00:00"/>
        <d v="2024-05-21T00:00:00"/>
        <d v="2024-07-02T00:00:00"/>
        <d v="2024-09-15T00:00:00"/>
        <d v="2022-12-19T00:00:00"/>
        <d v="2024-09-21T00:00:00"/>
        <d v="2024-08-23T00:00:00"/>
        <d v="2022-11-10T00:00:00"/>
        <d v="2023-05-02T00:00:00"/>
        <d v="2024-12-30T00:00:00"/>
        <d v="2024-10-29T00:00:00"/>
        <d v="2024-09-20T00:00:00"/>
        <d v="2022-04-20T00:00:00"/>
        <d v="2022-06-27T00:00:00"/>
        <d v="2024-01-29T00:00:00"/>
        <d v="2022-05-25T00:00:00"/>
        <d v="2023-10-28T00:00:00"/>
        <d v="2022-10-24T00:00:00"/>
        <d v="2022-07-05T00:00:00"/>
        <d v="2022-08-11T00:00:00"/>
        <d v="2024-10-23T00:00:00"/>
        <d v="2022-11-06T00:00:00"/>
        <d v="2023-08-02T00:00:00"/>
        <d v="2022-12-15T00:00:00"/>
        <d v="2022-11-25T00:00:00"/>
        <d v="2022-10-06T00:00:00"/>
        <d v="2024-01-06T00:00:00"/>
        <d v="2024-01-13T00:00:00"/>
        <d v="2024-02-13T00:00:00"/>
        <d v="2022-12-25T00:00:00"/>
        <d v="2022-07-30T00:00:00"/>
        <d v="2024-11-02T00:00:00"/>
        <d v="2023-09-18T00:00:00"/>
        <d v="2024-08-16T00:00:00"/>
        <d v="2022-07-24T00:00:00"/>
        <d v="2022-03-01T00:00:00"/>
        <d v="2024-04-23T00:00:00"/>
        <d v="2023-02-21T00:00:00"/>
        <d v="2022-04-22T00:00:00"/>
        <d v="2022-04-25T00:00:00"/>
        <d v="2022-01-07T00:00:00"/>
        <d v="2024-02-05T00:00:00"/>
        <d v="2022-05-03T00:00:00"/>
        <d v="2024-09-22T00:00:00"/>
        <d v="2022-10-12T00:00:00"/>
        <d v="2023-10-25T00:00:00"/>
        <d v="2023-06-12T00:00:00"/>
        <d v="2024-03-09T00:00:00"/>
        <d v="2022-04-16T00:00:00"/>
        <d v="2022-09-21T00:00:00"/>
        <d v="2022-01-04T00:00:00"/>
        <d v="2022-12-11T00:00:00"/>
        <d v="2022-09-17T00:00:00"/>
        <d v="2023-02-19T00:00:00"/>
        <d v="2022-11-26T00:00:00"/>
        <d v="2024-02-21T00:00:00"/>
        <d v="2024-12-07T00:00:00"/>
        <d v="2024-06-16T00:00:00"/>
        <d v="2022-10-30T00:00:00"/>
        <d v="2022-01-24T00:00:00"/>
        <d v="2022-06-04T00:00:00"/>
        <d v="2024-07-23T00:00:00"/>
        <d v="2023-11-08T00:00:00"/>
        <d v="2024-07-01T00:00:00"/>
        <d v="2024-05-28T00:00:00"/>
        <d v="2022-05-07T00:00:00"/>
        <d v="2022-07-27T00:00:00"/>
        <d v="2023-02-15T00:00:00"/>
        <d v="2023-04-11T00:00:00"/>
        <d v="2022-01-26T00:00:00"/>
        <d v="2022-10-19T00:00:00"/>
        <d v="2023-02-14T00:00:00"/>
        <d v="2024-10-20T00:00:00"/>
        <d v="2022-07-06T00:00:00"/>
        <d v="2024-02-23T00:00:00"/>
        <d v="2022-06-24T00:00:00"/>
        <d v="2024-04-03T00:00:00"/>
        <d v="2023-12-13T00:00:00"/>
        <d v="2022-01-18T00:00:00"/>
        <d v="2023-07-22T00:00:00"/>
        <d v="2023-06-05T00:00:00"/>
        <d v="2023-10-26T00:00:00"/>
        <d v="2023-07-28T00:00:00"/>
        <d v="2022-12-07T00:00:00"/>
        <d v="2023-02-25T00:00:00"/>
        <d v="2024-05-19T00:00:00"/>
        <d v="2023-09-27T00:00:00"/>
        <d v="2022-09-02T00:00:00"/>
        <d v="2024-08-07T00:00:00"/>
        <d v="2022-11-21T00:00:00"/>
        <d v="2022-09-12T00:00:00"/>
        <d v="2023-10-03T00:00:00"/>
        <d v="2023-12-08T00:00:00"/>
        <d v="2022-02-24T00:00:00"/>
        <d v="2023-08-22T00:00:00"/>
        <d v="2024-10-14T00:00:00"/>
        <d v="2022-11-30T00:00:00"/>
        <d v="2022-11-05T00:00:00"/>
        <d v="2024-11-23T00:00:00"/>
        <d v="2023-12-07T00:00:00"/>
        <d v="2024-01-15T00:00:00"/>
        <d v="2023-07-12T00:00:00"/>
        <d v="2022-08-27T00:00:00"/>
        <d v="2023-03-16T00:00:00"/>
        <d v="2023-10-16T00:00:00"/>
        <d v="2023-04-28T00:00:00"/>
        <d v="2024-05-10T00:00:00"/>
        <d v="2023-08-03T00:00:00"/>
        <d v="2022-11-15T00:00:00"/>
        <d v="2024-08-26T00:00:00"/>
        <d v="2024-12-27T00:00:00"/>
        <d v="2023-01-05T00:00:00"/>
        <d v="2024-10-25T00:00:00"/>
        <d v="2024-12-16T00:00:00"/>
        <d v="2024-03-15T00:00:00"/>
        <d v="2022-07-25T00:00:00"/>
        <d v="2024-11-13T00:00:00"/>
        <d v="2022-04-30T00:00:00"/>
        <d v="2023-06-23T00:00:00"/>
        <d v="2024-10-04T00:00:00"/>
        <d v="2024-08-13T00:00:00"/>
        <d v="2023-03-02T00:00:00"/>
        <d v="2023-11-15T00:00:00"/>
        <d v="2024-06-24T00:00:00"/>
        <d v="2024-12-20T00:00:00"/>
        <d v="2023-09-25T00:00:00"/>
        <d v="2024-11-25T00:00:00"/>
        <d v="2022-08-29T00:00:00"/>
        <d v="2024-10-17T00:00:00"/>
        <d v="2023-10-11T00:00:00"/>
        <d v="2023-01-30T00:00:00"/>
        <d v="2024-02-06T00:00:00"/>
        <d v="2024-04-11T00:00:00"/>
        <d v="2023-04-03T00:00:00"/>
        <d v="2024-10-16T00:00:00"/>
        <d v="2022-12-02T00:00:00"/>
        <d v="2022-11-12T00:00:00"/>
        <d v="2022-12-10T00:00:00"/>
        <d v="2024-09-24T00:00:00"/>
        <d v="2024-07-15T00:00:00"/>
        <d v="2023-03-20T00:00:00"/>
        <d v="2022-08-28T00:00:00"/>
        <d v="2022-12-01T00:00:00"/>
        <d v="2023-07-02T00:00:00"/>
        <d v="2024-10-24T00:00:00"/>
        <d v="2024-07-16T00:00:00"/>
        <d v="2023-09-19T00:00:00"/>
        <d v="2022-04-05T00:00:00"/>
        <d v="2023-09-08T00:00:00"/>
        <d v="2022-05-19T00:00:00"/>
        <d v="2022-02-02T00:00:00"/>
        <d v="2022-04-21T00:00:00"/>
        <d v="2024-11-12T00:00:00"/>
        <d v="2022-12-20T00:00:00"/>
        <d v="2022-06-05T00:00:00"/>
        <d v="2024-03-11T00:00:00"/>
        <d v="2023-05-13T00:00:00"/>
        <d v="2024-02-14T00:00:00"/>
        <d v="2022-09-13T00:00:00"/>
        <d v="2024-08-02T00:00:00"/>
        <d v="2023-07-30T00:00:00"/>
        <d v="2022-06-21T00:00:00"/>
        <d v="2022-07-08T00:00:00"/>
        <d v="2024-01-18T00:00:00"/>
        <d v="2022-06-02T00:00:00"/>
        <d v="2023-02-08T00:00:00"/>
        <d v="2022-10-27T00:00:00"/>
        <d v="2022-10-26T00:00:00"/>
        <d v="2024-02-22T00:00:00"/>
        <d v="2024-08-06T00:00:00"/>
        <d v="2022-10-28T00:00:00"/>
        <d v="2022-06-07T00:00:00"/>
        <d v="2024-06-22T00:00:00"/>
        <d v="2023-06-03T00:00:00"/>
        <d v="2023-12-02T00:00:00"/>
        <d v="2023-08-14T00:00:00"/>
        <d v="2023-07-16T00:00:00"/>
        <d v="2024-10-18T00:00:00"/>
        <d v="2024-09-06T00:00:00"/>
        <d v="2024-10-07T00:00:00"/>
        <d v="2022-04-27T00:00:00"/>
        <d v="2023-01-15T00:00:00"/>
        <d v="2023-02-27T00:00:00"/>
        <d v="2023-05-24T00:00:00"/>
        <d v="2024-05-16T00:00:00"/>
        <d v="2023-11-02T00:00:00"/>
        <d v="2024-07-22T00:00:00"/>
        <d v="2024-03-10T00:00:00"/>
        <d v="2022-10-29T00:00:00"/>
        <d v="2024-01-11T00:00:00"/>
        <d v="2022-02-04T00:00:00"/>
        <d v="2023-01-24T00:00:00"/>
        <d v="2023-03-04T00:00:00"/>
        <d v="2024-05-01T00:00:00"/>
        <d v="2022-02-17T00:00:00"/>
        <d v="2024-02-16T00:00:00"/>
        <d v="2024-11-29T00:00:00"/>
        <d v="2023-01-18T00:00:00"/>
        <d v="2023-11-23T00:00:00"/>
        <d v="2023-12-03T00:00:00"/>
        <d v="2023-04-29T00:00:00"/>
        <d v="2024-08-05T00:00:00"/>
        <d v="2023-08-10T00:00:00"/>
        <d v="2022-05-16T00:00:00"/>
        <d v="2023-02-04T00:00:00"/>
        <d v="2022-03-04T00:00:00"/>
        <d v="2024-02-28T00:00:00"/>
        <d v="2023-03-08T00:00:00"/>
        <d v="2023-11-07T00:00:00"/>
        <d v="2023-11-26T00:00:00"/>
        <d v="2023-11-16T00:00:00"/>
        <d v="2024-10-19T00:00:00"/>
        <d v="2024-12-02T00:00:00"/>
        <d v="2023-02-09T00:00:00"/>
        <d v="2022-06-12T00:00:00"/>
        <d v="2022-09-06T00:00:00"/>
        <d v="2023-01-04T00:00:00"/>
        <d v="2022-12-21T00:00:00"/>
        <d v="2024-12-08T00:00:00"/>
        <d v="2024-07-06T00:00:00"/>
        <d v="2023-04-08T00:00:00"/>
        <d v="2023-05-30T00:00:00"/>
        <d v="2023-04-22T00:00:00"/>
        <d v="2022-11-09T00:00:00"/>
        <d v="2024-11-22T00:00:00"/>
        <d v="2024-12-10T00:00:00"/>
        <d v="2024-01-04T00:00:00"/>
        <d v="2023-09-16T00:00:00"/>
        <d v="2022-07-14T00:00:00"/>
        <d v="2023-02-28T00:00:00"/>
        <d v="2022-06-23T00:00:00"/>
        <d v="2022-07-03T00:00:00"/>
        <d v="2022-03-21T00:00:00"/>
        <d v="2022-12-24T00:00:00"/>
        <d v="2022-02-12T00:00:00"/>
        <d v="2024-02-26T00:00:00"/>
        <d v="2024-02-12T00:00:00"/>
        <d v="2024-06-01T00:00:00"/>
        <d v="2023-03-25T00:00:00"/>
        <d v="2024-12-14T00:00:00"/>
        <d v="2022-06-25T00:00:00"/>
        <d v="2024-05-29T00:00:00"/>
        <d v="2022-09-05T00:00:00"/>
        <d v="2023-03-09T00:00:00"/>
        <d v="2022-03-07T00:00:00"/>
        <d v="2023-04-24T00:00:00"/>
        <d v="2023-06-15T00:00:00"/>
        <d v="2022-07-19T00:00:00"/>
        <d v="2022-03-24T00:00:00"/>
        <d v="2023-01-20T00:00:00"/>
        <d v="2022-03-18T00:00:00"/>
        <d v="2024-07-08T00:00:00"/>
        <d v="2024-11-24T00:00:00"/>
        <d v="2022-11-29T00:00:00"/>
        <d v="2022-05-26T00:00:00"/>
        <d v="2024-12-12T00:00:00"/>
        <d v="2023-12-14T00:00:00"/>
        <d v="2022-06-29T00:00:00"/>
        <d v="2023-08-28T00:00:00"/>
        <d v="2022-07-28T00:00:00"/>
        <d v="2023-02-22T00:00:00"/>
        <d v="2024-08-18T00:00:00"/>
        <d v="2022-09-18T00:00:00"/>
        <d v="2024-01-12T00:00:00"/>
        <d v="2023-09-05T00:00:00"/>
        <d v="2024-01-14T00:00:00"/>
        <d v="2023-02-12T00:00:00"/>
        <d v="2022-08-16T00:00:00"/>
        <d v="2022-08-23T00:00:00"/>
        <d v="2022-11-08T00:00:00"/>
        <d v="2022-04-04T00:00:00"/>
        <d v="2022-04-18T00:00:00"/>
        <d v="2024-07-21T00:00:00"/>
        <d v="2024-11-30T00:00:00"/>
        <d v="2022-10-07T00:00:00"/>
        <d v="2023-08-26T00:00:00"/>
        <d v="2022-08-31T00:00:00"/>
        <d v="2022-06-01T00:00:00"/>
        <d v="2022-07-02T00:00:00"/>
        <d v="2022-01-30T00:00:00"/>
        <d v="2022-01-06T00:00:00"/>
        <d v="2024-02-27T00:00:00"/>
        <d v="2024-11-05T00:00:00"/>
        <d v="2022-12-16T00:00:00"/>
        <d v="2022-09-20T00:00:00"/>
        <d v="2023-10-06T00:00:00"/>
        <d v="2022-04-12T00:00:00"/>
      </sharedItems>
      <fieldGroup par="11" base="0">
        <rangePr groupBy="months" startDate="2022-01-01T00:00:00" endDate="2025-01-01T00:00:00"/>
        <groupItems count="14">
          <s v="&lt;1/1/2022"/>
          <s v="Jan"/>
          <s v="Feb"/>
          <s v="Mar"/>
          <s v="Apr"/>
          <s v="May"/>
          <s v="Jun"/>
          <s v="Jul"/>
          <s v="Aug"/>
          <s v="Sep"/>
          <s v="Oct"/>
          <s v="Nov"/>
          <s v="Dec"/>
          <s v="&gt;1/1/2025"/>
        </groupItems>
      </fieldGroup>
    </cacheField>
    <cacheField name="Product Name" numFmtId="0">
      <sharedItems count="10">
        <s v="Printer"/>
        <s v="Mouse"/>
        <s v="Tablet"/>
        <s v="Camera"/>
        <s v="Headphones"/>
        <s v="Smartwatch"/>
        <s v="Monitor"/>
        <s v="Smartphone"/>
        <s v="Keyboard"/>
        <s v="Laptop"/>
      </sharedItems>
    </cacheField>
    <cacheField name="Category" numFmtId="0">
      <sharedItems count="3">
        <s v="Office"/>
        <s v="Accessories"/>
        <s v="Electronics"/>
      </sharedItems>
    </cacheField>
    <cacheField name="Country" numFmtId="0">
      <sharedItems/>
    </cacheField>
    <cacheField name="City" numFmtId="0">
      <sharedItems count="371">
        <s v="Henderson"/>
        <s v="Fort Lauderdale"/>
        <s v="Los Angeles"/>
        <s v="Philadelphia"/>
        <s v="Orem"/>
        <s v="Richardson"/>
        <s v="Houston"/>
        <s v="New Albany"/>
        <s v="Troy"/>
        <s v="Chicago"/>
        <s v="Memphis"/>
        <s v="Columbia"/>
        <s v="Minneapolis"/>
        <s v="New York City"/>
        <s v="Aurora"/>
        <s v="Seattle"/>
        <s v="Wilmington"/>
        <s v="Bloomington"/>
        <s v="Roseville"/>
        <s v="Newark"/>
        <s v="Franklin"/>
        <s v="San Antonio"/>
        <s v="Denver"/>
        <s v="Medina"/>
        <s v="Dublin"/>
        <s v="Detroit"/>
        <s v="Tampa"/>
        <s v="Lakeville"/>
        <s v="San Francisco"/>
        <s v="Columbus"/>
        <s v="Colorado Springs"/>
        <s v="Belleville"/>
        <s v="Arvada"/>
        <s v="Hackensack"/>
        <s v="Murfreesboro"/>
        <s v="Manchester"/>
        <s v="Pembroke Pines"/>
        <s v="Lawrence"/>
        <s v="Jackson"/>
        <s v="Canton"/>
        <s v="Akron"/>
        <s v="Concord"/>
        <s v="Decatur"/>
        <s v="Phoenix"/>
        <s v="Park Ridge"/>
        <s v="Amarillo"/>
        <s v="Costa Mesa"/>
        <s v="Parker"/>
        <s v="Gladstone"/>
        <s v="Lakeland"/>
        <s v="Fort Worth"/>
        <s v="Jacksonville"/>
        <s v="Richmond"/>
        <s v="San Diego"/>
        <s v="Dearborn"/>
        <s v="Warner Robins"/>
        <s v="Vallejo"/>
        <s v="Vancouver"/>
        <s v="Arlington"/>
        <s v="Cleveland"/>
        <s v="Tyler"/>
        <s v="Waynesboro"/>
        <s v="Long Beach"/>
        <s v="Dover"/>
        <s v="Oceanside"/>
        <s v="Trenton"/>
        <s v="Saint Petersburg"/>
        <s v="Des Moines"/>
        <s v="Lancaster"/>
        <s v="Lake Elsinore"/>
        <s v="Omaha"/>
        <s v="Edmonds"/>
        <s v="Santa Ana"/>
        <s v="Florence"/>
        <s v="Louisville"/>
        <s v="Lorain"/>
        <s v="Springfield"/>
        <s v="Rochester"/>
        <s v="Norwich"/>
        <s v="Milwaukee"/>
        <s v="Torrance"/>
        <s v="Mesa"/>
        <s v="Round Rock"/>
        <s v="Auburn"/>
        <s v="Olympia"/>
        <s v="Washington"/>
        <s v="Jefferson City"/>
        <s v="Saint Peters"/>
        <s v="Rockford"/>
        <s v="Miami"/>
        <s v="Yonkers"/>
        <s v="Monroe"/>
        <s v="Encinitas"/>
        <s v="Jonesboro"/>
        <s v="Cuyahoga Falls"/>
        <s v="Harrisonburg"/>
        <s v="Rockville"/>
        <s v="Coral Springs"/>
        <s v="Boynton Beach"/>
        <s v="Fresno"/>
        <s v="Chester"/>
        <s v="La Porte"/>
        <s v="Pasadena"/>
        <s v="Evanston"/>
        <s v="Tucson"/>
        <s v="Pico Rivera"/>
        <s v="Provo"/>
        <s v="Smyrna"/>
        <s v="Middletown"/>
        <s v="Vineland"/>
        <s v="Glendale"/>
        <s v="North Las Vegas"/>
        <s v="Allentown"/>
        <s v="Laguna Niguel"/>
        <s v="Everett"/>
        <s v="Watertown"/>
        <s v="El Paso"/>
        <s v="Peoria"/>
        <s v="Carrollton"/>
        <s v="Kent"/>
        <s v="Lafayette"/>
        <s v="Oakland"/>
        <s v="Suffolk"/>
        <s v="Madison"/>
        <s v="San Jose"/>
        <s v="Redmond"/>
        <s v="Muskogee"/>
        <s v="Charlotte"/>
        <s v="Bowling Green"/>
        <s v="Spokane"/>
        <s v="Fairfield"/>
        <s v="Broomfield"/>
        <s v="Montgomery"/>
        <s v="Brentwood"/>
        <s v="Providence"/>
        <s v="Pomona"/>
        <s v="Ontario"/>
        <s v="Moorhead"/>
        <s v="Redlands"/>
        <s v="Sunnyvale"/>
        <s v="Lansing"/>
        <s v="Grand Prairie"/>
        <s v="York"/>
        <s v="College Station"/>
        <s v="Dallas"/>
        <s v="Cincinnati"/>
        <s v="Laredo"/>
        <s v="San Angelo"/>
        <s v="Little Rock"/>
        <s v="Marion"/>
        <s v="Littleton"/>
        <s v="Bangor"/>
        <s v="Southaven"/>
        <s v="Roswell"/>
        <s v="Sioux Falls"/>
        <s v="Sacramento"/>
        <s v="Huntsville"/>
        <s v="Holyoke"/>
        <s v="Farmington"/>
        <s v="Passaic"/>
        <s v="Fayetteville"/>
        <s v="Mishawaka"/>
        <s v="Westfield"/>
        <s v="Scottsdale"/>
        <s v="Malden"/>
        <s v="Bellingham"/>
        <s v="Alexandria"/>
        <s v="Wheeling"/>
        <s v="Raleigh"/>
        <s v="Tulsa"/>
        <s v="Hesperia"/>
        <s v="Gilbert"/>
        <s v="Lowell"/>
        <s v="Hialeah"/>
        <s v="Lakewood"/>
        <s v="Bakersfield"/>
        <s v="Pompano Beach"/>
        <s v="Corpus Christi"/>
        <s v="Redondo Beach"/>
        <s v="Las Cruces"/>
        <s v="Chesapeake"/>
        <s v="Woodstock"/>
        <s v="Atlanta"/>
        <s v="Tempe"/>
        <s v="Lake Charles"/>
        <s v="Highland Park"/>
        <s v="Saginaw"/>
        <s v="Skokie"/>
        <s v="Allen"/>
        <s v="Mount Pleasant"/>
        <s v="Murray"/>
        <s v="Pharr"/>
        <s v="West Jordan"/>
        <s v="Brownsville"/>
        <s v="Lincoln Park"/>
        <s v="Gresham"/>
        <s v="Chattanooga"/>
        <s v="Meridian"/>
        <s v="Austin"/>
        <s v="Tallahassee"/>
        <s v="Fort Collins"/>
        <s v="Gulfport"/>
        <s v="Quincy"/>
        <s v="Bristol"/>
        <s v="Mission Viejo"/>
        <s v="Las Vegas"/>
        <s v="Hempstead"/>
        <s v="Tinley Park"/>
        <s v="Dubuque"/>
        <s v="Inglewood"/>
        <s v="Revere"/>
        <s v="Dearborn Heights"/>
        <s v="Mobile"/>
        <s v="Carol Stream"/>
        <s v="Saint Cloud"/>
        <s v="Plano"/>
        <s v="Macon"/>
        <s v="Plantation"/>
        <s v="Clinton"/>
        <s v="Toledo"/>
        <s v="Mesquite"/>
        <s v="Odessa"/>
        <s v="West Allis"/>
        <s v="Chula Vista"/>
        <s v="Greensboro"/>
        <s v="Champaign"/>
        <s v="Harlingen"/>
        <s v="Greenwood"/>
        <s v="Nashville"/>
        <s v="Woonsocket"/>
        <s v="Kenosha"/>
        <s v="Port Saint Lucie"/>
        <s v="Miramar"/>
        <s v="Fremont"/>
        <s v="Freeport"/>
        <s v="Boise"/>
        <s v="Cranston"/>
        <s v="Baltimore"/>
        <s v="Port Arthur"/>
        <s v="Citrus Heights"/>
        <s v="Bullhead City"/>
        <s v="New Rochelle"/>
        <s v="San Gabriel"/>
        <s v="Hamilton"/>
        <s v="Sandy Springs"/>
        <s v="Mentor"/>
        <s v="Lawton"/>
        <s v="Hampton"/>
        <s v="Rome"/>
        <s v="Manteca"/>
        <s v="Danville"/>
        <s v="Waterbury"/>
        <s v="Buffalo"/>
        <s v="Pasco"/>
        <s v="Marietta"/>
        <s v="Parma"/>
        <s v="League City"/>
        <s v="Gaithersburg"/>
        <s v="Oklahoma City"/>
        <s v="Burlington"/>
        <s v="Deltona"/>
        <s v="Anaheim"/>
        <s v="Chandler"/>
        <s v="Kirkwood"/>
        <s v="Taylor"/>
        <s v="Midland"/>
        <s v="Waco"/>
        <s v="Texarkana"/>
        <s v="Bethlehem"/>
        <s v="Garland"/>
        <s v="Knoxville"/>
        <s v="Wichita"/>
        <s v="Oak Park"/>
        <s v="Palm Coast"/>
        <s v="Olathe"/>
        <s v="Draper"/>
        <s v="La Crosse"/>
        <s v="Morristown"/>
        <s v="Apple Valley"/>
        <s v="Salem"/>
        <s v="Pocatello"/>
        <s v="Apopka"/>
        <s v="Milford"/>
        <s v="Buffalo Grove"/>
        <s v="Lake Forest"/>
        <s v="Conway"/>
        <s v="Meriden"/>
        <s v="Cheyenne"/>
        <s v="Reading"/>
        <s v="Hattiesburg"/>
        <s v="Caldwell"/>
        <s v="Nashua"/>
        <s v="Georgetown"/>
        <s v="Sierra Vista"/>
        <s v="Lubbock"/>
        <s v="Portland"/>
        <s v="Hendersonville"/>
        <s v="Chico"/>
        <s v="Eugene"/>
        <s v="Oxnard"/>
        <s v="Westland"/>
        <s v="Orlando"/>
        <s v="Elmhurst"/>
        <s v="Texas City"/>
        <s v="Virginia Beach"/>
        <s v="Charlottesville"/>
        <s v="Wilson"/>
        <s v="Rio Rancho"/>
        <s v="Hot Springs"/>
        <s v="Paterson"/>
        <s v="Thousand Oaks"/>
        <s v="El Cajon"/>
        <s v="Naperville"/>
        <s v="North Charleston"/>
        <s v="Longview"/>
        <s v="Normal"/>
        <s v="Salinas"/>
        <s v="Saint Charles"/>
        <s v="Tuscaloosa"/>
        <s v="Superior"/>
        <s v="Helena"/>
        <s v="Bellevue"/>
        <s v="Des Plaines"/>
        <s v="Burbank"/>
        <s v="Camarillo"/>
        <s v="Tigard"/>
        <s v="Covington"/>
        <s v="Westminster"/>
        <s v="Longmont"/>
        <s v="Greenville"/>
        <s v="Newport News"/>
        <s v="Bossier City"/>
        <s v="Thornton"/>
        <s v="Morgan Hill"/>
        <s v="Clifton"/>
        <s v="Cambridge"/>
        <s v="East Point"/>
        <s v="Modesto"/>
        <s v="Rapid City"/>
        <s v="Durham"/>
        <s v="Daytona Beach"/>
        <s v="Andover"/>
        <s v="Athens"/>
        <s v="Danbury"/>
        <s v="Noblesville"/>
        <s v="Clarksville"/>
        <s v="Frisco"/>
        <s v="Sanford"/>
        <s v="San Marcos"/>
        <s v="Greeley"/>
        <s v="Mansfield"/>
        <s v="Hillsboro"/>
        <s v="Twin Falls"/>
        <s v="Utica"/>
        <s v="Stockton"/>
        <s v="Coral Gables"/>
        <s v="Green Bay"/>
        <s v="Marlborough"/>
        <s v="Hollywood"/>
        <s v="Laurel"/>
        <s v="Eau Claire"/>
        <s v="Perth Amboy"/>
        <s v="Mcallen"/>
        <s v="Moreno Valley"/>
        <s v="Broken Arrow"/>
        <s v="Beaumont"/>
        <s v="Mason"/>
        <s v="Santa Barbara"/>
        <s v="Bryan"/>
        <s v="San Bernardino"/>
        <s v="Indianapolis"/>
      </sharedItems>
    </cacheField>
    <cacheField name="State" numFmtId="0">
      <sharedItems count="48">
        <s v="Kentucky"/>
        <s v="Florida"/>
        <s v="California"/>
        <s v="Pennsylvania"/>
        <s v="Utah"/>
        <s v="Texas"/>
        <s v="Indiana"/>
        <s v="New York"/>
        <s v="Illinois"/>
        <s v="Tennessee"/>
        <s v="South Carolina"/>
        <s v="Minnesota"/>
        <s v="Colorado"/>
        <s v="Washington"/>
        <s v="Delaware"/>
        <s v="Ohio"/>
        <s v="Wisconsin"/>
        <s v="Michigan"/>
        <s v="New Jersey"/>
        <s v="Connecticut"/>
        <s v="Massachusetts"/>
        <s v="Mississippi"/>
        <s v="Arizona"/>
        <s v="Missouri"/>
        <s v="Georgia"/>
        <s v="Virginia"/>
        <s v="Iowa"/>
        <s v="Nebraska"/>
        <s v="New Hampshire"/>
        <s v="District of Columbia"/>
        <s v="North Carolina"/>
        <s v="Arkansas"/>
        <s v="Maryland"/>
        <s v="Alabama"/>
        <s v="Nevada"/>
        <s v="Louisiana"/>
        <s v="Oregon"/>
        <s v="Oklahoma"/>
        <s v="Rhode Island"/>
        <s v="Maine"/>
        <s v="South Dakota"/>
        <s v="New Mexico"/>
        <s v="Idaho"/>
        <s v="Vermont"/>
        <s v="Kansas"/>
        <s v="Wyoming"/>
        <s v="Montana"/>
        <s v="West Virginia"/>
      </sharedItems>
    </cacheField>
    <cacheField name="Region" numFmtId="0">
      <sharedItems count="4">
        <s v="South"/>
        <s v="West"/>
        <s v="East"/>
        <s v="Central"/>
      </sharedItems>
    </cacheField>
    <cacheField name="Quantity" numFmtId="0">
      <sharedItems containsSemiMixedTypes="0" containsString="0" containsNumber="1" containsInteger="1" minValue="1" maxValue="9"/>
    </cacheField>
    <cacheField name="Sales" numFmtId="0">
      <sharedItems containsSemiMixedTypes="0" containsString="0" containsNumber="1" containsInteger="1" minValue="51" maxValue="10782"/>
    </cacheField>
    <cacheField name="Profit" numFmtId="0">
      <sharedItems containsSemiMixedTypes="0" containsString="0" containsNumber="1" minValue="6.97" maxValue="2946.93"/>
    </cacheField>
    <cacheField name="Quarters" numFmtId="0" databaseField="0">
      <fieldGroup base="0">
        <rangePr groupBy="quarters" startDate="2022-01-01T00:00:00" endDate="2025-01-01T00:00:00"/>
        <groupItems count="6">
          <s v="&lt;1/1/2022"/>
          <s v="Qtr1"/>
          <s v="Qtr2"/>
          <s v="Qtr3"/>
          <s v="Qtr4"/>
          <s v="&gt;1/1/2025"/>
        </groupItems>
      </fieldGroup>
    </cacheField>
    <cacheField name="Years" numFmtId="0" databaseField="0">
      <fieldGroup base="0">
        <rangePr groupBy="years" startDate="2022-01-01T00:00:00" endDate="2025-01-01T00:00:00"/>
        <groupItems count="6">
          <s v="&lt;1/1/2022"/>
          <s v="2022"/>
          <s v="2023"/>
          <s v="2024"/>
          <s v="2025"/>
          <s v="&gt;1/1/2025"/>
        </groupItems>
      </fieldGroup>
    </cacheField>
  </cacheFields>
  <extLst>
    <ext xmlns:x14="http://schemas.microsoft.com/office/spreadsheetml/2009/9/main" uri="{725AE2AE-9491-48be-B2B4-4EB974FC3084}">
      <x14:pivotCacheDefinition pivotCacheId="2041816860"/>
    </ext>
  </extLst>
</pivotCacheDefinition>
</file>

<file path=xl/pivotCache/pivotCacheRecords1.xml><?xml version="1.0" encoding="utf-8"?>
<pivotCacheRecords xmlns="http://schemas.openxmlformats.org/spreadsheetml/2006/main" xmlns:r="http://schemas.openxmlformats.org/officeDocument/2006/relationships" count="3500">
  <r>
    <x v="0"/>
    <x v="0"/>
    <x v="0"/>
    <s v="United States"/>
    <x v="0"/>
    <x v="0"/>
    <x v="0"/>
    <n v="4"/>
    <n v="3640"/>
    <n v="348.93"/>
  </r>
  <r>
    <x v="1"/>
    <x v="1"/>
    <x v="1"/>
    <s v="United States"/>
    <x v="0"/>
    <x v="0"/>
    <x v="0"/>
    <n v="7"/>
    <n v="1197"/>
    <n v="106.53"/>
  </r>
  <r>
    <x v="2"/>
    <x v="2"/>
    <x v="2"/>
    <s v="United States"/>
    <x v="1"/>
    <x v="1"/>
    <x v="0"/>
    <n v="5"/>
    <n v="5865"/>
    <n v="502.73"/>
  </r>
  <r>
    <x v="3"/>
    <x v="1"/>
    <x v="1"/>
    <s v="United States"/>
    <x v="2"/>
    <x v="2"/>
    <x v="1"/>
    <n v="2"/>
    <n v="786"/>
    <n v="202.87"/>
  </r>
  <r>
    <x v="4"/>
    <x v="1"/>
    <x v="1"/>
    <s v="United States"/>
    <x v="2"/>
    <x v="2"/>
    <x v="1"/>
    <n v="1"/>
    <n v="509"/>
    <n v="103.28"/>
  </r>
  <r>
    <x v="5"/>
    <x v="3"/>
    <x v="2"/>
    <s v="United States"/>
    <x v="3"/>
    <x v="3"/>
    <x v="2"/>
    <n v="1"/>
    <n v="524"/>
    <n v="106.35"/>
  </r>
  <r>
    <x v="6"/>
    <x v="4"/>
    <x v="1"/>
    <s v="United States"/>
    <x v="4"/>
    <x v="4"/>
    <x v="1"/>
    <n v="7"/>
    <n v="6167"/>
    <n v="1027.98"/>
  </r>
  <r>
    <x v="7"/>
    <x v="3"/>
    <x v="2"/>
    <s v="United States"/>
    <x v="3"/>
    <x v="3"/>
    <x v="2"/>
    <n v="7"/>
    <n v="3059"/>
    <n v="873.5"/>
  </r>
  <r>
    <x v="8"/>
    <x v="5"/>
    <x v="2"/>
    <s v="United States"/>
    <x v="3"/>
    <x v="3"/>
    <x v="2"/>
    <n v="9"/>
    <n v="5526"/>
    <n v="595.28"/>
  </r>
  <r>
    <x v="9"/>
    <x v="0"/>
    <x v="0"/>
    <s v="United States"/>
    <x v="5"/>
    <x v="5"/>
    <x v="3"/>
    <n v="8"/>
    <n v="672"/>
    <n v="186.37"/>
  </r>
  <r>
    <x v="10"/>
    <x v="6"/>
    <x v="1"/>
    <s v="United States"/>
    <x v="6"/>
    <x v="5"/>
    <x v="3"/>
    <n v="6"/>
    <n v="7074"/>
    <n v="1357.68"/>
  </r>
  <r>
    <x v="11"/>
    <x v="5"/>
    <x v="2"/>
    <s v="United States"/>
    <x v="6"/>
    <x v="5"/>
    <x v="3"/>
    <n v="2"/>
    <n v="502"/>
    <n v="137.4"/>
  </r>
  <r>
    <x v="12"/>
    <x v="2"/>
    <x v="2"/>
    <s v="United States"/>
    <x v="7"/>
    <x v="6"/>
    <x v="3"/>
    <n v="7"/>
    <n v="7462"/>
    <n v="2166.17"/>
  </r>
  <r>
    <x v="13"/>
    <x v="7"/>
    <x v="2"/>
    <s v="United States"/>
    <x v="7"/>
    <x v="6"/>
    <x v="3"/>
    <n v="5"/>
    <n v="4205"/>
    <n v="585.29"/>
  </r>
  <r>
    <x v="14"/>
    <x v="3"/>
    <x v="2"/>
    <s v="United States"/>
    <x v="8"/>
    <x v="7"/>
    <x v="2"/>
    <n v="1"/>
    <n v="570"/>
    <n v="138.54"/>
  </r>
  <r>
    <x v="15"/>
    <x v="4"/>
    <x v="1"/>
    <s v="United States"/>
    <x v="2"/>
    <x v="2"/>
    <x v="1"/>
    <n v="1"/>
    <n v="441"/>
    <n v="102.42"/>
  </r>
  <r>
    <x v="16"/>
    <x v="1"/>
    <x v="1"/>
    <s v="United States"/>
    <x v="9"/>
    <x v="8"/>
    <x v="3"/>
    <n v="7"/>
    <n v="7469"/>
    <n v="589.80999999999995"/>
  </r>
  <r>
    <x v="17"/>
    <x v="2"/>
    <x v="2"/>
    <s v="United States"/>
    <x v="10"/>
    <x v="9"/>
    <x v="0"/>
    <n v="2"/>
    <n v="2212"/>
    <n v="145.75"/>
  </r>
  <r>
    <x v="18"/>
    <x v="2"/>
    <x v="2"/>
    <s v="United States"/>
    <x v="10"/>
    <x v="9"/>
    <x v="0"/>
    <n v="5"/>
    <n v="740"/>
    <n v="146.38999999999999"/>
  </r>
  <r>
    <x v="19"/>
    <x v="4"/>
    <x v="1"/>
    <s v="United States"/>
    <x v="6"/>
    <x v="5"/>
    <x v="3"/>
    <n v="1"/>
    <n v="662"/>
    <n v="193.92"/>
  </r>
  <r>
    <x v="20"/>
    <x v="1"/>
    <x v="1"/>
    <s v="United States"/>
    <x v="6"/>
    <x v="5"/>
    <x v="3"/>
    <n v="7"/>
    <n v="5712"/>
    <n v="651.27"/>
  </r>
  <r>
    <x v="21"/>
    <x v="5"/>
    <x v="2"/>
    <s v="United States"/>
    <x v="11"/>
    <x v="10"/>
    <x v="0"/>
    <n v="3"/>
    <n v="2739"/>
    <n v="572.73"/>
  </r>
  <r>
    <x v="22"/>
    <x v="8"/>
    <x v="1"/>
    <s v="United States"/>
    <x v="12"/>
    <x v="11"/>
    <x v="3"/>
    <n v="5"/>
    <n v="1400"/>
    <n v="213.63"/>
  </r>
  <r>
    <x v="23"/>
    <x v="0"/>
    <x v="0"/>
    <s v="United States"/>
    <x v="13"/>
    <x v="7"/>
    <x v="2"/>
    <n v="3"/>
    <n v="3477"/>
    <n v="939.2"/>
  </r>
  <r>
    <x v="24"/>
    <x v="3"/>
    <x v="2"/>
    <s v="United States"/>
    <x v="14"/>
    <x v="12"/>
    <x v="1"/>
    <n v="5"/>
    <n v="3475"/>
    <n v="570.36"/>
  </r>
  <r>
    <x v="25"/>
    <x v="9"/>
    <x v="2"/>
    <s v="United States"/>
    <x v="13"/>
    <x v="7"/>
    <x v="2"/>
    <n v="9"/>
    <n v="6138"/>
    <n v="1562.14"/>
  </r>
  <r>
    <x v="26"/>
    <x v="3"/>
    <x v="2"/>
    <s v="United States"/>
    <x v="15"/>
    <x v="13"/>
    <x v="1"/>
    <n v="5"/>
    <n v="3665"/>
    <n v="406.93"/>
  </r>
  <r>
    <x v="27"/>
    <x v="0"/>
    <x v="0"/>
    <s v="United States"/>
    <x v="16"/>
    <x v="14"/>
    <x v="2"/>
    <n v="2"/>
    <n v="2372"/>
    <n v="206.42"/>
  </r>
  <r>
    <x v="28"/>
    <x v="9"/>
    <x v="2"/>
    <s v="United States"/>
    <x v="6"/>
    <x v="5"/>
    <x v="3"/>
    <n v="2"/>
    <n v="1382"/>
    <n v="211.11"/>
  </r>
  <r>
    <x v="29"/>
    <x v="9"/>
    <x v="2"/>
    <s v="United States"/>
    <x v="17"/>
    <x v="8"/>
    <x v="3"/>
    <n v="1"/>
    <n v="1126"/>
    <n v="194.08"/>
  </r>
  <r>
    <x v="30"/>
    <x v="0"/>
    <x v="0"/>
    <s v="United States"/>
    <x v="2"/>
    <x v="2"/>
    <x v="1"/>
    <n v="8"/>
    <n v="1376"/>
    <n v="152.1"/>
  </r>
  <r>
    <x v="31"/>
    <x v="1"/>
    <x v="1"/>
    <s v="United States"/>
    <x v="2"/>
    <x v="2"/>
    <x v="1"/>
    <n v="4"/>
    <n v="988"/>
    <n v="147.91"/>
  </r>
  <r>
    <x v="32"/>
    <x v="9"/>
    <x v="2"/>
    <s v="United States"/>
    <x v="18"/>
    <x v="2"/>
    <x v="1"/>
    <n v="9"/>
    <n v="10773"/>
    <n v="1907.36"/>
  </r>
  <r>
    <x v="33"/>
    <x v="4"/>
    <x v="1"/>
    <s v="United States"/>
    <x v="3"/>
    <x v="3"/>
    <x v="2"/>
    <n v="4"/>
    <n v="3252"/>
    <n v="713.46"/>
  </r>
  <r>
    <x v="34"/>
    <x v="4"/>
    <x v="1"/>
    <s v="United States"/>
    <x v="19"/>
    <x v="15"/>
    <x v="2"/>
    <n v="3"/>
    <n v="2739"/>
    <n v="202.81"/>
  </r>
  <r>
    <x v="35"/>
    <x v="2"/>
    <x v="2"/>
    <s v="United States"/>
    <x v="20"/>
    <x v="16"/>
    <x v="3"/>
    <n v="7"/>
    <n v="2709"/>
    <n v="702.79"/>
  </r>
  <r>
    <x v="36"/>
    <x v="0"/>
    <x v="0"/>
    <s v="United States"/>
    <x v="15"/>
    <x v="13"/>
    <x v="1"/>
    <n v="3"/>
    <n v="936"/>
    <n v="201.24"/>
  </r>
  <r>
    <x v="37"/>
    <x v="3"/>
    <x v="2"/>
    <s v="United States"/>
    <x v="21"/>
    <x v="5"/>
    <x v="3"/>
    <n v="4"/>
    <n v="3720"/>
    <n v="410.92"/>
  </r>
  <r>
    <x v="38"/>
    <x v="1"/>
    <x v="1"/>
    <s v="United States"/>
    <x v="2"/>
    <x v="2"/>
    <x v="1"/>
    <n v="5"/>
    <n v="5320"/>
    <n v="716.91"/>
  </r>
  <r>
    <x v="39"/>
    <x v="4"/>
    <x v="1"/>
    <s v="United States"/>
    <x v="19"/>
    <x v="15"/>
    <x v="2"/>
    <n v="4"/>
    <n v="804"/>
    <n v="121.51"/>
  </r>
  <r>
    <x v="40"/>
    <x v="9"/>
    <x v="2"/>
    <s v="United States"/>
    <x v="13"/>
    <x v="7"/>
    <x v="2"/>
    <n v="8"/>
    <n v="1224"/>
    <n v="246.77"/>
  </r>
  <r>
    <x v="41"/>
    <x v="4"/>
    <x v="1"/>
    <s v="United States"/>
    <x v="13"/>
    <x v="7"/>
    <x v="2"/>
    <n v="9"/>
    <n v="8667"/>
    <n v="781.78"/>
  </r>
  <r>
    <x v="42"/>
    <x v="6"/>
    <x v="1"/>
    <s v="United States"/>
    <x v="22"/>
    <x v="12"/>
    <x v="1"/>
    <n v="3"/>
    <n v="3018"/>
    <n v="320.11"/>
  </r>
  <r>
    <x v="43"/>
    <x v="9"/>
    <x v="2"/>
    <s v="United States"/>
    <x v="20"/>
    <x v="9"/>
    <x v="0"/>
    <n v="5"/>
    <n v="4325"/>
    <n v="1023.39"/>
  </r>
  <r>
    <x v="44"/>
    <x v="9"/>
    <x v="2"/>
    <s v="United States"/>
    <x v="23"/>
    <x v="15"/>
    <x v="2"/>
    <n v="3"/>
    <n v="1557"/>
    <n v="181.08"/>
  </r>
  <r>
    <x v="45"/>
    <x v="6"/>
    <x v="1"/>
    <s v="United States"/>
    <x v="24"/>
    <x v="15"/>
    <x v="2"/>
    <n v="6"/>
    <n v="3672"/>
    <n v="1002.5"/>
  </r>
  <r>
    <x v="46"/>
    <x v="1"/>
    <x v="1"/>
    <s v="United States"/>
    <x v="25"/>
    <x v="17"/>
    <x v="3"/>
    <n v="1"/>
    <n v="333"/>
    <n v="72.34"/>
  </r>
  <r>
    <x v="47"/>
    <x v="4"/>
    <x v="1"/>
    <s v="United States"/>
    <x v="11"/>
    <x v="9"/>
    <x v="0"/>
    <n v="4"/>
    <n v="2384"/>
    <n v="577.26"/>
  </r>
  <r>
    <x v="48"/>
    <x v="1"/>
    <x v="1"/>
    <s v="United States"/>
    <x v="11"/>
    <x v="9"/>
    <x v="0"/>
    <n v="6"/>
    <n v="888"/>
    <n v="210.39"/>
  </r>
  <r>
    <x v="49"/>
    <x v="9"/>
    <x v="2"/>
    <s v="United States"/>
    <x v="26"/>
    <x v="1"/>
    <x v="0"/>
    <n v="5"/>
    <n v="3280"/>
    <n v="954.17"/>
  </r>
  <r>
    <x v="50"/>
    <x v="1"/>
    <x v="1"/>
    <s v="United States"/>
    <x v="26"/>
    <x v="1"/>
    <x v="0"/>
    <n v="7"/>
    <n v="1239"/>
    <n v="177.39"/>
  </r>
  <r>
    <x v="51"/>
    <x v="4"/>
    <x v="1"/>
    <s v="United States"/>
    <x v="26"/>
    <x v="1"/>
    <x v="0"/>
    <n v="8"/>
    <n v="5880"/>
    <n v="436.85"/>
  </r>
  <r>
    <x v="52"/>
    <x v="7"/>
    <x v="2"/>
    <s v="United States"/>
    <x v="9"/>
    <x v="8"/>
    <x v="3"/>
    <n v="2"/>
    <n v="1668"/>
    <n v="437.3"/>
  </r>
  <r>
    <x v="53"/>
    <x v="0"/>
    <x v="0"/>
    <s v="United States"/>
    <x v="9"/>
    <x v="8"/>
    <x v="3"/>
    <n v="7"/>
    <n v="4109"/>
    <n v="1037.6400000000001"/>
  </r>
  <r>
    <x v="54"/>
    <x v="5"/>
    <x v="2"/>
    <s v="United States"/>
    <x v="9"/>
    <x v="8"/>
    <x v="3"/>
    <n v="7"/>
    <n v="595"/>
    <n v="148.5"/>
  </r>
  <r>
    <x v="55"/>
    <x v="4"/>
    <x v="1"/>
    <s v="United States"/>
    <x v="9"/>
    <x v="8"/>
    <x v="3"/>
    <n v="7"/>
    <n v="8155"/>
    <n v="1587.91"/>
  </r>
  <r>
    <x v="56"/>
    <x v="6"/>
    <x v="1"/>
    <s v="United States"/>
    <x v="27"/>
    <x v="11"/>
    <x v="3"/>
    <n v="3"/>
    <n v="1872"/>
    <n v="553.1"/>
  </r>
  <r>
    <x v="57"/>
    <x v="5"/>
    <x v="2"/>
    <s v="United States"/>
    <x v="28"/>
    <x v="2"/>
    <x v="1"/>
    <n v="6"/>
    <n v="2124"/>
    <n v="126.03"/>
  </r>
  <r>
    <x v="58"/>
    <x v="6"/>
    <x v="1"/>
    <s v="United States"/>
    <x v="9"/>
    <x v="8"/>
    <x v="3"/>
    <n v="5"/>
    <n v="5210"/>
    <n v="1338.8"/>
  </r>
  <r>
    <x v="59"/>
    <x v="1"/>
    <x v="1"/>
    <s v="United States"/>
    <x v="28"/>
    <x v="2"/>
    <x v="1"/>
    <n v="7"/>
    <n v="5761"/>
    <n v="362.48"/>
  </r>
  <r>
    <x v="60"/>
    <x v="4"/>
    <x v="1"/>
    <s v="United States"/>
    <x v="2"/>
    <x v="2"/>
    <x v="1"/>
    <n v="7"/>
    <n v="6895"/>
    <n v="1596.35"/>
  </r>
  <r>
    <x v="61"/>
    <x v="5"/>
    <x v="2"/>
    <s v="United States"/>
    <x v="29"/>
    <x v="15"/>
    <x v="2"/>
    <n v="3"/>
    <n v="2118"/>
    <n v="317.08"/>
  </r>
  <r>
    <x v="62"/>
    <x v="5"/>
    <x v="2"/>
    <s v="United States"/>
    <x v="30"/>
    <x v="12"/>
    <x v="1"/>
    <n v="5"/>
    <n v="830"/>
    <n v="58.28"/>
  </r>
  <r>
    <x v="63"/>
    <x v="5"/>
    <x v="2"/>
    <s v="United States"/>
    <x v="30"/>
    <x v="12"/>
    <x v="1"/>
    <n v="1"/>
    <n v="851"/>
    <n v="93.56"/>
  </r>
  <r>
    <x v="64"/>
    <x v="2"/>
    <x v="2"/>
    <s v="United States"/>
    <x v="30"/>
    <x v="12"/>
    <x v="1"/>
    <n v="5"/>
    <n v="4730"/>
    <n v="1365.63"/>
  </r>
  <r>
    <x v="65"/>
    <x v="1"/>
    <x v="1"/>
    <s v="United States"/>
    <x v="31"/>
    <x v="18"/>
    <x v="2"/>
    <n v="6"/>
    <n v="5460"/>
    <n v="845.75"/>
  </r>
  <r>
    <x v="66"/>
    <x v="4"/>
    <x v="1"/>
    <s v="United States"/>
    <x v="9"/>
    <x v="8"/>
    <x v="3"/>
    <n v="5"/>
    <n v="5795"/>
    <n v="310.60000000000002"/>
  </r>
  <r>
    <x v="67"/>
    <x v="9"/>
    <x v="2"/>
    <s v="United States"/>
    <x v="13"/>
    <x v="7"/>
    <x v="2"/>
    <n v="4"/>
    <n v="2008"/>
    <n v="338.44"/>
  </r>
  <r>
    <x v="68"/>
    <x v="1"/>
    <x v="1"/>
    <s v="United States"/>
    <x v="32"/>
    <x v="12"/>
    <x v="1"/>
    <n v="7"/>
    <n v="2842"/>
    <n v="425.24"/>
  </r>
  <r>
    <x v="69"/>
    <x v="1"/>
    <x v="1"/>
    <s v="United States"/>
    <x v="32"/>
    <x v="12"/>
    <x v="1"/>
    <n v="4"/>
    <n v="3404"/>
    <n v="392.22"/>
  </r>
  <r>
    <x v="70"/>
    <x v="5"/>
    <x v="2"/>
    <s v="United States"/>
    <x v="32"/>
    <x v="12"/>
    <x v="1"/>
    <n v="1"/>
    <n v="1065"/>
    <n v="228.63"/>
  </r>
  <r>
    <x v="71"/>
    <x v="2"/>
    <x v="2"/>
    <s v="United States"/>
    <x v="33"/>
    <x v="18"/>
    <x v="2"/>
    <n v="7"/>
    <n v="2149"/>
    <n v="121.69"/>
  </r>
  <r>
    <x v="72"/>
    <x v="8"/>
    <x v="1"/>
    <s v="United States"/>
    <x v="13"/>
    <x v="7"/>
    <x v="2"/>
    <n v="8"/>
    <n v="5912"/>
    <n v="1143.04"/>
  </r>
  <r>
    <x v="73"/>
    <x v="1"/>
    <x v="1"/>
    <s v="United States"/>
    <x v="34"/>
    <x v="9"/>
    <x v="0"/>
    <n v="3"/>
    <n v="3348"/>
    <n v="331.28"/>
  </r>
  <r>
    <x v="74"/>
    <x v="7"/>
    <x v="2"/>
    <s v="United States"/>
    <x v="3"/>
    <x v="3"/>
    <x v="2"/>
    <n v="3"/>
    <n v="2409"/>
    <n v="531.79"/>
  </r>
  <r>
    <x v="75"/>
    <x v="2"/>
    <x v="2"/>
    <s v="United States"/>
    <x v="28"/>
    <x v="2"/>
    <x v="1"/>
    <n v="2"/>
    <n v="328"/>
    <n v="39.51"/>
  </r>
  <r>
    <x v="76"/>
    <x v="7"/>
    <x v="2"/>
    <s v="United States"/>
    <x v="13"/>
    <x v="7"/>
    <x v="2"/>
    <n v="8"/>
    <n v="6224"/>
    <n v="1561.42"/>
  </r>
  <r>
    <x v="77"/>
    <x v="5"/>
    <x v="2"/>
    <s v="United States"/>
    <x v="13"/>
    <x v="7"/>
    <x v="2"/>
    <n v="5"/>
    <n v="2530"/>
    <n v="486.09"/>
  </r>
  <r>
    <x v="78"/>
    <x v="4"/>
    <x v="1"/>
    <s v="United States"/>
    <x v="13"/>
    <x v="7"/>
    <x v="2"/>
    <n v="4"/>
    <n v="4108"/>
    <n v="462.17"/>
  </r>
  <r>
    <x v="79"/>
    <x v="0"/>
    <x v="0"/>
    <s v="United States"/>
    <x v="35"/>
    <x v="19"/>
    <x v="2"/>
    <n v="5"/>
    <n v="1640"/>
    <n v="391.36"/>
  </r>
  <r>
    <x v="80"/>
    <x v="9"/>
    <x v="2"/>
    <s v="United States"/>
    <x v="20"/>
    <x v="20"/>
    <x v="2"/>
    <n v="1"/>
    <n v="111"/>
    <n v="19.329999999999998"/>
  </r>
  <r>
    <x v="81"/>
    <x v="4"/>
    <x v="1"/>
    <s v="United States"/>
    <x v="36"/>
    <x v="1"/>
    <x v="0"/>
    <n v="1"/>
    <n v="445"/>
    <n v="128.88999999999999"/>
  </r>
  <r>
    <x v="82"/>
    <x v="0"/>
    <x v="0"/>
    <s v="United States"/>
    <x v="3"/>
    <x v="3"/>
    <x v="2"/>
    <n v="4"/>
    <n v="3600"/>
    <n v="623.72"/>
  </r>
  <r>
    <x v="83"/>
    <x v="1"/>
    <x v="1"/>
    <s v="United States"/>
    <x v="6"/>
    <x v="5"/>
    <x v="3"/>
    <n v="3"/>
    <n v="1335"/>
    <n v="176.44"/>
  </r>
  <r>
    <x v="84"/>
    <x v="8"/>
    <x v="1"/>
    <s v="United States"/>
    <x v="28"/>
    <x v="2"/>
    <x v="1"/>
    <n v="5"/>
    <n v="3090"/>
    <n v="242.15"/>
  </r>
  <r>
    <x v="85"/>
    <x v="0"/>
    <x v="0"/>
    <s v="United States"/>
    <x v="28"/>
    <x v="2"/>
    <x v="1"/>
    <n v="5"/>
    <n v="3910"/>
    <n v="538.52"/>
  </r>
  <r>
    <x v="20"/>
    <x v="3"/>
    <x v="2"/>
    <s v="United States"/>
    <x v="28"/>
    <x v="2"/>
    <x v="1"/>
    <n v="1"/>
    <n v="219"/>
    <n v="32.67"/>
  </r>
  <r>
    <x v="86"/>
    <x v="7"/>
    <x v="2"/>
    <s v="United States"/>
    <x v="15"/>
    <x v="13"/>
    <x v="1"/>
    <n v="5"/>
    <n v="390"/>
    <n v="27.77"/>
  </r>
  <r>
    <x v="87"/>
    <x v="9"/>
    <x v="2"/>
    <s v="United States"/>
    <x v="2"/>
    <x v="2"/>
    <x v="1"/>
    <n v="6"/>
    <n v="3294"/>
    <n v="359.61"/>
  </r>
  <r>
    <x v="88"/>
    <x v="8"/>
    <x v="1"/>
    <s v="United States"/>
    <x v="37"/>
    <x v="20"/>
    <x v="2"/>
    <n v="4"/>
    <n v="4572"/>
    <n v="1038.05"/>
  </r>
  <r>
    <x v="89"/>
    <x v="6"/>
    <x v="1"/>
    <s v="United States"/>
    <x v="38"/>
    <x v="21"/>
    <x v="0"/>
    <n v="7"/>
    <n v="980"/>
    <n v="109.94"/>
  </r>
  <r>
    <x v="90"/>
    <x v="4"/>
    <x v="1"/>
    <s v="United States"/>
    <x v="39"/>
    <x v="17"/>
    <x v="3"/>
    <n v="2"/>
    <n v="2262"/>
    <n v="532.12"/>
  </r>
  <r>
    <x v="91"/>
    <x v="3"/>
    <x v="2"/>
    <s v="United States"/>
    <x v="13"/>
    <x v="7"/>
    <x v="2"/>
    <n v="7"/>
    <n v="7518"/>
    <n v="1655.91"/>
  </r>
  <r>
    <x v="92"/>
    <x v="3"/>
    <x v="2"/>
    <s v="United States"/>
    <x v="25"/>
    <x v="17"/>
    <x v="3"/>
    <n v="1"/>
    <n v="873"/>
    <n v="158.97"/>
  </r>
  <r>
    <x v="93"/>
    <x v="1"/>
    <x v="1"/>
    <s v="United States"/>
    <x v="25"/>
    <x v="17"/>
    <x v="3"/>
    <n v="6"/>
    <n v="1512"/>
    <n v="423.03"/>
  </r>
  <r>
    <x v="94"/>
    <x v="9"/>
    <x v="2"/>
    <s v="United States"/>
    <x v="29"/>
    <x v="6"/>
    <x v="3"/>
    <n v="1"/>
    <n v="705"/>
    <n v="165.16"/>
  </r>
  <r>
    <x v="95"/>
    <x v="5"/>
    <x v="2"/>
    <s v="United States"/>
    <x v="40"/>
    <x v="15"/>
    <x v="2"/>
    <n v="8"/>
    <n v="3256"/>
    <n v="533.70000000000005"/>
  </r>
  <r>
    <x v="96"/>
    <x v="2"/>
    <x v="2"/>
    <s v="United States"/>
    <x v="41"/>
    <x v="2"/>
    <x v="1"/>
    <n v="4"/>
    <n v="556"/>
    <n v="81.77"/>
  </r>
  <r>
    <x v="97"/>
    <x v="1"/>
    <x v="1"/>
    <s v="United States"/>
    <x v="42"/>
    <x v="8"/>
    <x v="3"/>
    <n v="9"/>
    <n v="7101"/>
    <n v="2105.8200000000002"/>
  </r>
  <r>
    <x v="98"/>
    <x v="9"/>
    <x v="2"/>
    <s v="United States"/>
    <x v="43"/>
    <x v="22"/>
    <x v="1"/>
    <n v="9"/>
    <n v="8802"/>
    <n v="1344.96"/>
  </r>
  <r>
    <x v="99"/>
    <x v="4"/>
    <x v="1"/>
    <s v="United States"/>
    <x v="43"/>
    <x v="22"/>
    <x v="1"/>
    <n v="6"/>
    <n v="5592"/>
    <n v="1294.1600000000001"/>
  </r>
  <r>
    <x v="100"/>
    <x v="2"/>
    <x v="2"/>
    <s v="United States"/>
    <x v="44"/>
    <x v="8"/>
    <x v="3"/>
    <n v="2"/>
    <n v="1852"/>
    <n v="168.92"/>
  </r>
  <r>
    <x v="101"/>
    <x v="6"/>
    <x v="1"/>
    <s v="United States"/>
    <x v="45"/>
    <x v="5"/>
    <x v="3"/>
    <n v="1"/>
    <n v="195"/>
    <n v="57.88"/>
  </r>
  <r>
    <x v="102"/>
    <x v="1"/>
    <x v="1"/>
    <s v="United States"/>
    <x v="28"/>
    <x v="2"/>
    <x v="1"/>
    <n v="9"/>
    <n v="7884"/>
    <n v="2054.02"/>
  </r>
  <r>
    <x v="103"/>
    <x v="9"/>
    <x v="2"/>
    <s v="United States"/>
    <x v="8"/>
    <x v="7"/>
    <x v="2"/>
    <n v="5"/>
    <n v="4360"/>
    <n v="1160.55"/>
  </r>
  <r>
    <x v="104"/>
    <x v="1"/>
    <x v="1"/>
    <s v="United States"/>
    <x v="2"/>
    <x v="2"/>
    <x v="1"/>
    <n v="6"/>
    <n v="4920"/>
    <n v="929.18"/>
  </r>
  <r>
    <x v="105"/>
    <x v="1"/>
    <x v="1"/>
    <s v="United States"/>
    <x v="10"/>
    <x v="9"/>
    <x v="0"/>
    <n v="3"/>
    <n v="3474"/>
    <n v="565"/>
  </r>
  <r>
    <x v="106"/>
    <x v="8"/>
    <x v="1"/>
    <s v="United States"/>
    <x v="46"/>
    <x v="2"/>
    <x v="1"/>
    <n v="1"/>
    <n v="930"/>
    <n v="222.5"/>
  </r>
  <r>
    <x v="107"/>
    <x v="2"/>
    <x v="2"/>
    <s v="United States"/>
    <x v="46"/>
    <x v="2"/>
    <x v="1"/>
    <n v="7"/>
    <n v="1421"/>
    <n v="248.02"/>
  </r>
  <r>
    <x v="108"/>
    <x v="4"/>
    <x v="1"/>
    <s v="United States"/>
    <x v="46"/>
    <x v="2"/>
    <x v="1"/>
    <n v="2"/>
    <n v="634"/>
    <n v="161.1"/>
  </r>
  <r>
    <x v="109"/>
    <x v="3"/>
    <x v="2"/>
    <s v="United States"/>
    <x v="47"/>
    <x v="12"/>
    <x v="1"/>
    <n v="1"/>
    <n v="673"/>
    <n v="114.42"/>
  </r>
  <r>
    <x v="110"/>
    <x v="1"/>
    <x v="1"/>
    <s v="United States"/>
    <x v="48"/>
    <x v="23"/>
    <x v="3"/>
    <n v="5"/>
    <n v="3135"/>
    <n v="787.7"/>
  </r>
  <r>
    <x v="111"/>
    <x v="7"/>
    <x v="2"/>
    <s v="United States"/>
    <x v="25"/>
    <x v="17"/>
    <x v="3"/>
    <n v="6"/>
    <n v="882"/>
    <n v="184.48"/>
  </r>
  <r>
    <x v="112"/>
    <x v="7"/>
    <x v="2"/>
    <s v="United States"/>
    <x v="49"/>
    <x v="1"/>
    <x v="0"/>
    <n v="4"/>
    <n v="1192"/>
    <n v="212.77"/>
  </r>
  <r>
    <x v="113"/>
    <x v="0"/>
    <x v="0"/>
    <s v="United States"/>
    <x v="49"/>
    <x v="1"/>
    <x v="0"/>
    <n v="3"/>
    <n v="390"/>
    <n v="112.08"/>
  </r>
  <r>
    <x v="112"/>
    <x v="2"/>
    <x v="2"/>
    <s v="United States"/>
    <x v="2"/>
    <x v="2"/>
    <x v="1"/>
    <n v="1"/>
    <n v="834"/>
    <n v="95.54"/>
  </r>
  <r>
    <x v="114"/>
    <x v="7"/>
    <x v="2"/>
    <s v="United States"/>
    <x v="2"/>
    <x v="2"/>
    <x v="1"/>
    <n v="6"/>
    <n v="612"/>
    <n v="83.75"/>
  </r>
  <r>
    <x v="113"/>
    <x v="4"/>
    <x v="1"/>
    <s v="United States"/>
    <x v="0"/>
    <x v="0"/>
    <x v="0"/>
    <n v="9"/>
    <n v="8073"/>
    <n v="710.23"/>
  </r>
  <r>
    <x v="115"/>
    <x v="8"/>
    <x v="1"/>
    <s v="United States"/>
    <x v="50"/>
    <x v="5"/>
    <x v="3"/>
    <n v="8"/>
    <n v="2640"/>
    <n v="723.88"/>
  </r>
  <r>
    <x v="23"/>
    <x v="7"/>
    <x v="2"/>
    <s v="United States"/>
    <x v="28"/>
    <x v="2"/>
    <x v="1"/>
    <n v="3"/>
    <n v="3234"/>
    <n v="440.7"/>
  </r>
  <r>
    <x v="116"/>
    <x v="6"/>
    <x v="1"/>
    <s v="United States"/>
    <x v="51"/>
    <x v="1"/>
    <x v="0"/>
    <n v="5"/>
    <n v="4435"/>
    <n v="355.51"/>
  </r>
  <r>
    <x v="117"/>
    <x v="5"/>
    <x v="2"/>
    <s v="United States"/>
    <x v="2"/>
    <x v="2"/>
    <x v="1"/>
    <n v="2"/>
    <n v="2302"/>
    <n v="305.07"/>
  </r>
  <r>
    <x v="118"/>
    <x v="3"/>
    <x v="2"/>
    <s v="United States"/>
    <x v="28"/>
    <x v="2"/>
    <x v="1"/>
    <n v="6"/>
    <n v="1728"/>
    <n v="307.44"/>
  </r>
  <r>
    <x v="119"/>
    <x v="9"/>
    <x v="2"/>
    <s v="United States"/>
    <x v="26"/>
    <x v="1"/>
    <x v="0"/>
    <n v="4"/>
    <n v="228"/>
    <n v="54.05"/>
  </r>
  <r>
    <x v="120"/>
    <x v="2"/>
    <x v="2"/>
    <s v="United States"/>
    <x v="15"/>
    <x v="13"/>
    <x v="1"/>
    <n v="6"/>
    <n v="3450"/>
    <n v="705.74"/>
  </r>
  <r>
    <x v="109"/>
    <x v="7"/>
    <x v="2"/>
    <s v="United States"/>
    <x v="9"/>
    <x v="8"/>
    <x v="3"/>
    <n v="8"/>
    <n v="7456"/>
    <n v="1702.48"/>
  </r>
  <r>
    <x v="121"/>
    <x v="7"/>
    <x v="2"/>
    <s v="United States"/>
    <x v="52"/>
    <x v="0"/>
    <x v="0"/>
    <n v="6"/>
    <n v="4728"/>
    <n v="705.85"/>
  </r>
  <r>
    <x v="122"/>
    <x v="5"/>
    <x v="2"/>
    <s v="United States"/>
    <x v="53"/>
    <x v="2"/>
    <x v="1"/>
    <n v="7"/>
    <n v="945"/>
    <n v="124.62"/>
  </r>
  <r>
    <x v="123"/>
    <x v="9"/>
    <x v="2"/>
    <s v="United States"/>
    <x v="26"/>
    <x v="1"/>
    <x v="0"/>
    <n v="4"/>
    <n v="296"/>
    <n v="65.05"/>
  </r>
  <r>
    <x v="124"/>
    <x v="7"/>
    <x v="2"/>
    <s v="United States"/>
    <x v="13"/>
    <x v="7"/>
    <x v="2"/>
    <n v="4"/>
    <n v="640"/>
    <n v="149.88999999999999"/>
  </r>
  <r>
    <x v="125"/>
    <x v="2"/>
    <x v="2"/>
    <s v="United States"/>
    <x v="13"/>
    <x v="7"/>
    <x v="2"/>
    <n v="1"/>
    <n v="797"/>
    <n v="65.27"/>
  </r>
  <r>
    <x v="126"/>
    <x v="6"/>
    <x v="1"/>
    <s v="United States"/>
    <x v="13"/>
    <x v="7"/>
    <x v="2"/>
    <n v="4"/>
    <n v="1456"/>
    <n v="431.89"/>
  </r>
  <r>
    <x v="127"/>
    <x v="6"/>
    <x v="1"/>
    <s v="United States"/>
    <x v="54"/>
    <x v="17"/>
    <x v="3"/>
    <n v="6"/>
    <n v="4038"/>
    <n v="364.11"/>
  </r>
  <r>
    <x v="128"/>
    <x v="2"/>
    <x v="2"/>
    <s v="United States"/>
    <x v="13"/>
    <x v="7"/>
    <x v="2"/>
    <n v="7"/>
    <n v="5656"/>
    <n v="355.81"/>
  </r>
  <r>
    <x v="129"/>
    <x v="1"/>
    <x v="1"/>
    <s v="United States"/>
    <x v="55"/>
    <x v="24"/>
    <x v="0"/>
    <n v="4"/>
    <n v="3876"/>
    <n v="302.37"/>
  </r>
  <r>
    <x v="130"/>
    <x v="8"/>
    <x v="1"/>
    <s v="United States"/>
    <x v="56"/>
    <x v="2"/>
    <x v="1"/>
    <n v="6"/>
    <n v="1002"/>
    <n v="114.7"/>
  </r>
  <r>
    <x v="131"/>
    <x v="4"/>
    <x v="1"/>
    <s v="United States"/>
    <x v="12"/>
    <x v="11"/>
    <x v="3"/>
    <n v="9"/>
    <n v="2187"/>
    <n v="413.76"/>
  </r>
  <r>
    <x v="132"/>
    <x v="1"/>
    <x v="1"/>
    <s v="United States"/>
    <x v="57"/>
    <x v="13"/>
    <x v="1"/>
    <n v="6"/>
    <n v="7146"/>
    <n v="1627.42"/>
  </r>
  <r>
    <x v="133"/>
    <x v="8"/>
    <x v="1"/>
    <s v="United States"/>
    <x v="14"/>
    <x v="8"/>
    <x v="3"/>
    <n v="1"/>
    <n v="189"/>
    <n v="14.88"/>
  </r>
  <r>
    <x v="134"/>
    <x v="6"/>
    <x v="1"/>
    <s v="United States"/>
    <x v="58"/>
    <x v="5"/>
    <x v="3"/>
    <n v="5"/>
    <n v="940"/>
    <n v="266.02"/>
  </r>
  <r>
    <x v="135"/>
    <x v="4"/>
    <x v="1"/>
    <s v="United States"/>
    <x v="59"/>
    <x v="15"/>
    <x v="2"/>
    <n v="1"/>
    <n v="951"/>
    <n v="127.58"/>
  </r>
  <r>
    <x v="54"/>
    <x v="0"/>
    <x v="0"/>
    <s v="United States"/>
    <x v="9"/>
    <x v="8"/>
    <x v="3"/>
    <n v="2"/>
    <n v="124"/>
    <n v="27.42"/>
  </r>
  <r>
    <x v="136"/>
    <x v="1"/>
    <x v="1"/>
    <s v="United States"/>
    <x v="9"/>
    <x v="8"/>
    <x v="3"/>
    <n v="9"/>
    <n v="7506"/>
    <n v="594.28"/>
  </r>
  <r>
    <x v="137"/>
    <x v="6"/>
    <x v="1"/>
    <s v="United States"/>
    <x v="60"/>
    <x v="5"/>
    <x v="3"/>
    <n v="7"/>
    <n v="8176"/>
    <n v="2308.7600000000002"/>
  </r>
  <r>
    <x v="138"/>
    <x v="7"/>
    <x v="2"/>
    <s v="United States"/>
    <x v="13"/>
    <x v="7"/>
    <x v="2"/>
    <n v="5"/>
    <n v="2125"/>
    <n v="632.67999999999995"/>
  </r>
  <r>
    <x v="79"/>
    <x v="4"/>
    <x v="1"/>
    <s v="United States"/>
    <x v="61"/>
    <x v="25"/>
    <x v="0"/>
    <n v="1"/>
    <n v="967"/>
    <n v="59.98"/>
  </r>
  <r>
    <x v="120"/>
    <x v="4"/>
    <x v="1"/>
    <s v="United States"/>
    <x v="59"/>
    <x v="15"/>
    <x v="2"/>
    <n v="5"/>
    <n v="270"/>
    <n v="29.41"/>
  </r>
  <r>
    <x v="139"/>
    <x v="8"/>
    <x v="1"/>
    <s v="United States"/>
    <x v="15"/>
    <x v="13"/>
    <x v="1"/>
    <n v="9"/>
    <n v="10035"/>
    <n v="1486.3"/>
  </r>
  <r>
    <x v="140"/>
    <x v="0"/>
    <x v="0"/>
    <s v="United States"/>
    <x v="62"/>
    <x v="2"/>
    <x v="1"/>
    <n v="8"/>
    <n v="6792"/>
    <n v="1125.23"/>
  </r>
  <r>
    <x v="141"/>
    <x v="0"/>
    <x v="0"/>
    <s v="United States"/>
    <x v="13"/>
    <x v="7"/>
    <x v="2"/>
    <n v="1"/>
    <n v="714"/>
    <n v="99.13"/>
  </r>
  <r>
    <x v="142"/>
    <x v="7"/>
    <x v="2"/>
    <s v="United States"/>
    <x v="63"/>
    <x v="14"/>
    <x v="2"/>
    <n v="5"/>
    <n v="765"/>
    <n v="157.63999999999999"/>
  </r>
  <r>
    <x v="143"/>
    <x v="4"/>
    <x v="1"/>
    <s v="United States"/>
    <x v="19"/>
    <x v="15"/>
    <x v="2"/>
    <n v="7"/>
    <n v="4221"/>
    <n v="358.02"/>
  </r>
  <r>
    <x v="144"/>
    <x v="9"/>
    <x v="2"/>
    <s v="United States"/>
    <x v="4"/>
    <x v="4"/>
    <x v="1"/>
    <n v="4"/>
    <n v="2108"/>
    <n v="576.48"/>
  </r>
  <r>
    <x v="145"/>
    <x v="6"/>
    <x v="1"/>
    <s v="United States"/>
    <x v="25"/>
    <x v="17"/>
    <x v="3"/>
    <n v="9"/>
    <n v="10530"/>
    <n v="2387.63"/>
  </r>
  <r>
    <x v="146"/>
    <x v="8"/>
    <x v="1"/>
    <s v="United States"/>
    <x v="3"/>
    <x v="3"/>
    <x v="2"/>
    <n v="6"/>
    <n v="3396"/>
    <n v="914.17"/>
  </r>
  <r>
    <x v="147"/>
    <x v="6"/>
    <x v="1"/>
    <s v="United States"/>
    <x v="64"/>
    <x v="7"/>
    <x v="2"/>
    <n v="4"/>
    <n v="1060"/>
    <n v="213.05"/>
  </r>
  <r>
    <x v="148"/>
    <x v="2"/>
    <x v="2"/>
    <s v="United States"/>
    <x v="64"/>
    <x v="7"/>
    <x v="2"/>
    <n v="5"/>
    <n v="480"/>
    <n v="73.069999999999993"/>
  </r>
  <r>
    <x v="149"/>
    <x v="4"/>
    <x v="1"/>
    <s v="United States"/>
    <x v="15"/>
    <x v="13"/>
    <x v="1"/>
    <n v="3"/>
    <n v="2529"/>
    <n v="285.64999999999998"/>
  </r>
  <r>
    <x v="150"/>
    <x v="5"/>
    <x v="2"/>
    <s v="United States"/>
    <x v="53"/>
    <x v="2"/>
    <x v="1"/>
    <n v="8"/>
    <n v="4792"/>
    <n v="511.97"/>
  </r>
  <r>
    <x v="49"/>
    <x v="5"/>
    <x v="2"/>
    <s v="United States"/>
    <x v="65"/>
    <x v="17"/>
    <x v="3"/>
    <n v="8"/>
    <n v="8056"/>
    <n v="605.79999999999995"/>
  </r>
  <r>
    <x v="151"/>
    <x v="2"/>
    <x v="2"/>
    <s v="United States"/>
    <x v="2"/>
    <x v="2"/>
    <x v="1"/>
    <n v="4"/>
    <n v="4228"/>
    <n v="947.76"/>
  </r>
  <r>
    <x v="152"/>
    <x v="2"/>
    <x v="2"/>
    <s v="United States"/>
    <x v="51"/>
    <x v="1"/>
    <x v="0"/>
    <n v="1"/>
    <n v="653"/>
    <n v="93.78"/>
  </r>
  <r>
    <x v="153"/>
    <x v="2"/>
    <x v="2"/>
    <s v="United States"/>
    <x v="66"/>
    <x v="1"/>
    <x v="0"/>
    <n v="9"/>
    <n v="7452"/>
    <n v="1212.51"/>
  </r>
  <r>
    <x v="154"/>
    <x v="1"/>
    <x v="1"/>
    <s v="United States"/>
    <x v="58"/>
    <x v="25"/>
    <x v="0"/>
    <n v="4"/>
    <n v="4128"/>
    <n v="1156.71"/>
  </r>
  <r>
    <x v="155"/>
    <x v="2"/>
    <x v="2"/>
    <s v="United States"/>
    <x v="67"/>
    <x v="26"/>
    <x v="3"/>
    <n v="5"/>
    <n v="5090"/>
    <n v="1201.56"/>
  </r>
  <r>
    <x v="156"/>
    <x v="3"/>
    <x v="2"/>
    <s v="United States"/>
    <x v="28"/>
    <x v="2"/>
    <x v="1"/>
    <n v="5"/>
    <n v="4930"/>
    <n v="387.33"/>
  </r>
  <r>
    <x v="157"/>
    <x v="5"/>
    <x v="2"/>
    <s v="United States"/>
    <x v="29"/>
    <x v="15"/>
    <x v="2"/>
    <n v="6"/>
    <n v="2610"/>
    <n v="434.37"/>
  </r>
  <r>
    <x v="25"/>
    <x v="9"/>
    <x v="2"/>
    <s v="United States"/>
    <x v="68"/>
    <x v="2"/>
    <x v="1"/>
    <n v="3"/>
    <n v="2139"/>
    <n v="415.84"/>
  </r>
  <r>
    <x v="158"/>
    <x v="2"/>
    <x v="2"/>
    <s v="United States"/>
    <x v="52"/>
    <x v="25"/>
    <x v="0"/>
    <n v="1"/>
    <n v="226"/>
    <n v="55.4"/>
  </r>
  <r>
    <x v="159"/>
    <x v="5"/>
    <x v="2"/>
    <s v="United States"/>
    <x v="69"/>
    <x v="2"/>
    <x v="1"/>
    <n v="2"/>
    <n v="2244"/>
    <n v="212.08"/>
  </r>
  <r>
    <x v="160"/>
    <x v="6"/>
    <x v="1"/>
    <s v="United States"/>
    <x v="53"/>
    <x v="2"/>
    <x v="1"/>
    <n v="6"/>
    <n v="3150"/>
    <n v="578.87"/>
  </r>
  <r>
    <x v="161"/>
    <x v="9"/>
    <x v="2"/>
    <s v="United States"/>
    <x v="28"/>
    <x v="2"/>
    <x v="1"/>
    <n v="7"/>
    <n v="3388"/>
    <n v="347.19"/>
  </r>
  <r>
    <x v="162"/>
    <x v="9"/>
    <x v="2"/>
    <s v="United States"/>
    <x v="70"/>
    <x v="27"/>
    <x v="3"/>
    <n v="8"/>
    <n v="8736"/>
    <n v="580.30999999999995"/>
  </r>
  <r>
    <x v="163"/>
    <x v="7"/>
    <x v="2"/>
    <s v="United States"/>
    <x v="71"/>
    <x v="13"/>
    <x v="1"/>
    <n v="2"/>
    <n v="1102"/>
    <n v="176.53"/>
  </r>
  <r>
    <x v="164"/>
    <x v="6"/>
    <x v="1"/>
    <s v="United States"/>
    <x v="72"/>
    <x v="2"/>
    <x v="1"/>
    <n v="3"/>
    <n v="2640"/>
    <n v="199.97"/>
  </r>
  <r>
    <x v="165"/>
    <x v="0"/>
    <x v="0"/>
    <s v="United States"/>
    <x v="3"/>
    <x v="3"/>
    <x v="2"/>
    <n v="3"/>
    <n v="2547"/>
    <n v="300.74"/>
  </r>
  <r>
    <x v="166"/>
    <x v="9"/>
    <x v="2"/>
    <s v="United States"/>
    <x v="73"/>
    <x v="0"/>
    <x v="0"/>
    <n v="7"/>
    <n v="728"/>
    <n v="64.819999999999993"/>
  </r>
  <r>
    <x v="167"/>
    <x v="3"/>
    <x v="2"/>
    <s v="United States"/>
    <x v="13"/>
    <x v="7"/>
    <x v="2"/>
    <n v="7"/>
    <n v="3444"/>
    <n v="607.44000000000005"/>
  </r>
  <r>
    <x v="141"/>
    <x v="3"/>
    <x v="2"/>
    <s v="United States"/>
    <x v="74"/>
    <x v="0"/>
    <x v="0"/>
    <n v="5"/>
    <n v="3140"/>
    <n v="853.66"/>
  </r>
  <r>
    <x v="153"/>
    <x v="7"/>
    <x v="2"/>
    <s v="United States"/>
    <x v="75"/>
    <x v="15"/>
    <x v="2"/>
    <n v="3"/>
    <n v="435"/>
    <n v="129.27000000000001"/>
  </r>
  <r>
    <x v="168"/>
    <x v="8"/>
    <x v="1"/>
    <s v="United States"/>
    <x v="13"/>
    <x v="7"/>
    <x v="2"/>
    <n v="4"/>
    <n v="856"/>
    <n v="72.989999999999995"/>
  </r>
  <r>
    <x v="169"/>
    <x v="0"/>
    <x v="0"/>
    <s v="United States"/>
    <x v="76"/>
    <x v="25"/>
    <x v="0"/>
    <n v="2"/>
    <n v="112"/>
    <n v="23.33"/>
  </r>
  <r>
    <x v="170"/>
    <x v="4"/>
    <x v="1"/>
    <s v="United States"/>
    <x v="41"/>
    <x v="28"/>
    <x v="2"/>
    <n v="3"/>
    <n v="2247"/>
    <n v="507.79"/>
  </r>
  <r>
    <x v="171"/>
    <x v="8"/>
    <x v="1"/>
    <s v="United States"/>
    <x v="13"/>
    <x v="7"/>
    <x v="2"/>
    <n v="2"/>
    <n v="1512"/>
    <n v="298.73"/>
  </r>
  <r>
    <x v="172"/>
    <x v="1"/>
    <x v="1"/>
    <s v="United States"/>
    <x v="25"/>
    <x v="17"/>
    <x v="3"/>
    <n v="5"/>
    <n v="4915"/>
    <n v="1196.5999999999999"/>
  </r>
  <r>
    <x v="173"/>
    <x v="1"/>
    <x v="1"/>
    <s v="United States"/>
    <x v="77"/>
    <x v="7"/>
    <x v="2"/>
    <n v="3"/>
    <n v="2709"/>
    <n v="663.54"/>
  </r>
  <r>
    <x v="174"/>
    <x v="2"/>
    <x v="2"/>
    <s v="United States"/>
    <x v="13"/>
    <x v="7"/>
    <x v="2"/>
    <n v="7"/>
    <n v="1239"/>
    <n v="118.36"/>
  </r>
  <r>
    <x v="175"/>
    <x v="2"/>
    <x v="2"/>
    <s v="United States"/>
    <x v="78"/>
    <x v="19"/>
    <x v="2"/>
    <n v="2"/>
    <n v="572"/>
    <n v="86.16"/>
  </r>
  <r>
    <x v="176"/>
    <x v="5"/>
    <x v="2"/>
    <s v="United States"/>
    <x v="79"/>
    <x v="16"/>
    <x v="3"/>
    <n v="2"/>
    <n v="1708"/>
    <n v="93.25"/>
  </r>
  <r>
    <x v="177"/>
    <x v="5"/>
    <x v="2"/>
    <s v="United States"/>
    <x v="21"/>
    <x v="5"/>
    <x v="3"/>
    <n v="4"/>
    <n v="360"/>
    <n v="42.66"/>
  </r>
  <r>
    <x v="178"/>
    <x v="3"/>
    <x v="2"/>
    <s v="United States"/>
    <x v="21"/>
    <x v="5"/>
    <x v="3"/>
    <n v="6"/>
    <n v="3822"/>
    <n v="388.34"/>
  </r>
  <r>
    <x v="179"/>
    <x v="3"/>
    <x v="2"/>
    <s v="United States"/>
    <x v="80"/>
    <x v="2"/>
    <x v="1"/>
    <n v="6"/>
    <n v="4680"/>
    <n v="932.97"/>
  </r>
  <r>
    <x v="180"/>
    <x v="3"/>
    <x v="2"/>
    <s v="United States"/>
    <x v="81"/>
    <x v="22"/>
    <x v="1"/>
    <n v="5"/>
    <n v="2520"/>
    <n v="487.18"/>
  </r>
  <r>
    <x v="181"/>
    <x v="5"/>
    <x v="2"/>
    <s v="United States"/>
    <x v="3"/>
    <x v="3"/>
    <x v="2"/>
    <n v="2"/>
    <n v="2138"/>
    <n v="619.29"/>
  </r>
  <r>
    <x v="182"/>
    <x v="8"/>
    <x v="1"/>
    <s v="United States"/>
    <x v="3"/>
    <x v="3"/>
    <x v="2"/>
    <n v="3"/>
    <n v="2529"/>
    <n v="169.6"/>
  </r>
  <r>
    <x v="183"/>
    <x v="8"/>
    <x v="1"/>
    <s v="United States"/>
    <x v="3"/>
    <x v="3"/>
    <x v="2"/>
    <n v="1"/>
    <n v="236"/>
    <n v="29.33"/>
  </r>
  <r>
    <x v="184"/>
    <x v="2"/>
    <x v="2"/>
    <s v="United States"/>
    <x v="3"/>
    <x v="3"/>
    <x v="2"/>
    <n v="6"/>
    <n v="2730"/>
    <n v="636.48"/>
  </r>
  <r>
    <x v="185"/>
    <x v="4"/>
    <x v="1"/>
    <s v="United States"/>
    <x v="82"/>
    <x v="5"/>
    <x v="3"/>
    <n v="3"/>
    <n v="3021"/>
    <n v="872.49"/>
  </r>
  <r>
    <x v="177"/>
    <x v="5"/>
    <x v="2"/>
    <s v="United States"/>
    <x v="64"/>
    <x v="2"/>
    <x v="1"/>
    <n v="2"/>
    <n v="244"/>
    <n v="16.78"/>
  </r>
  <r>
    <x v="2"/>
    <x v="3"/>
    <x v="2"/>
    <s v="United States"/>
    <x v="28"/>
    <x v="2"/>
    <x v="1"/>
    <n v="8"/>
    <n v="728"/>
    <n v="120.06"/>
  </r>
  <r>
    <x v="186"/>
    <x v="1"/>
    <x v="1"/>
    <s v="United States"/>
    <x v="3"/>
    <x v="3"/>
    <x v="2"/>
    <n v="3"/>
    <n v="453"/>
    <n v="89.49"/>
  </r>
  <r>
    <x v="187"/>
    <x v="9"/>
    <x v="2"/>
    <s v="United States"/>
    <x v="13"/>
    <x v="7"/>
    <x v="2"/>
    <n v="1"/>
    <n v="379"/>
    <n v="84.38"/>
  </r>
  <r>
    <x v="188"/>
    <x v="2"/>
    <x v="2"/>
    <s v="United States"/>
    <x v="74"/>
    <x v="12"/>
    <x v="1"/>
    <n v="3"/>
    <n v="2130"/>
    <n v="510.69"/>
  </r>
  <r>
    <x v="34"/>
    <x v="6"/>
    <x v="1"/>
    <s v="United States"/>
    <x v="83"/>
    <x v="7"/>
    <x v="2"/>
    <n v="8"/>
    <n v="4120"/>
    <n v="710.11"/>
  </r>
  <r>
    <x v="189"/>
    <x v="5"/>
    <x v="2"/>
    <s v="United States"/>
    <x v="51"/>
    <x v="1"/>
    <x v="0"/>
    <n v="7"/>
    <n v="3150"/>
    <n v="299.7"/>
  </r>
  <r>
    <x v="190"/>
    <x v="5"/>
    <x v="2"/>
    <s v="United States"/>
    <x v="0"/>
    <x v="0"/>
    <x v="0"/>
    <n v="7"/>
    <n v="2688"/>
    <n v="603.07000000000005"/>
  </r>
  <r>
    <x v="191"/>
    <x v="2"/>
    <x v="2"/>
    <s v="United States"/>
    <x v="0"/>
    <x v="0"/>
    <x v="0"/>
    <n v="2"/>
    <n v="1752"/>
    <n v="501.19"/>
  </r>
  <r>
    <x v="192"/>
    <x v="8"/>
    <x v="1"/>
    <s v="United States"/>
    <x v="13"/>
    <x v="7"/>
    <x v="2"/>
    <n v="7"/>
    <n v="7308"/>
    <n v="948.4"/>
  </r>
  <r>
    <x v="2"/>
    <x v="2"/>
    <x v="2"/>
    <s v="United States"/>
    <x v="53"/>
    <x v="2"/>
    <x v="1"/>
    <n v="3"/>
    <n v="2007"/>
    <n v="160.84"/>
  </r>
  <r>
    <x v="193"/>
    <x v="2"/>
    <x v="2"/>
    <s v="United States"/>
    <x v="84"/>
    <x v="13"/>
    <x v="1"/>
    <n v="7"/>
    <n v="7224"/>
    <n v="479.23"/>
  </r>
  <r>
    <x v="194"/>
    <x v="6"/>
    <x v="1"/>
    <s v="United States"/>
    <x v="15"/>
    <x v="13"/>
    <x v="1"/>
    <n v="9"/>
    <n v="6939"/>
    <n v="1249.31"/>
  </r>
  <r>
    <x v="195"/>
    <x v="7"/>
    <x v="2"/>
    <s v="United States"/>
    <x v="13"/>
    <x v="7"/>
    <x v="2"/>
    <n v="7"/>
    <n v="5516"/>
    <n v="1475.67"/>
  </r>
  <r>
    <x v="196"/>
    <x v="0"/>
    <x v="0"/>
    <s v="United States"/>
    <x v="13"/>
    <x v="7"/>
    <x v="2"/>
    <n v="2"/>
    <n v="2224"/>
    <n v="116.47"/>
  </r>
  <r>
    <x v="197"/>
    <x v="9"/>
    <x v="2"/>
    <s v="United States"/>
    <x v="85"/>
    <x v="29"/>
    <x v="2"/>
    <n v="5"/>
    <n v="3985"/>
    <n v="824.4"/>
  </r>
  <r>
    <x v="198"/>
    <x v="3"/>
    <x v="2"/>
    <s v="United States"/>
    <x v="33"/>
    <x v="18"/>
    <x v="2"/>
    <n v="7"/>
    <n v="2723"/>
    <n v="638.26"/>
  </r>
  <r>
    <x v="199"/>
    <x v="2"/>
    <x v="2"/>
    <s v="United States"/>
    <x v="33"/>
    <x v="18"/>
    <x v="2"/>
    <n v="2"/>
    <n v="746"/>
    <n v="170.75"/>
  </r>
  <r>
    <x v="200"/>
    <x v="9"/>
    <x v="2"/>
    <s v="United States"/>
    <x v="86"/>
    <x v="23"/>
    <x v="3"/>
    <n v="5"/>
    <n v="3170"/>
    <n v="245.25"/>
  </r>
  <r>
    <x v="25"/>
    <x v="5"/>
    <x v="2"/>
    <s v="United States"/>
    <x v="87"/>
    <x v="23"/>
    <x v="3"/>
    <n v="5"/>
    <n v="550"/>
    <n v="63.11"/>
  </r>
  <r>
    <x v="201"/>
    <x v="2"/>
    <x v="2"/>
    <s v="United States"/>
    <x v="13"/>
    <x v="7"/>
    <x v="2"/>
    <n v="8"/>
    <n v="480"/>
    <n v="132.44999999999999"/>
  </r>
  <r>
    <x v="202"/>
    <x v="0"/>
    <x v="0"/>
    <s v="United States"/>
    <x v="88"/>
    <x v="8"/>
    <x v="3"/>
    <n v="4"/>
    <n v="3284"/>
    <n v="354.4"/>
  </r>
  <r>
    <x v="203"/>
    <x v="5"/>
    <x v="2"/>
    <s v="United States"/>
    <x v="89"/>
    <x v="1"/>
    <x v="0"/>
    <n v="2"/>
    <n v="1748"/>
    <n v="183.75"/>
  </r>
  <r>
    <x v="159"/>
    <x v="4"/>
    <x v="1"/>
    <s v="United States"/>
    <x v="3"/>
    <x v="3"/>
    <x v="2"/>
    <n v="8"/>
    <n v="824"/>
    <n v="240.84"/>
  </r>
  <r>
    <x v="204"/>
    <x v="4"/>
    <x v="1"/>
    <s v="United States"/>
    <x v="3"/>
    <x v="3"/>
    <x v="2"/>
    <n v="4"/>
    <n v="1872"/>
    <n v="448.46"/>
  </r>
  <r>
    <x v="205"/>
    <x v="2"/>
    <x v="2"/>
    <s v="United States"/>
    <x v="13"/>
    <x v="7"/>
    <x v="2"/>
    <n v="3"/>
    <n v="627"/>
    <n v="103.98"/>
  </r>
  <r>
    <x v="27"/>
    <x v="3"/>
    <x v="2"/>
    <s v="United States"/>
    <x v="6"/>
    <x v="5"/>
    <x v="3"/>
    <n v="9"/>
    <n v="5661"/>
    <n v="1104.02"/>
  </r>
  <r>
    <x v="206"/>
    <x v="3"/>
    <x v="2"/>
    <s v="United States"/>
    <x v="28"/>
    <x v="2"/>
    <x v="1"/>
    <n v="3"/>
    <n v="2910"/>
    <n v="765.47"/>
  </r>
  <r>
    <x v="207"/>
    <x v="2"/>
    <x v="2"/>
    <s v="United States"/>
    <x v="25"/>
    <x v="17"/>
    <x v="3"/>
    <n v="9"/>
    <n v="9036"/>
    <n v="1087.46"/>
  </r>
  <r>
    <x v="208"/>
    <x v="2"/>
    <x v="2"/>
    <s v="United States"/>
    <x v="90"/>
    <x v="7"/>
    <x v="2"/>
    <n v="5"/>
    <n v="4815"/>
    <n v="338.31"/>
  </r>
  <r>
    <x v="209"/>
    <x v="1"/>
    <x v="1"/>
    <s v="United States"/>
    <x v="91"/>
    <x v="30"/>
    <x v="0"/>
    <n v="1"/>
    <n v="1187"/>
    <n v="206.28"/>
  </r>
  <r>
    <x v="210"/>
    <x v="4"/>
    <x v="1"/>
    <s v="United States"/>
    <x v="2"/>
    <x v="2"/>
    <x v="1"/>
    <n v="3"/>
    <n v="3339"/>
    <n v="732.92"/>
  </r>
  <r>
    <x v="205"/>
    <x v="2"/>
    <x v="2"/>
    <s v="United States"/>
    <x v="28"/>
    <x v="2"/>
    <x v="1"/>
    <n v="1"/>
    <n v="620"/>
    <n v="165.43"/>
  </r>
  <r>
    <x v="140"/>
    <x v="3"/>
    <x v="2"/>
    <s v="United States"/>
    <x v="6"/>
    <x v="5"/>
    <x v="3"/>
    <n v="5"/>
    <n v="2025"/>
    <n v="414.42"/>
  </r>
  <r>
    <x v="211"/>
    <x v="0"/>
    <x v="0"/>
    <s v="United States"/>
    <x v="92"/>
    <x v="2"/>
    <x v="1"/>
    <n v="5"/>
    <n v="3030"/>
    <n v="811.92"/>
  </r>
  <r>
    <x v="212"/>
    <x v="5"/>
    <x v="2"/>
    <s v="United States"/>
    <x v="93"/>
    <x v="31"/>
    <x v="0"/>
    <n v="5"/>
    <n v="655"/>
    <n v="166.69"/>
  </r>
  <r>
    <x v="47"/>
    <x v="0"/>
    <x v="0"/>
    <s v="United States"/>
    <x v="93"/>
    <x v="31"/>
    <x v="0"/>
    <n v="2"/>
    <n v="2238"/>
    <n v="294.54000000000002"/>
  </r>
  <r>
    <x v="213"/>
    <x v="7"/>
    <x v="2"/>
    <s v="United States"/>
    <x v="76"/>
    <x v="25"/>
    <x v="0"/>
    <n v="8"/>
    <n v="3312"/>
    <n v="811.31"/>
  </r>
  <r>
    <x v="214"/>
    <x v="0"/>
    <x v="0"/>
    <s v="United States"/>
    <x v="2"/>
    <x v="2"/>
    <x v="1"/>
    <n v="9"/>
    <n v="9387"/>
    <n v="1271.6400000000001"/>
  </r>
  <r>
    <x v="215"/>
    <x v="1"/>
    <x v="1"/>
    <s v="United States"/>
    <x v="94"/>
    <x v="15"/>
    <x v="2"/>
    <n v="6"/>
    <n v="5790"/>
    <n v="1285.21"/>
  </r>
  <r>
    <x v="216"/>
    <x v="9"/>
    <x v="2"/>
    <s v="United States"/>
    <x v="95"/>
    <x v="25"/>
    <x v="0"/>
    <n v="6"/>
    <n v="2700"/>
    <n v="527.97"/>
  </r>
  <r>
    <x v="64"/>
    <x v="5"/>
    <x v="2"/>
    <s v="United States"/>
    <x v="95"/>
    <x v="25"/>
    <x v="0"/>
    <n v="8"/>
    <n v="2072"/>
    <n v="555.05999999999995"/>
  </r>
  <r>
    <x v="217"/>
    <x v="8"/>
    <x v="1"/>
    <s v="United States"/>
    <x v="2"/>
    <x v="2"/>
    <x v="1"/>
    <n v="3"/>
    <n v="2991"/>
    <n v="716.54"/>
  </r>
  <r>
    <x v="218"/>
    <x v="9"/>
    <x v="2"/>
    <s v="United States"/>
    <x v="13"/>
    <x v="7"/>
    <x v="2"/>
    <n v="6"/>
    <n v="5568"/>
    <n v="958.59"/>
  </r>
  <r>
    <x v="73"/>
    <x v="5"/>
    <x v="2"/>
    <s v="United States"/>
    <x v="96"/>
    <x v="32"/>
    <x v="2"/>
    <n v="7"/>
    <n v="5509"/>
    <n v="1648.74"/>
  </r>
  <r>
    <x v="59"/>
    <x v="0"/>
    <x v="0"/>
    <s v="United States"/>
    <x v="2"/>
    <x v="2"/>
    <x v="1"/>
    <n v="7"/>
    <n v="5922"/>
    <n v="1323.1"/>
  </r>
  <r>
    <x v="74"/>
    <x v="7"/>
    <x v="2"/>
    <s v="United States"/>
    <x v="97"/>
    <x v="1"/>
    <x v="0"/>
    <n v="4"/>
    <n v="4380"/>
    <n v="362.81"/>
  </r>
  <r>
    <x v="219"/>
    <x v="2"/>
    <x v="2"/>
    <s v="United States"/>
    <x v="97"/>
    <x v="1"/>
    <x v="0"/>
    <n v="5"/>
    <n v="1760"/>
    <n v="272.68"/>
  </r>
  <r>
    <x v="220"/>
    <x v="4"/>
    <x v="1"/>
    <s v="United States"/>
    <x v="6"/>
    <x v="5"/>
    <x v="3"/>
    <n v="9"/>
    <n v="5571"/>
    <n v="1523.81"/>
  </r>
  <r>
    <x v="221"/>
    <x v="2"/>
    <x v="2"/>
    <s v="United States"/>
    <x v="22"/>
    <x v="12"/>
    <x v="1"/>
    <n v="2"/>
    <n v="1082"/>
    <n v="182.1"/>
  </r>
  <r>
    <x v="222"/>
    <x v="3"/>
    <x v="2"/>
    <s v="United States"/>
    <x v="22"/>
    <x v="12"/>
    <x v="1"/>
    <n v="1"/>
    <n v="569"/>
    <n v="138.11000000000001"/>
  </r>
  <r>
    <x v="223"/>
    <x v="1"/>
    <x v="1"/>
    <s v="United States"/>
    <x v="13"/>
    <x v="7"/>
    <x v="2"/>
    <n v="8"/>
    <n v="3416"/>
    <n v="697.42"/>
  </r>
  <r>
    <x v="224"/>
    <x v="0"/>
    <x v="0"/>
    <s v="United States"/>
    <x v="3"/>
    <x v="3"/>
    <x v="2"/>
    <n v="1"/>
    <n v="570"/>
    <n v="57.07"/>
  </r>
  <r>
    <x v="225"/>
    <x v="6"/>
    <x v="1"/>
    <s v="United States"/>
    <x v="3"/>
    <x v="3"/>
    <x v="2"/>
    <n v="6"/>
    <n v="3300"/>
    <n v="386.92"/>
  </r>
  <r>
    <x v="41"/>
    <x v="9"/>
    <x v="2"/>
    <s v="United States"/>
    <x v="13"/>
    <x v="7"/>
    <x v="2"/>
    <n v="8"/>
    <n v="2584"/>
    <n v="568.77"/>
  </r>
  <r>
    <x v="226"/>
    <x v="6"/>
    <x v="1"/>
    <s v="United States"/>
    <x v="2"/>
    <x v="2"/>
    <x v="1"/>
    <n v="9"/>
    <n v="7650"/>
    <n v="2204.44"/>
  </r>
  <r>
    <x v="227"/>
    <x v="4"/>
    <x v="1"/>
    <s v="United States"/>
    <x v="98"/>
    <x v="1"/>
    <x v="0"/>
    <n v="8"/>
    <n v="3600"/>
    <n v="272.51"/>
  </r>
  <r>
    <x v="228"/>
    <x v="6"/>
    <x v="1"/>
    <s v="United States"/>
    <x v="98"/>
    <x v="1"/>
    <x v="0"/>
    <n v="6"/>
    <n v="846"/>
    <n v="190.87"/>
  </r>
  <r>
    <x v="212"/>
    <x v="7"/>
    <x v="2"/>
    <s v="United States"/>
    <x v="98"/>
    <x v="1"/>
    <x v="0"/>
    <n v="1"/>
    <n v="51"/>
    <n v="9.36"/>
  </r>
  <r>
    <x v="229"/>
    <x v="5"/>
    <x v="2"/>
    <s v="United States"/>
    <x v="15"/>
    <x v="13"/>
    <x v="1"/>
    <n v="6"/>
    <n v="7056"/>
    <n v="586.91"/>
  </r>
  <r>
    <x v="230"/>
    <x v="5"/>
    <x v="2"/>
    <s v="United States"/>
    <x v="99"/>
    <x v="2"/>
    <x v="1"/>
    <n v="2"/>
    <n v="384"/>
    <n v="38.409999999999997"/>
  </r>
  <r>
    <x v="231"/>
    <x v="9"/>
    <x v="2"/>
    <s v="United States"/>
    <x v="99"/>
    <x v="2"/>
    <x v="1"/>
    <n v="8"/>
    <n v="2928"/>
    <n v="663.54"/>
  </r>
  <r>
    <x v="232"/>
    <x v="3"/>
    <x v="2"/>
    <s v="United States"/>
    <x v="99"/>
    <x v="2"/>
    <x v="1"/>
    <n v="7"/>
    <n v="1904"/>
    <n v="352.86"/>
  </r>
  <r>
    <x v="233"/>
    <x v="2"/>
    <x v="2"/>
    <s v="United States"/>
    <x v="13"/>
    <x v="7"/>
    <x v="2"/>
    <n v="2"/>
    <n v="2314"/>
    <n v="312.07"/>
  </r>
  <r>
    <x v="234"/>
    <x v="0"/>
    <x v="0"/>
    <s v="United States"/>
    <x v="100"/>
    <x v="3"/>
    <x v="2"/>
    <n v="4"/>
    <n v="1028"/>
    <n v="192.13"/>
  </r>
  <r>
    <x v="235"/>
    <x v="4"/>
    <x v="1"/>
    <s v="United States"/>
    <x v="100"/>
    <x v="3"/>
    <x v="2"/>
    <n v="9"/>
    <n v="8307"/>
    <n v="1326.23"/>
  </r>
  <r>
    <x v="44"/>
    <x v="0"/>
    <x v="0"/>
    <s v="United States"/>
    <x v="101"/>
    <x v="6"/>
    <x v="3"/>
    <n v="9"/>
    <n v="1539"/>
    <n v="203.54"/>
  </r>
  <r>
    <x v="236"/>
    <x v="2"/>
    <x v="2"/>
    <s v="United States"/>
    <x v="2"/>
    <x v="2"/>
    <x v="1"/>
    <n v="7"/>
    <n v="2506"/>
    <n v="537.98"/>
  </r>
  <r>
    <x v="237"/>
    <x v="7"/>
    <x v="2"/>
    <s v="United States"/>
    <x v="74"/>
    <x v="12"/>
    <x v="1"/>
    <n v="6"/>
    <n v="5778"/>
    <n v="1232.54"/>
  </r>
  <r>
    <x v="238"/>
    <x v="2"/>
    <x v="2"/>
    <s v="United States"/>
    <x v="50"/>
    <x v="5"/>
    <x v="3"/>
    <n v="9"/>
    <n v="10188"/>
    <n v="2165.7800000000002"/>
  </r>
  <r>
    <x v="239"/>
    <x v="6"/>
    <x v="1"/>
    <s v="United States"/>
    <x v="13"/>
    <x v="7"/>
    <x v="2"/>
    <n v="1"/>
    <n v="952"/>
    <n v="157.69999999999999"/>
  </r>
  <r>
    <x v="240"/>
    <x v="5"/>
    <x v="2"/>
    <s v="United States"/>
    <x v="76"/>
    <x v="25"/>
    <x v="0"/>
    <n v="8"/>
    <n v="3624"/>
    <n v="750.86"/>
  </r>
  <r>
    <x v="144"/>
    <x v="8"/>
    <x v="1"/>
    <s v="United States"/>
    <x v="76"/>
    <x v="25"/>
    <x v="0"/>
    <n v="8"/>
    <n v="7968"/>
    <n v="1551.12"/>
  </r>
  <r>
    <x v="241"/>
    <x v="1"/>
    <x v="1"/>
    <s v="United States"/>
    <x v="58"/>
    <x v="25"/>
    <x v="0"/>
    <n v="2"/>
    <n v="1254"/>
    <n v="250.09"/>
  </r>
  <r>
    <x v="242"/>
    <x v="0"/>
    <x v="0"/>
    <s v="United States"/>
    <x v="29"/>
    <x v="24"/>
    <x v="0"/>
    <n v="3"/>
    <n v="705"/>
    <n v="196.05"/>
  </r>
  <r>
    <x v="243"/>
    <x v="1"/>
    <x v="1"/>
    <s v="United States"/>
    <x v="102"/>
    <x v="2"/>
    <x v="1"/>
    <n v="1"/>
    <n v="916"/>
    <n v="223.5"/>
  </r>
  <r>
    <x v="244"/>
    <x v="0"/>
    <x v="0"/>
    <s v="United States"/>
    <x v="29"/>
    <x v="15"/>
    <x v="2"/>
    <n v="2"/>
    <n v="848"/>
    <n v="129.96"/>
  </r>
  <r>
    <x v="148"/>
    <x v="6"/>
    <x v="1"/>
    <s v="United States"/>
    <x v="2"/>
    <x v="2"/>
    <x v="1"/>
    <n v="8"/>
    <n v="2240"/>
    <n v="313.17"/>
  </r>
  <r>
    <x v="245"/>
    <x v="6"/>
    <x v="1"/>
    <s v="United States"/>
    <x v="3"/>
    <x v="3"/>
    <x v="2"/>
    <n v="1"/>
    <n v="940"/>
    <n v="120.35"/>
  </r>
  <r>
    <x v="246"/>
    <x v="4"/>
    <x v="1"/>
    <s v="United States"/>
    <x v="28"/>
    <x v="2"/>
    <x v="1"/>
    <n v="5"/>
    <n v="1550"/>
    <n v="203.51"/>
  </r>
  <r>
    <x v="247"/>
    <x v="8"/>
    <x v="1"/>
    <s v="United States"/>
    <x v="2"/>
    <x v="2"/>
    <x v="1"/>
    <n v="7"/>
    <n v="2352"/>
    <n v="256.39999999999998"/>
  </r>
  <r>
    <x v="248"/>
    <x v="5"/>
    <x v="2"/>
    <s v="United States"/>
    <x v="13"/>
    <x v="7"/>
    <x v="2"/>
    <n v="9"/>
    <n v="1638"/>
    <n v="183.75"/>
  </r>
  <r>
    <x v="249"/>
    <x v="3"/>
    <x v="2"/>
    <s v="United States"/>
    <x v="103"/>
    <x v="8"/>
    <x v="3"/>
    <n v="6"/>
    <n v="7164"/>
    <n v="1442.72"/>
  </r>
  <r>
    <x v="250"/>
    <x v="1"/>
    <x v="1"/>
    <s v="United States"/>
    <x v="28"/>
    <x v="2"/>
    <x v="1"/>
    <n v="1"/>
    <n v="205"/>
    <n v="54.54"/>
  </r>
  <r>
    <x v="251"/>
    <x v="8"/>
    <x v="1"/>
    <s v="United States"/>
    <x v="50"/>
    <x v="5"/>
    <x v="3"/>
    <n v="2"/>
    <n v="766"/>
    <n v="49.23"/>
  </r>
  <r>
    <x v="121"/>
    <x v="8"/>
    <x v="1"/>
    <s v="United States"/>
    <x v="2"/>
    <x v="2"/>
    <x v="1"/>
    <n v="1"/>
    <n v="168"/>
    <n v="17.84"/>
  </r>
  <r>
    <x v="252"/>
    <x v="1"/>
    <x v="1"/>
    <s v="United States"/>
    <x v="104"/>
    <x v="22"/>
    <x v="1"/>
    <n v="1"/>
    <n v="1058"/>
    <n v="207.55"/>
  </r>
  <r>
    <x v="114"/>
    <x v="8"/>
    <x v="1"/>
    <s v="United States"/>
    <x v="105"/>
    <x v="2"/>
    <x v="1"/>
    <n v="5"/>
    <n v="1455"/>
    <n v="423.81"/>
  </r>
  <r>
    <x v="253"/>
    <x v="3"/>
    <x v="2"/>
    <s v="United States"/>
    <x v="30"/>
    <x v="12"/>
    <x v="1"/>
    <n v="2"/>
    <n v="2224"/>
    <n v="364.04"/>
  </r>
  <r>
    <x v="254"/>
    <x v="7"/>
    <x v="2"/>
    <s v="United States"/>
    <x v="106"/>
    <x v="4"/>
    <x v="1"/>
    <n v="7"/>
    <n v="1400"/>
    <n v="80.489999999999995"/>
  </r>
  <r>
    <x v="255"/>
    <x v="7"/>
    <x v="2"/>
    <s v="United States"/>
    <x v="14"/>
    <x v="8"/>
    <x v="3"/>
    <n v="7"/>
    <n v="7567"/>
    <n v="2213.1799999999998"/>
  </r>
  <r>
    <x v="256"/>
    <x v="2"/>
    <x v="2"/>
    <s v="United States"/>
    <x v="107"/>
    <x v="24"/>
    <x v="0"/>
    <n v="6"/>
    <n v="3396"/>
    <n v="987.68"/>
  </r>
  <r>
    <x v="138"/>
    <x v="5"/>
    <x v="2"/>
    <s v="United States"/>
    <x v="107"/>
    <x v="24"/>
    <x v="0"/>
    <n v="2"/>
    <n v="704"/>
    <n v="135.63"/>
  </r>
  <r>
    <x v="257"/>
    <x v="2"/>
    <x v="2"/>
    <s v="United States"/>
    <x v="14"/>
    <x v="8"/>
    <x v="3"/>
    <n v="9"/>
    <n v="7767"/>
    <n v="2172.19"/>
  </r>
  <r>
    <x v="258"/>
    <x v="1"/>
    <x v="1"/>
    <s v="United States"/>
    <x v="14"/>
    <x v="8"/>
    <x v="3"/>
    <n v="5"/>
    <n v="2050"/>
    <n v="157.13"/>
  </r>
  <r>
    <x v="259"/>
    <x v="6"/>
    <x v="1"/>
    <s v="United States"/>
    <x v="29"/>
    <x v="15"/>
    <x v="2"/>
    <n v="9"/>
    <n v="10458"/>
    <n v="2799.48"/>
  </r>
  <r>
    <x v="260"/>
    <x v="3"/>
    <x v="2"/>
    <s v="United States"/>
    <x v="3"/>
    <x v="3"/>
    <x v="2"/>
    <n v="4"/>
    <n v="4700"/>
    <n v="619.26"/>
  </r>
  <r>
    <x v="261"/>
    <x v="7"/>
    <x v="2"/>
    <s v="United States"/>
    <x v="13"/>
    <x v="7"/>
    <x v="2"/>
    <n v="2"/>
    <n v="892"/>
    <n v="222.51"/>
  </r>
  <r>
    <x v="262"/>
    <x v="9"/>
    <x v="2"/>
    <s v="United States"/>
    <x v="43"/>
    <x v="22"/>
    <x v="1"/>
    <n v="8"/>
    <n v="6968"/>
    <n v="1479.09"/>
  </r>
  <r>
    <x v="263"/>
    <x v="9"/>
    <x v="2"/>
    <s v="United States"/>
    <x v="13"/>
    <x v="7"/>
    <x v="2"/>
    <n v="7"/>
    <n v="1344"/>
    <n v="300.88"/>
  </r>
  <r>
    <x v="264"/>
    <x v="3"/>
    <x v="2"/>
    <s v="United States"/>
    <x v="13"/>
    <x v="7"/>
    <x v="2"/>
    <n v="1"/>
    <n v="354"/>
    <n v="65.989999999999995"/>
  </r>
  <r>
    <x v="265"/>
    <x v="6"/>
    <x v="1"/>
    <s v="United States"/>
    <x v="46"/>
    <x v="2"/>
    <x v="1"/>
    <n v="3"/>
    <n v="3051"/>
    <n v="662.23"/>
  </r>
  <r>
    <x v="38"/>
    <x v="3"/>
    <x v="2"/>
    <s v="United States"/>
    <x v="6"/>
    <x v="5"/>
    <x v="3"/>
    <n v="3"/>
    <n v="402"/>
    <n v="106.87"/>
  </r>
  <r>
    <x v="266"/>
    <x v="6"/>
    <x v="1"/>
    <s v="United States"/>
    <x v="73"/>
    <x v="33"/>
    <x v="0"/>
    <n v="5"/>
    <n v="3570"/>
    <n v="517.82000000000005"/>
  </r>
  <r>
    <x v="267"/>
    <x v="8"/>
    <x v="1"/>
    <s v="United States"/>
    <x v="45"/>
    <x v="5"/>
    <x v="3"/>
    <n v="7"/>
    <n v="3829"/>
    <n v="876.35"/>
  </r>
  <r>
    <x v="268"/>
    <x v="1"/>
    <x v="1"/>
    <s v="United States"/>
    <x v="9"/>
    <x v="8"/>
    <x v="3"/>
    <n v="7"/>
    <n v="4676"/>
    <n v="242.64"/>
  </r>
  <r>
    <x v="269"/>
    <x v="8"/>
    <x v="1"/>
    <s v="United States"/>
    <x v="29"/>
    <x v="24"/>
    <x v="0"/>
    <n v="3"/>
    <n v="1119"/>
    <n v="317.36"/>
  </r>
  <r>
    <x v="175"/>
    <x v="7"/>
    <x v="2"/>
    <s v="United States"/>
    <x v="108"/>
    <x v="19"/>
    <x v="2"/>
    <n v="4"/>
    <n v="4228"/>
    <n v="764.3"/>
  </r>
  <r>
    <x v="270"/>
    <x v="4"/>
    <x v="1"/>
    <s v="United States"/>
    <x v="109"/>
    <x v="18"/>
    <x v="2"/>
    <n v="8"/>
    <n v="1240"/>
    <n v="251.2"/>
  </r>
  <r>
    <x v="271"/>
    <x v="8"/>
    <x v="1"/>
    <s v="United States"/>
    <x v="102"/>
    <x v="5"/>
    <x v="3"/>
    <n v="9"/>
    <n v="3591"/>
    <n v="342.18"/>
  </r>
  <r>
    <x v="272"/>
    <x v="0"/>
    <x v="0"/>
    <s v="United States"/>
    <x v="110"/>
    <x v="22"/>
    <x v="1"/>
    <n v="8"/>
    <n v="3952"/>
    <n v="451.08"/>
  </r>
  <r>
    <x v="230"/>
    <x v="8"/>
    <x v="1"/>
    <s v="United States"/>
    <x v="25"/>
    <x v="17"/>
    <x v="3"/>
    <n v="6"/>
    <n v="3648"/>
    <n v="1050.08"/>
  </r>
  <r>
    <x v="131"/>
    <x v="6"/>
    <x v="1"/>
    <s v="United States"/>
    <x v="6"/>
    <x v="5"/>
    <x v="3"/>
    <n v="5"/>
    <n v="3875"/>
    <n v="768.74"/>
  </r>
  <r>
    <x v="23"/>
    <x v="5"/>
    <x v="2"/>
    <s v="United States"/>
    <x v="2"/>
    <x v="2"/>
    <x v="1"/>
    <n v="8"/>
    <n v="3416"/>
    <n v="478.9"/>
  </r>
  <r>
    <x v="273"/>
    <x v="2"/>
    <x v="2"/>
    <s v="United States"/>
    <x v="13"/>
    <x v="7"/>
    <x v="2"/>
    <n v="1"/>
    <n v="908"/>
    <n v="222.58"/>
  </r>
  <r>
    <x v="274"/>
    <x v="4"/>
    <x v="1"/>
    <s v="United States"/>
    <x v="57"/>
    <x v="13"/>
    <x v="1"/>
    <n v="4"/>
    <n v="4532"/>
    <n v="987.32"/>
  </r>
  <r>
    <x v="275"/>
    <x v="4"/>
    <x v="1"/>
    <s v="United States"/>
    <x v="2"/>
    <x v="2"/>
    <x v="1"/>
    <n v="4"/>
    <n v="4168"/>
    <n v="650.15"/>
  </r>
  <r>
    <x v="276"/>
    <x v="9"/>
    <x v="2"/>
    <s v="United States"/>
    <x v="2"/>
    <x v="2"/>
    <x v="1"/>
    <n v="3"/>
    <n v="3543"/>
    <n v="941.37"/>
  </r>
  <r>
    <x v="277"/>
    <x v="9"/>
    <x v="2"/>
    <s v="United States"/>
    <x v="2"/>
    <x v="2"/>
    <x v="1"/>
    <n v="6"/>
    <n v="5124"/>
    <n v="1078.57"/>
  </r>
  <r>
    <x v="278"/>
    <x v="5"/>
    <x v="2"/>
    <s v="United States"/>
    <x v="3"/>
    <x v="3"/>
    <x v="2"/>
    <n v="9"/>
    <n v="5751"/>
    <n v="1196.23"/>
  </r>
  <r>
    <x v="279"/>
    <x v="3"/>
    <x v="2"/>
    <s v="United States"/>
    <x v="111"/>
    <x v="34"/>
    <x v="1"/>
    <n v="2"/>
    <n v="624"/>
    <n v="139.63999999999999"/>
  </r>
  <r>
    <x v="5"/>
    <x v="3"/>
    <x v="2"/>
    <s v="United States"/>
    <x v="104"/>
    <x v="22"/>
    <x v="1"/>
    <n v="1"/>
    <n v="508"/>
    <n v="151.29"/>
  </r>
  <r>
    <x v="280"/>
    <x v="4"/>
    <x v="1"/>
    <s v="United States"/>
    <x v="112"/>
    <x v="3"/>
    <x v="2"/>
    <n v="4"/>
    <n v="4700"/>
    <n v="914.6"/>
  </r>
  <r>
    <x v="281"/>
    <x v="8"/>
    <x v="1"/>
    <s v="United States"/>
    <x v="113"/>
    <x v="2"/>
    <x v="1"/>
    <n v="8"/>
    <n v="3216"/>
    <n v="639.78"/>
  </r>
  <r>
    <x v="160"/>
    <x v="9"/>
    <x v="2"/>
    <s v="United States"/>
    <x v="114"/>
    <x v="20"/>
    <x v="2"/>
    <n v="6"/>
    <n v="2844"/>
    <n v="581"/>
  </r>
  <r>
    <x v="282"/>
    <x v="7"/>
    <x v="2"/>
    <s v="United States"/>
    <x v="29"/>
    <x v="15"/>
    <x v="2"/>
    <n v="5"/>
    <n v="2385"/>
    <n v="258.60000000000002"/>
  </r>
  <r>
    <x v="283"/>
    <x v="6"/>
    <x v="1"/>
    <s v="United States"/>
    <x v="115"/>
    <x v="7"/>
    <x v="2"/>
    <n v="8"/>
    <n v="928"/>
    <n v="170.05"/>
  </r>
  <r>
    <x v="284"/>
    <x v="4"/>
    <x v="1"/>
    <s v="United States"/>
    <x v="15"/>
    <x v="13"/>
    <x v="1"/>
    <n v="6"/>
    <n v="4656"/>
    <n v="673.35"/>
  </r>
  <r>
    <x v="46"/>
    <x v="4"/>
    <x v="1"/>
    <s v="United States"/>
    <x v="13"/>
    <x v="7"/>
    <x v="2"/>
    <n v="2"/>
    <n v="330"/>
    <n v="21.46"/>
  </r>
  <r>
    <x v="285"/>
    <x v="3"/>
    <x v="2"/>
    <s v="United States"/>
    <x v="2"/>
    <x v="2"/>
    <x v="1"/>
    <n v="7"/>
    <n v="1799"/>
    <n v="274.11"/>
  </r>
  <r>
    <x v="286"/>
    <x v="0"/>
    <x v="0"/>
    <s v="United States"/>
    <x v="2"/>
    <x v="2"/>
    <x v="1"/>
    <n v="1"/>
    <n v="1029"/>
    <n v="173.61"/>
  </r>
  <r>
    <x v="287"/>
    <x v="4"/>
    <x v="1"/>
    <s v="United States"/>
    <x v="116"/>
    <x v="5"/>
    <x v="3"/>
    <n v="8"/>
    <n v="5432"/>
    <n v="1619.39"/>
  </r>
  <r>
    <x v="235"/>
    <x v="3"/>
    <x v="2"/>
    <s v="United States"/>
    <x v="13"/>
    <x v="7"/>
    <x v="2"/>
    <n v="5"/>
    <n v="5785"/>
    <n v="1191.1099999999999"/>
  </r>
  <r>
    <x v="288"/>
    <x v="0"/>
    <x v="0"/>
    <s v="United States"/>
    <x v="13"/>
    <x v="7"/>
    <x v="2"/>
    <n v="1"/>
    <n v="1062"/>
    <n v="272.42"/>
  </r>
  <r>
    <x v="289"/>
    <x v="8"/>
    <x v="1"/>
    <s v="United States"/>
    <x v="13"/>
    <x v="7"/>
    <x v="2"/>
    <n v="1"/>
    <n v="163"/>
    <n v="22.07"/>
  </r>
  <r>
    <x v="290"/>
    <x v="7"/>
    <x v="2"/>
    <s v="United States"/>
    <x v="117"/>
    <x v="8"/>
    <x v="3"/>
    <n v="9"/>
    <n v="9162"/>
    <n v="1625.62"/>
  </r>
  <r>
    <x v="291"/>
    <x v="0"/>
    <x v="0"/>
    <s v="United States"/>
    <x v="29"/>
    <x v="15"/>
    <x v="2"/>
    <n v="4"/>
    <n v="1440"/>
    <n v="130.24"/>
  </r>
  <r>
    <x v="160"/>
    <x v="6"/>
    <x v="1"/>
    <s v="United States"/>
    <x v="13"/>
    <x v="7"/>
    <x v="2"/>
    <n v="5"/>
    <n v="1465"/>
    <n v="149.62"/>
  </r>
  <r>
    <x v="217"/>
    <x v="6"/>
    <x v="1"/>
    <s v="United States"/>
    <x v="118"/>
    <x v="5"/>
    <x v="3"/>
    <n v="2"/>
    <n v="366"/>
    <n v="31.23"/>
  </r>
  <r>
    <x v="292"/>
    <x v="3"/>
    <x v="2"/>
    <s v="United States"/>
    <x v="63"/>
    <x v="14"/>
    <x v="2"/>
    <n v="5"/>
    <n v="3135"/>
    <n v="277.27999999999997"/>
  </r>
  <r>
    <x v="293"/>
    <x v="8"/>
    <x v="1"/>
    <s v="United States"/>
    <x v="2"/>
    <x v="2"/>
    <x v="1"/>
    <n v="2"/>
    <n v="630"/>
    <n v="161.04"/>
  </r>
  <r>
    <x v="294"/>
    <x v="6"/>
    <x v="1"/>
    <s v="United States"/>
    <x v="119"/>
    <x v="13"/>
    <x v="1"/>
    <n v="1"/>
    <n v="213"/>
    <n v="42.94"/>
  </r>
  <r>
    <x v="295"/>
    <x v="6"/>
    <x v="1"/>
    <s v="United States"/>
    <x v="120"/>
    <x v="35"/>
    <x v="0"/>
    <n v="4"/>
    <n v="3792"/>
    <n v="1092.8499999999999"/>
  </r>
  <r>
    <x v="296"/>
    <x v="1"/>
    <x v="1"/>
    <s v="United States"/>
    <x v="59"/>
    <x v="15"/>
    <x v="2"/>
    <n v="2"/>
    <n v="1932"/>
    <n v="109.07"/>
  </r>
  <r>
    <x v="297"/>
    <x v="8"/>
    <x v="1"/>
    <s v="United States"/>
    <x v="85"/>
    <x v="29"/>
    <x v="2"/>
    <n v="4"/>
    <n v="4152"/>
    <n v="317.27999999999997"/>
  </r>
  <r>
    <x v="298"/>
    <x v="7"/>
    <x v="2"/>
    <s v="United States"/>
    <x v="79"/>
    <x v="16"/>
    <x v="3"/>
    <n v="7"/>
    <n v="3612"/>
    <n v="529.57000000000005"/>
  </r>
  <r>
    <x v="299"/>
    <x v="7"/>
    <x v="2"/>
    <s v="United States"/>
    <x v="13"/>
    <x v="7"/>
    <x v="2"/>
    <n v="2"/>
    <n v="2258"/>
    <n v="280.76"/>
  </r>
  <r>
    <x v="24"/>
    <x v="3"/>
    <x v="2"/>
    <s v="United States"/>
    <x v="6"/>
    <x v="5"/>
    <x v="3"/>
    <n v="3"/>
    <n v="594"/>
    <n v="47.73"/>
  </r>
  <r>
    <x v="300"/>
    <x v="4"/>
    <x v="1"/>
    <s v="United States"/>
    <x v="3"/>
    <x v="3"/>
    <x v="2"/>
    <n v="7"/>
    <n v="8071"/>
    <n v="1799.06"/>
  </r>
  <r>
    <x v="301"/>
    <x v="8"/>
    <x v="1"/>
    <s v="United States"/>
    <x v="28"/>
    <x v="2"/>
    <x v="1"/>
    <n v="7"/>
    <n v="5838"/>
    <n v="631.45000000000005"/>
  </r>
  <r>
    <x v="302"/>
    <x v="8"/>
    <x v="1"/>
    <s v="United States"/>
    <x v="3"/>
    <x v="3"/>
    <x v="2"/>
    <n v="4"/>
    <n v="692"/>
    <n v="181.31"/>
  </r>
  <r>
    <x v="303"/>
    <x v="8"/>
    <x v="1"/>
    <s v="United States"/>
    <x v="3"/>
    <x v="3"/>
    <x v="2"/>
    <n v="3"/>
    <n v="1704"/>
    <n v="309.06"/>
  </r>
  <r>
    <x v="304"/>
    <x v="0"/>
    <x v="0"/>
    <s v="United States"/>
    <x v="29"/>
    <x v="15"/>
    <x v="2"/>
    <n v="5"/>
    <n v="3235"/>
    <n v="941.24"/>
  </r>
  <r>
    <x v="305"/>
    <x v="1"/>
    <x v="1"/>
    <s v="United States"/>
    <x v="15"/>
    <x v="13"/>
    <x v="1"/>
    <n v="6"/>
    <n v="4746"/>
    <n v="545.57000000000005"/>
  </r>
  <r>
    <x v="306"/>
    <x v="5"/>
    <x v="2"/>
    <s v="United States"/>
    <x v="13"/>
    <x v="7"/>
    <x v="2"/>
    <n v="8"/>
    <n v="7600"/>
    <n v="788.88"/>
  </r>
  <r>
    <x v="307"/>
    <x v="7"/>
    <x v="2"/>
    <s v="United States"/>
    <x v="28"/>
    <x v="2"/>
    <x v="1"/>
    <n v="5"/>
    <n v="1935"/>
    <n v="128.01"/>
  </r>
  <r>
    <x v="10"/>
    <x v="9"/>
    <x v="2"/>
    <s v="United States"/>
    <x v="9"/>
    <x v="8"/>
    <x v="3"/>
    <n v="3"/>
    <n v="1638"/>
    <n v="306.29000000000002"/>
  </r>
  <r>
    <x v="308"/>
    <x v="8"/>
    <x v="1"/>
    <s v="United States"/>
    <x v="28"/>
    <x v="2"/>
    <x v="1"/>
    <n v="7"/>
    <n v="4746"/>
    <n v="816.6"/>
  </r>
  <r>
    <x v="73"/>
    <x v="7"/>
    <x v="2"/>
    <s v="United States"/>
    <x v="13"/>
    <x v="7"/>
    <x v="2"/>
    <n v="8"/>
    <n v="4824"/>
    <n v="1187.93"/>
  </r>
  <r>
    <x v="255"/>
    <x v="3"/>
    <x v="2"/>
    <s v="United States"/>
    <x v="13"/>
    <x v="7"/>
    <x v="2"/>
    <n v="1"/>
    <n v="1193"/>
    <n v="153.72"/>
  </r>
  <r>
    <x v="309"/>
    <x v="9"/>
    <x v="2"/>
    <s v="United States"/>
    <x v="9"/>
    <x v="8"/>
    <x v="3"/>
    <n v="2"/>
    <n v="562"/>
    <n v="92.94"/>
  </r>
  <r>
    <x v="310"/>
    <x v="7"/>
    <x v="2"/>
    <s v="United States"/>
    <x v="24"/>
    <x v="15"/>
    <x v="2"/>
    <n v="8"/>
    <n v="6200"/>
    <n v="1296.8399999999999"/>
  </r>
  <r>
    <x v="311"/>
    <x v="0"/>
    <x v="0"/>
    <s v="United States"/>
    <x v="3"/>
    <x v="3"/>
    <x v="2"/>
    <n v="8"/>
    <n v="4128"/>
    <n v="315.48"/>
  </r>
  <r>
    <x v="312"/>
    <x v="0"/>
    <x v="0"/>
    <s v="United States"/>
    <x v="21"/>
    <x v="5"/>
    <x v="3"/>
    <n v="5"/>
    <n v="5405"/>
    <n v="326.56"/>
  </r>
  <r>
    <x v="177"/>
    <x v="9"/>
    <x v="2"/>
    <s v="United States"/>
    <x v="121"/>
    <x v="2"/>
    <x v="1"/>
    <n v="3"/>
    <n v="1371"/>
    <n v="104.66"/>
  </r>
  <r>
    <x v="313"/>
    <x v="8"/>
    <x v="1"/>
    <s v="United States"/>
    <x v="53"/>
    <x v="2"/>
    <x v="1"/>
    <n v="5"/>
    <n v="1405"/>
    <n v="194.33"/>
  </r>
  <r>
    <x v="26"/>
    <x v="8"/>
    <x v="1"/>
    <s v="United States"/>
    <x v="53"/>
    <x v="2"/>
    <x v="1"/>
    <n v="3"/>
    <n v="1644"/>
    <n v="158.32"/>
  </r>
  <r>
    <x v="314"/>
    <x v="1"/>
    <x v="1"/>
    <s v="United States"/>
    <x v="122"/>
    <x v="25"/>
    <x v="0"/>
    <n v="6"/>
    <n v="3414"/>
    <n v="396.92"/>
  </r>
  <r>
    <x v="315"/>
    <x v="9"/>
    <x v="2"/>
    <s v="United States"/>
    <x v="123"/>
    <x v="16"/>
    <x v="3"/>
    <n v="8"/>
    <n v="3272"/>
    <n v="674.57"/>
  </r>
  <r>
    <x v="316"/>
    <x v="7"/>
    <x v="2"/>
    <s v="United States"/>
    <x v="124"/>
    <x v="2"/>
    <x v="1"/>
    <n v="3"/>
    <n v="2655"/>
    <n v="646.91"/>
  </r>
  <r>
    <x v="282"/>
    <x v="5"/>
    <x v="2"/>
    <s v="United States"/>
    <x v="83"/>
    <x v="13"/>
    <x v="1"/>
    <n v="7"/>
    <n v="1673"/>
    <n v="458.32"/>
  </r>
  <r>
    <x v="317"/>
    <x v="2"/>
    <x v="2"/>
    <s v="United States"/>
    <x v="9"/>
    <x v="8"/>
    <x v="3"/>
    <n v="2"/>
    <n v="846"/>
    <n v="145.09"/>
  </r>
  <r>
    <x v="318"/>
    <x v="7"/>
    <x v="2"/>
    <s v="United States"/>
    <x v="95"/>
    <x v="25"/>
    <x v="0"/>
    <n v="1"/>
    <n v="985"/>
    <n v="196.64"/>
  </r>
  <r>
    <x v="319"/>
    <x v="5"/>
    <x v="2"/>
    <s v="United States"/>
    <x v="19"/>
    <x v="15"/>
    <x v="2"/>
    <n v="9"/>
    <n v="7551"/>
    <n v="894.4"/>
  </r>
  <r>
    <x v="89"/>
    <x v="2"/>
    <x v="2"/>
    <s v="United States"/>
    <x v="19"/>
    <x v="15"/>
    <x v="2"/>
    <n v="5"/>
    <n v="855"/>
    <n v="217.16"/>
  </r>
  <r>
    <x v="320"/>
    <x v="3"/>
    <x v="2"/>
    <s v="United States"/>
    <x v="2"/>
    <x v="2"/>
    <x v="1"/>
    <n v="2"/>
    <n v="396"/>
    <n v="94.55"/>
  </r>
  <r>
    <x v="108"/>
    <x v="2"/>
    <x v="2"/>
    <s v="United States"/>
    <x v="9"/>
    <x v="8"/>
    <x v="3"/>
    <n v="8"/>
    <n v="2296"/>
    <n v="560.48"/>
  </r>
  <r>
    <x v="321"/>
    <x v="6"/>
    <x v="1"/>
    <s v="United States"/>
    <x v="9"/>
    <x v="8"/>
    <x v="3"/>
    <n v="6"/>
    <n v="1704"/>
    <n v="199.94"/>
  </r>
  <r>
    <x v="322"/>
    <x v="7"/>
    <x v="2"/>
    <s v="United States"/>
    <x v="125"/>
    <x v="36"/>
    <x v="1"/>
    <n v="2"/>
    <n v="1180"/>
    <n v="261.16000000000003"/>
  </r>
  <r>
    <x v="323"/>
    <x v="7"/>
    <x v="2"/>
    <s v="United States"/>
    <x v="125"/>
    <x v="36"/>
    <x v="1"/>
    <n v="3"/>
    <n v="411"/>
    <n v="55.73"/>
  </r>
  <r>
    <x v="260"/>
    <x v="1"/>
    <x v="1"/>
    <s v="United States"/>
    <x v="126"/>
    <x v="37"/>
    <x v="3"/>
    <n v="1"/>
    <n v="745"/>
    <n v="151.22"/>
  </r>
  <r>
    <x v="255"/>
    <x v="0"/>
    <x v="0"/>
    <s v="United States"/>
    <x v="91"/>
    <x v="30"/>
    <x v="0"/>
    <n v="9"/>
    <n v="10656"/>
    <n v="961.3"/>
  </r>
  <r>
    <x v="324"/>
    <x v="1"/>
    <x v="1"/>
    <s v="United States"/>
    <x v="127"/>
    <x v="30"/>
    <x v="0"/>
    <n v="3"/>
    <n v="1494"/>
    <n v="178.5"/>
  </r>
  <r>
    <x v="325"/>
    <x v="3"/>
    <x v="2"/>
    <s v="United States"/>
    <x v="128"/>
    <x v="0"/>
    <x v="0"/>
    <n v="5"/>
    <n v="1755"/>
    <n v="358.01"/>
  </r>
  <r>
    <x v="326"/>
    <x v="3"/>
    <x v="2"/>
    <s v="United States"/>
    <x v="21"/>
    <x v="5"/>
    <x v="3"/>
    <n v="9"/>
    <n v="4941"/>
    <n v="894.52"/>
  </r>
  <r>
    <x v="327"/>
    <x v="5"/>
    <x v="2"/>
    <s v="United States"/>
    <x v="85"/>
    <x v="29"/>
    <x v="2"/>
    <n v="6"/>
    <n v="6510"/>
    <n v="1539.18"/>
  </r>
  <r>
    <x v="328"/>
    <x v="7"/>
    <x v="2"/>
    <s v="United States"/>
    <x v="2"/>
    <x v="2"/>
    <x v="1"/>
    <n v="5"/>
    <n v="5465"/>
    <n v="719.92"/>
  </r>
  <r>
    <x v="329"/>
    <x v="2"/>
    <x v="2"/>
    <s v="United States"/>
    <x v="13"/>
    <x v="7"/>
    <x v="2"/>
    <n v="3"/>
    <n v="3522"/>
    <n v="285.91000000000003"/>
  </r>
  <r>
    <x v="330"/>
    <x v="2"/>
    <x v="2"/>
    <s v="United States"/>
    <x v="14"/>
    <x v="12"/>
    <x v="1"/>
    <n v="6"/>
    <n v="1656"/>
    <n v="139.86000000000001"/>
  </r>
  <r>
    <x v="331"/>
    <x v="0"/>
    <x v="0"/>
    <s v="United States"/>
    <x v="14"/>
    <x v="12"/>
    <x v="1"/>
    <n v="5"/>
    <n v="1255"/>
    <n v="257.14999999999998"/>
  </r>
  <r>
    <x v="174"/>
    <x v="8"/>
    <x v="1"/>
    <s v="United States"/>
    <x v="0"/>
    <x v="34"/>
    <x v="1"/>
    <n v="1"/>
    <n v="1192"/>
    <n v="320.13"/>
  </r>
  <r>
    <x v="332"/>
    <x v="2"/>
    <x v="2"/>
    <s v="United States"/>
    <x v="28"/>
    <x v="2"/>
    <x v="1"/>
    <n v="5"/>
    <n v="1925"/>
    <n v="204.74"/>
  </r>
  <r>
    <x v="333"/>
    <x v="2"/>
    <x v="2"/>
    <s v="United States"/>
    <x v="28"/>
    <x v="2"/>
    <x v="1"/>
    <n v="8"/>
    <n v="1688"/>
    <n v="337.33"/>
  </r>
  <r>
    <x v="334"/>
    <x v="4"/>
    <x v="1"/>
    <s v="United States"/>
    <x v="129"/>
    <x v="13"/>
    <x v="1"/>
    <n v="1"/>
    <n v="260"/>
    <n v="16.809999999999999"/>
  </r>
  <r>
    <x v="260"/>
    <x v="6"/>
    <x v="1"/>
    <s v="United States"/>
    <x v="62"/>
    <x v="7"/>
    <x v="2"/>
    <n v="5"/>
    <n v="4880"/>
    <n v="1250.6600000000001"/>
  </r>
  <r>
    <x v="335"/>
    <x v="8"/>
    <x v="1"/>
    <s v="United States"/>
    <x v="2"/>
    <x v="2"/>
    <x v="1"/>
    <n v="7"/>
    <n v="1134"/>
    <n v="179.74"/>
  </r>
  <r>
    <x v="42"/>
    <x v="9"/>
    <x v="2"/>
    <s v="United States"/>
    <x v="13"/>
    <x v="7"/>
    <x v="2"/>
    <n v="9"/>
    <n v="9621"/>
    <n v="1201.29"/>
  </r>
  <r>
    <x v="268"/>
    <x v="6"/>
    <x v="1"/>
    <s v="United States"/>
    <x v="28"/>
    <x v="2"/>
    <x v="1"/>
    <n v="4"/>
    <n v="2836"/>
    <n v="698.83"/>
  </r>
  <r>
    <x v="332"/>
    <x v="0"/>
    <x v="0"/>
    <s v="United States"/>
    <x v="130"/>
    <x v="15"/>
    <x v="2"/>
    <n v="9"/>
    <n v="5859"/>
    <n v="1153.8900000000001"/>
  </r>
  <r>
    <x v="37"/>
    <x v="5"/>
    <x v="2"/>
    <s v="United States"/>
    <x v="89"/>
    <x v="1"/>
    <x v="0"/>
    <n v="2"/>
    <n v="2044"/>
    <n v="460.03"/>
  </r>
  <r>
    <x v="336"/>
    <x v="6"/>
    <x v="1"/>
    <s v="United States"/>
    <x v="76"/>
    <x v="36"/>
    <x v="1"/>
    <n v="1"/>
    <n v="612"/>
    <n v="174.52"/>
  </r>
  <r>
    <x v="337"/>
    <x v="5"/>
    <x v="2"/>
    <s v="United States"/>
    <x v="2"/>
    <x v="2"/>
    <x v="1"/>
    <n v="3"/>
    <n v="1890"/>
    <n v="492.31"/>
  </r>
  <r>
    <x v="338"/>
    <x v="5"/>
    <x v="2"/>
    <s v="United States"/>
    <x v="64"/>
    <x v="7"/>
    <x v="2"/>
    <n v="5"/>
    <n v="2025"/>
    <n v="168.82"/>
  </r>
  <r>
    <x v="339"/>
    <x v="0"/>
    <x v="0"/>
    <s v="United States"/>
    <x v="115"/>
    <x v="7"/>
    <x v="2"/>
    <n v="2"/>
    <n v="1960"/>
    <n v="312.06"/>
  </r>
  <r>
    <x v="331"/>
    <x v="3"/>
    <x v="2"/>
    <s v="United States"/>
    <x v="120"/>
    <x v="35"/>
    <x v="0"/>
    <n v="6"/>
    <n v="4410"/>
    <n v="893.27"/>
  </r>
  <r>
    <x v="340"/>
    <x v="8"/>
    <x v="1"/>
    <s v="United States"/>
    <x v="120"/>
    <x v="35"/>
    <x v="0"/>
    <n v="8"/>
    <n v="8272"/>
    <n v="2391.88"/>
  </r>
  <r>
    <x v="11"/>
    <x v="5"/>
    <x v="2"/>
    <s v="United States"/>
    <x v="28"/>
    <x v="2"/>
    <x v="1"/>
    <n v="6"/>
    <n v="5712"/>
    <n v="638.29"/>
  </r>
  <r>
    <x v="341"/>
    <x v="5"/>
    <x v="2"/>
    <s v="United States"/>
    <x v="131"/>
    <x v="12"/>
    <x v="1"/>
    <n v="6"/>
    <n v="1524"/>
    <n v="178.36"/>
  </r>
  <r>
    <x v="342"/>
    <x v="8"/>
    <x v="1"/>
    <s v="United States"/>
    <x v="13"/>
    <x v="7"/>
    <x v="2"/>
    <n v="8"/>
    <n v="5160"/>
    <n v="1057.4100000000001"/>
  </r>
  <r>
    <x v="343"/>
    <x v="1"/>
    <x v="1"/>
    <s v="United States"/>
    <x v="13"/>
    <x v="7"/>
    <x v="2"/>
    <n v="4"/>
    <n v="2956"/>
    <n v="451.6"/>
  </r>
  <r>
    <x v="344"/>
    <x v="7"/>
    <x v="2"/>
    <s v="United States"/>
    <x v="13"/>
    <x v="7"/>
    <x v="2"/>
    <n v="8"/>
    <n v="7944"/>
    <n v="2257.73"/>
  </r>
  <r>
    <x v="112"/>
    <x v="3"/>
    <x v="2"/>
    <s v="United States"/>
    <x v="132"/>
    <x v="33"/>
    <x v="0"/>
    <n v="5"/>
    <n v="1815"/>
    <n v="535.22"/>
  </r>
  <r>
    <x v="88"/>
    <x v="4"/>
    <x v="1"/>
    <s v="United States"/>
    <x v="110"/>
    <x v="22"/>
    <x v="1"/>
    <n v="3"/>
    <n v="2706"/>
    <n v="546.97"/>
  </r>
  <r>
    <x v="345"/>
    <x v="9"/>
    <x v="2"/>
    <s v="United States"/>
    <x v="133"/>
    <x v="2"/>
    <x v="1"/>
    <n v="2"/>
    <n v="1356"/>
    <n v="144.18"/>
  </r>
  <r>
    <x v="346"/>
    <x v="0"/>
    <x v="0"/>
    <s v="United States"/>
    <x v="76"/>
    <x v="23"/>
    <x v="3"/>
    <n v="6"/>
    <n v="6384"/>
    <n v="1189.19"/>
  </r>
  <r>
    <x v="347"/>
    <x v="5"/>
    <x v="2"/>
    <s v="United States"/>
    <x v="6"/>
    <x v="5"/>
    <x v="3"/>
    <n v="9"/>
    <n v="4248"/>
    <n v="964.12"/>
  </r>
  <r>
    <x v="348"/>
    <x v="6"/>
    <x v="1"/>
    <s v="United States"/>
    <x v="74"/>
    <x v="0"/>
    <x v="0"/>
    <n v="6"/>
    <n v="3954"/>
    <n v="676.82"/>
  </r>
  <r>
    <x v="265"/>
    <x v="7"/>
    <x v="2"/>
    <s v="United States"/>
    <x v="9"/>
    <x v="8"/>
    <x v="3"/>
    <n v="6"/>
    <n v="7110"/>
    <n v="739.6"/>
  </r>
  <r>
    <x v="349"/>
    <x v="4"/>
    <x v="1"/>
    <s v="United States"/>
    <x v="83"/>
    <x v="33"/>
    <x v="0"/>
    <n v="7"/>
    <n v="8113"/>
    <n v="995.03"/>
  </r>
  <r>
    <x v="350"/>
    <x v="4"/>
    <x v="1"/>
    <s v="United States"/>
    <x v="134"/>
    <x v="38"/>
    <x v="2"/>
    <n v="3"/>
    <n v="1830"/>
    <n v="183.62"/>
  </r>
  <r>
    <x v="351"/>
    <x v="8"/>
    <x v="1"/>
    <s v="United States"/>
    <x v="15"/>
    <x v="13"/>
    <x v="1"/>
    <n v="4"/>
    <n v="3732"/>
    <n v="671.19"/>
  </r>
  <r>
    <x v="352"/>
    <x v="1"/>
    <x v="1"/>
    <s v="United States"/>
    <x v="77"/>
    <x v="11"/>
    <x v="3"/>
    <n v="6"/>
    <n v="4062"/>
    <n v="1087.17"/>
  </r>
  <r>
    <x v="353"/>
    <x v="5"/>
    <x v="2"/>
    <s v="United States"/>
    <x v="117"/>
    <x v="22"/>
    <x v="1"/>
    <n v="1"/>
    <n v="496"/>
    <n v="93.31"/>
  </r>
  <r>
    <x v="354"/>
    <x v="5"/>
    <x v="2"/>
    <s v="United States"/>
    <x v="3"/>
    <x v="3"/>
    <x v="2"/>
    <n v="4"/>
    <n v="1104"/>
    <n v="84.31"/>
  </r>
  <r>
    <x v="130"/>
    <x v="7"/>
    <x v="2"/>
    <s v="United States"/>
    <x v="3"/>
    <x v="3"/>
    <x v="2"/>
    <n v="3"/>
    <n v="2274"/>
    <n v="662"/>
  </r>
  <r>
    <x v="355"/>
    <x v="5"/>
    <x v="2"/>
    <s v="United States"/>
    <x v="3"/>
    <x v="3"/>
    <x v="2"/>
    <n v="8"/>
    <n v="4456"/>
    <n v="1106.04"/>
  </r>
  <r>
    <x v="356"/>
    <x v="1"/>
    <x v="1"/>
    <s v="United States"/>
    <x v="52"/>
    <x v="6"/>
    <x v="3"/>
    <n v="8"/>
    <n v="4928"/>
    <n v="1038.18"/>
  </r>
  <r>
    <x v="357"/>
    <x v="7"/>
    <x v="2"/>
    <s v="United States"/>
    <x v="25"/>
    <x v="17"/>
    <x v="3"/>
    <n v="4"/>
    <n v="1740"/>
    <n v="224.79"/>
  </r>
  <r>
    <x v="358"/>
    <x v="4"/>
    <x v="1"/>
    <s v="United States"/>
    <x v="25"/>
    <x v="17"/>
    <x v="3"/>
    <n v="2"/>
    <n v="178"/>
    <n v="31.46"/>
  </r>
  <r>
    <x v="359"/>
    <x v="0"/>
    <x v="0"/>
    <s v="United States"/>
    <x v="2"/>
    <x v="2"/>
    <x v="1"/>
    <n v="8"/>
    <n v="5296"/>
    <n v="1234.81"/>
  </r>
  <r>
    <x v="360"/>
    <x v="1"/>
    <x v="1"/>
    <s v="United States"/>
    <x v="135"/>
    <x v="2"/>
    <x v="1"/>
    <n v="4"/>
    <n v="4156"/>
    <n v="847.09"/>
  </r>
  <r>
    <x v="62"/>
    <x v="0"/>
    <x v="0"/>
    <s v="United States"/>
    <x v="136"/>
    <x v="2"/>
    <x v="1"/>
    <n v="1"/>
    <n v="624"/>
    <n v="106.92"/>
  </r>
  <r>
    <x v="29"/>
    <x v="7"/>
    <x v="2"/>
    <s v="United States"/>
    <x v="28"/>
    <x v="2"/>
    <x v="1"/>
    <n v="4"/>
    <n v="3892"/>
    <n v="1052.72"/>
  </r>
  <r>
    <x v="361"/>
    <x v="1"/>
    <x v="1"/>
    <s v="United States"/>
    <x v="43"/>
    <x v="22"/>
    <x v="1"/>
    <n v="9"/>
    <n v="1620"/>
    <n v="294.60000000000002"/>
  </r>
  <r>
    <x v="362"/>
    <x v="1"/>
    <x v="1"/>
    <s v="United States"/>
    <x v="16"/>
    <x v="14"/>
    <x v="2"/>
    <n v="3"/>
    <n v="2250"/>
    <n v="301.97000000000003"/>
  </r>
  <r>
    <x v="363"/>
    <x v="6"/>
    <x v="1"/>
    <s v="United States"/>
    <x v="137"/>
    <x v="11"/>
    <x v="3"/>
    <n v="2"/>
    <n v="1390"/>
    <n v="316.31"/>
  </r>
  <r>
    <x v="364"/>
    <x v="3"/>
    <x v="2"/>
    <s v="United States"/>
    <x v="104"/>
    <x v="22"/>
    <x v="1"/>
    <n v="5"/>
    <n v="5155"/>
    <n v="1325.16"/>
  </r>
  <r>
    <x v="24"/>
    <x v="5"/>
    <x v="2"/>
    <s v="United States"/>
    <x v="138"/>
    <x v="2"/>
    <x v="1"/>
    <n v="5"/>
    <n v="1025"/>
    <n v="262.91000000000003"/>
  </r>
  <r>
    <x v="363"/>
    <x v="1"/>
    <x v="1"/>
    <s v="United States"/>
    <x v="138"/>
    <x v="2"/>
    <x v="1"/>
    <n v="3"/>
    <n v="1785"/>
    <n v="244.52"/>
  </r>
  <r>
    <x v="365"/>
    <x v="5"/>
    <x v="2"/>
    <s v="United States"/>
    <x v="77"/>
    <x v="7"/>
    <x v="2"/>
    <n v="9"/>
    <n v="2952"/>
    <n v="605.85"/>
  </r>
  <r>
    <x v="366"/>
    <x v="4"/>
    <x v="1"/>
    <s v="United States"/>
    <x v="139"/>
    <x v="2"/>
    <x v="1"/>
    <n v="1"/>
    <n v="773"/>
    <n v="181.52"/>
  </r>
  <r>
    <x v="367"/>
    <x v="2"/>
    <x v="2"/>
    <s v="United States"/>
    <x v="140"/>
    <x v="17"/>
    <x v="3"/>
    <n v="8"/>
    <n v="1640"/>
    <n v="361.48"/>
  </r>
  <r>
    <x v="368"/>
    <x v="8"/>
    <x v="1"/>
    <s v="United States"/>
    <x v="3"/>
    <x v="3"/>
    <x v="2"/>
    <n v="1"/>
    <n v="1017"/>
    <n v="69.33"/>
  </r>
  <r>
    <x v="369"/>
    <x v="4"/>
    <x v="1"/>
    <s v="United States"/>
    <x v="63"/>
    <x v="28"/>
    <x v="2"/>
    <n v="4"/>
    <n v="1964"/>
    <n v="349.91"/>
  </r>
  <r>
    <x v="246"/>
    <x v="1"/>
    <x v="1"/>
    <s v="United States"/>
    <x v="141"/>
    <x v="5"/>
    <x v="3"/>
    <n v="3"/>
    <n v="2994"/>
    <n v="638.59"/>
  </r>
  <r>
    <x v="370"/>
    <x v="0"/>
    <x v="0"/>
    <s v="United States"/>
    <x v="62"/>
    <x v="7"/>
    <x v="2"/>
    <n v="9"/>
    <n v="8046"/>
    <n v="2210.33"/>
  </r>
  <r>
    <x v="371"/>
    <x v="0"/>
    <x v="0"/>
    <s v="United States"/>
    <x v="142"/>
    <x v="3"/>
    <x v="2"/>
    <n v="2"/>
    <n v="1874"/>
    <n v="271.5"/>
  </r>
  <r>
    <x v="372"/>
    <x v="1"/>
    <x v="1"/>
    <s v="United States"/>
    <x v="41"/>
    <x v="2"/>
    <x v="1"/>
    <n v="8"/>
    <n v="6008"/>
    <n v="871.76"/>
  </r>
  <r>
    <x v="284"/>
    <x v="3"/>
    <x v="2"/>
    <s v="United States"/>
    <x v="143"/>
    <x v="5"/>
    <x v="3"/>
    <n v="8"/>
    <n v="7240"/>
    <n v="411.19"/>
  </r>
  <r>
    <x v="373"/>
    <x v="6"/>
    <x v="1"/>
    <s v="United States"/>
    <x v="144"/>
    <x v="5"/>
    <x v="3"/>
    <n v="9"/>
    <n v="1188"/>
    <n v="348.31"/>
  </r>
  <r>
    <x v="302"/>
    <x v="4"/>
    <x v="1"/>
    <s v="United States"/>
    <x v="145"/>
    <x v="15"/>
    <x v="2"/>
    <n v="9"/>
    <n v="2997"/>
    <n v="163.34"/>
  </r>
  <r>
    <x v="374"/>
    <x v="0"/>
    <x v="0"/>
    <s v="United States"/>
    <x v="146"/>
    <x v="5"/>
    <x v="3"/>
    <n v="9"/>
    <n v="7524"/>
    <n v="2017.85"/>
  </r>
  <r>
    <x v="375"/>
    <x v="6"/>
    <x v="1"/>
    <s v="United States"/>
    <x v="147"/>
    <x v="5"/>
    <x v="3"/>
    <n v="5"/>
    <n v="3625"/>
    <n v="268.73"/>
  </r>
  <r>
    <x v="376"/>
    <x v="9"/>
    <x v="2"/>
    <s v="United States"/>
    <x v="13"/>
    <x v="7"/>
    <x v="2"/>
    <n v="8"/>
    <n v="6952"/>
    <n v="871.2"/>
  </r>
  <r>
    <x v="377"/>
    <x v="3"/>
    <x v="2"/>
    <s v="United States"/>
    <x v="13"/>
    <x v="7"/>
    <x v="2"/>
    <n v="9"/>
    <n v="1053"/>
    <n v="283.58"/>
  </r>
  <r>
    <x v="378"/>
    <x v="6"/>
    <x v="1"/>
    <s v="United States"/>
    <x v="29"/>
    <x v="6"/>
    <x v="3"/>
    <n v="9"/>
    <n v="6696"/>
    <n v="1224.22"/>
  </r>
  <r>
    <x v="62"/>
    <x v="4"/>
    <x v="1"/>
    <s v="United States"/>
    <x v="148"/>
    <x v="31"/>
    <x v="0"/>
    <n v="2"/>
    <n v="1420"/>
    <n v="93.59"/>
  </r>
  <r>
    <x v="379"/>
    <x v="3"/>
    <x v="2"/>
    <s v="United States"/>
    <x v="15"/>
    <x v="13"/>
    <x v="1"/>
    <n v="9"/>
    <n v="9972"/>
    <n v="2566.0100000000002"/>
  </r>
  <r>
    <x v="380"/>
    <x v="9"/>
    <x v="2"/>
    <s v="United States"/>
    <x v="68"/>
    <x v="3"/>
    <x v="2"/>
    <n v="8"/>
    <n v="3136"/>
    <n v="494.26"/>
  </r>
  <r>
    <x v="291"/>
    <x v="3"/>
    <x v="2"/>
    <s v="United States"/>
    <x v="13"/>
    <x v="7"/>
    <x v="2"/>
    <n v="3"/>
    <n v="225"/>
    <n v="20.52"/>
  </r>
  <r>
    <x v="381"/>
    <x v="1"/>
    <x v="1"/>
    <s v="United States"/>
    <x v="124"/>
    <x v="2"/>
    <x v="1"/>
    <n v="3"/>
    <n v="1662"/>
    <n v="375.04"/>
  </r>
  <r>
    <x v="51"/>
    <x v="0"/>
    <x v="0"/>
    <s v="United States"/>
    <x v="149"/>
    <x v="15"/>
    <x v="2"/>
    <n v="4"/>
    <n v="500"/>
    <n v="85.96"/>
  </r>
  <r>
    <x v="382"/>
    <x v="7"/>
    <x v="2"/>
    <s v="United States"/>
    <x v="150"/>
    <x v="12"/>
    <x v="1"/>
    <n v="8"/>
    <n v="3168"/>
    <n v="747.33"/>
  </r>
  <r>
    <x v="383"/>
    <x v="7"/>
    <x v="2"/>
    <s v="United States"/>
    <x v="13"/>
    <x v="7"/>
    <x v="2"/>
    <n v="1"/>
    <n v="622"/>
    <n v="104.57"/>
  </r>
  <r>
    <x v="384"/>
    <x v="2"/>
    <x v="2"/>
    <s v="United States"/>
    <x v="101"/>
    <x v="6"/>
    <x v="3"/>
    <n v="3"/>
    <n v="1233"/>
    <n v="361.12"/>
  </r>
  <r>
    <x v="385"/>
    <x v="9"/>
    <x v="2"/>
    <s v="United States"/>
    <x v="9"/>
    <x v="8"/>
    <x v="3"/>
    <n v="3"/>
    <n v="573"/>
    <n v="116.14"/>
  </r>
  <r>
    <x v="337"/>
    <x v="2"/>
    <x v="2"/>
    <s v="United States"/>
    <x v="151"/>
    <x v="39"/>
    <x v="2"/>
    <n v="1"/>
    <n v="702"/>
    <n v="129.34"/>
  </r>
  <r>
    <x v="146"/>
    <x v="9"/>
    <x v="2"/>
    <s v="United States"/>
    <x v="28"/>
    <x v="2"/>
    <x v="1"/>
    <n v="8"/>
    <n v="4832"/>
    <n v="1261.06"/>
  </r>
  <r>
    <x v="386"/>
    <x v="0"/>
    <x v="0"/>
    <s v="United States"/>
    <x v="58"/>
    <x v="25"/>
    <x v="0"/>
    <n v="5"/>
    <n v="3765"/>
    <n v="670.8"/>
  </r>
  <r>
    <x v="387"/>
    <x v="3"/>
    <x v="2"/>
    <s v="United States"/>
    <x v="28"/>
    <x v="2"/>
    <x v="1"/>
    <n v="8"/>
    <n v="6928"/>
    <n v="1415.16"/>
  </r>
  <r>
    <x v="73"/>
    <x v="4"/>
    <x v="1"/>
    <s v="United States"/>
    <x v="2"/>
    <x v="2"/>
    <x v="1"/>
    <n v="7"/>
    <n v="1624"/>
    <n v="436.13"/>
  </r>
  <r>
    <x v="90"/>
    <x v="4"/>
    <x v="1"/>
    <s v="United States"/>
    <x v="2"/>
    <x v="2"/>
    <x v="1"/>
    <n v="1"/>
    <n v="68"/>
    <n v="10.39"/>
  </r>
  <r>
    <x v="388"/>
    <x v="1"/>
    <x v="1"/>
    <s v="United States"/>
    <x v="152"/>
    <x v="21"/>
    <x v="0"/>
    <n v="1"/>
    <n v="651"/>
    <n v="187.99"/>
  </r>
  <r>
    <x v="389"/>
    <x v="0"/>
    <x v="0"/>
    <s v="United States"/>
    <x v="15"/>
    <x v="13"/>
    <x v="1"/>
    <n v="7"/>
    <n v="6293"/>
    <n v="718.49"/>
  </r>
  <r>
    <x v="390"/>
    <x v="8"/>
    <x v="1"/>
    <s v="United States"/>
    <x v="15"/>
    <x v="13"/>
    <x v="1"/>
    <n v="2"/>
    <n v="1068"/>
    <n v="85.71"/>
  </r>
  <r>
    <x v="391"/>
    <x v="8"/>
    <x v="1"/>
    <s v="United States"/>
    <x v="15"/>
    <x v="13"/>
    <x v="1"/>
    <n v="1"/>
    <n v="381"/>
    <n v="26.69"/>
  </r>
  <r>
    <x v="155"/>
    <x v="0"/>
    <x v="0"/>
    <s v="United States"/>
    <x v="15"/>
    <x v="13"/>
    <x v="1"/>
    <n v="2"/>
    <n v="2016"/>
    <n v="426.43"/>
  </r>
  <r>
    <x v="392"/>
    <x v="4"/>
    <x v="1"/>
    <s v="United States"/>
    <x v="29"/>
    <x v="24"/>
    <x v="0"/>
    <n v="2"/>
    <n v="1224"/>
    <n v="340.67"/>
  </r>
  <r>
    <x v="139"/>
    <x v="6"/>
    <x v="1"/>
    <s v="United States"/>
    <x v="108"/>
    <x v="19"/>
    <x v="2"/>
    <n v="5"/>
    <n v="2180"/>
    <n v="400.01"/>
  </r>
  <r>
    <x v="393"/>
    <x v="9"/>
    <x v="2"/>
    <s v="United States"/>
    <x v="13"/>
    <x v="7"/>
    <x v="2"/>
    <n v="9"/>
    <n v="2853"/>
    <n v="353.09"/>
  </r>
  <r>
    <x v="394"/>
    <x v="1"/>
    <x v="1"/>
    <s v="United States"/>
    <x v="153"/>
    <x v="24"/>
    <x v="0"/>
    <n v="1"/>
    <n v="272"/>
    <n v="45.33"/>
  </r>
  <r>
    <x v="281"/>
    <x v="7"/>
    <x v="2"/>
    <s v="United States"/>
    <x v="9"/>
    <x v="8"/>
    <x v="3"/>
    <n v="4"/>
    <n v="2640"/>
    <n v="183.23"/>
  </r>
  <r>
    <x v="395"/>
    <x v="6"/>
    <x v="1"/>
    <s v="United States"/>
    <x v="117"/>
    <x v="22"/>
    <x v="1"/>
    <n v="2"/>
    <n v="488"/>
    <n v="129.02000000000001"/>
  </r>
  <r>
    <x v="396"/>
    <x v="0"/>
    <x v="0"/>
    <s v="United States"/>
    <x v="154"/>
    <x v="40"/>
    <x v="3"/>
    <n v="8"/>
    <n v="9184"/>
    <n v="1795.93"/>
  </r>
  <r>
    <x v="294"/>
    <x v="2"/>
    <x v="2"/>
    <s v="United States"/>
    <x v="13"/>
    <x v="7"/>
    <x v="2"/>
    <n v="5"/>
    <n v="280"/>
    <n v="23.98"/>
  </r>
  <r>
    <x v="141"/>
    <x v="8"/>
    <x v="1"/>
    <s v="United States"/>
    <x v="3"/>
    <x v="3"/>
    <x v="2"/>
    <n v="3"/>
    <n v="2889"/>
    <n v="604.45000000000005"/>
  </r>
  <r>
    <x v="361"/>
    <x v="9"/>
    <x v="2"/>
    <s v="United States"/>
    <x v="20"/>
    <x v="20"/>
    <x v="2"/>
    <n v="1"/>
    <n v="625"/>
    <n v="125.9"/>
  </r>
  <r>
    <x v="397"/>
    <x v="8"/>
    <x v="1"/>
    <s v="United States"/>
    <x v="21"/>
    <x v="5"/>
    <x v="3"/>
    <n v="8"/>
    <n v="7056"/>
    <n v="538.48"/>
  </r>
  <r>
    <x v="398"/>
    <x v="2"/>
    <x v="2"/>
    <s v="United States"/>
    <x v="28"/>
    <x v="2"/>
    <x v="1"/>
    <n v="8"/>
    <n v="3936"/>
    <n v="720.2"/>
  </r>
  <r>
    <x v="399"/>
    <x v="5"/>
    <x v="2"/>
    <s v="United States"/>
    <x v="13"/>
    <x v="7"/>
    <x v="2"/>
    <n v="6"/>
    <n v="2472"/>
    <n v="363.38"/>
  </r>
  <r>
    <x v="206"/>
    <x v="1"/>
    <x v="1"/>
    <s v="United States"/>
    <x v="13"/>
    <x v="7"/>
    <x v="2"/>
    <n v="5"/>
    <n v="855"/>
    <n v="67.569999999999993"/>
  </r>
  <r>
    <x v="400"/>
    <x v="1"/>
    <x v="1"/>
    <s v="United States"/>
    <x v="13"/>
    <x v="7"/>
    <x v="2"/>
    <n v="3"/>
    <n v="3480"/>
    <n v="560.39"/>
  </r>
  <r>
    <x v="401"/>
    <x v="3"/>
    <x v="2"/>
    <s v="United States"/>
    <x v="61"/>
    <x v="25"/>
    <x v="0"/>
    <n v="1"/>
    <n v="846"/>
    <n v="103.3"/>
  </r>
  <r>
    <x v="402"/>
    <x v="8"/>
    <x v="1"/>
    <s v="United States"/>
    <x v="155"/>
    <x v="2"/>
    <x v="1"/>
    <n v="1"/>
    <n v="158"/>
    <n v="46.24"/>
  </r>
  <r>
    <x v="403"/>
    <x v="1"/>
    <x v="1"/>
    <s v="United States"/>
    <x v="130"/>
    <x v="15"/>
    <x v="2"/>
    <n v="9"/>
    <n v="3186"/>
    <n v="583.24"/>
  </r>
  <r>
    <x v="69"/>
    <x v="1"/>
    <x v="1"/>
    <s v="United States"/>
    <x v="14"/>
    <x v="8"/>
    <x v="3"/>
    <n v="7"/>
    <n v="6972"/>
    <n v="969.43"/>
  </r>
  <r>
    <x v="404"/>
    <x v="1"/>
    <x v="1"/>
    <s v="United States"/>
    <x v="14"/>
    <x v="8"/>
    <x v="3"/>
    <n v="5"/>
    <n v="1745"/>
    <n v="449.64"/>
  </r>
  <r>
    <x v="405"/>
    <x v="9"/>
    <x v="2"/>
    <s v="United States"/>
    <x v="75"/>
    <x v="15"/>
    <x v="2"/>
    <n v="8"/>
    <n v="4256"/>
    <n v="372.95"/>
  </r>
  <r>
    <x v="406"/>
    <x v="8"/>
    <x v="1"/>
    <s v="United States"/>
    <x v="13"/>
    <x v="7"/>
    <x v="2"/>
    <n v="3"/>
    <n v="1674"/>
    <n v="499.63"/>
  </r>
  <r>
    <x v="407"/>
    <x v="3"/>
    <x v="2"/>
    <s v="United States"/>
    <x v="156"/>
    <x v="5"/>
    <x v="3"/>
    <n v="8"/>
    <n v="6488"/>
    <n v="1072.8599999999999"/>
  </r>
  <r>
    <x v="408"/>
    <x v="2"/>
    <x v="2"/>
    <s v="United States"/>
    <x v="28"/>
    <x v="2"/>
    <x v="1"/>
    <n v="5"/>
    <n v="3530"/>
    <n v="803.86"/>
  </r>
  <r>
    <x v="52"/>
    <x v="1"/>
    <x v="1"/>
    <s v="United States"/>
    <x v="2"/>
    <x v="2"/>
    <x v="1"/>
    <n v="2"/>
    <n v="632"/>
    <n v="87.45"/>
  </r>
  <r>
    <x v="329"/>
    <x v="6"/>
    <x v="1"/>
    <s v="United States"/>
    <x v="79"/>
    <x v="16"/>
    <x v="3"/>
    <n v="7"/>
    <n v="3675"/>
    <n v="236.8"/>
  </r>
  <r>
    <x v="250"/>
    <x v="5"/>
    <x v="2"/>
    <s v="United States"/>
    <x v="157"/>
    <x v="20"/>
    <x v="2"/>
    <n v="6"/>
    <n v="5592"/>
    <n v="926.42"/>
  </r>
  <r>
    <x v="17"/>
    <x v="8"/>
    <x v="1"/>
    <s v="United States"/>
    <x v="130"/>
    <x v="15"/>
    <x v="2"/>
    <n v="6"/>
    <n v="6432"/>
    <n v="807.94"/>
  </r>
  <r>
    <x v="409"/>
    <x v="3"/>
    <x v="2"/>
    <s v="United States"/>
    <x v="58"/>
    <x v="5"/>
    <x v="3"/>
    <n v="3"/>
    <n v="3069"/>
    <n v="503.3"/>
  </r>
  <r>
    <x v="251"/>
    <x v="8"/>
    <x v="1"/>
    <s v="United States"/>
    <x v="15"/>
    <x v="13"/>
    <x v="1"/>
    <n v="7"/>
    <n v="2898"/>
    <n v="490.11"/>
  </r>
  <r>
    <x v="410"/>
    <x v="2"/>
    <x v="2"/>
    <s v="United States"/>
    <x v="13"/>
    <x v="7"/>
    <x v="2"/>
    <n v="4"/>
    <n v="3960"/>
    <n v="632.76"/>
  </r>
  <r>
    <x v="363"/>
    <x v="2"/>
    <x v="2"/>
    <s v="United States"/>
    <x v="158"/>
    <x v="41"/>
    <x v="1"/>
    <n v="3"/>
    <n v="1476"/>
    <n v="85.16"/>
  </r>
  <r>
    <x v="411"/>
    <x v="0"/>
    <x v="0"/>
    <s v="United States"/>
    <x v="74"/>
    <x v="12"/>
    <x v="1"/>
    <n v="2"/>
    <n v="1058"/>
    <n v="298.69"/>
  </r>
  <r>
    <x v="412"/>
    <x v="6"/>
    <x v="1"/>
    <s v="United States"/>
    <x v="26"/>
    <x v="1"/>
    <x v="0"/>
    <n v="5"/>
    <n v="1215"/>
    <n v="162.02000000000001"/>
  </r>
  <r>
    <x v="117"/>
    <x v="3"/>
    <x v="2"/>
    <s v="United States"/>
    <x v="159"/>
    <x v="18"/>
    <x v="2"/>
    <n v="3"/>
    <n v="204"/>
    <n v="20.43"/>
  </r>
  <r>
    <x v="413"/>
    <x v="2"/>
    <x v="2"/>
    <s v="United States"/>
    <x v="3"/>
    <x v="3"/>
    <x v="2"/>
    <n v="7"/>
    <n v="4137"/>
    <n v="221.66"/>
  </r>
  <r>
    <x v="414"/>
    <x v="3"/>
    <x v="2"/>
    <s v="United States"/>
    <x v="160"/>
    <x v="30"/>
    <x v="0"/>
    <n v="5"/>
    <n v="250"/>
    <n v="16.809999999999999"/>
  </r>
  <r>
    <x v="415"/>
    <x v="2"/>
    <x v="2"/>
    <s v="United States"/>
    <x v="160"/>
    <x v="30"/>
    <x v="0"/>
    <n v="5"/>
    <n v="1185"/>
    <n v="254.34"/>
  </r>
  <r>
    <x v="416"/>
    <x v="4"/>
    <x v="1"/>
    <s v="United States"/>
    <x v="2"/>
    <x v="2"/>
    <x v="1"/>
    <n v="2"/>
    <n v="1504"/>
    <n v="108.52"/>
  </r>
  <r>
    <x v="168"/>
    <x v="8"/>
    <x v="1"/>
    <s v="United States"/>
    <x v="2"/>
    <x v="2"/>
    <x v="1"/>
    <n v="6"/>
    <n v="6888"/>
    <n v="945.07"/>
  </r>
  <r>
    <x v="366"/>
    <x v="7"/>
    <x v="2"/>
    <s v="United States"/>
    <x v="15"/>
    <x v="13"/>
    <x v="1"/>
    <n v="3"/>
    <n v="3588"/>
    <n v="958.84"/>
  </r>
  <r>
    <x v="417"/>
    <x v="9"/>
    <x v="2"/>
    <s v="United States"/>
    <x v="6"/>
    <x v="5"/>
    <x v="3"/>
    <n v="7"/>
    <n v="1477"/>
    <n v="367.22"/>
  </r>
  <r>
    <x v="418"/>
    <x v="5"/>
    <x v="2"/>
    <s v="United States"/>
    <x v="161"/>
    <x v="6"/>
    <x v="3"/>
    <n v="8"/>
    <n v="1280"/>
    <n v="131.56"/>
  </r>
  <r>
    <x v="419"/>
    <x v="2"/>
    <x v="2"/>
    <s v="United States"/>
    <x v="28"/>
    <x v="2"/>
    <x v="1"/>
    <n v="7"/>
    <n v="7161"/>
    <n v="630.76"/>
  </r>
  <r>
    <x v="420"/>
    <x v="0"/>
    <x v="0"/>
    <s v="United States"/>
    <x v="9"/>
    <x v="8"/>
    <x v="3"/>
    <n v="5"/>
    <n v="1850"/>
    <n v="346.4"/>
  </r>
  <r>
    <x v="18"/>
    <x v="1"/>
    <x v="1"/>
    <s v="United States"/>
    <x v="162"/>
    <x v="18"/>
    <x v="2"/>
    <n v="3"/>
    <n v="3378"/>
    <n v="520.30999999999995"/>
  </r>
  <r>
    <x v="421"/>
    <x v="9"/>
    <x v="2"/>
    <s v="United States"/>
    <x v="59"/>
    <x v="15"/>
    <x v="2"/>
    <n v="7"/>
    <n v="7672"/>
    <n v="2046.38"/>
  </r>
  <r>
    <x v="327"/>
    <x v="2"/>
    <x v="2"/>
    <s v="United States"/>
    <x v="28"/>
    <x v="2"/>
    <x v="1"/>
    <n v="6"/>
    <n v="4254"/>
    <n v="938.66"/>
  </r>
  <r>
    <x v="422"/>
    <x v="8"/>
    <x v="1"/>
    <s v="United States"/>
    <x v="28"/>
    <x v="2"/>
    <x v="1"/>
    <n v="5"/>
    <n v="2285"/>
    <n v="279.89999999999998"/>
  </r>
  <r>
    <x v="423"/>
    <x v="8"/>
    <x v="1"/>
    <s v="United States"/>
    <x v="163"/>
    <x v="22"/>
    <x v="1"/>
    <n v="7"/>
    <n v="5775"/>
    <n v="680.6"/>
  </r>
  <r>
    <x v="30"/>
    <x v="7"/>
    <x v="2"/>
    <s v="United States"/>
    <x v="164"/>
    <x v="20"/>
    <x v="2"/>
    <n v="9"/>
    <n v="9360"/>
    <n v="910.35"/>
  </r>
  <r>
    <x v="297"/>
    <x v="0"/>
    <x v="0"/>
    <s v="United States"/>
    <x v="124"/>
    <x v="2"/>
    <x v="1"/>
    <n v="8"/>
    <n v="6936"/>
    <n v="1156.52"/>
  </r>
  <r>
    <x v="190"/>
    <x v="3"/>
    <x v="2"/>
    <s v="United States"/>
    <x v="0"/>
    <x v="0"/>
    <x v="0"/>
    <n v="9"/>
    <n v="5634"/>
    <n v="464.71"/>
  </r>
  <r>
    <x v="181"/>
    <x v="7"/>
    <x v="2"/>
    <s v="United States"/>
    <x v="6"/>
    <x v="5"/>
    <x v="3"/>
    <n v="4"/>
    <n v="2644"/>
    <n v="731.86"/>
  </r>
  <r>
    <x v="424"/>
    <x v="4"/>
    <x v="1"/>
    <s v="United States"/>
    <x v="4"/>
    <x v="4"/>
    <x v="1"/>
    <n v="1"/>
    <n v="247"/>
    <n v="35.65"/>
  </r>
  <r>
    <x v="425"/>
    <x v="9"/>
    <x v="2"/>
    <s v="United States"/>
    <x v="165"/>
    <x v="13"/>
    <x v="1"/>
    <n v="7"/>
    <n v="1869"/>
    <n v="357.27"/>
  </r>
  <r>
    <x v="426"/>
    <x v="5"/>
    <x v="2"/>
    <s v="United States"/>
    <x v="120"/>
    <x v="6"/>
    <x v="3"/>
    <n v="7"/>
    <n v="1988"/>
    <n v="430.59"/>
  </r>
  <r>
    <x v="427"/>
    <x v="9"/>
    <x v="2"/>
    <s v="United States"/>
    <x v="166"/>
    <x v="25"/>
    <x v="0"/>
    <n v="4"/>
    <n v="1920"/>
    <n v="549.11"/>
  </r>
  <r>
    <x v="229"/>
    <x v="4"/>
    <x v="1"/>
    <s v="United States"/>
    <x v="166"/>
    <x v="25"/>
    <x v="0"/>
    <n v="3"/>
    <n v="2577"/>
    <n v="196.37"/>
  </r>
  <r>
    <x v="428"/>
    <x v="3"/>
    <x v="2"/>
    <s v="United States"/>
    <x v="13"/>
    <x v="7"/>
    <x v="2"/>
    <n v="3"/>
    <n v="828"/>
    <n v="117.95"/>
  </r>
  <r>
    <x v="429"/>
    <x v="3"/>
    <x v="2"/>
    <s v="United States"/>
    <x v="167"/>
    <x v="8"/>
    <x v="3"/>
    <n v="2"/>
    <n v="1580"/>
    <n v="403.76"/>
  </r>
  <r>
    <x v="280"/>
    <x v="3"/>
    <x v="2"/>
    <s v="United States"/>
    <x v="167"/>
    <x v="8"/>
    <x v="3"/>
    <n v="9"/>
    <n v="9009"/>
    <n v="1909.26"/>
  </r>
  <r>
    <x v="430"/>
    <x v="7"/>
    <x v="2"/>
    <s v="United States"/>
    <x v="13"/>
    <x v="7"/>
    <x v="2"/>
    <n v="9"/>
    <n v="7425"/>
    <n v="1580.86"/>
  </r>
  <r>
    <x v="413"/>
    <x v="6"/>
    <x v="1"/>
    <s v="United States"/>
    <x v="13"/>
    <x v="7"/>
    <x v="2"/>
    <n v="5"/>
    <n v="2945"/>
    <n v="672.35"/>
  </r>
  <r>
    <x v="431"/>
    <x v="1"/>
    <x v="1"/>
    <s v="United States"/>
    <x v="58"/>
    <x v="5"/>
    <x v="3"/>
    <n v="3"/>
    <n v="294"/>
    <n v="22.9"/>
  </r>
  <r>
    <x v="432"/>
    <x v="1"/>
    <x v="1"/>
    <s v="United States"/>
    <x v="58"/>
    <x v="5"/>
    <x v="3"/>
    <n v="5"/>
    <n v="5875"/>
    <n v="789.23"/>
  </r>
  <r>
    <x v="47"/>
    <x v="5"/>
    <x v="2"/>
    <s v="United States"/>
    <x v="2"/>
    <x v="2"/>
    <x v="1"/>
    <n v="3"/>
    <n v="1308"/>
    <n v="197.6"/>
  </r>
  <r>
    <x v="433"/>
    <x v="6"/>
    <x v="1"/>
    <s v="United States"/>
    <x v="2"/>
    <x v="2"/>
    <x v="1"/>
    <n v="4"/>
    <n v="2360"/>
    <n v="391.82"/>
  </r>
  <r>
    <x v="434"/>
    <x v="5"/>
    <x v="2"/>
    <s v="United States"/>
    <x v="15"/>
    <x v="13"/>
    <x v="1"/>
    <n v="6"/>
    <n v="1008"/>
    <n v="245.45"/>
  </r>
  <r>
    <x v="435"/>
    <x v="5"/>
    <x v="2"/>
    <s v="United States"/>
    <x v="15"/>
    <x v="13"/>
    <x v="1"/>
    <n v="6"/>
    <n v="1344"/>
    <n v="338.4"/>
  </r>
  <r>
    <x v="187"/>
    <x v="0"/>
    <x v="0"/>
    <s v="United States"/>
    <x v="15"/>
    <x v="13"/>
    <x v="1"/>
    <n v="7"/>
    <n v="5635"/>
    <n v="1185.97"/>
  </r>
  <r>
    <x v="124"/>
    <x v="1"/>
    <x v="1"/>
    <s v="United States"/>
    <x v="160"/>
    <x v="30"/>
    <x v="0"/>
    <n v="4"/>
    <n v="4088"/>
    <n v="1200.03"/>
  </r>
  <r>
    <x v="436"/>
    <x v="3"/>
    <x v="2"/>
    <s v="United States"/>
    <x v="13"/>
    <x v="7"/>
    <x v="2"/>
    <n v="8"/>
    <n v="2192"/>
    <n v="441.77"/>
  </r>
  <r>
    <x v="437"/>
    <x v="8"/>
    <x v="1"/>
    <s v="United States"/>
    <x v="168"/>
    <x v="30"/>
    <x v="0"/>
    <n v="8"/>
    <n v="1952"/>
    <n v="444.15"/>
  </r>
  <r>
    <x v="438"/>
    <x v="7"/>
    <x v="2"/>
    <s v="United States"/>
    <x v="169"/>
    <x v="37"/>
    <x v="3"/>
    <n v="7"/>
    <n v="3955"/>
    <n v="1144.76"/>
  </r>
  <r>
    <x v="96"/>
    <x v="1"/>
    <x v="1"/>
    <s v="United States"/>
    <x v="169"/>
    <x v="37"/>
    <x v="3"/>
    <n v="8"/>
    <n v="5256"/>
    <n v="1118.1600000000001"/>
  </r>
  <r>
    <x v="439"/>
    <x v="3"/>
    <x v="2"/>
    <s v="United States"/>
    <x v="170"/>
    <x v="2"/>
    <x v="1"/>
    <n v="1"/>
    <n v="1163"/>
    <n v="115.09"/>
  </r>
  <r>
    <x v="440"/>
    <x v="5"/>
    <x v="2"/>
    <s v="United States"/>
    <x v="106"/>
    <x v="4"/>
    <x v="1"/>
    <n v="9"/>
    <n v="5004"/>
    <n v="973.65"/>
  </r>
  <r>
    <x v="441"/>
    <x v="1"/>
    <x v="1"/>
    <s v="United States"/>
    <x v="171"/>
    <x v="22"/>
    <x v="1"/>
    <n v="8"/>
    <n v="9128"/>
    <n v="1342.19"/>
  </r>
  <r>
    <x v="442"/>
    <x v="9"/>
    <x v="2"/>
    <s v="United States"/>
    <x v="10"/>
    <x v="9"/>
    <x v="0"/>
    <n v="4"/>
    <n v="4700"/>
    <n v="576.34"/>
  </r>
  <r>
    <x v="443"/>
    <x v="3"/>
    <x v="2"/>
    <s v="United States"/>
    <x v="2"/>
    <x v="2"/>
    <x v="1"/>
    <n v="2"/>
    <n v="1686"/>
    <n v="146.38999999999999"/>
  </r>
  <r>
    <x v="444"/>
    <x v="8"/>
    <x v="1"/>
    <s v="United States"/>
    <x v="172"/>
    <x v="20"/>
    <x v="2"/>
    <n v="9"/>
    <n v="4572"/>
    <n v="279.54000000000002"/>
  </r>
  <r>
    <x v="445"/>
    <x v="7"/>
    <x v="2"/>
    <s v="United States"/>
    <x v="15"/>
    <x v="13"/>
    <x v="1"/>
    <n v="5"/>
    <n v="2510"/>
    <n v="515.12"/>
  </r>
  <r>
    <x v="388"/>
    <x v="7"/>
    <x v="2"/>
    <s v="United States"/>
    <x v="173"/>
    <x v="1"/>
    <x v="0"/>
    <n v="3"/>
    <n v="3117"/>
    <n v="829.09"/>
  </r>
  <r>
    <x v="446"/>
    <x v="9"/>
    <x v="2"/>
    <s v="United States"/>
    <x v="51"/>
    <x v="1"/>
    <x v="0"/>
    <n v="1"/>
    <n v="380"/>
    <n v="94.35"/>
  </r>
  <r>
    <x v="63"/>
    <x v="6"/>
    <x v="1"/>
    <s v="United States"/>
    <x v="51"/>
    <x v="1"/>
    <x v="0"/>
    <n v="9"/>
    <n v="2889"/>
    <n v="604.19000000000005"/>
  </r>
  <r>
    <x v="447"/>
    <x v="5"/>
    <x v="2"/>
    <s v="United States"/>
    <x v="2"/>
    <x v="2"/>
    <x v="1"/>
    <n v="9"/>
    <n v="3654"/>
    <n v="581.9"/>
  </r>
  <r>
    <x v="250"/>
    <x v="0"/>
    <x v="0"/>
    <s v="United States"/>
    <x v="174"/>
    <x v="15"/>
    <x v="2"/>
    <n v="6"/>
    <n v="5610"/>
    <n v="298.77"/>
  </r>
  <r>
    <x v="448"/>
    <x v="7"/>
    <x v="2"/>
    <s v="United States"/>
    <x v="6"/>
    <x v="5"/>
    <x v="3"/>
    <n v="1"/>
    <n v="668"/>
    <n v="99.4"/>
  </r>
  <r>
    <x v="449"/>
    <x v="7"/>
    <x v="2"/>
    <s v="United States"/>
    <x v="3"/>
    <x v="3"/>
    <x v="2"/>
    <n v="7"/>
    <n v="3983"/>
    <n v="360.13"/>
  </r>
  <r>
    <x v="450"/>
    <x v="8"/>
    <x v="1"/>
    <s v="United States"/>
    <x v="15"/>
    <x v="13"/>
    <x v="1"/>
    <n v="1"/>
    <n v="1112"/>
    <n v="272.81"/>
  </r>
  <r>
    <x v="451"/>
    <x v="6"/>
    <x v="1"/>
    <s v="United States"/>
    <x v="19"/>
    <x v="14"/>
    <x v="2"/>
    <n v="9"/>
    <n v="4230"/>
    <n v="221.06"/>
  </r>
  <r>
    <x v="452"/>
    <x v="2"/>
    <x v="2"/>
    <s v="United States"/>
    <x v="53"/>
    <x v="2"/>
    <x v="1"/>
    <n v="8"/>
    <n v="2968"/>
    <n v="530.29999999999995"/>
  </r>
  <r>
    <x v="135"/>
    <x v="6"/>
    <x v="1"/>
    <s v="United States"/>
    <x v="28"/>
    <x v="2"/>
    <x v="1"/>
    <n v="5"/>
    <n v="4690"/>
    <n v="706.74"/>
  </r>
  <r>
    <x v="255"/>
    <x v="3"/>
    <x v="2"/>
    <s v="United States"/>
    <x v="20"/>
    <x v="20"/>
    <x v="2"/>
    <n v="6"/>
    <n v="4296"/>
    <n v="1240.31"/>
  </r>
  <r>
    <x v="453"/>
    <x v="3"/>
    <x v="2"/>
    <s v="United States"/>
    <x v="15"/>
    <x v="13"/>
    <x v="1"/>
    <n v="7"/>
    <n v="7203"/>
    <n v="523.52"/>
  </r>
  <r>
    <x v="454"/>
    <x v="7"/>
    <x v="2"/>
    <s v="United States"/>
    <x v="2"/>
    <x v="2"/>
    <x v="1"/>
    <n v="4"/>
    <n v="3640"/>
    <n v="695.31"/>
  </r>
  <r>
    <x v="455"/>
    <x v="7"/>
    <x v="2"/>
    <s v="United States"/>
    <x v="29"/>
    <x v="24"/>
    <x v="0"/>
    <n v="1"/>
    <n v="1131"/>
    <n v="304.62"/>
  </r>
  <r>
    <x v="456"/>
    <x v="3"/>
    <x v="2"/>
    <s v="United States"/>
    <x v="1"/>
    <x v="1"/>
    <x v="0"/>
    <n v="9"/>
    <n v="3627"/>
    <n v="797.53"/>
  </r>
  <r>
    <x v="138"/>
    <x v="1"/>
    <x v="1"/>
    <s v="United States"/>
    <x v="175"/>
    <x v="2"/>
    <x v="1"/>
    <n v="8"/>
    <n v="7968"/>
    <n v="1249.98"/>
  </r>
  <r>
    <x v="457"/>
    <x v="4"/>
    <x v="1"/>
    <s v="United States"/>
    <x v="176"/>
    <x v="1"/>
    <x v="0"/>
    <n v="3"/>
    <n v="3546"/>
    <n v="490.28"/>
  </r>
  <r>
    <x v="458"/>
    <x v="2"/>
    <x v="2"/>
    <s v="United States"/>
    <x v="2"/>
    <x v="2"/>
    <x v="1"/>
    <n v="5"/>
    <n v="2270"/>
    <n v="546.55999999999995"/>
  </r>
  <r>
    <x v="459"/>
    <x v="8"/>
    <x v="1"/>
    <s v="United States"/>
    <x v="177"/>
    <x v="5"/>
    <x v="3"/>
    <n v="2"/>
    <n v="1354"/>
    <n v="136.91"/>
  </r>
  <r>
    <x v="157"/>
    <x v="4"/>
    <x v="1"/>
    <s v="United States"/>
    <x v="177"/>
    <x v="5"/>
    <x v="3"/>
    <n v="7"/>
    <n v="6811"/>
    <n v="1423.57"/>
  </r>
  <r>
    <x v="460"/>
    <x v="5"/>
    <x v="2"/>
    <s v="United States"/>
    <x v="178"/>
    <x v="2"/>
    <x v="1"/>
    <n v="3"/>
    <n v="1410"/>
    <n v="232.65"/>
  </r>
  <r>
    <x v="461"/>
    <x v="8"/>
    <x v="1"/>
    <s v="United States"/>
    <x v="179"/>
    <x v="41"/>
    <x v="1"/>
    <n v="2"/>
    <n v="1170"/>
    <n v="249.99"/>
  </r>
  <r>
    <x v="275"/>
    <x v="9"/>
    <x v="2"/>
    <s v="United States"/>
    <x v="116"/>
    <x v="5"/>
    <x v="3"/>
    <n v="7"/>
    <n v="4739"/>
    <n v="740.74"/>
  </r>
  <r>
    <x v="5"/>
    <x v="1"/>
    <x v="1"/>
    <s v="United States"/>
    <x v="15"/>
    <x v="13"/>
    <x v="1"/>
    <n v="9"/>
    <n v="7866"/>
    <n v="1554.38"/>
  </r>
  <r>
    <x v="462"/>
    <x v="6"/>
    <x v="1"/>
    <s v="United States"/>
    <x v="15"/>
    <x v="13"/>
    <x v="1"/>
    <n v="5"/>
    <n v="3645"/>
    <n v="388.31"/>
  </r>
  <r>
    <x v="144"/>
    <x v="4"/>
    <x v="1"/>
    <s v="United States"/>
    <x v="79"/>
    <x v="16"/>
    <x v="3"/>
    <n v="6"/>
    <n v="5358"/>
    <n v="568.34"/>
  </r>
  <r>
    <x v="463"/>
    <x v="3"/>
    <x v="2"/>
    <s v="United States"/>
    <x v="79"/>
    <x v="16"/>
    <x v="3"/>
    <n v="5"/>
    <n v="1775"/>
    <n v="486.37"/>
  </r>
  <r>
    <x v="130"/>
    <x v="4"/>
    <x v="1"/>
    <s v="United States"/>
    <x v="79"/>
    <x v="16"/>
    <x v="3"/>
    <n v="9"/>
    <n v="4905"/>
    <n v="1351.25"/>
  </r>
  <r>
    <x v="464"/>
    <x v="1"/>
    <x v="1"/>
    <s v="United States"/>
    <x v="20"/>
    <x v="20"/>
    <x v="2"/>
    <n v="6"/>
    <n v="4260"/>
    <n v="372.33"/>
  </r>
  <r>
    <x v="465"/>
    <x v="0"/>
    <x v="0"/>
    <s v="United States"/>
    <x v="20"/>
    <x v="20"/>
    <x v="2"/>
    <n v="2"/>
    <n v="1632"/>
    <n v="292.77999999999997"/>
  </r>
  <r>
    <x v="322"/>
    <x v="5"/>
    <x v="2"/>
    <s v="United States"/>
    <x v="92"/>
    <x v="2"/>
    <x v="1"/>
    <n v="6"/>
    <n v="3324"/>
    <n v="466.78"/>
  </r>
  <r>
    <x v="466"/>
    <x v="3"/>
    <x v="2"/>
    <s v="United States"/>
    <x v="6"/>
    <x v="5"/>
    <x v="3"/>
    <n v="5"/>
    <n v="4590"/>
    <n v="347.14"/>
  </r>
  <r>
    <x v="406"/>
    <x v="9"/>
    <x v="2"/>
    <s v="United States"/>
    <x v="180"/>
    <x v="25"/>
    <x v="0"/>
    <n v="9"/>
    <n v="8496"/>
    <n v="2182.42"/>
  </r>
  <r>
    <x v="467"/>
    <x v="0"/>
    <x v="0"/>
    <s v="United States"/>
    <x v="181"/>
    <x v="8"/>
    <x v="3"/>
    <n v="6"/>
    <n v="6444"/>
    <n v="518.79"/>
  </r>
  <r>
    <x v="281"/>
    <x v="3"/>
    <x v="2"/>
    <s v="United States"/>
    <x v="153"/>
    <x v="24"/>
    <x v="0"/>
    <n v="1"/>
    <n v="812"/>
    <n v="51.13"/>
  </r>
  <r>
    <x v="160"/>
    <x v="6"/>
    <x v="1"/>
    <s v="United States"/>
    <x v="64"/>
    <x v="7"/>
    <x v="2"/>
    <n v="6"/>
    <n v="1764"/>
    <n v="465.93"/>
  </r>
  <r>
    <x v="468"/>
    <x v="0"/>
    <x v="0"/>
    <s v="United States"/>
    <x v="64"/>
    <x v="7"/>
    <x v="2"/>
    <n v="1"/>
    <n v="1012"/>
    <n v="172.67"/>
  </r>
  <r>
    <x v="318"/>
    <x v="8"/>
    <x v="1"/>
    <s v="United States"/>
    <x v="53"/>
    <x v="2"/>
    <x v="1"/>
    <n v="2"/>
    <n v="836"/>
    <n v="47.07"/>
  </r>
  <r>
    <x v="379"/>
    <x v="5"/>
    <x v="2"/>
    <s v="United States"/>
    <x v="160"/>
    <x v="30"/>
    <x v="0"/>
    <n v="1"/>
    <n v="723"/>
    <n v="115.26"/>
  </r>
  <r>
    <x v="86"/>
    <x v="4"/>
    <x v="1"/>
    <s v="United States"/>
    <x v="182"/>
    <x v="24"/>
    <x v="0"/>
    <n v="6"/>
    <n v="5628"/>
    <n v="1033.1500000000001"/>
  </r>
  <r>
    <x v="469"/>
    <x v="9"/>
    <x v="2"/>
    <s v="United States"/>
    <x v="66"/>
    <x v="1"/>
    <x v="0"/>
    <n v="5"/>
    <n v="1660"/>
    <n v="283.14"/>
  </r>
  <r>
    <x v="470"/>
    <x v="4"/>
    <x v="1"/>
    <s v="United States"/>
    <x v="104"/>
    <x v="22"/>
    <x v="1"/>
    <n v="3"/>
    <n v="2295"/>
    <n v="244.83"/>
  </r>
  <r>
    <x v="471"/>
    <x v="0"/>
    <x v="0"/>
    <s v="United States"/>
    <x v="53"/>
    <x v="2"/>
    <x v="1"/>
    <n v="2"/>
    <n v="2190"/>
    <n v="477.8"/>
  </r>
  <r>
    <x v="328"/>
    <x v="2"/>
    <x v="2"/>
    <s v="United States"/>
    <x v="53"/>
    <x v="2"/>
    <x v="1"/>
    <n v="7"/>
    <n v="3500"/>
    <n v="919.35"/>
  </r>
  <r>
    <x v="472"/>
    <x v="4"/>
    <x v="1"/>
    <s v="United States"/>
    <x v="28"/>
    <x v="2"/>
    <x v="1"/>
    <n v="2"/>
    <n v="1098"/>
    <n v="239.92"/>
  </r>
  <r>
    <x v="473"/>
    <x v="1"/>
    <x v="1"/>
    <s v="United States"/>
    <x v="183"/>
    <x v="22"/>
    <x v="1"/>
    <n v="5"/>
    <n v="945"/>
    <n v="194.03"/>
  </r>
  <r>
    <x v="273"/>
    <x v="1"/>
    <x v="1"/>
    <s v="United States"/>
    <x v="184"/>
    <x v="35"/>
    <x v="0"/>
    <n v="6"/>
    <n v="5622"/>
    <n v="1382.67"/>
  </r>
  <r>
    <x v="442"/>
    <x v="3"/>
    <x v="2"/>
    <s v="United States"/>
    <x v="77"/>
    <x v="7"/>
    <x v="2"/>
    <n v="3"/>
    <n v="2325"/>
    <n v="309.49"/>
  </r>
  <r>
    <x v="474"/>
    <x v="8"/>
    <x v="1"/>
    <s v="United States"/>
    <x v="6"/>
    <x v="5"/>
    <x v="3"/>
    <n v="1"/>
    <n v="1157"/>
    <n v="252.08"/>
  </r>
  <r>
    <x v="475"/>
    <x v="0"/>
    <x v="0"/>
    <s v="United States"/>
    <x v="185"/>
    <x v="8"/>
    <x v="3"/>
    <n v="3"/>
    <n v="531"/>
    <n v="126.24"/>
  </r>
  <r>
    <x v="476"/>
    <x v="2"/>
    <x v="2"/>
    <s v="United States"/>
    <x v="3"/>
    <x v="3"/>
    <x v="2"/>
    <n v="2"/>
    <n v="1760"/>
    <n v="278.08999999999997"/>
  </r>
  <r>
    <x v="477"/>
    <x v="5"/>
    <x v="2"/>
    <s v="United States"/>
    <x v="3"/>
    <x v="3"/>
    <x v="2"/>
    <n v="1"/>
    <n v="371"/>
    <n v="108.58"/>
  </r>
  <r>
    <x v="478"/>
    <x v="7"/>
    <x v="2"/>
    <s v="United States"/>
    <x v="115"/>
    <x v="7"/>
    <x v="2"/>
    <n v="4"/>
    <n v="1896"/>
    <n v="191.7"/>
  </r>
  <r>
    <x v="479"/>
    <x v="5"/>
    <x v="2"/>
    <s v="United States"/>
    <x v="29"/>
    <x v="24"/>
    <x v="0"/>
    <n v="2"/>
    <n v="514"/>
    <n v="106.75"/>
  </r>
  <r>
    <x v="480"/>
    <x v="6"/>
    <x v="1"/>
    <s v="United States"/>
    <x v="186"/>
    <x v="17"/>
    <x v="3"/>
    <n v="7"/>
    <n v="1876"/>
    <n v="129.25"/>
  </r>
  <r>
    <x v="372"/>
    <x v="3"/>
    <x v="2"/>
    <s v="United States"/>
    <x v="28"/>
    <x v="2"/>
    <x v="1"/>
    <n v="6"/>
    <n v="1182"/>
    <n v="236.12"/>
  </r>
  <r>
    <x v="281"/>
    <x v="7"/>
    <x v="2"/>
    <s v="United States"/>
    <x v="79"/>
    <x v="16"/>
    <x v="3"/>
    <n v="5"/>
    <n v="4255"/>
    <n v="961.41"/>
  </r>
  <r>
    <x v="481"/>
    <x v="6"/>
    <x v="1"/>
    <s v="United States"/>
    <x v="79"/>
    <x v="16"/>
    <x v="3"/>
    <n v="9"/>
    <n v="1341"/>
    <n v="150.69999999999999"/>
  </r>
  <r>
    <x v="482"/>
    <x v="8"/>
    <x v="1"/>
    <s v="United States"/>
    <x v="79"/>
    <x v="16"/>
    <x v="3"/>
    <n v="1"/>
    <n v="644"/>
    <n v="49.25"/>
  </r>
  <r>
    <x v="432"/>
    <x v="6"/>
    <x v="1"/>
    <s v="United States"/>
    <x v="2"/>
    <x v="2"/>
    <x v="1"/>
    <n v="3"/>
    <n v="1827"/>
    <n v="94.4"/>
  </r>
  <r>
    <x v="217"/>
    <x v="3"/>
    <x v="2"/>
    <s v="United States"/>
    <x v="28"/>
    <x v="2"/>
    <x v="1"/>
    <n v="1"/>
    <n v="930"/>
    <n v="136.16"/>
  </r>
  <r>
    <x v="483"/>
    <x v="3"/>
    <x v="2"/>
    <s v="United States"/>
    <x v="53"/>
    <x v="2"/>
    <x v="1"/>
    <n v="4"/>
    <n v="528"/>
    <n v="152.80000000000001"/>
  </r>
  <r>
    <x v="484"/>
    <x v="6"/>
    <x v="1"/>
    <s v="United States"/>
    <x v="110"/>
    <x v="22"/>
    <x v="1"/>
    <n v="6"/>
    <n v="4236"/>
    <n v="739.22"/>
  </r>
  <r>
    <x v="485"/>
    <x v="4"/>
    <x v="1"/>
    <s v="United States"/>
    <x v="110"/>
    <x v="22"/>
    <x v="1"/>
    <n v="4"/>
    <n v="1664"/>
    <n v="190.82"/>
  </r>
  <r>
    <x v="197"/>
    <x v="5"/>
    <x v="2"/>
    <s v="United States"/>
    <x v="115"/>
    <x v="7"/>
    <x v="2"/>
    <n v="3"/>
    <n v="2727"/>
    <n v="554.46"/>
  </r>
  <r>
    <x v="89"/>
    <x v="5"/>
    <x v="2"/>
    <s v="United States"/>
    <x v="64"/>
    <x v="2"/>
    <x v="1"/>
    <n v="2"/>
    <n v="522"/>
    <n v="52.73"/>
  </r>
  <r>
    <x v="486"/>
    <x v="1"/>
    <x v="1"/>
    <s v="United States"/>
    <x v="64"/>
    <x v="2"/>
    <x v="1"/>
    <n v="7"/>
    <n v="8288"/>
    <n v="1945.03"/>
  </r>
  <r>
    <x v="416"/>
    <x v="9"/>
    <x v="2"/>
    <s v="United States"/>
    <x v="64"/>
    <x v="2"/>
    <x v="1"/>
    <n v="9"/>
    <n v="1062"/>
    <n v="73.58"/>
  </r>
  <r>
    <x v="487"/>
    <x v="7"/>
    <x v="2"/>
    <s v="United States"/>
    <x v="187"/>
    <x v="8"/>
    <x v="3"/>
    <n v="3"/>
    <n v="1140"/>
    <n v="226.52"/>
  </r>
  <r>
    <x v="294"/>
    <x v="8"/>
    <x v="1"/>
    <s v="United States"/>
    <x v="160"/>
    <x v="30"/>
    <x v="0"/>
    <n v="8"/>
    <n v="3488"/>
    <n v="712.24"/>
  </r>
  <r>
    <x v="488"/>
    <x v="2"/>
    <x v="2"/>
    <s v="United States"/>
    <x v="188"/>
    <x v="5"/>
    <x v="3"/>
    <n v="8"/>
    <n v="5920"/>
    <n v="1436.7"/>
  </r>
  <r>
    <x v="489"/>
    <x v="6"/>
    <x v="1"/>
    <s v="United States"/>
    <x v="3"/>
    <x v="3"/>
    <x v="2"/>
    <n v="9"/>
    <n v="3096"/>
    <n v="362.89"/>
  </r>
  <r>
    <x v="348"/>
    <x v="6"/>
    <x v="1"/>
    <s v="United States"/>
    <x v="189"/>
    <x v="10"/>
    <x v="0"/>
    <n v="5"/>
    <n v="3490"/>
    <n v="205.04"/>
  </r>
  <r>
    <x v="8"/>
    <x v="5"/>
    <x v="2"/>
    <s v="United States"/>
    <x v="3"/>
    <x v="3"/>
    <x v="2"/>
    <n v="6"/>
    <n v="4374"/>
    <n v="702.62"/>
  </r>
  <r>
    <x v="490"/>
    <x v="7"/>
    <x v="2"/>
    <s v="United States"/>
    <x v="15"/>
    <x v="13"/>
    <x v="1"/>
    <n v="6"/>
    <n v="3366"/>
    <n v="541.86"/>
  </r>
  <r>
    <x v="491"/>
    <x v="0"/>
    <x v="0"/>
    <s v="United States"/>
    <x v="76"/>
    <x v="36"/>
    <x v="1"/>
    <n v="6"/>
    <n v="822"/>
    <n v="231.62"/>
  </r>
  <r>
    <x v="492"/>
    <x v="6"/>
    <x v="1"/>
    <s v="United States"/>
    <x v="29"/>
    <x v="24"/>
    <x v="0"/>
    <n v="2"/>
    <n v="340"/>
    <n v="39.119999999999997"/>
  </r>
  <r>
    <x v="493"/>
    <x v="1"/>
    <x v="1"/>
    <s v="United States"/>
    <x v="3"/>
    <x v="3"/>
    <x v="2"/>
    <n v="1"/>
    <n v="763"/>
    <n v="217.94"/>
  </r>
  <r>
    <x v="494"/>
    <x v="4"/>
    <x v="1"/>
    <s v="United States"/>
    <x v="190"/>
    <x v="0"/>
    <x v="0"/>
    <n v="4"/>
    <n v="3408"/>
    <n v="856.98"/>
  </r>
  <r>
    <x v="495"/>
    <x v="2"/>
    <x v="2"/>
    <s v="United States"/>
    <x v="13"/>
    <x v="7"/>
    <x v="2"/>
    <n v="7"/>
    <n v="2282"/>
    <n v="537.71"/>
  </r>
  <r>
    <x v="496"/>
    <x v="3"/>
    <x v="2"/>
    <s v="United States"/>
    <x v="191"/>
    <x v="5"/>
    <x v="3"/>
    <n v="7"/>
    <n v="4151"/>
    <n v="1047.43"/>
  </r>
  <r>
    <x v="497"/>
    <x v="9"/>
    <x v="2"/>
    <s v="United States"/>
    <x v="192"/>
    <x v="4"/>
    <x v="1"/>
    <n v="7"/>
    <n v="6279"/>
    <n v="1689.55"/>
  </r>
  <r>
    <x v="126"/>
    <x v="6"/>
    <x v="1"/>
    <s v="United States"/>
    <x v="193"/>
    <x v="5"/>
    <x v="3"/>
    <n v="3"/>
    <n v="474"/>
    <n v="83.32"/>
  </r>
  <r>
    <x v="498"/>
    <x v="6"/>
    <x v="1"/>
    <s v="United States"/>
    <x v="3"/>
    <x v="3"/>
    <x v="2"/>
    <n v="5"/>
    <n v="680"/>
    <n v="176.44"/>
  </r>
  <r>
    <x v="499"/>
    <x v="4"/>
    <x v="1"/>
    <s v="United States"/>
    <x v="180"/>
    <x v="25"/>
    <x v="0"/>
    <n v="9"/>
    <n v="8496"/>
    <n v="1721.6"/>
  </r>
  <r>
    <x v="500"/>
    <x v="8"/>
    <x v="1"/>
    <s v="United States"/>
    <x v="194"/>
    <x v="17"/>
    <x v="3"/>
    <n v="7"/>
    <n v="7826"/>
    <n v="714.68"/>
  </r>
  <r>
    <x v="126"/>
    <x v="1"/>
    <x v="1"/>
    <s v="United States"/>
    <x v="195"/>
    <x v="36"/>
    <x v="1"/>
    <n v="6"/>
    <n v="4014"/>
    <n v="717.44"/>
  </r>
  <r>
    <x v="501"/>
    <x v="9"/>
    <x v="2"/>
    <s v="United States"/>
    <x v="91"/>
    <x v="35"/>
    <x v="0"/>
    <n v="1"/>
    <n v="687"/>
    <n v="62.82"/>
  </r>
  <r>
    <x v="502"/>
    <x v="5"/>
    <x v="2"/>
    <s v="United States"/>
    <x v="102"/>
    <x v="2"/>
    <x v="1"/>
    <n v="3"/>
    <n v="2943"/>
    <n v="234.27"/>
  </r>
  <r>
    <x v="503"/>
    <x v="0"/>
    <x v="0"/>
    <s v="United States"/>
    <x v="196"/>
    <x v="9"/>
    <x v="0"/>
    <n v="7"/>
    <n v="5649"/>
    <n v="660.37"/>
  </r>
  <r>
    <x v="504"/>
    <x v="2"/>
    <x v="2"/>
    <s v="United States"/>
    <x v="62"/>
    <x v="2"/>
    <x v="1"/>
    <n v="8"/>
    <n v="3296"/>
    <n v="623.66999999999996"/>
  </r>
  <r>
    <x v="505"/>
    <x v="4"/>
    <x v="1"/>
    <s v="United States"/>
    <x v="29"/>
    <x v="24"/>
    <x v="0"/>
    <n v="3"/>
    <n v="1137"/>
    <n v="173.92"/>
  </r>
  <r>
    <x v="361"/>
    <x v="7"/>
    <x v="2"/>
    <s v="United States"/>
    <x v="197"/>
    <x v="42"/>
    <x v="1"/>
    <n v="2"/>
    <n v="380"/>
    <n v="101.7"/>
  </r>
  <r>
    <x v="418"/>
    <x v="9"/>
    <x v="2"/>
    <s v="United States"/>
    <x v="28"/>
    <x v="2"/>
    <x v="1"/>
    <n v="5"/>
    <n v="4405"/>
    <n v="1247.8599999999999"/>
  </r>
  <r>
    <x v="506"/>
    <x v="2"/>
    <x v="2"/>
    <s v="United States"/>
    <x v="28"/>
    <x v="2"/>
    <x v="1"/>
    <n v="1"/>
    <n v="120"/>
    <n v="9.43"/>
  </r>
  <r>
    <x v="347"/>
    <x v="0"/>
    <x v="0"/>
    <s v="United States"/>
    <x v="19"/>
    <x v="14"/>
    <x v="2"/>
    <n v="1"/>
    <n v="1176"/>
    <n v="182.07"/>
  </r>
  <r>
    <x v="507"/>
    <x v="3"/>
    <x v="2"/>
    <s v="United States"/>
    <x v="2"/>
    <x v="2"/>
    <x v="1"/>
    <n v="3"/>
    <n v="1770"/>
    <n v="366.58"/>
  </r>
  <r>
    <x v="508"/>
    <x v="3"/>
    <x v="2"/>
    <s v="United States"/>
    <x v="144"/>
    <x v="5"/>
    <x v="3"/>
    <n v="6"/>
    <n v="4302"/>
    <n v="965.02"/>
  </r>
  <r>
    <x v="453"/>
    <x v="3"/>
    <x v="2"/>
    <s v="United States"/>
    <x v="144"/>
    <x v="5"/>
    <x v="3"/>
    <n v="3"/>
    <n v="2988"/>
    <n v="362.68"/>
  </r>
  <r>
    <x v="373"/>
    <x v="4"/>
    <x v="1"/>
    <s v="United States"/>
    <x v="6"/>
    <x v="5"/>
    <x v="3"/>
    <n v="3"/>
    <n v="3033"/>
    <n v="458.41"/>
  </r>
  <r>
    <x v="63"/>
    <x v="1"/>
    <x v="1"/>
    <s v="United States"/>
    <x v="0"/>
    <x v="0"/>
    <x v="0"/>
    <n v="9"/>
    <n v="6363"/>
    <n v="1752.65"/>
  </r>
  <r>
    <x v="509"/>
    <x v="2"/>
    <x v="2"/>
    <s v="United States"/>
    <x v="50"/>
    <x v="5"/>
    <x v="3"/>
    <n v="6"/>
    <n v="3402"/>
    <n v="501.29"/>
  </r>
  <r>
    <x v="510"/>
    <x v="8"/>
    <x v="1"/>
    <s v="United States"/>
    <x v="13"/>
    <x v="7"/>
    <x v="2"/>
    <n v="4"/>
    <n v="3496"/>
    <n v="1032.81"/>
  </r>
  <r>
    <x v="511"/>
    <x v="6"/>
    <x v="1"/>
    <s v="United States"/>
    <x v="134"/>
    <x v="38"/>
    <x v="2"/>
    <n v="4"/>
    <n v="1080"/>
    <n v="204.95"/>
  </r>
  <r>
    <x v="512"/>
    <x v="4"/>
    <x v="1"/>
    <s v="United States"/>
    <x v="15"/>
    <x v="13"/>
    <x v="1"/>
    <n v="6"/>
    <n v="1530"/>
    <n v="218.99"/>
  </r>
  <r>
    <x v="513"/>
    <x v="8"/>
    <x v="1"/>
    <s v="United States"/>
    <x v="49"/>
    <x v="1"/>
    <x v="0"/>
    <n v="4"/>
    <n v="3568"/>
    <n v="764.2"/>
  </r>
  <r>
    <x v="514"/>
    <x v="7"/>
    <x v="2"/>
    <s v="United States"/>
    <x v="49"/>
    <x v="1"/>
    <x v="0"/>
    <n v="1"/>
    <n v="954"/>
    <n v="48.97"/>
  </r>
  <r>
    <x v="515"/>
    <x v="3"/>
    <x v="2"/>
    <s v="United States"/>
    <x v="2"/>
    <x v="2"/>
    <x v="1"/>
    <n v="4"/>
    <n v="1196"/>
    <n v="223.66"/>
  </r>
  <r>
    <x v="516"/>
    <x v="5"/>
    <x v="2"/>
    <s v="United States"/>
    <x v="2"/>
    <x v="2"/>
    <x v="1"/>
    <n v="4"/>
    <n v="2136"/>
    <n v="217.47"/>
  </r>
  <r>
    <x v="164"/>
    <x v="0"/>
    <x v="0"/>
    <s v="United States"/>
    <x v="64"/>
    <x v="7"/>
    <x v="2"/>
    <n v="9"/>
    <n v="8496"/>
    <n v="2316.0300000000002"/>
  </r>
  <r>
    <x v="517"/>
    <x v="9"/>
    <x v="2"/>
    <s v="United States"/>
    <x v="144"/>
    <x v="5"/>
    <x v="3"/>
    <n v="7"/>
    <n v="7280"/>
    <n v="1450.82"/>
  </r>
  <r>
    <x v="440"/>
    <x v="5"/>
    <x v="2"/>
    <s v="United States"/>
    <x v="198"/>
    <x v="5"/>
    <x v="3"/>
    <n v="5"/>
    <n v="4935"/>
    <n v="625.39"/>
  </r>
  <r>
    <x v="518"/>
    <x v="2"/>
    <x v="2"/>
    <s v="United States"/>
    <x v="15"/>
    <x v="13"/>
    <x v="1"/>
    <n v="8"/>
    <n v="9056"/>
    <n v="872.48"/>
  </r>
  <r>
    <x v="519"/>
    <x v="5"/>
    <x v="2"/>
    <s v="United States"/>
    <x v="19"/>
    <x v="15"/>
    <x v="2"/>
    <n v="1"/>
    <n v="563"/>
    <n v="46.96"/>
  </r>
  <r>
    <x v="204"/>
    <x v="0"/>
    <x v="0"/>
    <s v="United States"/>
    <x v="13"/>
    <x v="7"/>
    <x v="2"/>
    <n v="2"/>
    <n v="1570"/>
    <n v="247.7"/>
  </r>
  <r>
    <x v="520"/>
    <x v="3"/>
    <x v="2"/>
    <s v="United States"/>
    <x v="140"/>
    <x v="17"/>
    <x v="3"/>
    <n v="3"/>
    <n v="2181"/>
    <n v="517.02"/>
  </r>
  <r>
    <x v="407"/>
    <x v="1"/>
    <x v="1"/>
    <s v="United States"/>
    <x v="199"/>
    <x v="1"/>
    <x v="0"/>
    <n v="4"/>
    <n v="3808"/>
    <n v="442.33"/>
  </r>
  <r>
    <x v="521"/>
    <x v="8"/>
    <x v="1"/>
    <s v="United States"/>
    <x v="9"/>
    <x v="8"/>
    <x v="3"/>
    <n v="7"/>
    <n v="6552"/>
    <n v="635.09"/>
  </r>
  <r>
    <x v="522"/>
    <x v="9"/>
    <x v="2"/>
    <s v="United States"/>
    <x v="200"/>
    <x v="12"/>
    <x v="1"/>
    <n v="8"/>
    <n v="6544"/>
    <n v="1086.29"/>
  </r>
  <r>
    <x v="523"/>
    <x v="1"/>
    <x v="1"/>
    <s v="United States"/>
    <x v="13"/>
    <x v="7"/>
    <x v="2"/>
    <n v="3"/>
    <n v="2631"/>
    <n v="157.19"/>
  </r>
  <r>
    <x v="524"/>
    <x v="6"/>
    <x v="1"/>
    <s v="United States"/>
    <x v="13"/>
    <x v="7"/>
    <x v="2"/>
    <n v="9"/>
    <n v="945"/>
    <n v="94.75"/>
  </r>
  <r>
    <x v="525"/>
    <x v="6"/>
    <x v="1"/>
    <s v="United States"/>
    <x v="40"/>
    <x v="15"/>
    <x v="2"/>
    <n v="2"/>
    <n v="760"/>
    <n v="192.42"/>
  </r>
  <r>
    <x v="526"/>
    <x v="6"/>
    <x v="1"/>
    <s v="United States"/>
    <x v="53"/>
    <x v="2"/>
    <x v="1"/>
    <n v="4"/>
    <n v="1392"/>
    <n v="394.48"/>
  </r>
  <r>
    <x v="527"/>
    <x v="5"/>
    <x v="2"/>
    <s v="United States"/>
    <x v="53"/>
    <x v="2"/>
    <x v="1"/>
    <n v="3"/>
    <n v="1242"/>
    <n v="206.74"/>
  </r>
  <r>
    <x v="528"/>
    <x v="9"/>
    <x v="2"/>
    <s v="United States"/>
    <x v="13"/>
    <x v="7"/>
    <x v="2"/>
    <n v="3"/>
    <n v="3183"/>
    <n v="868.73"/>
  </r>
  <r>
    <x v="529"/>
    <x v="6"/>
    <x v="1"/>
    <s v="United States"/>
    <x v="130"/>
    <x v="19"/>
    <x v="2"/>
    <n v="5"/>
    <n v="4260"/>
    <n v="229.77"/>
  </r>
  <r>
    <x v="530"/>
    <x v="7"/>
    <x v="2"/>
    <s v="United States"/>
    <x v="6"/>
    <x v="5"/>
    <x v="3"/>
    <n v="1"/>
    <n v="1041"/>
    <n v="132.46"/>
  </r>
  <r>
    <x v="531"/>
    <x v="5"/>
    <x v="2"/>
    <s v="United States"/>
    <x v="6"/>
    <x v="5"/>
    <x v="3"/>
    <n v="3"/>
    <n v="1692"/>
    <n v="348.81"/>
  </r>
  <r>
    <x v="532"/>
    <x v="3"/>
    <x v="2"/>
    <s v="United States"/>
    <x v="141"/>
    <x v="5"/>
    <x v="3"/>
    <n v="4"/>
    <n v="1728"/>
    <n v="403.06"/>
  </r>
  <r>
    <x v="533"/>
    <x v="3"/>
    <x v="2"/>
    <s v="United States"/>
    <x v="15"/>
    <x v="13"/>
    <x v="1"/>
    <n v="4"/>
    <n v="4484"/>
    <n v="893.27"/>
  </r>
  <r>
    <x v="534"/>
    <x v="7"/>
    <x v="2"/>
    <s v="United States"/>
    <x v="3"/>
    <x v="3"/>
    <x v="2"/>
    <n v="7"/>
    <n v="4123"/>
    <n v="750.05"/>
  </r>
  <r>
    <x v="327"/>
    <x v="1"/>
    <x v="1"/>
    <s v="United States"/>
    <x v="20"/>
    <x v="9"/>
    <x v="0"/>
    <n v="2"/>
    <n v="2372"/>
    <n v="392.07"/>
  </r>
  <r>
    <x v="498"/>
    <x v="7"/>
    <x v="2"/>
    <s v="United States"/>
    <x v="2"/>
    <x v="2"/>
    <x v="1"/>
    <n v="7"/>
    <n v="5201"/>
    <n v="745.2"/>
  </r>
  <r>
    <x v="352"/>
    <x v="1"/>
    <x v="1"/>
    <s v="United States"/>
    <x v="13"/>
    <x v="7"/>
    <x v="2"/>
    <n v="5"/>
    <n v="3100"/>
    <n v="695.28"/>
  </r>
  <r>
    <x v="535"/>
    <x v="5"/>
    <x v="2"/>
    <s v="United States"/>
    <x v="53"/>
    <x v="2"/>
    <x v="1"/>
    <n v="6"/>
    <n v="5292"/>
    <n v="1105.95"/>
  </r>
  <r>
    <x v="536"/>
    <x v="2"/>
    <x v="2"/>
    <s v="United States"/>
    <x v="3"/>
    <x v="3"/>
    <x v="2"/>
    <n v="6"/>
    <n v="5952"/>
    <n v="971.53"/>
  </r>
  <r>
    <x v="537"/>
    <x v="7"/>
    <x v="2"/>
    <s v="United States"/>
    <x v="201"/>
    <x v="21"/>
    <x v="0"/>
    <n v="4"/>
    <n v="1932"/>
    <n v="472.91"/>
  </r>
  <r>
    <x v="19"/>
    <x v="2"/>
    <x v="2"/>
    <s v="United States"/>
    <x v="53"/>
    <x v="2"/>
    <x v="1"/>
    <n v="6"/>
    <n v="3486"/>
    <n v="1011.74"/>
  </r>
  <r>
    <x v="538"/>
    <x v="2"/>
    <x v="2"/>
    <s v="United States"/>
    <x v="64"/>
    <x v="7"/>
    <x v="2"/>
    <n v="2"/>
    <n v="1708"/>
    <n v="441.43"/>
  </r>
  <r>
    <x v="393"/>
    <x v="6"/>
    <x v="1"/>
    <s v="United States"/>
    <x v="82"/>
    <x v="5"/>
    <x v="3"/>
    <n v="4"/>
    <n v="4324"/>
    <n v="288.12"/>
  </r>
  <r>
    <x v="539"/>
    <x v="9"/>
    <x v="2"/>
    <s v="United States"/>
    <x v="11"/>
    <x v="9"/>
    <x v="0"/>
    <n v="4"/>
    <n v="2708"/>
    <n v="302.14"/>
  </r>
  <r>
    <x v="540"/>
    <x v="0"/>
    <x v="0"/>
    <s v="United States"/>
    <x v="13"/>
    <x v="7"/>
    <x v="2"/>
    <n v="8"/>
    <n v="7944"/>
    <n v="1142.83"/>
  </r>
  <r>
    <x v="434"/>
    <x v="3"/>
    <x v="2"/>
    <s v="United States"/>
    <x v="9"/>
    <x v="8"/>
    <x v="3"/>
    <n v="3"/>
    <n v="684"/>
    <n v="39.33"/>
  </r>
  <r>
    <x v="313"/>
    <x v="0"/>
    <x v="0"/>
    <s v="United States"/>
    <x v="121"/>
    <x v="2"/>
    <x v="1"/>
    <n v="9"/>
    <n v="5904"/>
    <n v="1440.45"/>
  </r>
  <r>
    <x v="541"/>
    <x v="0"/>
    <x v="0"/>
    <s v="United States"/>
    <x v="121"/>
    <x v="2"/>
    <x v="1"/>
    <n v="5"/>
    <n v="4970"/>
    <n v="1080.1199999999999"/>
  </r>
  <r>
    <x v="542"/>
    <x v="4"/>
    <x v="1"/>
    <s v="United States"/>
    <x v="202"/>
    <x v="20"/>
    <x v="2"/>
    <n v="2"/>
    <n v="2288"/>
    <n v="234.97"/>
  </r>
  <r>
    <x v="21"/>
    <x v="7"/>
    <x v="2"/>
    <s v="United States"/>
    <x v="53"/>
    <x v="2"/>
    <x v="1"/>
    <n v="6"/>
    <n v="4662"/>
    <n v="350.79"/>
  </r>
  <r>
    <x v="543"/>
    <x v="1"/>
    <x v="1"/>
    <s v="United States"/>
    <x v="203"/>
    <x v="19"/>
    <x v="2"/>
    <n v="4"/>
    <n v="2532"/>
    <n v="404.96"/>
  </r>
  <r>
    <x v="221"/>
    <x v="2"/>
    <x v="2"/>
    <s v="United States"/>
    <x v="13"/>
    <x v="7"/>
    <x v="2"/>
    <n v="8"/>
    <n v="9328"/>
    <n v="1008.6"/>
  </r>
  <r>
    <x v="272"/>
    <x v="0"/>
    <x v="0"/>
    <s v="United States"/>
    <x v="6"/>
    <x v="5"/>
    <x v="3"/>
    <n v="1"/>
    <n v="686"/>
    <n v="86.18"/>
  </r>
  <r>
    <x v="544"/>
    <x v="5"/>
    <x v="2"/>
    <s v="United States"/>
    <x v="204"/>
    <x v="2"/>
    <x v="1"/>
    <n v="6"/>
    <n v="1290"/>
    <n v="343.35"/>
  </r>
  <r>
    <x v="356"/>
    <x v="0"/>
    <x v="0"/>
    <s v="United States"/>
    <x v="205"/>
    <x v="34"/>
    <x v="1"/>
    <n v="5"/>
    <n v="1205"/>
    <n v="235.19"/>
  </r>
  <r>
    <x v="545"/>
    <x v="4"/>
    <x v="1"/>
    <s v="United States"/>
    <x v="206"/>
    <x v="7"/>
    <x v="2"/>
    <n v="7"/>
    <n v="7966"/>
    <n v="1313.56"/>
  </r>
  <r>
    <x v="201"/>
    <x v="3"/>
    <x v="2"/>
    <s v="United States"/>
    <x v="206"/>
    <x v="7"/>
    <x v="2"/>
    <n v="7"/>
    <n v="1085"/>
    <n v="130.72"/>
  </r>
  <r>
    <x v="248"/>
    <x v="6"/>
    <x v="1"/>
    <s v="United States"/>
    <x v="206"/>
    <x v="7"/>
    <x v="2"/>
    <n v="9"/>
    <n v="6633"/>
    <n v="1239.1099999999999"/>
  </r>
  <r>
    <x v="546"/>
    <x v="9"/>
    <x v="2"/>
    <s v="United States"/>
    <x v="3"/>
    <x v="3"/>
    <x v="2"/>
    <n v="7"/>
    <n v="5096"/>
    <n v="971.5"/>
  </r>
  <r>
    <x v="547"/>
    <x v="2"/>
    <x v="2"/>
    <s v="United States"/>
    <x v="13"/>
    <x v="7"/>
    <x v="2"/>
    <n v="4"/>
    <n v="4120"/>
    <n v="710.07"/>
  </r>
  <r>
    <x v="548"/>
    <x v="6"/>
    <x v="1"/>
    <s v="United States"/>
    <x v="127"/>
    <x v="30"/>
    <x v="0"/>
    <n v="3"/>
    <n v="1479"/>
    <n v="207.58"/>
  </r>
  <r>
    <x v="549"/>
    <x v="7"/>
    <x v="2"/>
    <s v="United States"/>
    <x v="207"/>
    <x v="8"/>
    <x v="3"/>
    <n v="7"/>
    <n v="1652"/>
    <n v="397.49"/>
  </r>
  <r>
    <x v="331"/>
    <x v="9"/>
    <x v="2"/>
    <s v="United States"/>
    <x v="6"/>
    <x v="5"/>
    <x v="3"/>
    <n v="1"/>
    <n v="1028"/>
    <n v="240.61"/>
  </r>
  <r>
    <x v="550"/>
    <x v="6"/>
    <x v="1"/>
    <s v="United States"/>
    <x v="29"/>
    <x v="15"/>
    <x v="2"/>
    <n v="4"/>
    <n v="4580"/>
    <n v="655.14"/>
  </r>
  <r>
    <x v="551"/>
    <x v="6"/>
    <x v="1"/>
    <s v="United States"/>
    <x v="29"/>
    <x v="15"/>
    <x v="2"/>
    <n v="8"/>
    <n v="2152"/>
    <n v="196.53"/>
  </r>
  <r>
    <x v="509"/>
    <x v="6"/>
    <x v="1"/>
    <s v="United States"/>
    <x v="29"/>
    <x v="15"/>
    <x v="2"/>
    <n v="6"/>
    <n v="4566"/>
    <n v="866.13"/>
  </r>
  <r>
    <x v="552"/>
    <x v="4"/>
    <x v="1"/>
    <s v="United States"/>
    <x v="13"/>
    <x v="7"/>
    <x v="2"/>
    <n v="3"/>
    <n v="2244"/>
    <n v="301.52999999999997"/>
  </r>
  <r>
    <x v="69"/>
    <x v="1"/>
    <x v="1"/>
    <s v="United States"/>
    <x v="208"/>
    <x v="26"/>
    <x v="3"/>
    <n v="4"/>
    <n v="1344"/>
    <n v="140.52000000000001"/>
  </r>
  <r>
    <x v="487"/>
    <x v="0"/>
    <x v="0"/>
    <s v="United States"/>
    <x v="68"/>
    <x v="15"/>
    <x v="2"/>
    <n v="6"/>
    <n v="2622"/>
    <n v="131.53"/>
  </r>
  <r>
    <x v="553"/>
    <x v="7"/>
    <x v="2"/>
    <s v="United States"/>
    <x v="209"/>
    <x v="2"/>
    <x v="1"/>
    <n v="1"/>
    <n v="325"/>
    <n v="46.84"/>
  </r>
  <r>
    <x v="61"/>
    <x v="8"/>
    <x v="1"/>
    <s v="United States"/>
    <x v="9"/>
    <x v="8"/>
    <x v="3"/>
    <n v="1"/>
    <n v="960"/>
    <n v="95.88"/>
  </r>
  <r>
    <x v="554"/>
    <x v="7"/>
    <x v="2"/>
    <s v="United States"/>
    <x v="144"/>
    <x v="5"/>
    <x v="3"/>
    <n v="7"/>
    <n v="2639"/>
    <n v="268.88"/>
  </r>
  <r>
    <x v="230"/>
    <x v="0"/>
    <x v="0"/>
    <s v="United States"/>
    <x v="144"/>
    <x v="5"/>
    <x v="3"/>
    <n v="5"/>
    <n v="1025"/>
    <n v="246.15"/>
  </r>
  <r>
    <x v="555"/>
    <x v="6"/>
    <x v="1"/>
    <s v="United States"/>
    <x v="3"/>
    <x v="3"/>
    <x v="2"/>
    <n v="2"/>
    <n v="1924"/>
    <n v="434.86"/>
  </r>
  <r>
    <x v="556"/>
    <x v="7"/>
    <x v="2"/>
    <s v="United States"/>
    <x v="210"/>
    <x v="20"/>
    <x v="2"/>
    <n v="2"/>
    <n v="1660"/>
    <n v="362.88"/>
  </r>
  <r>
    <x v="369"/>
    <x v="0"/>
    <x v="0"/>
    <s v="United States"/>
    <x v="38"/>
    <x v="21"/>
    <x v="0"/>
    <n v="1"/>
    <n v="985"/>
    <n v="105.09"/>
  </r>
  <r>
    <x v="340"/>
    <x v="8"/>
    <x v="1"/>
    <s v="United States"/>
    <x v="28"/>
    <x v="2"/>
    <x v="1"/>
    <n v="5"/>
    <n v="2600"/>
    <n v="537.11"/>
  </r>
  <r>
    <x v="257"/>
    <x v="3"/>
    <x v="2"/>
    <s v="United States"/>
    <x v="211"/>
    <x v="17"/>
    <x v="3"/>
    <n v="4"/>
    <n v="2792"/>
    <n v="725.35"/>
  </r>
  <r>
    <x v="557"/>
    <x v="4"/>
    <x v="1"/>
    <s v="United States"/>
    <x v="28"/>
    <x v="2"/>
    <x v="1"/>
    <n v="2"/>
    <n v="378"/>
    <n v="87.37"/>
  </r>
  <r>
    <x v="118"/>
    <x v="3"/>
    <x v="2"/>
    <s v="United States"/>
    <x v="212"/>
    <x v="33"/>
    <x v="0"/>
    <n v="8"/>
    <n v="968"/>
    <n v="271.61"/>
  </r>
  <r>
    <x v="446"/>
    <x v="5"/>
    <x v="2"/>
    <s v="United States"/>
    <x v="76"/>
    <x v="25"/>
    <x v="0"/>
    <n v="3"/>
    <n v="564"/>
    <n v="108.35"/>
  </r>
  <r>
    <x v="297"/>
    <x v="9"/>
    <x v="2"/>
    <s v="United States"/>
    <x v="76"/>
    <x v="25"/>
    <x v="0"/>
    <n v="5"/>
    <n v="2365"/>
    <n v="667.61"/>
  </r>
  <r>
    <x v="330"/>
    <x v="7"/>
    <x v="2"/>
    <s v="United States"/>
    <x v="213"/>
    <x v="8"/>
    <x v="3"/>
    <n v="6"/>
    <n v="3252"/>
    <n v="834.84"/>
  </r>
  <r>
    <x v="387"/>
    <x v="3"/>
    <x v="2"/>
    <s v="United States"/>
    <x v="213"/>
    <x v="8"/>
    <x v="3"/>
    <n v="1"/>
    <n v="276"/>
    <n v="42.68"/>
  </r>
  <r>
    <x v="229"/>
    <x v="1"/>
    <x v="1"/>
    <s v="United States"/>
    <x v="214"/>
    <x v="11"/>
    <x v="3"/>
    <n v="3"/>
    <n v="3408"/>
    <n v="205.76"/>
  </r>
  <r>
    <x v="199"/>
    <x v="9"/>
    <x v="2"/>
    <s v="United States"/>
    <x v="2"/>
    <x v="2"/>
    <x v="1"/>
    <n v="6"/>
    <n v="1398"/>
    <n v="180.88"/>
  </r>
  <r>
    <x v="558"/>
    <x v="8"/>
    <x v="1"/>
    <s v="United States"/>
    <x v="215"/>
    <x v="5"/>
    <x v="3"/>
    <n v="4"/>
    <n v="904"/>
    <n v="108.85"/>
  </r>
  <r>
    <x v="5"/>
    <x v="8"/>
    <x v="1"/>
    <s v="United States"/>
    <x v="9"/>
    <x v="8"/>
    <x v="3"/>
    <n v="1"/>
    <n v="1178"/>
    <n v="161.06"/>
  </r>
  <r>
    <x v="559"/>
    <x v="4"/>
    <x v="1"/>
    <s v="United States"/>
    <x v="14"/>
    <x v="8"/>
    <x v="3"/>
    <n v="3"/>
    <n v="2535"/>
    <n v="292.19"/>
  </r>
  <r>
    <x v="560"/>
    <x v="2"/>
    <x v="2"/>
    <s v="United States"/>
    <x v="29"/>
    <x v="15"/>
    <x v="2"/>
    <n v="1"/>
    <n v="496"/>
    <n v="146.91999999999999"/>
  </r>
  <r>
    <x v="561"/>
    <x v="7"/>
    <x v="2"/>
    <s v="United States"/>
    <x v="29"/>
    <x v="15"/>
    <x v="2"/>
    <n v="4"/>
    <n v="3888"/>
    <n v="284.17"/>
  </r>
  <r>
    <x v="416"/>
    <x v="2"/>
    <x v="2"/>
    <s v="United States"/>
    <x v="52"/>
    <x v="0"/>
    <x v="0"/>
    <n v="7"/>
    <n v="4921"/>
    <n v="798.16"/>
  </r>
  <r>
    <x v="562"/>
    <x v="5"/>
    <x v="2"/>
    <s v="United States"/>
    <x v="9"/>
    <x v="8"/>
    <x v="3"/>
    <n v="8"/>
    <n v="4472"/>
    <n v="290.79000000000002"/>
  </r>
  <r>
    <x v="32"/>
    <x v="2"/>
    <x v="2"/>
    <s v="United States"/>
    <x v="144"/>
    <x v="5"/>
    <x v="3"/>
    <n v="3"/>
    <n v="603"/>
    <n v="153.37"/>
  </r>
  <r>
    <x v="563"/>
    <x v="4"/>
    <x v="1"/>
    <s v="United States"/>
    <x v="38"/>
    <x v="21"/>
    <x v="0"/>
    <n v="9"/>
    <n v="1899"/>
    <n v="501.4"/>
  </r>
  <r>
    <x v="564"/>
    <x v="0"/>
    <x v="0"/>
    <s v="United States"/>
    <x v="38"/>
    <x v="17"/>
    <x v="3"/>
    <n v="4"/>
    <n v="544"/>
    <n v="67.84"/>
  </r>
  <r>
    <x v="282"/>
    <x v="6"/>
    <x v="1"/>
    <s v="United States"/>
    <x v="38"/>
    <x v="17"/>
    <x v="3"/>
    <n v="9"/>
    <n v="6471"/>
    <n v="1844.59"/>
  </r>
  <r>
    <x v="565"/>
    <x v="8"/>
    <x v="1"/>
    <s v="United States"/>
    <x v="3"/>
    <x v="3"/>
    <x v="2"/>
    <n v="1"/>
    <n v="677"/>
    <n v="54.14"/>
  </r>
  <r>
    <x v="566"/>
    <x v="9"/>
    <x v="2"/>
    <s v="United States"/>
    <x v="3"/>
    <x v="3"/>
    <x v="2"/>
    <n v="4"/>
    <n v="1372"/>
    <n v="302.58"/>
  </r>
  <r>
    <x v="567"/>
    <x v="8"/>
    <x v="1"/>
    <s v="United States"/>
    <x v="11"/>
    <x v="32"/>
    <x v="2"/>
    <n v="9"/>
    <n v="7542"/>
    <n v="1477.49"/>
  </r>
  <r>
    <x v="498"/>
    <x v="6"/>
    <x v="1"/>
    <s v="United States"/>
    <x v="11"/>
    <x v="32"/>
    <x v="2"/>
    <n v="1"/>
    <n v="924"/>
    <n v="125.65"/>
  </r>
  <r>
    <x v="568"/>
    <x v="7"/>
    <x v="2"/>
    <s v="United States"/>
    <x v="21"/>
    <x v="5"/>
    <x v="3"/>
    <n v="5"/>
    <n v="3940"/>
    <n v="755.11"/>
  </r>
  <r>
    <x v="220"/>
    <x v="2"/>
    <x v="2"/>
    <s v="United States"/>
    <x v="216"/>
    <x v="24"/>
    <x v="0"/>
    <n v="2"/>
    <n v="374"/>
    <n v="49.26"/>
  </r>
  <r>
    <x v="569"/>
    <x v="0"/>
    <x v="0"/>
    <s v="United States"/>
    <x v="28"/>
    <x v="2"/>
    <x v="1"/>
    <n v="5"/>
    <n v="1800"/>
    <n v="252.69"/>
  </r>
  <r>
    <x v="570"/>
    <x v="6"/>
    <x v="1"/>
    <s v="United States"/>
    <x v="76"/>
    <x v="15"/>
    <x v="2"/>
    <n v="5"/>
    <n v="3170"/>
    <n v="868.34"/>
  </r>
  <r>
    <x v="571"/>
    <x v="4"/>
    <x v="1"/>
    <s v="United States"/>
    <x v="217"/>
    <x v="1"/>
    <x v="0"/>
    <n v="7"/>
    <n v="5362"/>
    <n v="1029.47"/>
  </r>
  <r>
    <x v="572"/>
    <x v="6"/>
    <x v="1"/>
    <s v="United States"/>
    <x v="217"/>
    <x v="1"/>
    <x v="0"/>
    <n v="9"/>
    <n v="5976"/>
    <n v="1747.57"/>
  </r>
  <r>
    <x v="573"/>
    <x v="8"/>
    <x v="1"/>
    <s v="United States"/>
    <x v="3"/>
    <x v="3"/>
    <x v="2"/>
    <n v="9"/>
    <n v="8514"/>
    <n v="1400.4"/>
  </r>
  <r>
    <x v="574"/>
    <x v="9"/>
    <x v="2"/>
    <s v="United States"/>
    <x v="53"/>
    <x v="2"/>
    <x v="1"/>
    <n v="1"/>
    <n v="810"/>
    <n v="157.47"/>
  </r>
  <r>
    <x v="449"/>
    <x v="1"/>
    <x v="1"/>
    <s v="United States"/>
    <x v="218"/>
    <x v="32"/>
    <x v="2"/>
    <n v="1"/>
    <n v="71"/>
    <n v="12.02"/>
  </r>
  <r>
    <x v="575"/>
    <x v="9"/>
    <x v="2"/>
    <s v="United States"/>
    <x v="22"/>
    <x v="12"/>
    <x v="1"/>
    <n v="1"/>
    <n v="651"/>
    <n v="57.94"/>
  </r>
  <r>
    <x v="576"/>
    <x v="6"/>
    <x v="1"/>
    <s v="United States"/>
    <x v="15"/>
    <x v="13"/>
    <x v="1"/>
    <n v="3"/>
    <n v="1245"/>
    <n v="119.11"/>
  </r>
  <r>
    <x v="577"/>
    <x v="6"/>
    <x v="1"/>
    <s v="United States"/>
    <x v="77"/>
    <x v="7"/>
    <x v="2"/>
    <n v="1"/>
    <n v="464"/>
    <n v="58.38"/>
  </r>
  <r>
    <x v="17"/>
    <x v="6"/>
    <x v="1"/>
    <s v="United States"/>
    <x v="219"/>
    <x v="15"/>
    <x v="2"/>
    <n v="5"/>
    <n v="5155"/>
    <n v="356.43"/>
  </r>
  <r>
    <x v="25"/>
    <x v="7"/>
    <x v="2"/>
    <s v="United States"/>
    <x v="220"/>
    <x v="5"/>
    <x v="3"/>
    <n v="5"/>
    <n v="5175"/>
    <n v="786.27"/>
  </r>
  <r>
    <x v="555"/>
    <x v="7"/>
    <x v="2"/>
    <s v="United States"/>
    <x v="2"/>
    <x v="2"/>
    <x v="1"/>
    <n v="2"/>
    <n v="1668"/>
    <n v="470.42"/>
  </r>
  <r>
    <x v="58"/>
    <x v="0"/>
    <x v="0"/>
    <s v="United States"/>
    <x v="15"/>
    <x v="13"/>
    <x v="1"/>
    <n v="3"/>
    <n v="1872"/>
    <n v="532.80999999999995"/>
  </r>
  <r>
    <x v="283"/>
    <x v="9"/>
    <x v="2"/>
    <s v="United States"/>
    <x v="84"/>
    <x v="13"/>
    <x v="1"/>
    <n v="3"/>
    <n v="513"/>
    <n v="132.56"/>
  </r>
  <r>
    <x v="75"/>
    <x v="0"/>
    <x v="0"/>
    <s v="United States"/>
    <x v="38"/>
    <x v="21"/>
    <x v="0"/>
    <n v="2"/>
    <n v="2276"/>
    <n v="366.5"/>
  </r>
  <r>
    <x v="240"/>
    <x v="1"/>
    <x v="1"/>
    <s v="United States"/>
    <x v="13"/>
    <x v="7"/>
    <x v="2"/>
    <n v="4"/>
    <n v="3428"/>
    <n v="305.79000000000002"/>
  </r>
  <r>
    <x v="578"/>
    <x v="8"/>
    <x v="1"/>
    <s v="United States"/>
    <x v="29"/>
    <x v="24"/>
    <x v="0"/>
    <n v="2"/>
    <n v="1640"/>
    <n v="176.87"/>
  </r>
  <r>
    <x v="538"/>
    <x v="3"/>
    <x v="2"/>
    <s v="United States"/>
    <x v="209"/>
    <x v="2"/>
    <x v="1"/>
    <n v="7"/>
    <n v="7077"/>
    <n v="1921.73"/>
  </r>
  <r>
    <x v="85"/>
    <x v="0"/>
    <x v="0"/>
    <s v="United States"/>
    <x v="209"/>
    <x v="2"/>
    <x v="1"/>
    <n v="9"/>
    <n v="9225"/>
    <n v="1391.15"/>
  </r>
  <r>
    <x v="451"/>
    <x v="1"/>
    <x v="1"/>
    <s v="United States"/>
    <x v="221"/>
    <x v="5"/>
    <x v="3"/>
    <n v="5"/>
    <n v="3910"/>
    <n v="584.77"/>
  </r>
  <r>
    <x v="175"/>
    <x v="0"/>
    <x v="0"/>
    <s v="United States"/>
    <x v="2"/>
    <x v="2"/>
    <x v="1"/>
    <n v="5"/>
    <n v="1995"/>
    <n v="369.22"/>
  </r>
  <r>
    <x v="579"/>
    <x v="8"/>
    <x v="1"/>
    <s v="United States"/>
    <x v="222"/>
    <x v="16"/>
    <x v="3"/>
    <n v="7"/>
    <n v="385"/>
    <n v="43.43"/>
  </r>
  <r>
    <x v="580"/>
    <x v="1"/>
    <x v="1"/>
    <s v="United States"/>
    <x v="6"/>
    <x v="5"/>
    <x v="3"/>
    <n v="4"/>
    <n v="4316"/>
    <n v="566.70000000000005"/>
  </r>
  <r>
    <x v="74"/>
    <x v="5"/>
    <x v="2"/>
    <s v="United States"/>
    <x v="173"/>
    <x v="1"/>
    <x v="0"/>
    <n v="1"/>
    <n v="1169"/>
    <n v="340.69"/>
  </r>
  <r>
    <x v="367"/>
    <x v="4"/>
    <x v="1"/>
    <s v="United States"/>
    <x v="28"/>
    <x v="2"/>
    <x v="1"/>
    <n v="5"/>
    <n v="2325"/>
    <n v="506.32"/>
  </r>
  <r>
    <x v="226"/>
    <x v="6"/>
    <x v="1"/>
    <s v="United States"/>
    <x v="223"/>
    <x v="2"/>
    <x v="1"/>
    <n v="1"/>
    <n v="199"/>
    <n v="48.92"/>
  </r>
  <r>
    <x v="581"/>
    <x v="5"/>
    <x v="2"/>
    <s v="United States"/>
    <x v="53"/>
    <x v="2"/>
    <x v="1"/>
    <n v="3"/>
    <n v="375"/>
    <n v="80.58"/>
  </r>
  <r>
    <x v="582"/>
    <x v="9"/>
    <x v="2"/>
    <s v="United States"/>
    <x v="224"/>
    <x v="30"/>
    <x v="0"/>
    <n v="9"/>
    <n v="8010"/>
    <n v="763.32"/>
  </r>
  <r>
    <x v="564"/>
    <x v="1"/>
    <x v="1"/>
    <s v="United States"/>
    <x v="51"/>
    <x v="30"/>
    <x v="0"/>
    <n v="4"/>
    <n v="316"/>
    <n v="77.13"/>
  </r>
  <r>
    <x v="583"/>
    <x v="3"/>
    <x v="2"/>
    <s v="United States"/>
    <x v="217"/>
    <x v="1"/>
    <x v="0"/>
    <n v="9"/>
    <n v="5895"/>
    <n v="442.49"/>
  </r>
  <r>
    <x v="584"/>
    <x v="4"/>
    <x v="1"/>
    <s v="United States"/>
    <x v="217"/>
    <x v="1"/>
    <x v="0"/>
    <n v="4"/>
    <n v="388"/>
    <n v="35.21"/>
  </r>
  <r>
    <x v="585"/>
    <x v="1"/>
    <x v="1"/>
    <s v="United States"/>
    <x v="212"/>
    <x v="33"/>
    <x v="0"/>
    <n v="5"/>
    <n v="3670"/>
    <n v="462.97"/>
  </r>
  <r>
    <x v="478"/>
    <x v="7"/>
    <x v="2"/>
    <s v="United States"/>
    <x v="212"/>
    <x v="33"/>
    <x v="0"/>
    <n v="9"/>
    <n v="7731"/>
    <n v="2178.0500000000002"/>
  </r>
  <r>
    <x v="586"/>
    <x v="9"/>
    <x v="2"/>
    <s v="United States"/>
    <x v="13"/>
    <x v="7"/>
    <x v="2"/>
    <n v="3"/>
    <n v="1596"/>
    <n v="91.23"/>
  </r>
  <r>
    <x v="552"/>
    <x v="3"/>
    <x v="2"/>
    <s v="United States"/>
    <x v="25"/>
    <x v="17"/>
    <x v="3"/>
    <n v="4"/>
    <n v="4192"/>
    <n v="216.16"/>
  </r>
  <r>
    <x v="587"/>
    <x v="2"/>
    <x v="2"/>
    <s v="United States"/>
    <x v="25"/>
    <x v="17"/>
    <x v="3"/>
    <n v="7"/>
    <n v="5264"/>
    <n v="756.33"/>
  </r>
  <r>
    <x v="388"/>
    <x v="9"/>
    <x v="2"/>
    <s v="United States"/>
    <x v="25"/>
    <x v="17"/>
    <x v="3"/>
    <n v="1"/>
    <n v="425"/>
    <n v="48.81"/>
  </r>
  <r>
    <x v="81"/>
    <x v="5"/>
    <x v="2"/>
    <s v="United States"/>
    <x v="63"/>
    <x v="14"/>
    <x v="2"/>
    <n v="4"/>
    <n v="3380"/>
    <n v="211.72"/>
  </r>
  <r>
    <x v="588"/>
    <x v="0"/>
    <x v="0"/>
    <s v="United States"/>
    <x v="29"/>
    <x v="15"/>
    <x v="2"/>
    <n v="7"/>
    <n v="8379"/>
    <n v="2009.05"/>
  </r>
  <r>
    <x v="408"/>
    <x v="8"/>
    <x v="1"/>
    <s v="United States"/>
    <x v="111"/>
    <x v="34"/>
    <x v="1"/>
    <n v="4"/>
    <n v="2040"/>
    <n v="393.72"/>
  </r>
  <r>
    <x v="57"/>
    <x v="0"/>
    <x v="0"/>
    <s v="United States"/>
    <x v="111"/>
    <x v="34"/>
    <x v="1"/>
    <n v="4"/>
    <n v="1336"/>
    <n v="116.65"/>
  </r>
  <r>
    <x v="589"/>
    <x v="8"/>
    <x v="1"/>
    <s v="United States"/>
    <x v="203"/>
    <x v="9"/>
    <x v="0"/>
    <n v="2"/>
    <n v="1934"/>
    <n v="157.41"/>
  </r>
  <r>
    <x v="549"/>
    <x v="8"/>
    <x v="1"/>
    <s v="United States"/>
    <x v="2"/>
    <x v="2"/>
    <x v="1"/>
    <n v="3"/>
    <n v="1560"/>
    <n v="391.11"/>
  </r>
  <r>
    <x v="241"/>
    <x v="8"/>
    <x v="1"/>
    <s v="United States"/>
    <x v="202"/>
    <x v="20"/>
    <x v="2"/>
    <n v="6"/>
    <n v="4446"/>
    <n v="1217.8599999999999"/>
  </r>
  <r>
    <x v="278"/>
    <x v="0"/>
    <x v="0"/>
    <s v="United States"/>
    <x v="28"/>
    <x v="2"/>
    <x v="1"/>
    <n v="3"/>
    <n v="1893"/>
    <n v="508.8"/>
  </r>
  <r>
    <x v="562"/>
    <x v="3"/>
    <x v="2"/>
    <s v="United States"/>
    <x v="9"/>
    <x v="8"/>
    <x v="3"/>
    <n v="4"/>
    <n v="4492"/>
    <n v="670.42"/>
  </r>
  <r>
    <x v="212"/>
    <x v="1"/>
    <x v="1"/>
    <s v="United States"/>
    <x v="225"/>
    <x v="8"/>
    <x v="3"/>
    <n v="6"/>
    <n v="6228"/>
    <n v="1852.45"/>
  </r>
  <r>
    <x v="590"/>
    <x v="3"/>
    <x v="2"/>
    <s v="United States"/>
    <x v="53"/>
    <x v="2"/>
    <x v="1"/>
    <n v="7"/>
    <n v="4403"/>
    <n v="1295.8900000000001"/>
  </r>
  <r>
    <x v="591"/>
    <x v="4"/>
    <x v="1"/>
    <s v="United States"/>
    <x v="53"/>
    <x v="2"/>
    <x v="1"/>
    <n v="9"/>
    <n v="4176"/>
    <n v="510.97"/>
  </r>
  <r>
    <x v="82"/>
    <x v="8"/>
    <x v="1"/>
    <s v="United States"/>
    <x v="53"/>
    <x v="2"/>
    <x v="1"/>
    <n v="2"/>
    <n v="486"/>
    <n v="64.430000000000007"/>
  </r>
  <r>
    <x v="255"/>
    <x v="0"/>
    <x v="0"/>
    <s v="United States"/>
    <x v="171"/>
    <x v="22"/>
    <x v="1"/>
    <n v="5"/>
    <n v="4880"/>
    <n v="1084.69"/>
  </r>
  <r>
    <x v="592"/>
    <x v="0"/>
    <x v="0"/>
    <s v="United States"/>
    <x v="171"/>
    <x v="22"/>
    <x v="1"/>
    <n v="5"/>
    <n v="265"/>
    <n v="53.21"/>
  </r>
  <r>
    <x v="593"/>
    <x v="9"/>
    <x v="2"/>
    <s v="United States"/>
    <x v="2"/>
    <x v="2"/>
    <x v="1"/>
    <n v="1"/>
    <n v="1041"/>
    <n v="128.58000000000001"/>
  </r>
  <r>
    <x v="594"/>
    <x v="7"/>
    <x v="2"/>
    <s v="United States"/>
    <x v="3"/>
    <x v="3"/>
    <x v="2"/>
    <n v="8"/>
    <n v="9448"/>
    <n v="616.5"/>
  </r>
  <r>
    <x v="595"/>
    <x v="4"/>
    <x v="1"/>
    <s v="United States"/>
    <x v="3"/>
    <x v="3"/>
    <x v="2"/>
    <n v="3"/>
    <n v="1617"/>
    <n v="440.46"/>
  </r>
  <r>
    <x v="298"/>
    <x v="9"/>
    <x v="2"/>
    <s v="United States"/>
    <x v="3"/>
    <x v="3"/>
    <x v="2"/>
    <n v="2"/>
    <n v="1486"/>
    <n v="233.7"/>
  </r>
  <r>
    <x v="596"/>
    <x v="5"/>
    <x v="2"/>
    <s v="United States"/>
    <x v="13"/>
    <x v="7"/>
    <x v="2"/>
    <n v="8"/>
    <n v="7152"/>
    <n v="1539.72"/>
  </r>
  <r>
    <x v="597"/>
    <x v="1"/>
    <x v="1"/>
    <s v="United States"/>
    <x v="43"/>
    <x v="22"/>
    <x v="1"/>
    <n v="6"/>
    <n v="1404"/>
    <n v="368.36"/>
  </r>
  <r>
    <x v="138"/>
    <x v="3"/>
    <x v="2"/>
    <s v="United States"/>
    <x v="43"/>
    <x v="22"/>
    <x v="1"/>
    <n v="2"/>
    <n v="122"/>
    <n v="16.23"/>
  </r>
  <r>
    <x v="598"/>
    <x v="3"/>
    <x v="2"/>
    <s v="United States"/>
    <x v="43"/>
    <x v="22"/>
    <x v="1"/>
    <n v="9"/>
    <n v="7533"/>
    <n v="1285.72"/>
  </r>
  <r>
    <x v="476"/>
    <x v="4"/>
    <x v="1"/>
    <s v="United States"/>
    <x v="15"/>
    <x v="13"/>
    <x v="1"/>
    <n v="4"/>
    <n v="3888"/>
    <n v="810.08"/>
  </r>
  <r>
    <x v="528"/>
    <x v="7"/>
    <x v="2"/>
    <s v="United States"/>
    <x v="226"/>
    <x v="5"/>
    <x v="3"/>
    <n v="5"/>
    <n v="870"/>
    <n v="48.87"/>
  </r>
  <r>
    <x v="380"/>
    <x v="1"/>
    <x v="1"/>
    <s v="United States"/>
    <x v="141"/>
    <x v="5"/>
    <x v="3"/>
    <n v="2"/>
    <n v="1446"/>
    <n v="403.89"/>
  </r>
  <r>
    <x v="599"/>
    <x v="2"/>
    <x v="2"/>
    <s v="United States"/>
    <x v="227"/>
    <x v="6"/>
    <x v="3"/>
    <n v="6"/>
    <n v="510"/>
    <n v="151.91"/>
  </r>
  <r>
    <x v="600"/>
    <x v="8"/>
    <x v="1"/>
    <s v="United States"/>
    <x v="13"/>
    <x v="7"/>
    <x v="2"/>
    <n v="8"/>
    <n v="6224"/>
    <n v="790.27"/>
  </r>
  <r>
    <x v="526"/>
    <x v="8"/>
    <x v="1"/>
    <s v="United States"/>
    <x v="102"/>
    <x v="5"/>
    <x v="3"/>
    <n v="2"/>
    <n v="686"/>
    <n v="85.03"/>
  </r>
  <r>
    <x v="25"/>
    <x v="1"/>
    <x v="1"/>
    <s v="United States"/>
    <x v="25"/>
    <x v="17"/>
    <x v="3"/>
    <n v="4"/>
    <n v="2840"/>
    <n v="591.94000000000005"/>
  </r>
  <r>
    <x v="477"/>
    <x v="9"/>
    <x v="2"/>
    <s v="United States"/>
    <x v="28"/>
    <x v="2"/>
    <x v="1"/>
    <n v="7"/>
    <n v="2562"/>
    <n v="347.62"/>
  </r>
  <r>
    <x v="28"/>
    <x v="7"/>
    <x v="2"/>
    <s v="United States"/>
    <x v="228"/>
    <x v="9"/>
    <x v="0"/>
    <n v="5"/>
    <n v="790"/>
    <n v="216.12"/>
  </r>
  <r>
    <x v="24"/>
    <x v="9"/>
    <x v="2"/>
    <s v="United States"/>
    <x v="2"/>
    <x v="2"/>
    <x v="1"/>
    <n v="5"/>
    <n v="4170"/>
    <n v="786.42"/>
  </r>
  <r>
    <x v="601"/>
    <x v="2"/>
    <x v="2"/>
    <s v="United States"/>
    <x v="13"/>
    <x v="7"/>
    <x v="2"/>
    <n v="4"/>
    <n v="1360"/>
    <n v="373.59"/>
  </r>
  <r>
    <x v="576"/>
    <x v="3"/>
    <x v="2"/>
    <s v="United States"/>
    <x v="52"/>
    <x v="25"/>
    <x v="0"/>
    <n v="6"/>
    <n v="5316"/>
    <n v="782.42"/>
  </r>
  <r>
    <x v="50"/>
    <x v="9"/>
    <x v="2"/>
    <s v="United States"/>
    <x v="13"/>
    <x v="7"/>
    <x v="2"/>
    <n v="4"/>
    <n v="3956"/>
    <n v="293.38"/>
  </r>
  <r>
    <x v="255"/>
    <x v="6"/>
    <x v="1"/>
    <s v="United States"/>
    <x v="15"/>
    <x v="13"/>
    <x v="1"/>
    <n v="3"/>
    <n v="726"/>
    <n v="94.38"/>
  </r>
  <r>
    <x v="218"/>
    <x v="7"/>
    <x v="2"/>
    <s v="United States"/>
    <x v="2"/>
    <x v="2"/>
    <x v="1"/>
    <n v="4"/>
    <n v="228"/>
    <n v="29.37"/>
  </r>
  <r>
    <x v="462"/>
    <x v="4"/>
    <x v="1"/>
    <s v="United States"/>
    <x v="174"/>
    <x v="2"/>
    <x v="1"/>
    <n v="3"/>
    <n v="2274"/>
    <n v="442.57"/>
  </r>
  <r>
    <x v="602"/>
    <x v="8"/>
    <x v="1"/>
    <s v="United States"/>
    <x v="11"/>
    <x v="9"/>
    <x v="0"/>
    <n v="9"/>
    <n v="2628"/>
    <n v="459.87"/>
  </r>
  <r>
    <x v="603"/>
    <x v="3"/>
    <x v="2"/>
    <s v="United States"/>
    <x v="229"/>
    <x v="38"/>
    <x v="2"/>
    <n v="6"/>
    <n v="606"/>
    <n v="104.85"/>
  </r>
  <r>
    <x v="131"/>
    <x v="4"/>
    <x v="1"/>
    <s v="United States"/>
    <x v="26"/>
    <x v="1"/>
    <x v="0"/>
    <n v="8"/>
    <n v="7256"/>
    <n v="558.79"/>
  </r>
  <r>
    <x v="604"/>
    <x v="3"/>
    <x v="2"/>
    <s v="United States"/>
    <x v="230"/>
    <x v="16"/>
    <x v="3"/>
    <n v="4"/>
    <n v="1956"/>
    <n v="125.69"/>
  </r>
  <r>
    <x v="295"/>
    <x v="0"/>
    <x v="0"/>
    <s v="United States"/>
    <x v="230"/>
    <x v="16"/>
    <x v="3"/>
    <n v="6"/>
    <n v="3954"/>
    <n v="690.1"/>
  </r>
  <r>
    <x v="351"/>
    <x v="8"/>
    <x v="1"/>
    <s v="United States"/>
    <x v="230"/>
    <x v="16"/>
    <x v="3"/>
    <n v="6"/>
    <n v="2262"/>
    <n v="442.86"/>
  </r>
  <r>
    <x v="483"/>
    <x v="0"/>
    <x v="0"/>
    <s v="United States"/>
    <x v="231"/>
    <x v="1"/>
    <x v="0"/>
    <n v="4"/>
    <n v="2804"/>
    <n v="391.59"/>
  </r>
  <r>
    <x v="605"/>
    <x v="2"/>
    <x v="2"/>
    <s v="United States"/>
    <x v="15"/>
    <x v="13"/>
    <x v="1"/>
    <n v="9"/>
    <n v="5850"/>
    <n v="1511.06"/>
  </r>
  <r>
    <x v="606"/>
    <x v="8"/>
    <x v="1"/>
    <s v="United States"/>
    <x v="21"/>
    <x v="5"/>
    <x v="3"/>
    <n v="1"/>
    <n v="56"/>
    <n v="9.16"/>
  </r>
  <r>
    <x v="607"/>
    <x v="6"/>
    <x v="1"/>
    <s v="United States"/>
    <x v="2"/>
    <x v="2"/>
    <x v="1"/>
    <n v="9"/>
    <n v="4302"/>
    <n v="344.64"/>
  </r>
  <r>
    <x v="146"/>
    <x v="3"/>
    <x v="2"/>
    <s v="United States"/>
    <x v="100"/>
    <x v="3"/>
    <x v="2"/>
    <n v="9"/>
    <n v="10143"/>
    <n v="1690.66"/>
  </r>
  <r>
    <x v="332"/>
    <x v="4"/>
    <x v="1"/>
    <s v="United States"/>
    <x v="100"/>
    <x v="3"/>
    <x v="2"/>
    <n v="1"/>
    <n v="1012"/>
    <n v="164.89"/>
  </r>
  <r>
    <x v="608"/>
    <x v="2"/>
    <x v="2"/>
    <s v="United States"/>
    <x v="28"/>
    <x v="2"/>
    <x v="1"/>
    <n v="9"/>
    <n v="8964"/>
    <n v="448.62"/>
  </r>
  <r>
    <x v="87"/>
    <x v="1"/>
    <x v="1"/>
    <s v="United States"/>
    <x v="120"/>
    <x v="35"/>
    <x v="0"/>
    <n v="6"/>
    <n v="1758"/>
    <n v="262.36"/>
  </r>
  <r>
    <x v="305"/>
    <x v="0"/>
    <x v="0"/>
    <s v="United States"/>
    <x v="28"/>
    <x v="2"/>
    <x v="1"/>
    <n v="6"/>
    <n v="6348"/>
    <n v="557.72"/>
  </r>
  <r>
    <x v="609"/>
    <x v="0"/>
    <x v="0"/>
    <s v="United States"/>
    <x v="28"/>
    <x v="2"/>
    <x v="1"/>
    <n v="2"/>
    <n v="1582"/>
    <n v="422.46"/>
  </r>
  <r>
    <x v="97"/>
    <x v="1"/>
    <x v="1"/>
    <s v="United States"/>
    <x v="28"/>
    <x v="2"/>
    <x v="1"/>
    <n v="2"/>
    <n v="1924"/>
    <n v="394.4"/>
  </r>
  <r>
    <x v="610"/>
    <x v="8"/>
    <x v="1"/>
    <s v="United States"/>
    <x v="13"/>
    <x v="7"/>
    <x v="2"/>
    <n v="1"/>
    <n v="120"/>
    <n v="23.86"/>
  </r>
  <r>
    <x v="611"/>
    <x v="4"/>
    <x v="1"/>
    <s v="United States"/>
    <x v="13"/>
    <x v="7"/>
    <x v="2"/>
    <n v="8"/>
    <n v="7752"/>
    <n v="1943.84"/>
  </r>
  <r>
    <x v="442"/>
    <x v="3"/>
    <x v="2"/>
    <s v="United States"/>
    <x v="3"/>
    <x v="3"/>
    <x v="2"/>
    <n v="2"/>
    <n v="1114"/>
    <n v="300.44"/>
  </r>
  <r>
    <x v="271"/>
    <x v="8"/>
    <x v="1"/>
    <s v="United States"/>
    <x v="3"/>
    <x v="3"/>
    <x v="2"/>
    <n v="5"/>
    <n v="1765"/>
    <n v="229.06"/>
  </r>
  <r>
    <x v="612"/>
    <x v="8"/>
    <x v="1"/>
    <s v="United States"/>
    <x v="121"/>
    <x v="2"/>
    <x v="1"/>
    <n v="6"/>
    <n v="6834"/>
    <n v="1418.21"/>
  </r>
  <r>
    <x v="415"/>
    <x v="7"/>
    <x v="2"/>
    <s v="United States"/>
    <x v="144"/>
    <x v="5"/>
    <x v="3"/>
    <n v="5"/>
    <n v="1520"/>
    <n v="433.53"/>
  </r>
  <r>
    <x v="613"/>
    <x v="5"/>
    <x v="2"/>
    <s v="United States"/>
    <x v="232"/>
    <x v="1"/>
    <x v="0"/>
    <n v="7"/>
    <n v="8141"/>
    <n v="767.6"/>
  </r>
  <r>
    <x v="614"/>
    <x v="2"/>
    <x v="2"/>
    <s v="United States"/>
    <x v="232"/>
    <x v="1"/>
    <x v="0"/>
    <n v="8"/>
    <n v="5176"/>
    <n v="866.36"/>
  </r>
  <r>
    <x v="239"/>
    <x v="1"/>
    <x v="1"/>
    <s v="United States"/>
    <x v="93"/>
    <x v="31"/>
    <x v="0"/>
    <n v="9"/>
    <n v="738"/>
    <n v="64.42"/>
  </r>
  <r>
    <x v="607"/>
    <x v="0"/>
    <x v="0"/>
    <s v="United States"/>
    <x v="233"/>
    <x v="27"/>
    <x v="3"/>
    <n v="9"/>
    <n v="4086"/>
    <n v="217.48"/>
  </r>
  <r>
    <x v="615"/>
    <x v="1"/>
    <x v="1"/>
    <s v="United States"/>
    <x v="13"/>
    <x v="7"/>
    <x v="2"/>
    <n v="2"/>
    <n v="442"/>
    <n v="28.13"/>
  </r>
  <r>
    <x v="616"/>
    <x v="7"/>
    <x v="2"/>
    <s v="United States"/>
    <x v="25"/>
    <x v="17"/>
    <x v="3"/>
    <n v="6"/>
    <n v="2478"/>
    <n v="153.86000000000001"/>
  </r>
  <r>
    <x v="234"/>
    <x v="8"/>
    <x v="1"/>
    <s v="United States"/>
    <x v="51"/>
    <x v="1"/>
    <x v="0"/>
    <n v="2"/>
    <n v="1860"/>
    <n v="327.14999999999998"/>
  </r>
  <r>
    <x v="82"/>
    <x v="6"/>
    <x v="1"/>
    <s v="United States"/>
    <x v="3"/>
    <x v="3"/>
    <x v="2"/>
    <n v="9"/>
    <n v="4968"/>
    <n v="991.82"/>
  </r>
  <r>
    <x v="617"/>
    <x v="0"/>
    <x v="0"/>
    <s v="United States"/>
    <x v="28"/>
    <x v="2"/>
    <x v="1"/>
    <n v="3"/>
    <n v="1446"/>
    <n v="278.94"/>
  </r>
  <r>
    <x v="526"/>
    <x v="1"/>
    <x v="1"/>
    <s v="United States"/>
    <x v="234"/>
    <x v="7"/>
    <x v="2"/>
    <n v="7"/>
    <n v="1722"/>
    <n v="414.87"/>
  </r>
  <r>
    <x v="164"/>
    <x v="5"/>
    <x v="2"/>
    <s v="United States"/>
    <x v="102"/>
    <x v="2"/>
    <x v="1"/>
    <n v="7"/>
    <n v="6573"/>
    <n v="460.28"/>
  </r>
  <r>
    <x v="207"/>
    <x v="4"/>
    <x v="1"/>
    <s v="United States"/>
    <x v="20"/>
    <x v="20"/>
    <x v="2"/>
    <n v="3"/>
    <n v="2481"/>
    <n v="249.52"/>
  </r>
  <r>
    <x v="618"/>
    <x v="6"/>
    <x v="1"/>
    <s v="United States"/>
    <x v="235"/>
    <x v="42"/>
    <x v="1"/>
    <n v="6"/>
    <n v="3828"/>
    <n v="1102.8599999999999"/>
  </r>
  <r>
    <x v="500"/>
    <x v="2"/>
    <x v="2"/>
    <s v="United States"/>
    <x v="2"/>
    <x v="2"/>
    <x v="1"/>
    <n v="7"/>
    <n v="1197"/>
    <n v="103.34"/>
  </r>
  <r>
    <x v="231"/>
    <x v="2"/>
    <x v="2"/>
    <s v="United States"/>
    <x v="236"/>
    <x v="38"/>
    <x v="2"/>
    <n v="7"/>
    <n v="7623"/>
    <n v="1459.84"/>
  </r>
  <r>
    <x v="201"/>
    <x v="1"/>
    <x v="1"/>
    <s v="United States"/>
    <x v="236"/>
    <x v="38"/>
    <x v="2"/>
    <n v="9"/>
    <n v="3384"/>
    <n v="252.11"/>
  </r>
  <r>
    <x v="105"/>
    <x v="6"/>
    <x v="1"/>
    <s v="United States"/>
    <x v="236"/>
    <x v="38"/>
    <x v="2"/>
    <n v="8"/>
    <n v="1296"/>
    <n v="273.97000000000003"/>
  </r>
  <r>
    <x v="619"/>
    <x v="2"/>
    <x v="2"/>
    <s v="United States"/>
    <x v="236"/>
    <x v="38"/>
    <x v="2"/>
    <n v="8"/>
    <n v="2840"/>
    <n v="262.62"/>
  </r>
  <r>
    <x v="589"/>
    <x v="3"/>
    <x v="2"/>
    <s v="United States"/>
    <x v="28"/>
    <x v="2"/>
    <x v="1"/>
    <n v="7"/>
    <n v="1540"/>
    <n v="342.93"/>
  </r>
  <r>
    <x v="620"/>
    <x v="3"/>
    <x v="2"/>
    <s v="United States"/>
    <x v="15"/>
    <x v="13"/>
    <x v="1"/>
    <n v="2"/>
    <n v="1414"/>
    <n v="308.39"/>
  </r>
  <r>
    <x v="621"/>
    <x v="3"/>
    <x v="2"/>
    <s v="United States"/>
    <x v="9"/>
    <x v="8"/>
    <x v="3"/>
    <n v="8"/>
    <n v="8328"/>
    <n v="466.38"/>
  </r>
  <r>
    <x v="556"/>
    <x v="3"/>
    <x v="2"/>
    <s v="United States"/>
    <x v="15"/>
    <x v="13"/>
    <x v="1"/>
    <n v="2"/>
    <n v="744"/>
    <n v="217.21"/>
  </r>
  <r>
    <x v="622"/>
    <x v="1"/>
    <x v="1"/>
    <s v="United States"/>
    <x v="144"/>
    <x v="5"/>
    <x v="3"/>
    <n v="9"/>
    <n v="1773"/>
    <n v="168.01"/>
  </r>
  <r>
    <x v="138"/>
    <x v="7"/>
    <x v="2"/>
    <s v="United States"/>
    <x v="237"/>
    <x v="32"/>
    <x v="2"/>
    <n v="7"/>
    <n v="6034"/>
    <n v="1018.37"/>
  </r>
  <r>
    <x v="623"/>
    <x v="7"/>
    <x v="2"/>
    <s v="United States"/>
    <x v="237"/>
    <x v="32"/>
    <x v="2"/>
    <n v="9"/>
    <n v="756"/>
    <n v="99.21"/>
  </r>
  <r>
    <x v="624"/>
    <x v="6"/>
    <x v="1"/>
    <s v="United States"/>
    <x v="130"/>
    <x v="19"/>
    <x v="2"/>
    <n v="8"/>
    <n v="2256"/>
    <n v="468.52"/>
  </r>
  <r>
    <x v="554"/>
    <x v="6"/>
    <x v="1"/>
    <s v="United States"/>
    <x v="13"/>
    <x v="7"/>
    <x v="2"/>
    <n v="7"/>
    <n v="875"/>
    <n v="203.63"/>
  </r>
  <r>
    <x v="48"/>
    <x v="4"/>
    <x v="1"/>
    <s v="United States"/>
    <x v="234"/>
    <x v="8"/>
    <x v="3"/>
    <n v="4"/>
    <n v="1208"/>
    <n v="115.13"/>
  </r>
  <r>
    <x v="625"/>
    <x v="4"/>
    <x v="1"/>
    <s v="United States"/>
    <x v="15"/>
    <x v="13"/>
    <x v="1"/>
    <n v="2"/>
    <n v="352"/>
    <n v="54.19"/>
  </r>
  <r>
    <x v="626"/>
    <x v="0"/>
    <x v="0"/>
    <s v="United States"/>
    <x v="6"/>
    <x v="5"/>
    <x v="3"/>
    <n v="6"/>
    <n v="4266"/>
    <n v="357.51"/>
  </r>
  <r>
    <x v="627"/>
    <x v="2"/>
    <x v="2"/>
    <s v="United States"/>
    <x v="6"/>
    <x v="5"/>
    <x v="3"/>
    <n v="7"/>
    <n v="1841"/>
    <n v="496.89"/>
  </r>
  <r>
    <x v="624"/>
    <x v="3"/>
    <x v="2"/>
    <s v="United States"/>
    <x v="15"/>
    <x v="13"/>
    <x v="1"/>
    <n v="1"/>
    <n v="712"/>
    <n v="89.5"/>
  </r>
  <r>
    <x v="628"/>
    <x v="0"/>
    <x v="0"/>
    <s v="United States"/>
    <x v="38"/>
    <x v="9"/>
    <x v="0"/>
    <n v="2"/>
    <n v="724"/>
    <n v="72.19"/>
  </r>
  <r>
    <x v="629"/>
    <x v="7"/>
    <x v="2"/>
    <s v="United States"/>
    <x v="237"/>
    <x v="32"/>
    <x v="2"/>
    <n v="8"/>
    <n v="5832"/>
    <n v="662.72"/>
  </r>
  <r>
    <x v="427"/>
    <x v="8"/>
    <x v="1"/>
    <s v="United States"/>
    <x v="174"/>
    <x v="18"/>
    <x v="2"/>
    <n v="6"/>
    <n v="4188"/>
    <n v="989.14"/>
  </r>
  <r>
    <x v="630"/>
    <x v="2"/>
    <x v="2"/>
    <s v="United States"/>
    <x v="13"/>
    <x v="7"/>
    <x v="2"/>
    <n v="1"/>
    <n v="392"/>
    <n v="50.7"/>
  </r>
  <r>
    <x v="92"/>
    <x v="9"/>
    <x v="2"/>
    <s v="United States"/>
    <x v="238"/>
    <x v="5"/>
    <x v="3"/>
    <n v="9"/>
    <n v="963"/>
    <n v="49.71"/>
  </r>
  <r>
    <x v="631"/>
    <x v="3"/>
    <x v="2"/>
    <s v="United States"/>
    <x v="2"/>
    <x v="2"/>
    <x v="1"/>
    <n v="6"/>
    <n v="5706"/>
    <n v="319.45999999999998"/>
  </r>
  <r>
    <x v="525"/>
    <x v="4"/>
    <x v="1"/>
    <s v="United States"/>
    <x v="125"/>
    <x v="36"/>
    <x v="1"/>
    <n v="7"/>
    <n v="1365"/>
    <n v="312.04000000000002"/>
  </r>
  <r>
    <x v="632"/>
    <x v="4"/>
    <x v="1"/>
    <s v="United States"/>
    <x v="239"/>
    <x v="2"/>
    <x v="1"/>
    <n v="1"/>
    <n v="202"/>
    <n v="11.24"/>
  </r>
  <r>
    <x v="161"/>
    <x v="7"/>
    <x v="2"/>
    <s v="United States"/>
    <x v="199"/>
    <x v="1"/>
    <x v="0"/>
    <n v="9"/>
    <n v="2430"/>
    <n v="613.66999999999996"/>
  </r>
  <r>
    <x v="621"/>
    <x v="6"/>
    <x v="1"/>
    <s v="United States"/>
    <x v="15"/>
    <x v="13"/>
    <x v="1"/>
    <n v="3"/>
    <n v="2670"/>
    <n v="515.39"/>
  </r>
  <r>
    <x v="633"/>
    <x v="2"/>
    <x v="2"/>
    <s v="United States"/>
    <x v="2"/>
    <x v="2"/>
    <x v="1"/>
    <n v="7"/>
    <n v="2758"/>
    <n v="520.66"/>
  </r>
  <r>
    <x v="634"/>
    <x v="6"/>
    <x v="1"/>
    <s v="United States"/>
    <x v="52"/>
    <x v="25"/>
    <x v="0"/>
    <n v="9"/>
    <n v="873"/>
    <n v="82.35"/>
  </r>
  <r>
    <x v="635"/>
    <x v="5"/>
    <x v="2"/>
    <s v="United States"/>
    <x v="240"/>
    <x v="22"/>
    <x v="1"/>
    <n v="9"/>
    <n v="7245"/>
    <n v="1410.92"/>
  </r>
  <r>
    <x v="280"/>
    <x v="3"/>
    <x v="2"/>
    <s v="United States"/>
    <x v="241"/>
    <x v="7"/>
    <x v="2"/>
    <n v="4"/>
    <n v="960"/>
    <n v="255.24"/>
  </r>
  <r>
    <x v="66"/>
    <x v="5"/>
    <x v="2"/>
    <s v="United States"/>
    <x v="241"/>
    <x v="7"/>
    <x v="2"/>
    <n v="4"/>
    <n v="1284"/>
    <n v="171.02"/>
  </r>
  <r>
    <x v="636"/>
    <x v="1"/>
    <x v="1"/>
    <s v="United States"/>
    <x v="14"/>
    <x v="8"/>
    <x v="3"/>
    <n v="4"/>
    <n v="512"/>
    <n v="110.47"/>
  </r>
  <r>
    <x v="637"/>
    <x v="5"/>
    <x v="2"/>
    <s v="United States"/>
    <x v="14"/>
    <x v="8"/>
    <x v="3"/>
    <n v="9"/>
    <n v="9729"/>
    <n v="2039.41"/>
  </r>
  <r>
    <x v="351"/>
    <x v="3"/>
    <x v="2"/>
    <s v="United States"/>
    <x v="242"/>
    <x v="2"/>
    <x v="1"/>
    <n v="5"/>
    <n v="1580"/>
    <n v="166.16"/>
  </r>
  <r>
    <x v="214"/>
    <x v="1"/>
    <x v="1"/>
    <s v="United States"/>
    <x v="242"/>
    <x v="2"/>
    <x v="1"/>
    <n v="8"/>
    <n v="976"/>
    <n v="234.24"/>
  </r>
  <r>
    <x v="638"/>
    <x v="0"/>
    <x v="0"/>
    <s v="United States"/>
    <x v="28"/>
    <x v="2"/>
    <x v="1"/>
    <n v="8"/>
    <n v="1824"/>
    <n v="495.35"/>
  </r>
  <r>
    <x v="194"/>
    <x v="7"/>
    <x v="2"/>
    <s v="United States"/>
    <x v="185"/>
    <x v="8"/>
    <x v="3"/>
    <n v="4"/>
    <n v="3188"/>
    <n v="202.81"/>
  </r>
  <r>
    <x v="639"/>
    <x v="3"/>
    <x v="2"/>
    <s v="United States"/>
    <x v="185"/>
    <x v="8"/>
    <x v="3"/>
    <n v="7"/>
    <n v="5467"/>
    <n v="556.02"/>
  </r>
  <r>
    <x v="640"/>
    <x v="7"/>
    <x v="2"/>
    <s v="United States"/>
    <x v="13"/>
    <x v="7"/>
    <x v="2"/>
    <n v="6"/>
    <n v="5406"/>
    <n v="1277.46"/>
  </r>
  <r>
    <x v="145"/>
    <x v="4"/>
    <x v="1"/>
    <s v="United States"/>
    <x v="3"/>
    <x v="3"/>
    <x v="2"/>
    <n v="8"/>
    <n v="2984"/>
    <n v="742.31"/>
  </r>
  <r>
    <x v="213"/>
    <x v="0"/>
    <x v="0"/>
    <s v="United States"/>
    <x v="3"/>
    <x v="3"/>
    <x v="2"/>
    <n v="1"/>
    <n v="919"/>
    <n v="193.35"/>
  </r>
  <r>
    <x v="641"/>
    <x v="3"/>
    <x v="2"/>
    <s v="United States"/>
    <x v="11"/>
    <x v="32"/>
    <x v="2"/>
    <n v="6"/>
    <n v="1686"/>
    <n v="426.72"/>
  </r>
  <r>
    <x v="642"/>
    <x v="9"/>
    <x v="2"/>
    <s v="United States"/>
    <x v="243"/>
    <x v="15"/>
    <x v="2"/>
    <n v="7"/>
    <n v="4165"/>
    <n v="493.24"/>
  </r>
  <r>
    <x v="319"/>
    <x v="7"/>
    <x v="2"/>
    <s v="United States"/>
    <x v="244"/>
    <x v="24"/>
    <x v="0"/>
    <n v="7"/>
    <n v="1281"/>
    <n v="282.63"/>
  </r>
  <r>
    <x v="373"/>
    <x v="5"/>
    <x v="2"/>
    <s v="United States"/>
    <x v="169"/>
    <x v="37"/>
    <x v="3"/>
    <n v="3"/>
    <n v="2829"/>
    <n v="362.16"/>
  </r>
  <r>
    <x v="552"/>
    <x v="6"/>
    <x v="1"/>
    <s v="United States"/>
    <x v="0"/>
    <x v="0"/>
    <x v="0"/>
    <n v="3"/>
    <n v="2211"/>
    <n v="292.31"/>
  </r>
  <r>
    <x v="643"/>
    <x v="4"/>
    <x v="1"/>
    <s v="United States"/>
    <x v="0"/>
    <x v="0"/>
    <x v="0"/>
    <n v="4"/>
    <n v="4740"/>
    <n v="607.80999999999995"/>
  </r>
  <r>
    <x v="644"/>
    <x v="3"/>
    <x v="2"/>
    <s v="United States"/>
    <x v="2"/>
    <x v="2"/>
    <x v="1"/>
    <n v="1"/>
    <n v="718"/>
    <n v="169.09"/>
  </r>
  <r>
    <x v="645"/>
    <x v="4"/>
    <x v="1"/>
    <s v="United States"/>
    <x v="28"/>
    <x v="2"/>
    <x v="1"/>
    <n v="6"/>
    <n v="1716"/>
    <n v="108.81"/>
  </r>
  <r>
    <x v="127"/>
    <x v="6"/>
    <x v="1"/>
    <s v="United States"/>
    <x v="28"/>
    <x v="2"/>
    <x v="1"/>
    <n v="7"/>
    <n v="1547"/>
    <n v="152.59"/>
  </r>
  <r>
    <x v="646"/>
    <x v="1"/>
    <x v="1"/>
    <s v="United States"/>
    <x v="28"/>
    <x v="2"/>
    <x v="1"/>
    <n v="1"/>
    <n v="739"/>
    <n v="111.18"/>
  </r>
  <r>
    <x v="647"/>
    <x v="9"/>
    <x v="2"/>
    <s v="United States"/>
    <x v="14"/>
    <x v="12"/>
    <x v="1"/>
    <n v="3"/>
    <n v="819"/>
    <n v="231.88"/>
  </r>
  <r>
    <x v="453"/>
    <x v="9"/>
    <x v="2"/>
    <s v="United States"/>
    <x v="13"/>
    <x v="7"/>
    <x v="2"/>
    <n v="8"/>
    <n v="5696"/>
    <n v="1156.3"/>
  </r>
  <r>
    <x v="357"/>
    <x v="6"/>
    <x v="1"/>
    <s v="United States"/>
    <x v="3"/>
    <x v="3"/>
    <x v="2"/>
    <n v="2"/>
    <n v="1706"/>
    <n v="184.71"/>
  </r>
  <r>
    <x v="203"/>
    <x v="3"/>
    <x v="2"/>
    <s v="United States"/>
    <x v="245"/>
    <x v="15"/>
    <x v="2"/>
    <n v="2"/>
    <n v="2066"/>
    <n v="608.23"/>
  </r>
  <r>
    <x v="648"/>
    <x v="9"/>
    <x v="2"/>
    <s v="United States"/>
    <x v="245"/>
    <x v="15"/>
    <x v="2"/>
    <n v="2"/>
    <n v="256"/>
    <n v="35.659999999999997"/>
  </r>
  <r>
    <x v="649"/>
    <x v="7"/>
    <x v="2"/>
    <s v="United States"/>
    <x v="245"/>
    <x v="15"/>
    <x v="2"/>
    <n v="2"/>
    <n v="1102"/>
    <n v="182.54"/>
  </r>
  <r>
    <x v="557"/>
    <x v="6"/>
    <x v="1"/>
    <s v="United States"/>
    <x v="246"/>
    <x v="37"/>
    <x v="3"/>
    <n v="8"/>
    <n v="2872"/>
    <n v="483.94"/>
  </r>
  <r>
    <x v="599"/>
    <x v="2"/>
    <x v="2"/>
    <s v="United States"/>
    <x v="2"/>
    <x v="2"/>
    <x v="1"/>
    <n v="4"/>
    <n v="2584"/>
    <n v="394.52"/>
  </r>
  <r>
    <x v="624"/>
    <x v="1"/>
    <x v="1"/>
    <s v="United States"/>
    <x v="29"/>
    <x v="15"/>
    <x v="2"/>
    <n v="2"/>
    <n v="1366"/>
    <n v="298.32"/>
  </r>
  <r>
    <x v="239"/>
    <x v="5"/>
    <x v="2"/>
    <s v="United States"/>
    <x v="29"/>
    <x v="15"/>
    <x v="2"/>
    <n v="7"/>
    <n v="1253"/>
    <n v="354.23"/>
  </r>
  <r>
    <x v="650"/>
    <x v="9"/>
    <x v="2"/>
    <s v="United States"/>
    <x v="2"/>
    <x v="2"/>
    <x v="1"/>
    <n v="7"/>
    <n v="2618"/>
    <n v="300.81"/>
  </r>
  <r>
    <x v="362"/>
    <x v="4"/>
    <x v="1"/>
    <s v="United States"/>
    <x v="2"/>
    <x v="2"/>
    <x v="1"/>
    <n v="9"/>
    <n v="6822"/>
    <n v="1811.37"/>
  </r>
  <r>
    <x v="572"/>
    <x v="8"/>
    <x v="1"/>
    <s v="United States"/>
    <x v="2"/>
    <x v="2"/>
    <x v="1"/>
    <n v="6"/>
    <n v="5286"/>
    <n v="636.16"/>
  </r>
  <r>
    <x v="651"/>
    <x v="6"/>
    <x v="1"/>
    <s v="United States"/>
    <x v="76"/>
    <x v="23"/>
    <x v="3"/>
    <n v="1"/>
    <n v="579"/>
    <n v="133.57"/>
  </r>
  <r>
    <x v="512"/>
    <x v="9"/>
    <x v="2"/>
    <s v="United States"/>
    <x v="247"/>
    <x v="25"/>
    <x v="0"/>
    <n v="8"/>
    <n v="1392"/>
    <n v="190.99"/>
  </r>
  <r>
    <x v="137"/>
    <x v="9"/>
    <x v="2"/>
    <s v="United States"/>
    <x v="52"/>
    <x v="6"/>
    <x v="3"/>
    <n v="9"/>
    <n v="2493"/>
    <n v="696.69"/>
  </r>
  <r>
    <x v="652"/>
    <x v="7"/>
    <x v="2"/>
    <s v="United States"/>
    <x v="13"/>
    <x v="7"/>
    <x v="2"/>
    <n v="7"/>
    <n v="6461"/>
    <n v="766.45"/>
  </r>
  <r>
    <x v="653"/>
    <x v="2"/>
    <x v="2"/>
    <s v="United States"/>
    <x v="248"/>
    <x v="7"/>
    <x v="2"/>
    <n v="2"/>
    <n v="1486"/>
    <n v="201.07"/>
  </r>
  <r>
    <x v="654"/>
    <x v="0"/>
    <x v="0"/>
    <s v="United States"/>
    <x v="13"/>
    <x v="7"/>
    <x v="2"/>
    <n v="1"/>
    <n v="1152"/>
    <n v="280.27999999999997"/>
  </r>
  <r>
    <x v="655"/>
    <x v="5"/>
    <x v="2"/>
    <s v="United States"/>
    <x v="249"/>
    <x v="2"/>
    <x v="1"/>
    <n v="2"/>
    <n v="1750"/>
    <n v="103.99"/>
  </r>
  <r>
    <x v="535"/>
    <x v="7"/>
    <x v="2"/>
    <s v="United States"/>
    <x v="15"/>
    <x v="13"/>
    <x v="1"/>
    <n v="7"/>
    <n v="4417"/>
    <n v="495.37"/>
  </r>
  <r>
    <x v="528"/>
    <x v="9"/>
    <x v="2"/>
    <s v="United States"/>
    <x v="134"/>
    <x v="38"/>
    <x v="2"/>
    <n v="4"/>
    <n v="3724"/>
    <n v="276.85000000000002"/>
  </r>
  <r>
    <x v="656"/>
    <x v="3"/>
    <x v="2"/>
    <s v="United States"/>
    <x v="9"/>
    <x v="8"/>
    <x v="3"/>
    <n v="3"/>
    <n v="2220"/>
    <n v="121.14"/>
  </r>
  <r>
    <x v="657"/>
    <x v="6"/>
    <x v="1"/>
    <s v="United States"/>
    <x v="9"/>
    <x v="8"/>
    <x v="3"/>
    <n v="8"/>
    <n v="9104"/>
    <n v="2620.58"/>
  </r>
  <r>
    <x v="145"/>
    <x v="0"/>
    <x v="0"/>
    <s v="United States"/>
    <x v="2"/>
    <x v="2"/>
    <x v="1"/>
    <n v="3"/>
    <n v="3093"/>
    <n v="584.23"/>
  </r>
  <r>
    <x v="125"/>
    <x v="4"/>
    <x v="1"/>
    <s v="United States"/>
    <x v="28"/>
    <x v="2"/>
    <x v="1"/>
    <n v="6"/>
    <n v="3048"/>
    <n v="842.24"/>
  </r>
  <r>
    <x v="658"/>
    <x v="7"/>
    <x v="2"/>
    <s v="United States"/>
    <x v="21"/>
    <x v="5"/>
    <x v="3"/>
    <n v="1"/>
    <n v="161"/>
    <n v="36.58"/>
  </r>
  <r>
    <x v="476"/>
    <x v="6"/>
    <x v="1"/>
    <s v="United States"/>
    <x v="2"/>
    <x v="2"/>
    <x v="1"/>
    <n v="7"/>
    <n v="7238"/>
    <n v="1889.69"/>
  </r>
  <r>
    <x v="301"/>
    <x v="7"/>
    <x v="2"/>
    <s v="United States"/>
    <x v="232"/>
    <x v="1"/>
    <x v="0"/>
    <n v="3"/>
    <n v="3561"/>
    <n v="347.31"/>
  </r>
  <r>
    <x v="659"/>
    <x v="6"/>
    <x v="1"/>
    <s v="United States"/>
    <x v="124"/>
    <x v="2"/>
    <x v="1"/>
    <n v="5"/>
    <n v="1850"/>
    <n v="534.39"/>
  </r>
  <r>
    <x v="660"/>
    <x v="1"/>
    <x v="1"/>
    <s v="United States"/>
    <x v="38"/>
    <x v="17"/>
    <x v="3"/>
    <n v="6"/>
    <n v="3522"/>
    <n v="626.72"/>
  </r>
  <r>
    <x v="661"/>
    <x v="5"/>
    <x v="2"/>
    <s v="United States"/>
    <x v="3"/>
    <x v="3"/>
    <x v="2"/>
    <n v="1"/>
    <n v="584"/>
    <n v="172.4"/>
  </r>
  <r>
    <x v="579"/>
    <x v="7"/>
    <x v="2"/>
    <s v="United States"/>
    <x v="250"/>
    <x v="2"/>
    <x v="1"/>
    <n v="4"/>
    <n v="2556"/>
    <n v="412.44"/>
  </r>
  <r>
    <x v="662"/>
    <x v="7"/>
    <x v="2"/>
    <s v="United States"/>
    <x v="2"/>
    <x v="2"/>
    <x v="1"/>
    <n v="2"/>
    <n v="348"/>
    <n v="56.31"/>
  </r>
  <r>
    <x v="663"/>
    <x v="6"/>
    <x v="1"/>
    <s v="United States"/>
    <x v="2"/>
    <x v="2"/>
    <x v="1"/>
    <n v="9"/>
    <n v="1602"/>
    <n v="142.49"/>
  </r>
  <r>
    <x v="664"/>
    <x v="6"/>
    <x v="1"/>
    <s v="United States"/>
    <x v="237"/>
    <x v="32"/>
    <x v="2"/>
    <n v="3"/>
    <n v="2853"/>
    <n v="437.59"/>
  </r>
  <r>
    <x v="154"/>
    <x v="0"/>
    <x v="0"/>
    <s v="United States"/>
    <x v="64"/>
    <x v="2"/>
    <x v="1"/>
    <n v="1"/>
    <n v="1024"/>
    <n v="230.3"/>
  </r>
  <r>
    <x v="310"/>
    <x v="3"/>
    <x v="2"/>
    <s v="United States"/>
    <x v="114"/>
    <x v="20"/>
    <x v="2"/>
    <n v="5"/>
    <n v="4485"/>
    <n v="1324.49"/>
  </r>
  <r>
    <x v="665"/>
    <x v="0"/>
    <x v="0"/>
    <s v="United States"/>
    <x v="11"/>
    <x v="9"/>
    <x v="0"/>
    <n v="2"/>
    <n v="436"/>
    <n v="79.69"/>
  </r>
  <r>
    <x v="257"/>
    <x v="5"/>
    <x v="2"/>
    <s v="United States"/>
    <x v="189"/>
    <x v="17"/>
    <x v="3"/>
    <n v="2"/>
    <n v="2232"/>
    <n v="150.12"/>
  </r>
  <r>
    <x v="201"/>
    <x v="8"/>
    <x v="1"/>
    <s v="United States"/>
    <x v="28"/>
    <x v="2"/>
    <x v="1"/>
    <n v="6"/>
    <n v="7056"/>
    <n v="1445.01"/>
  </r>
  <r>
    <x v="532"/>
    <x v="8"/>
    <x v="1"/>
    <s v="United States"/>
    <x v="28"/>
    <x v="2"/>
    <x v="1"/>
    <n v="5"/>
    <n v="875"/>
    <n v="96.65"/>
  </r>
  <r>
    <x v="666"/>
    <x v="5"/>
    <x v="2"/>
    <s v="United States"/>
    <x v="200"/>
    <x v="12"/>
    <x v="1"/>
    <n v="3"/>
    <n v="315"/>
    <n v="61.94"/>
  </r>
  <r>
    <x v="163"/>
    <x v="9"/>
    <x v="2"/>
    <s v="United States"/>
    <x v="13"/>
    <x v="7"/>
    <x v="2"/>
    <n v="2"/>
    <n v="358"/>
    <n v="51.75"/>
  </r>
  <r>
    <x v="580"/>
    <x v="3"/>
    <x v="2"/>
    <s v="United States"/>
    <x v="13"/>
    <x v="7"/>
    <x v="2"/>
    <n v="7"/>
    <n v="3451"/>
    <n v="194.42"/>
  </r>
  <r>
    <x v="667"/>
    <x v="9"/>
    <x v="2"/>
    <s v="United States"/>
    <x v="3"/>
    <x v="3"/>
    <x v="2"/>
    <n v="9"/>
    <n v="1350"/>
    <n v="189.13"/>
  </r>
  <r>
    <x v="668"/>
    <x v="2"/>
    <x v="2"/>
    <s v="United States"/>
    <x v="15"/>
    <x v="13"/>
    <x v="1"/>
    <n v="8"/>
    <n v="3320"/>
    <n v="413.32"/>
  </r>
  <r>
    <x v="112"/>
    <x v="1"/>
    <x v="1"/>
    <s v="United States"/>
    <x v="50"/>
    <x v="5"/>
    <x v="3"/>
    <n v="9"/>
    <n v="8442"/>
    <n v="940.33"/>
  </r>
  <r>
    <x v="669"/>
    <x v="8"/>
    <x v="1"/>
    <s v="United States"/>
    <x v="25"/>
    <x v="17"/>
    <x v="3"/>
    <n v="1"/>
    <n v="166"/>
    <n v="31.97"/>
  </r>
  <r>
    <x v="479"/>
    <x v="1"/>
    <x v="1"/>
    <s v="United States"/>
    <x v="3"/>
    <x v="3"/>
    <x v="2"/>
    <n v="5"/>
    <n v="3720"/>
    <n v="448.6"/>
  </r>
  <r>
    <x v="398"/>
    <x v="9"/>
    <x v="2"/>
    <s v="United States"/>
    <x v="3"/>
    <x v="3"/>
    <x v="2"/>
    <n v="2"/>
    <n v="1090"/>
    <n v="136.65"/>
  </r>
  <r>
    <x v="638"/>
    <x v="9"/>
    <x v="2"/>
    <s v="United States"/>
    <x v="3"/>
    <x v="3"/>
    <x v="2"/>
    <n v="9"/>
    <n v="9783"/>
    <n v="2347.4899999999998"/>
  </r>
  <r>
    <x v="362"/>
    <x v="7"/>
    <x v="2"/>
    <s v="United States"/>
    <x v="104"/>
    <x v="22"/>
    <x v="1"/>
    <n v="4"/>
    <n v="2432"/>
    <n v="657.18"/>
  </r>
  <r>
    <x v="623"/>
    <x v="1"/>
    <x v="1"/>
    <s v="United States"/>
    <x v="104"/>
    <x v="22"/>
    <x v="1"/>
    <n v="7"/>
    <n v="4060"/>
    <n v="291.42"/>
  </r>
  <r>
    <x v="99"/>
    <x v="5"/>
    <x v="2"/>
    <s v="United States"/>
    <x v="25"/>
    <x v="17"/>
    <x v="3"/>
    <n v="1"/>
    <n v="387"/>
    <n v="99.59"/>
  </r>
  <r>
    <x v="138"/>
    <x v="5"/>
    <x v="2"/>
    <s v="United States"/>
    <x v="25"/>
    <x v="17"/>
    <x v="3"/>
    <n v="3"/>
    <n v="966"/>
    <n v="120.56"/>
  </r>
  <r>
    <x v="432"/>
    <x v="2"/>
    <x v="2"/>
    <s v="United States"/>
    <x v="25"/>
    <x v="17"/>
    <x v="3"/>
    <n v="3"/>
    <n v="3366"/>
    <n v="882.29"/>
  </r>
  <r>
    <x v="561"/>
    <x v="6"/>
    <x v="1"/>
    <s v="United States"/>
    <x v="25"/>
    <x v="17"/>
    <x v="3"/>
    <n v="7"/>
    <n v="7833"/>
    <n v="1843.94"/>
  </r>
  <r>
    <x v="32"/>
    <x v="6"/>
    <x v="1"/>
    <s v="United States"/>
    <x v="198"/>
    <x v="5"/>
    <x v="3"/>
    <n v="1"/>
    <n v="610"/>
    <n v="33.549999999999997"/>
  </r>
  <r>
    <x v="670"/>
    <x v="5"/>
    <x v="2"/>
    <s v="United States"/>
    <x v="251"/>
    <x v="19"/>
    <x v="2"/>
    <n v="8"/>
    <n v="4288"/>
    <n v="597.09"/>
  </r>
  <r>
    <x v="222"/>
    <x v="0"/>
    <x v="0"/>
    <s v="United States"/>
    <x v="156"/>
    <x v="5"/>
    <x v="3"/>
    <n v="9"/>
    <n v="7740"/>
    <n v="605.35"/>
  </r>
  <r>
    <x v="671"/>
    <x v="5"/>
    <x v="2"/>
    <s v="United States"/>
    <x v="15"/>
    <x v="13"/>
    <x v="1"/>
    <n v="9"/>
    <n v="3150"/>
    <n v="457.13"/>
  </r>
  <r>
    <x v="383"/>
    <x v="8"/>
    <x v="1"/>
    <s v="United States"/>
    <x v="14"/>
    <x v="8"/>
    <x v="3"/>
    <n v="2"/>
    <n v="894"/>
    <n v="224.75"/>
  </r>
  <r>
    <x v="672"/>
    <x v="9"/>
    <x v="2"/>
    <s v="United States"/>
    <x v="13"/>
    <x v="7"/>
    <x v="2"/>
    <n v="8"/>
    <n v="7544"/>
    <n v="1219.73"/>
  </r>
  <r>
    <x v="458"/>
    <x v="8"/>
    <x v="1"/>
    <s v="United States"/>
    <x v="53"/>
    <x v="2"/>
    <x v="1"/>
    <n v="8"/>
    <n v="6360"/>
    <n v="1871.88"/>
  </r>
  <r>
    <x v="120"/>
    <x v="7"/>
    <x v="2"/>
    <s v="United States"/>
    <x v="13"/>
    <x v="7"/>
    <x v="2"/>
    <n v="4"/>
    <n v="2428"/>
    <n v="485.75"/>
  </r>
  <r>
    <x v="323"/>
    <x v="4"/>
    <x v="1"/>
    <s v="United States"/>
    <x v="62"/>
    <x v="2"/>
    <x v="1"/>
    <n v="2"/>
    <n v="574"/>
    <n v="38.520000000000003"/>
  </r>
  <r>
    <x v="526"/>
    <x v="8"/>
    <x v="1"/>
    <s v="United States"/>
    <x v="28"/>
    <x v="2"/>
    <x v="1"/>
    <n v="6"/>
    <n v="6744"/>
    <n v="660.47"/>
  </r>
  <r>
    <x v="513"/>
    <x v="4"/>
    <x v="1"/>
    <s v="United States"/>
    <x v="38"/>
    <x v="9"/>
    <x v="0"/>
    <n v="6"/>
    <n v="798"/>
    <n v="213.4"/>
  </r>
  <r>
    <x v="616"/>
    <x v="0"/>
    <x v="0"/>
    <s v="United States"/>
    <x v="9"/>
    <x v="8"/>
    <x v="3"/>
    <n v="5"/>
    <n v="2860"/>
    <n v="339"/>
  </r>
  <r>
    <x v="384"/>
    <x v="0"/>
    <x v="0"/>
    <s v="United States"/>
    <x v="252"/>
    <x v="7"/>
    <x v="2"/>
    <n v="5"/>
    <n v="5410"/>
    <n v="1129.77"/>
  </r>
  <r>
    <x v="140"/>
    <x v="9"/>
    <x v="2"/>
    <s v="United States"/>
    <x v="6"/>
    <x v="5"/>
    <x v="3"/>
    <n v="5"/>
    <n v="4445"/>
    <n v="580.15"/>
  </r>
  <r>
    <x v="327"/>
    <x v="5"/>
    <x v="2"/>
    <s v="United States"/>
    <x v="30"/>
    <x v="12"/>
    <x v="1"/>
    <n v="8"/>
    <n v="7536"/>
    <n v="1197.0899999999999"/>
  </r>
  <r>
    <x v="673"/>
    <x v="6"/>
    <x v="1"/>
    <s v="United States"/>
    <x v="30"/>
    <x v="12"/>
    <x v="1"/>
    <n v="7"/>
    <n v="4165"/>
    <n v="263.26"/>
  </r>
  <r>
    <x v="674"/>
    <x v="9"/>
    <x v="2"/>
    <s v="United States"/>
    <x v="30"/>
    <x v="12"/>
    <x v="1"/>
    <n v="3"/>
    <n v="3021"/>
    <n v="763.99"/>
  </r>
  <r>
    <x v="423"/>
    <x v="8"/>
    <x v="1"/>
    <s v="United States"/>
    <x v="30"/>
    <x v="12"/>
    <x v="1"/>
    <n v="2"/>
    <n v="310"/>
    <n v="70.66"/>
  </r>
  <r>
    <x v="405"/>
    <x v="4"/>
    <x v="1"/>
    <s v="United States"/>
    <x v="2"/>
    <x v="2"/>
    <x v="1"/>
    <n v="2"/>
    <n v="2170"/>
    <n v="522"/>
  </r>
  <r>
    <x v="9"/>
    <x v="2"/>
    <x v="2"/>
    <s v="United States"/>
    <x v="51"/>
    <x v="1"/>
    <x v="0"/>
    <n v="3"/>
    <n v="2832"/>
    <n v="317.76"/>
  </r>
  <r>
    <x v="462"/>
    <x v="5"/>
    <x v="2"/>
    <s v="United States"/>
    <x v="3"/>
    <x v="3"/>
    <x v="2"/>
    <n v="5"/>
    <n v="3945"/>
    <n v="392.09"/>
  </r>
  <r>
    <x v="4"/>
    <x v="2"/>
    <x v="2"/>
    <s v="United States"/>
    <x v="3"/>
    <x v="3"/>
    <x v="2"/>
    <n v="4"/>
    <n v="2104"/>
    <n v="308"/>
  </r>
  <r>
    <x v="108"/>
    <x v="6"/>
    <x v="1"/>
    <s v="United States"/>
    <x v="3"/>
    <x v="3"/>
    <x v="2"/>
    <n v="2"/>
    <n v="2060"/>
    <n v="517.64"/>
  </r>
  <r>
    <x v="172"/>
    <x v="0"/>
    <x v="0"/>
    <s v="United States"/>
    <x v="29"/>
    <x v="15"/>
    <x v="2"/>
    <n v="4"/>
    <n v="1060"/>
    <n v="155.78"/>
  </r>
  <r>
    <x v="616"/>
    <x v="5"/>
    <x v="2"/>
    <s v="United States"/>
    <x v="29"/>
    <x v="15"/>
    <x v="2"/>
    <n v="6"/>
    <n v="810"/>
    <n v="108.61"/>
  </r>
  <r>
    <x v="482"/>
    <x v="9"/>
    <x v="2"/>
    <s v="United States"/>
    <x v="0"/>
    <x v="0"/>
    <x v="0"/>
    <n v="3"/>
    <n v="873"/>
    <n v="57.42"/>
  </r>
  <r>
    <x v="89"/>
    <x v="2"/>
    <x v="2"/>
    <s v="United States"/>
    <x v="253"/>
    <x v="13"/>
    <x v="1"/>
    <n v="5"/>
    <n v="595"/>
    <n v="121.11"/>
  </r>
  <r>
    <x v="675"/>
    <x v="9"/>
    <x v="2"/>
    <s v="United States"/>
    <x v="121"/>
    <x v="2"/>
    <x v="1"/>
    <n v="2"/>
    <n v="1562"/>
    <n v="119.56"/>
  </r>
  <r>
    <x v="676"/>
    <x v="5"/>
    <x v="2"/>
    <s v="United States"/>
    <x v="121"/>
    <x v="2"/>
    <x v="1"/>
    <n v="9"/>
    <n v="5337"/>
    <n v="1575.99"/>
  </r>
  <r>
    <x v="677"/>
    <x v="0"/>
    <x v="0"/>
    <s v="United States"/>
    <x v="2"/>
    <x v="2"/>
    <x v="1"/>
    <n v="2"/>
    <n v="212"/>
    <n v="13.4"/>
  </r>
  <r>
    <x v="242"/>
    <x v="0"/>
    <x v="0"/>
    <s v="United States"/>
    <x v="2"/>
    <x v="2"/>
    <x v="1"/>
    <n v="8"/>
    <n v="2704"/>
    <n v="705.74"/>
  </r>
  <r>
    <x v="678"/>
    <x v="9"/>
    <x v="2"/>
    <s v="United States"/>
    <x v="15"/>
    <x v="13"/>
    <x v="1"/>
    <n v="5"/>
    <n v="3225"/>
    <n v="523.32000000000005"/>
  </r>
  <r>
    <x v="225"/>
    <x v="6"/>
    <x v="1"/>
    <s v="United States"/>
    <x v="0"/>
    <x v="0"/>
    <x v="0"/>
    <n v="2"/>
    <n v="1342"/>
    <n v="184.59"/>
  </r>
  <r>
    <x v="679"/>
    <x v="1"/>
    <x v="1"/>
    <s v="United States"/>
    <x v="254"/>
    <x v="24"/>
    <x v="0"/>
    <n v="7"/>
    <n v="3395"/>
    <n v="1012.78"/>
  </r>
  <r>
    <x v="84"/>
    <x v="5"/>
    <x v="2"/>
    <s v="United States"/>
    <x v="255"/>
    <x v="15"/>
    <x v="2"/>
    <n v="4"/>
    <n v="3968"/>
    <n v="480.72"/>
  </r>
  <r>
    <x v="294"/>
    <x v="7"/>
    <x v="2"/>
    <s v="United States"/>
    <x v="6"/>
    <x v="5"/>
    <x v="3"/>
    <n v="5"/>
    <n v="4555"/>
    <n v="776.65"/>
  </r>
  <r>
    <x v="680"/>
    <x v="2"/>
    <x v="2"/>
    <s v="United States"/>
    <x v="256"/>
    <x v="5"/>
    <x v="3"/>
    <n v="2"/>
    <n v="2132"/>
    <n v="365.44"/>
  </r>
  <r>
    <x v="133"/>
    <x v="1"/>
    <x v="1"/>
    <s v="United States"/>
    <x v="257"/>
    <x v="32"/>
    <x v="2"/>
    <n v="6"/>
    <n v="6516"/>
    <n v="842.83"/>
  </r>
  <r>
    <x v="191"/>
    <x v="5"/>
    <x v="2"/>
    <s v="United States"/>
    <x v="9"/>
    <x v="8"/>
    <x v="3"/>
    <n v="2"/>
    <n v="2040"/>
    <n v="481.15"/>
  </r>
  <r>
    <x v="104"/>
    <x v="1"/>
    <x v="1"/>
    <s v="United States"/>
    <x v="130"/>
    <x v="19"/>
    <x v="2"/>
    <n v="6"/>
    <n v="6126"/>
    <n v="428.38"/>
  </r>
  <r>
    <x v="37"/>
    <x v="5"/>
    <x v="2"/>
    <s v="United States"/>
    <x v="28"/>
    <x v="2"/>
    <x v="1"/>
    <n v="8"/>
    <n v="520"/>
    <n v="30.58"/>
  </r>
  <r>
    <x v="313"/>
    <x v="3"/>
    <x v="2"/>
    <s v="United States"/>
    <x v="16"/>
    <x v="14"/>
    <x v="2"/>
    <n v="5"/>
    <n v="4470"/>
    <n v="526.96"/>
  </r>
  <r>
    <x v="681"/>
    <x v="5"/>
    <x v="2"/>
    <s v="United States"/>
    <x v="16"/>
    <x v="14"/>
    <x v="2"/>
    <n v="8"/>
    <n v="5504"/>
    <n v="1196.78"/>
  </r>
  <r>
    <x v="182"/>
    <x v="4"/>
    <x v="1"/>
    <s v="United States"/>
    <x v="2"/>
    <x v="2"/>
    <x v="1"/>
    <n v="4"/>
    <n v="3036"/>
    <n v="511.69"/>
  </r>
  <r>
    <x v="220"/>
    <x v="5"/>
    <x v="2"/>
    <s v="United States"/>
    <x v="111"/>
    <x v="34"/>
    <x v="1"/>
    <n v="5"/>
    <n v="2725"/>
    <n v="308.29000000000002"/>
  </r>
  <r>
    <x v="389"/>
    <x v="0"/>
    <x v="0"/>
    <s v="United States"/>
    <x v="15"/>
    <x v="13"/>
    <x v="1"/>
    <n v="8"/>
    <n v="4080"/>
    <n v="336.96"/>
  </r>
  <r>
    <x v="324"/>
    <x v="8"/>
    <x v="1"/>
    <s v="United States"/>
    <x v="134"/>
    <x v="38"/>
    <x v="2"/>
    <n v="8"/>
    <n v="3080"/>
    <n v="776.6"/>
  </r>
  <r>
    <x v="682"/>
    <x v="5"/>
    <x v="2"/>
    <s v="United States"/>
    <x v="51"/>
    <x v="1"/>
    <x v="0"/>
    <n v="5"/>
    <n v="1525"/>
    <n v="413.75"/>
  </r>
  <r>
    <x v="683"/>
    <x v="6"/>
    <x v="1"/>
    <s v="United States"/>
    <x v="51"/>
    <x v="1"/>
    <x v="0"/>
    <n v="4"/>
    <n v="1332"/>
    <n v="342.85"/>
  </r>
  <r>
    <x v="684"/>
    <x v="7"/>
    <x v="2"/>
    <s v="United States"/>
    <x v="30"/>
    <x v="12"/>
    <x v="1"/>
    <n v="7"/>
    <n v="4669"/>
    <n v="803.21"/>
  </r>
  <r>
    <x v="655"/>
    <x v="5"/>
    <x v="2"/>
    <s v="United States"/>
    <x v="10"/>
    <x v="9"/>
    <x v="0"/>
    <n v="6"/>
    <n v="5310"/>
    <n v="1099.8399999999999"/>
  </r>
  <r>
    <x v="197"/>
    <x v="3"/>
    <x v="2"/>
    <s v="United States"/>
    <x v="43"/>
    <x v="22"/>
    <x v="1"/>
    <n v="8"/>
    <n v="9392"/>
    <n v="2651.84"/>
  </r>
  <r>
    <x v="236"/>
    <x v="6"/>
    <x v="1"/>
    <s v="United States"/>
    <x v="219"/>
    <x v="15"/>
    <x v="2"/>
    <n v="5"/>
    <n v="1350"/>
    <n v="198.19"/>
  </r>
  <r>
    <x v="685"/>
    <x v="6"/>
    <x v="1"/>
    <s v="United States"/>
    <x v="2"/>
    <x v="2"/>
    <x v="1"/>
    <n v="4"/>
    <n v="3648"/>
    <n v="768.61"/>
  </r>
  <r>
    <x v="346"/>
    <x v="0"/>
    <x v="0"/>
    <s v="United States"/>
    <x v="53"/>
    <x v="2"/>
    <x v="1"/>
    <n v="2"/>
    <n v="300"/>
    <n v="47.59"/>
  </r>
  <r>
    <x v="201"/>
    <x v="7"/>
    <x v="2"/>
    <s v="United States"/>
    <x v="258"/>
    <x v="37"/>
    <x v="3"/>
    <n v="3"/>
    <n v="3408"/>
    <n v="727.26"/>
  </r>
  <r>
    <x v="686"/>
    <x v="8"/>
    <x v="1"/>
    <s v="United States"/>
    <x v="109"/>
    <x v="18"/>
    <x v="2"/>
    <n v="9"/>
    <n v="4302"/>
    <n v="475.96"/>
  </r>
  <r>
    <x v="468"/>
    <x v="8"/>
    <x v="1"/>
    <s v="United States"/>
    <x v="79"/>
    <x v="16"/>
    <x v="3"/>
    <n v="5"/>
    <n v="4575"/>
    <n v="771.24"/>
  </r>
  <r>
    <x v="30"/>
    <x v="9"/>
    <x v="2"/>
    <s v="United States"/>
    <x v="15"/>
    <x v="13"/>
    <x v="1"/>
    <n v="8"/>
    <n v="9304"/>
    <n v="1855.7"/>
  </r>
  <r>
    <x v="404"/>
    <x v="6"/>
    <x v="1"/>
    <s v="United States"/>
    <x v="16"/>
    <x v="14"/>
    <x v="2"/>
    <n v="4"/>
    <n v="1928"/>
    <n v="232.48"/>
  </r>
  <r>
    <x v="386"/>
    <x v="0"/>
    <x v="0"/>
    <s v="United States"/>
    <x v="2"/>
    <x v="2"/>
    <x v="1"/>
    <n v="2"/>
    <n v="1042"/>
    <n v="86.24"/>
  </r>
  <r>
    <x v="687"/>
    <x v="2"/>
    <x v="2"/>
    <s v="United States"/>
    <x v="144"/>
    <x v="5"/>
    <x v="3"/>
    <n v="3"/>
    <n v="2214"/>
    <n v="507.7"/>
  </r>
  <r>
    <x v="51"/>
    <x v="8"/>
    <x v="1"/>
    <s v="United States"/>
    <x v="12"/>
    <x v="11"/>
    <x v="3"/>
    <n v="4"/>
    <n v="3024"/>
    <n v="678.26"/>
  </r>
  <r>
    <x v="138"/>
    <x v="3"/>
    <x v="2"/>
    <s v="United States"/>
    <x v="259"/>
    <x v="30"/>
    <x v="0"/>
    <n v="2"/>
    <n v="1104"/>
    <n v="173.01"/>
  </r>
  <r>
    <x v="530"/>
    <x v="1"/>
    <x v="1"/>
    <s v="United States"/>
    <x v="65"/>
    <x v="17"/>
    <x v="3"/>
    <n v="8"/>
    <n v="6056"/>
    <n v="1631.71"/>
  </r>
  <r>
    <x v="33"/>
    <x v="1"/>
    <x v="1"/>
    <s v="United States"/>
    <x v="6"/>
    <x v="5"/>
    <x v="3"/>
    <n v="5"/>
    <n v="5295"/>
    <n v="1375.98"/>
  </r>
  <r>
    <x v="260"/>
    <x v="7"/>
    <x v="2"/>
    <s v="United States"/>
    <x v="6"/>
    <x v="5"/>
    <x v="3"/>
    <n v="4"/>
    <n v="3668"/>
    <n v="839.4"/>
  </r>
  <r>
    <x v="308"/>
    <x v="0"/>
    <x v="0"/>
    <s v="United States"/>
    <x v="28"/>
    <x v="2"/>
    <x v="1"/>
    <n v="9"/>
    <n v="4293"/>
    <n v="295.47000000000003"/>
  </r>
  <r>
    <x v="688"/>
    <x v="1"/>
    <x v="1"/>
    <s v="United States"/>
    <x v="9"/>
    <x v="8"/>
    <x v="3"/>
    <n v="7"/>
    <n v="5789"/>
    <n v="950.45"/>
  </r>
  <r>
    <x v="409"/>
    <x v="5"/>
    <x v="2"/>
    <s v="United States"/>
    <x v="9"/>
    <x v="8"/>
    <x v="3"/>
    <n v="6"/>
    <n v="4440"/>
    <n v="800.92"/>
  </r>
  <r>
    <x v="149"/>
    <x v="0"/>
    <x v="0"/>
    <s v="United States"/>
    <x v="260"/>
    <x v="1"/>
    <x v="0"/>
    <n v="5"/>
    <n v="5515"/>
    <n v="330.02"/>
  </r>
  <r>
    <x v="100"/>
    <x v="3"/>
    <x v="2"/>
    <s v="United States"/>
    <x v="9"/>
    <x v="8"/>
    <x v="3"/>
    <n v="4"/>
    <n v="784"/>
    <n v="192.77"/>
  </r>
  <r>
    <x v="689"/>
    <x v="9"/>
    <x v="2"/>
    <s v="United States"/>
    <x v="13"/>
    <x v="7"/>
    <x v="2"/>
    <n v="4"/>
    <n v="576"/>
    <n v="156.59"/>
  </r>
  <r>
    <x v="299"/>
    <x v="5"/>
    <x v="2"/>
    <s v="United States"/>
    <x v="261"/>
    <x v="2"/>
    <x v="1"/>
    <n v="5"/>
    <n v="705"/>
    <n v="198.62"/>
  </r>
  <r>
    <x v="425"/>
    <x v="8"/>
    <x v="1"/>
    <s v="United States"/>
    <x v="258"/>
    <x v="37"/>
    <x v="3"/>
    <n v="6"/>
    <n v="4458"/>
    <n v="1215.3"/>
  </r>
  <r>
    <x v="286"/>
    <x v="7"/>
    <x v="2"/>
    <s v="United States"/>
    <x v="13"/>
    <x v="7"/>
    <x v="2"/>
    <n v="6"/>
    <n v="6780"/>
    <n v="811.92"/>
  </r>
  <r>
    <x v="487"/>
    <x v="5"/>
    <x v="2"/>
    <s v="United States"/>
    <x v="2"/>
    <x v="2"/>
    <x v="1"/>
    <n v="5"/>
    <n v="3970"/>
    <n v="642.70000000000005"/>
  </r>
  <r>
    <x v="690"/>
    <x v="6"/>
    <x v="1"/>
    <s v="United States"/>
    <x v="262"/>
    <x v="22"/>
    <x v="1"/>
    <n v="7"/>
    <n v="5131"/>
    <n v="368.11"/>
  </r>
  <r>
    <x v="186"/>
    <x v="9"/>
    <x v="2"/>
    <s v="United States"/>
    <x v="262"/>
    <x v="22"/>
    <x v="1"/>
    <n v="7"/>
    <n v="1750"/>
    <n v="90.21"/>
  </r>
  <r>
    <x v="691"/>
    <x v="2"/>
    <x v="2"/>
    <s v="United States"/>
    <x v="263"/>
    <x v="23"/>
    <x v="3"/>
    <n v="7"/>
    <n v="8337"/>
    <n v="753.35"/>
  </r>
  <r>
    <x v="481"/>
    <x v="8"/>
    <x v="1"/>
    <s v="United States"/>
    <x v="9"/>
    <x v="8"/>
    <x v="3"/>
    <n v="9"/>
    <n v="9810"/>
    <n v="549.46"/>
  </r>
  <r>
    <x v="551"/>
    <x v="8"/>
    <x v="1"/>
    <s v="United States"/>
    <x v="9"/>
    <x v="8"/>
    <x v="3"/>
    <n v="3"/>
    <n v="2658"/>
    <n v="794.36"/>
  </r>
  <r>
    <x v="692"/>
    <x v="0"/>
    <x v="0"/>
    <s v="United States"/>
    <x v="15"/>
    <x v="13"/>
    <x v="1"/>
    <n v="1"/>
    <n v="473"/>
    <n v="43.65"/>
  </r>
  <r>
    <x v="7"/>
    <x v="2"/>
    <x v="2"/>
    <s v="United States"/>
    <x v="264"/>
    <x v="17"/>
    <x v="3"/>
    <n v="9"/>
    <n v="2205"/>
    <n v="410.01"/>
  </r>
  <r>
    <x v="347"/>
    <x v="7"/>
    <x v="2"/>
    <s v="United States"/>
    <x v="102"/>
    <x v="2"/>
    <x v="1"/>
    <n v="9"/>
    <n v="6948"/>
    <n v="1409.3"/>
  </r>
  <r>
    <x v="693"/>
    <x v="2"/>
    <x v="2"/>
    <s v="United States"/>
    <x v="265"/>
    <x v="17"/>
    <x v="3"/>
    <n v="3"/>
    <n v="774"/>
    <n v="212.02"/>
  </r>
  <r>
    <x v="262"/>
    <x v="2"/>
    <x v="2"/>
    <s v="United States"/>
    <x v="25"/>
    <x v="17"/>
    <x v="3"/>
    <n v="3"/>
    <n v="2532"/>
    <n v="343.13"/>
  </r>
  <r>
    <x v="419"/>
    <x v="9"/>
    <x v="2"/>
    <s v="United States"/>
    <x v="266"/>
    <x v="5"/>
    <x v="3"/>
    <n v="7"/>
    <n v="6587"/>
    <n v="1173.9100000000001"/>
  </r>
  <r>
    <x v="330"/>
    <x v="7"/>
    <x v="2"/>
    <s v="United States"/>
    <x v="2"/>
    <x v="2"/>
    <x v="1"/>
    <n v="7"/>
    <n v="7266"/>
    <n v="806.79"/>
  </r>
  <r>
    <x v="492"/>
    <x v="7"/>
    <x v="2"/>
    <s v="United States"/>
    <x v="29"/>
    <x v="6"/>
    <x v="3"/>
    <n v="7"/>
    <n v="6867"/>
    <n v="502.06"/>
  </r>
  <r>
    <x v="336"/>
    <x v="3"/>
    <x v="2"/>
    <s v="United States"/>
    <x v="11"/>
    <x v="10"/>
    <x v="0"/>
    <n v="9"/>
    <n v="4887"/>
    <n v="396.36"/>
  </r>
  <r>
    <x v="694"/>
    <x v="1"/>
    <x v="1"/>
    <s v="United States"/>
    <x v="121"/>
    <x v="2"/>
    <x v="1"/>
    <n v="4"/>
    <n v="864"/>
    <n v="251.99"/>
  </r>
  <r>
    <x v="695"/>
    <x v="7"/>
    <x v="2"/>
    <s v="United States"/>
    <x v="25"/>
    <x v="17"/>
    <x v="3"/>
    <n v="6"/>
    <n v="5190"/>
    <n v="1215.07"/>
  </r>
  <r>
    <x v="696"/>
    <x v="8"/>
    <x v="1"/>
    <s v="United States"/>
    <x v="25"/>
    <x v="17"/>
    <x v="3"/>
    <n v="8"/>
    <n v="2128"/>
    <n v="294.45"/>
  </r>
  <r>
    <x v="697"/>
    <x v="1"/>
    <x v="1"/>
    <s v="United States"/>
    <x v="13"/>
    <x v="7"/>
    <x v="2"/>
    <n v="2"/>
    <n v="1718"/>
    <n v="218.82"/>
  </r>
  <r>
    <x v="658"/>
    <x v="7"/>
    <x v="2"/>
    <s v="United States"/>
    <x v="99"/>
    <x v="2"/>
    <x v="1"/>
    <n v="2"/>
    <n v="1270"/>
    <n v="229.39"/>
  </r>
  <r>
    <x v="698"/>
    <x v="8"/>
    <x v="1"/>
    <s v="United States"/>
    <x v="99"/>
    <x v="2"/>
    <x v="1"/>
    <n v="7"/>
    <n v="2569"/>
    <n v="130.19"/>
  </r>
  <r>
    <x v="699"/>
    <x v="0"/>
    <x v="0"/>
    <s v="United States"/>
    <x v="267"/>
    <x v="31"/>
    <x v="0"/>
    <n v="2"/>
    <n v="1518"/>
    <n v="262.64999999999998"/>
  </r>
  <r>
    <x v="601"/>
    <x v="4"/>
    <x v="1"/>
    <s v="United States"/>
    <x v="28"/>
    <x v="2"/>
    <x v="1"/>
    <n v="2"/>
    <n v="1210"/>
    <n v="268.37"/>
  </r>
  <r>
    <x v="532"/>
    <x v="1"/>
    <x v="1"/>
    <s v="United States"/>
    <x v="11"/>
    <x v="32"/>
    <x v="2"/>
    <n v="2"/>
    <n v="1128"/>
    <n v="94.13"/>
  </r>
  <r>
    <x v="635"/>
    <x v="4"/>
    <x v="1"/>
    <s v="United States"/>
    <x v="11"/>
    <x v="32"/>
    <x v="2"/>
    <n v="1"/>
    <n v="1077"/>
    <n v="77.97"/>
  </r>
  <r>
    <x v="700"/>
    <x v="8"/>
    <x v="1"/>
    <s v="United States"/>
    <x v="2"/>
    <x v="2"/>
    <x v="1"/>
    <n v="6"/>
    <n v="2244"/>
    <n v="517.47"/>
  </r>
  <r>
    <x v="615"/>
    <x v="1"/>
    <x v="1"/>
    <s v="United States"/>
    <x v="268"/>
    <x v="3"/>
    <x v="2"/>
    <n v="8"/>
    <n v="1608"/>
    <n v="464.18"/>
  </r>
  <r>
    <x v="701"/>
    <x v="3"/>
    <x v="2"/>
    <s v="United States"/>
    <x v="268"/>
    <x v="3"/>
    <x v="2"/>
    <n v="5"/>
    <n v="3685"/>
    <n v="476.2"/>
  </r>
  <r>
    <x v="702"/>
    <x v="3"/>
    <x v="2"/>
    <s v="United States"/>
    <x v="6"/>
    <x v="5"/>
    <x v="3"/>
    <n v="8"/>
    <n v="4080"/>
    <n v="1079.49"/>
  </r>
  <r>
    <x v="703"/>
    <x v="6"/>
    <x v="1"/>
    <s v="United States"/>
    <x v="28"/>
    <x v="2"/>
    <x v="1"/>
    <n v="1"/>
    <n v="404"/>
    <n v="84.4"/>
  </r>
  <r>
    <x v="704"/>
    <x v="8"/>
    <x v="1"/>
    <s v="United States"/>
    <x v="2"/>
    <x v="2"/>
    <x v="1"/>
    <n v="2"/>
    <n v="1738"/>
    <n v="163.38"/>
  </r>
  <r>
    <x v="171"/>
    <x v="0"/>
    <x v="0"/>
    <s v="United States"/>
    <x v="2"/>
    <x v="2"/>
    <x v="1"/>
    <n v="3"/>
    <n v="828"/>
    <n v="210.33"/>
  </r>
  <r>
    <x v="661"/>
    <x v="1"/>
    <x v="1"/>
    <s v="United States"/>
    <x v="259"/>
    <x v="43"/>
    <x v="2"/>
    <n v="4"/>
    <n v="4344"/>
    <n v="461.72"/>
  </r>
  <r>
    <x v="368"/>
    <x v="2"/>
    <x v="2"/>
    <s v="United States"/>
    <x v="221"/>
    <x v="5"/>
    <x v="3"/>
    <n v="1"/>
    <n v="1130"/>
    <n v="268.88"/>
  </r>
  <r>
    <x v="705"/>
    <x v="4"/>
    <x v="1"/>
    <s v="United States"/>
    <x v="77"/>
    <x v="11"/>
    <x v="3"/>
    <n v="3"/>
    <n v="1698"/>
    <n v="304.91000000000003"/>
  </r>
  <r>
    <x v="128"/>
    <x v="2"/>
    <x v="2"/>
    <s v="United States"/>
    <x v="74"/>
    <x v="12"/>
    <x v="1"/>
    <n v="4"/>
    <n v="844"/>
    <n v="136.02000000000001"/>
  </r>
  <r>
    <x v="507"/>
    <x v="0"/>
    <x v="0"/>
    <s v="United States"/>
    <x v="6"/>
    <x v="5"/>
    <x v="3"/>
    <n v="2"/>
    <n v="2286"/>
    <n v="218.18"/>
  </r>
  <r>
    <x v="706"/>
    <x v="3"/>
    <x v="2"/>
    <s v="United States"/>
    <x v="23"/>
    <x v="15"/>
    <x v="2"/>
    <n v="2"/>
    <n v="1026"/>
    <n v="170.31"/>
  </r>
  <r>
    <x v="707"/>
    <x v="9"/>
    <x v="2"/>
    <s v="United States"/>
    <x v="90"/>
    <x v="7"/>
    <x v="2"/>
    <n v="6"/>
    <n v="6984"/>
    <n v="1433.65"/>
  </r>
  <r>
    <x v="337"/>
    <x v="6"/>
    <x v="1"/>
    <s v="United States"/>
    <x v="76"/>
    <x v="25"/>
    <x v="0"/>
    <n v="4"/>
    <n v="1672"/>
    <n v="432.35"/>
  </r>
  <r>
    <x v="690"/>
    <x v="9"/>
    <x v="2"/>
    <s v="United States"/>
    <x v="42"/>
    <x v="8"/>
    <x v="3"/>
    <n v="6"/>
    <n v="1092"/>
    <n v="63.98"/>
  </r>
  <r>
    <x v="330"/>
    <x v="4"/>
    <x v="1"/>
    <s v="United States"/>
    <x v="269"/>
    <x v="5"/>
    <x v="3"/>
    <n v="2"/>
    <n v="272"/>
    <n v="24.71"/>
  </r>
  <r>
    <x v="477"/>
    <x v="4"/>
    <x v="1"/>
    <s v="United States"/>
    <x v="64"/>
    <x v="7"/>
    <x v="2"/>
    <n v="2"/>
    <n v="1126"/>
    <n v="204.99"/>
  </r>
  <r>
    <x v="708"/>
    <x v="1"/>
    <x v="1"/>
    <s v="United States"/>
    <x v="6"/>
    <x v="5"/>
    <x v="3"/>
    <n v="7"/>
    <n v="8155"/>
    <n v="2177.38"/>
  </r>
  <r>
    <x v="46"/>
    <x v="5"/>
    <x v="2"/>
    <s v="United States"/>
    <x v="28"/>
    <x v="2"/>
    <x v="1"/>
    <n v="7"/>
    <n v="4298"/>
    <n v="358.38"/>
  </r>
  <r>
    <x v="527"/>
    <x v="7"/>
    <x v="2"/>
    <s v="United States"/>
    <x v="224"/>
    <x v="30"/>
    <x v="0"/>
    <n v="5"/>
    <n v="1365"/>
    <n v="310.66000000000003"/>
  </r>
  <r>
    <x v="271"/>
    <x v="3"/>
    <x v="2"/>
    <s v="United States"/>
    <x v="270"/>
    <x v="9"/>
    <x v="0"/>
    <n v="6"/>
    <n v="4116"/>
    <n v="381.35"/>
  </r>
  <r>
    <x v="709"/>
    <x v="4"/>
    <x v="1"/>
    <s v="United States"/>
    <x v="270"/>
    <x v="9"/>
    <x v="0"/>
    <n v="8"/>
    <n v="904"/>
    <n v="181.45"/>
  </r>
  <r>
    <x v="227"/>
    <x v="5"/>
    <x v="2"/>
    <s v="United States"/>
    <x v="270"/>
    <x v="9"/>
    <x v="0"/>
    <n v="1"/>
    <n v="70"/>
    <n v="10.64"/>
  </r>
  <r>
    <x v="647"/>
    <x v="8"/>
    <x v="1"/>
    <s v="United States"/>
    <x v="270"/>
    <x v="9"/>
    <x v="0"/>
    <n v="2"/>
    <n v="344"/>
    <n v="72.87"/>
  </r>
  <r>
    <x v="372"/>
    <x v="0"/>
    <x v="0"/>
    <s v="United States"/>
    <x v="174"/>
    <x v="2"/>
    <x v="1"/>
    <n v="1"/>
    <n v="330"/>
    <n v="78.52"/>
  </r>
  <r>
    <x v="571"/>
    <x v="4"/>
    <x v="1"/>
    <s v="United States"/>
    <x v="13"/>
    <x v="7"/>
    <x v="2"/>
    <n v="2"/>
    <n v="518"/>
    <n v="34.22"/>
  </r>
  <r>
    <x v="480"/>
    <x v="1"/>
    <x v="1"/>
    <s v="United States"/>
    <x v="19"/>
    <x v="14"/>
    <x v="2"/>
    <n v="9"/>
    <n v="2763"/>
    <n v="458.4"/>
  </r>
  <r>
    <x v="627"/>
    <x v="5"/>
    <x v="2"/>
    <s v="United States"/>
    <x v="2"/>
    <x v="2"/>
    <x v="1"/>
    <n v="2"/>
    <n v="2298"/>
    <n v="343.53"/>
  </r>
  <r>
    <x v="710"/>
    <x v="6"/>
    <x v="1"/>
    <s v="United States"/>
    <x v="160"/>
    <x v="30"/>
    <x v="0"/>
    <n v="1"/>
    <n v="436"/>
    <n v="73.89"/>
  </r>
  <r>
    <x v="711"/>
    <x v="1"/>
    <x v="1"/>
    <s v="United States"/>
    <x v="271"/>
    <x v="44"/>
    <x v="3"/>
    <n v="6"/>
    <n v="1824"/>
    <n v="213.47"/>
  </r>
  <r>
    <x v="446"/>
    <x v="9"/>
    <x v="2"/>
    <s v="United States"/>
    <x v="272"/>
    <x v="17"/>
    <x v="3"/>
    <n v="5"/>
    <n v="1540"/>
    <n v="411.83"/>
  </r>
  <r>
    <x v="107"/>
    <x v="2"/>
    <x v="2"/>
    <s v="United States"/>
    <x v="272"/>
    <x v="17"/>
    <x v="3"/>
    <n v="7"/>
    <n v="5572"/>
    <n v="385.82"/>
  </r>
  <r>
    <x v="630"/>
    <x v="6"/>
    <x v="1"/>
    <s v="United States"/>
    <x v="6"/>
    <x v="5"/>
    <x v="3"/>
    <n v="6"/>
    <n v="3030"/>
    <n v="335.71"/>
  </r>
  <r>
    <x v="348"/>
    <x v="6"/>
    <x v="1"/>
    <s v="United States"/>
    <x v="16"/>
    <x v="14"/>
    <x v="2"/>
    <n v="5"/>
    <n v="1245"/>
    <n v="345.84"/>
  </r>
  <r>
    <x v="429"/>
    <x v="2"/>
    <x v="2"/>
    <s v="United States"/>
    <x v="28"/>
    <x v="2"/>
    <x v="1"/>
    <n v="4"/>
    <n v="1252"/>
    <n v="326.69"/>
  </r>
  <r>
    <x v="712"/>
    <x v="3"/>
    <x v="2"/>
    <s v="United States"/>
    <x v="2"/>
    <x v="2"/>
    <x v="1"/>
    <n v="9"/>
    <n v="4959"/>
    <n v="479.28"/>
  </r>
  <r>
    <x v="390"/>
    <x v="6"/>
    <x v="1"/>
    <s v="United States"/>
    <x v="2"/>
    <x v="2"/>
    <x v="1"/>
    <n v="7"/>
    <n v="8162"/>
    <n v="443.81"/>
  </r>
  <r>
    <x v="251"/>
    <x v="6"/>
    <x v="1"/>
    <s v="United States"/>
    <x v="2"/>
    <x v="2"/>
    <x v="1"/>
    <n v="5"/>
    <n v="1370"/>
    <n v="253.92"/>
  </r>
  <r>
    <x v="55"/>
    <x v="2"/>
    <x v="2"/>
    <s v="United States"/>
    <x v="66"/>
    <x v="1"/>
    <x v="0"/>
    <n v="3"/>
    <n v="3111"/>
    <n v="607.23"/>
  </r>
  <r>
    <x v="645"/>
    <x v="1"/>
    <x v="1"/>
    <s v="United States"/>
    <x v="273"/>
    <x v="1"/>
    <x v="0"/>
    <n v="7"/>
    <n v="7805"/>
    <n v="1078.03"/>
  </r>
  <r>
    <x v="265"/>
    <x v="7"/>
    <x v="2"/>
    <s v="United States"/>
    <x v="273"/>
    <x v="1"/>
    <x v="0"/>
    <n v="9"/>
    <n v="10314"/>
    <n v="2729.6"/>
  </r>
  <r>
    <x v="279"/>
    <x v="8"/>
    <x v="1"/>
    <s v="United States"/>
    <x v="274"/>
    <x v="44"/>
    <x v="3"/>
    <n v="9"/>
    <n v="10782"/>
    <n v="2730.14"/>
  </r>
  <r>
    <x v="9"/>
    <x v="6"/>
    <x v="1"/>
    <s v="United States"/>
    <x v="71"/>
    <x v="13"/>
    <x v="1"/>
    <n v="5"/>
    <n v="4375"/>
    <n v="987.96"/>
  </r>
  <r>
    <x v="713"/>
    <x v="6"/>
    <x v="1"/>
    <s v="United States"/>
    <x v="28"/>
    <x v="2"/>
    <x v="1"/>
    <n v="5"/>
    <n v="2265"/>
    <n v="595.04999999999995"/>
  </r>
  <r>
    <x v="102"/>
    <x v="9"/>
    <x v="2"/>
    <s v="United States"/>
    <x v="2"/>
    <x v="2"/>
    <x v="1"/>
    <n v="1"/>
    <n v="166"/>
    <n v="9.69"/>
  </r>
  <r>
    <x v="134"/>
    <x v="4"/>
    <x v="1"/>
    <s v="United States"/>
    <x v="163"/>
    <x v="22"/>
    <x v="1"/>
    <n v="7"/>
    <n v="7217"/>
    <n v="1481.7"/>
  </r>
  <r>
    <x v="714"/>
    <x v="2"/>
    <x v="2"/>
    <s v="United States"/>
    <x v="28"/>
    <x v="2"/>
    <x v="1"/>
    <n v="3"/>
    <n v="1767"/>
    <n v="186.54"/>
  </r>
  <r>
    <x v="216"/>
    <x v="9"/>
    <x v="2"/>
    <s v="United States"/>
    <x v="53"/>
    <x v="2"/>
    <x v="1"/>
    <n v="3"/>
    <n v="2883"/>
    <n v="557.80999999999995"/>
  </r>
  <r>
    <x v="235"/>
    <x v="5"/>
    <x v="2"/>
    <s v="United States"/>
    <x v="47"/>
    <x v="12"/>
    <x v="1"/>
    <n v="3"/>
    <n v="1338"/>
    <n v="396.08"/>
  </r>
  <r>
    <x v="715"/>
    <x v="0"/>
    <x v="0"/>
    <s v="United States"/>
    <x v="47"/>
    <x v="12"/>
    <x v="1"/>
    <n v="9"/>
    <n v="9459"/>
    <n v="604.05999999999995"/>
  </r>
  <r>
    <x v="42"/>
    <x v="0"/>
    <x v="0"/>
    <s v="United States"/>
    <x v="89"/>
    <x v="1"/>
    <x v="0"/>
    <n v="3"/>
    <n v="168"/>
    <n v="45.31"/>
  </r>
  <r>
    <x v="716"/>
    <x v="7"/>
    <x v="2"/>
    <s v="United States"/>
    <x v="51"/>
    <x v="1"/>
    <x v="0"/>
    <n v="9"/>
    <n v="4536"/>
    <n v="479.78"/>
  </r>
  <r>
    <x v="543"/>
    <x v="1"/>
    <x v="1"/>
    <s v="United States"/>
    <x v="28"/>
    <x v="2"/>
    <x v="1"/>
    <n v="4"/>
    <n v="4404"/>
    <n v="793.7"/>
  </r>
  <r>
    <x v="641"/>
    <x v="6"/>
    <x v="1"/>
    <s v="United States"/>
    <x v="13"/>
    <x v="7"/>
    <x v="2"/>
    <n v="4"/>
    <n v="1952"/>
    <n v="148.66999999999999"/>
  </r>
  <r>
    <x v="717"/>
    <x v="1"/>
    <x v="1"/>
    <s v="United States"/>
    <x v="3"/>
    <x v="3"/>
    <x v="2"/>
    <n v="3"/>
    <n v="2004"/>
    <n v="467.76"/>
  </r>
  <r>
    <x v="718"/>
    <x v="8"/>
    <x v="1"/>
    <s v="United States"/>
    <x v="28"/>
    <x v="2"/>
    <x v="1"/>
    <n v="4"/>
    <n v="468"/>
    <n v="131.47999999999999"/>
  </r>
  <r>
    <x v="719"/>
    <x v="7"/>
    <x v="2"/>
    <s v="United States"/>
    <x v="3"/>
    <x v="3"/>
    <x v="2"/>
    <n v="9"/>
    <n v="8667"/>
    <n v="1597.49"/>
  </r>
  <r>
    <x v="720"/>
    <x v="0"/>
    <x v="0"/>
    <s v="United States"/>
    <x v="3"/>
    <x v="3"/>
    <x v="2"/>
    <n v="7"/>
    <n v="6097"/>
    <n v="567.32000000000005"/>
  </r>
  <r>
    <x v="721"/>
    <x v="4"/>
    <x v="1"/>
    <s v="United States"/>
    <x v="9"/>
    <x v="8"/>
    <x v="3"/>
    <n v="9"/>
    <n v="4752"/>
    <n v="1415.65"/>
  </r>
  <r>
    <x v="253"/>
    <x v="8"/>
    <x v="1"/>
    <s v="United States"/>
    <x v="104"/>
    <x v="22"/>
    <x v="1"/>
    <n v="1"/>
    <n v="1172"/>
    <n v="124.9"/>
  </r>
  <r>
    <x v="696"/>
    <x v="8"/>
    <x v="1"/>
    <s v="United States"/>
    <x v="275"/>
    <x v="4"/>
    <x v="1"/>
    <n v="2"/>
    <n v="1608"/>
    <n v="170.29"/>
  </r>
  <r>
    <x v="722"/>
    <x v="0"/>
    <x v="0"/>
    <s v="United States"/>
    <x v="6"/>
    <x v="5"/>
    <x v="3"/>
    <n v="7"/>
    <n v="7595"/>
    <n v="969.07"/>
  </r>
  <r>
    <x v="426"/>
    <x v="5"/>
    <x v="2"/>
    <s v="United States"/>
    <x v="132"/>
    <x v="33"/>
    <x v="0"/>
    <n v="1"/>
    <n v="1142"/>
    <n v="306.83999999999997"/>
  </r>
  <r>
    <x v="723"/>
    <x v="8"/>
    <x v="1"/>
    <s v="United States"/>
    <x v="38"/>
    <x v="21"/>
    <x v="0"/>
    <n v="2"/>
    <n v="116"/>
    <n v="13.67"/>
  </r>
  <r>
    <x v="437"/>
    <x v="7"/>
    <x v="2"/>
    <s v="United States"/>
    <x v="9"/>
    <x v="8"/>
    <x v="3"/>
    <n v="9"/>
    <n v="3951"/>
    <n v="908.13"/>
  </r>
  <r>
    <x v="12"/>
    <x v="8"/>
    <x v="1"/>
    <s v="United States"/>
    <x v="102"/>
    <x v="2"/>
    <x v="1"/>
    <n v="2"/>
    <n v="1606"/>
    <n v="138.96"/>
  </r>
  <r>
    <x v="724"/>
    <x v="4"/>
    <x v="1"/>
    <s v="United States"/>
    <x v="2"/>
    <x v="2"/>
    <x v="1"/>
    <n v="3"/>
    <n v="2025"/>
    <n v="403"/>
  </r>
  <r>
    <x v="684"/>
    <x v="5"/>
    <x v="2"/>
    <s v="United States"/>
    <x v="218"/>
    <x v="32"/>
    <x v="2"/>
    <n v="2"/>
    <n v="2006"/>
    <n v="235.52"/>
  </r>
  <r>
    <x v="230"/>
    <x v="3"/>
    <x v="2"/>
    <s v="United States"/>
    <x v="53"/>
    <x v="2"/>
    <x v="1"/>
    <n v="9"/>
    <n v="9423"/>
    <n v="652.05999999999995"/>
  </r>
  <r>
    <x v="108"/>
    <x v="9"/>
    <x v="2"/>
    <s v="United States"/>
    <x v="174"/>
    <x v="18"/>
    <x v="2"/>
    <n v="4"/>
    <n v="2276"/>
    <n v="399.94"/>
  </r>
  <r>
    <x v="326"/>
    <x v="6"/>
    <x v="1"/>
    <s v="United States"/>
    <x v="224"/>
    <x v="30"/>
    <x v="0"/>
    <n v="5"/>
    <n v="4880"/>
    <n v="664.06"/>
  </r>
  <r>
    <x v="723"/>
    <x v="9"/>
    <x v="2"/>
    <s v="United States"/>
    <x v="224"/>
    <x v="30"/>
    <x v="0"/>
    <n v="3"/>
    <n v="1773"/>
    <n v="183.15"/>
  </r>
  <r>
    <x v="304"/>
    <x v="5"/>
    <x v="2"/>
    <s v="United States"/>
    <x v="10"/>
    <x v="9"/>
    <x v="0"/>
    <n v="9"/>
    <n v="2718"/>
    <n v="195.97"/>
  </r>
  <r>
    <x v="256"/>
    <x v="4"/>
    <x v="1"/>
    <s v="United States"/>
    <x v="276"/>
    <x v="16"/>
    <x v="3"/>
    <n v="4"/>
    <n v="3168"/>
    <n v="939.45"/>
  </r>
  <r>
    <x v="429"/>
    <x v="3"/>
    <x v="2"/>
    <s v="United States"/>
    <x v="276"/>
    <x v="16"/>
    <x v="3"/>
    <n v="2"/>
    <n v="1716"/>
    <n v="368.06"/>
  </r>
  <r>
    <x v="725"/>
    <x v="7"/>
    <x v="2"/>
    <s v="United States"/>
    <x v="15"/>
    <x v="13"/>
    <x v="1"/>
    <n v="2"/>
    <n v="214"/>
    <n v="14.08"/>
  </r>
  <r>
    <x v="712"/>
    <x v="3"/>
    <x v="2"/>
    <s v="United States"/>
    <x v="15"/>
    <x v="13"/>
    <x v="1"/>
    <n v="2"/>
    <n v="2092"/>
    <n v="366.12"/>
  </r>
  <r>
    <x v="726"/>
    <x v="4"/>
    <x v="1"/>
    <s v="United States"/>
    <x v="89"/>
    <x v="1"/>
    <x v="0"/>
    <n v="3"/>
    <n v="225"/>
    <n v="46.96"/>
  </r>
  <r>
    <x v="99"/>
    <x v="5"/>
    <x v="2"/>
    <s v="United States"/>
    <x v="3"/>
    <x v="3"/>
    <x v="2"/>
    <n v="1"/>
    <n v="859"/>
    <n v="217.67"/>
  </r>
  <r>
    <x v="243"/>
    <x v="0"/>
    <x v="0"/>
    <s v="United States"/>
    <x v="180"/>
    <x v="25"/>
    <x v="0"/>
    <n v="2"/>
    <n v="2070"/>
    <n v="183.41"/>
  </r>
  <r>
    <x v="428"/>
    <x v="8"/>
    <x v="1"/>
    <s v="United States"/>
    <x v="54"/>
    <x v="17"/>
    <x v="3"/>
    <n v="6"/>
    <n v="3240"/>
    <n v="758.19"/>
  </r>
  <r>
    <x v="727"/>
    <x v="2"/>
    <x v="2"/>
    <s v="United States"/>
    <x v="53"/>
    <x v="2"/>
    <x v="1"/>
    <n v="2"/>
    <n v="1748"/>
    <n v="506.52"/>
  </r>
  <r>
    <x v="573"/>
    <x v="1"/>
    <x v="1"/>
    <s v="United States"/>
    <x v="53"/>
    <x v="2"/>
    <x v="1"/>
    <n v="8"/>
    <n v="2080"/>
    <n v="108.48"/>
  </r>
  <r>
    <x v="316"/>
    <x v="5"/>
    <x v="2"/>
    <s v="United States"/>
    <x v="29"/>
    <x v="24"/>
    <x v="0"/>
    <n v="3"/>
    <n v="2193"/>
    <n v="521.14"/>
  </r>
  <r>
    <x v="682"/>
    <x v="4"/>
    <x v="1"/>
    <s v="United States"/>
    <x v="277"/>
    <x v="18"/>
    <x v="2"/>
    <n v="5"/>
    <n v="2080"/>
    <n v="614.77"/>
  </r>
  <r>
    <x v="728"/>
    <x v="1"/>
    <x v="1"/>
    <s v="United States"/>
    <x v="166"/>
    <x v="25"/>
    <x v="0"/>
    <n v="5"/>
    <n v="5070"/>
    <n v="986.39"/>
  </r>
  <r>
    <x v="729"/>
    <x v="9"/>
    <x v="2"/>
    <s v="United States"/>
    <x v="278"/>
    <x v="2"/>
    <x v="1"/>
    <n v="7"/>
    <n v="469"/>
    <n v="47.4"/>
  </r>
  <r>
    <x v="370"/>
    <x v="0"/>
    <x v="0"/>
    <s v="United States"/>
    <x v="279"/>
    <x v="36"/>
    <x v="1"/>
    <n v="1"/>
    <n v="802"/>
    <n v="153.55000000000001"/>
  </r>
  <r>
    <x v="0"/>
    <x v="7"/>
    <x v="2"/>
    <s v="United States"/>
    <x v="14"/>
    <x v="12"/>
    <x v="1"/>
    <n v="6"/>
    <n v="930"/>
    <n v="213.6"/>
  </r>
  <r>
    <x v="730"/>
    <x v="5"/>
    <x v="2"/>
    <s v="United States"/>
    <x v="280"/>
    <x v="42"/>
    <x v="1"/>
    <n v="1"/>
    <n v="495"/>
    <n v="55.17"/>
  </r>
  <r>
    <x v="452"/>
    <x v="6"/>
    <x v="1"/>
    <s v="United States"/>
    <x v="9"/>
    <x v="8"/>
    <x v="3"/>
    <n v="6"/>
    <n v="4938"/>
    <n v="847.89"/>
  </r>
  <r>
    <x v="116"/>
    <x v="2"/>
    <x v="2"/>
    <s v="United States"/>
    <x v="281"/>
    <x v="1"/>
    <x v="0"/>
    <n v="2"/>
    <n v="1300"/>
    <n v="267.45999999999998"/>
  </r>
  <r>
    <x v="731"/>
    <x v="1"/>
    <x v="1"/>
    <s v="United States"/>
    <x v="6"/>
    <x v="5"/>
    <x v="3"/>
    <n v="7"/>
    <n v="2100"/>
    <n v="131.66999999999999"/>
  </r>
  <r>
    <x v="732"/>
    <x v="3"/>
    <x v="2"/>
    <s v="United States"/>
    <x v="237"/>
    <x v="32"/>
    <x v="2"/>
    <n v="2"/>
    <n v="2248"/>
    <n v="636.52"/>
  </r>
  <r>
    <x v="64"/>
    <x v="4"/>
    <x v="1"/>
    <s v="United States"/>
    <x v="28"/>
    <x v="2"/>
    <x v="1"/>
    <n v="8"/>
    <n v="7096"/>
    <n v="991.23"/>
  </r>
  <r>
    <x v="728"/>
    <x v="4"/>
    <x v="1"/>
    <s v="United States"/>
    <x v="149"/>
    <x v="15"/>
    <x v="2"/>
    <n v="3"/>
    <n v="1992"/>
    <n v="252.21"/>
  </r>
  <r>
    <x v="196"/>
    <x v="3"/>
    <x v="2"/>
    <s v="United States"/>
    <x v="13"/>
    <x v="7"/>
    <x v="2"/>
    <n v="4"/>
    <n v="4056"/>
    <n v="1189.26"/>
  </r>
  <r>
    <x v="733"/>
    <x v="3"/>
    <x v="2"/>
    <s v="United States"/>
    <x v="13"/>
    <x v="7"/>
    <x v="2"/>
    <n v="2"/>
    <n v="1986"/>
    <n v="208.88"/>
  </r>
  <r>
    <x v="263"/>
    <x v="0"/>
    <x v="0"/>
    <s v="United States"/>
    <x v="123"/>
    <x v="16"/>
    <x v="3"/>
    <n v="3"/>
    <n v="1635"/>
    <n v="196.73"/>
  </r>
  <r>
    <x v="408"/>
    <x v="5"/>
    <x v="2"/>
    <s v="United States"/>
    <x v="282"/>
    <x v="19"/>
    <x v="2"/>
    <n v="9"/>
    <n v="3132"/>
    <n v="443.27"/>
  </r>
  <r>
    <x v="722"/>
    <x v="7"/>
    <x v="2"/>
    <s v="United States"/>
    <x v="282"/>
    <x v="19"/>
    <x v="2"/>
    <n v="8"/>
    <n v="7064"/>
    <n v="1554.52"/>
  </r>
  <r>
    <x v="3"/>
    <x v="3"/>
    <x v="2"/>
    <s v="United States"/>
    <x v="2"/>
    <x v="2"/>
    <x v="1"/>
    <n v="1"/>
    <n v="907"/>
    <n v="249.2"/>
  </r>
  <r>
    <x v="485"/>
    <x v="1"/>
    <x v="1"/>
    <s v="United States"/>
    <x v="130"/>
    <x v="2"/>
    <x v="1"/>
    <n v="9"/>
    <n v="7938"/>
    <n v="1191.4100000000001"/>
  </r>
  <r>
    <x v="734"/>
    <x v="0"/>
    <x v="0"/>
    <s v="United States"/>
    <x v="130"/>
    <x v="2"/>
    <x v="1"/>
    <n v="4"/>
    <n v="4360"/>
    <n v="1207.46"/>
  </r>
  <r>
    <x v="315"/>
    <x v="8"/>
    <x v="1"/>
    <s v="United States"/>
    <x v="283"/>
    <x v="8"/>
    <x v="3"/>
    <n v="3"/>
    <n v="375"/>
    <n v="95.04"/>
  </r>
  <r>
    <x v="440"/>
    <x v="6"/>
    <x v="1"/>
    <s v="United States"/>
    <x v="52"/>
    <x v="0"/>
    <x v="0"/>
    <n v="7"/>
    <n v="826"/>
    <n v="101.01"/>
  </r>
  <r>
    <x v="609"/>
    <x v="4"/>
    <x v="1"/>
    <s v="United States"/>
    <x v="168"/>
    <x v="30"/>
    <x v="0"/>
    <n v="1"/>
    <n v="1011"/>
    <n v="186.42"/>
  </r>
  <r>
    <x v="735"/>
    <x v="1"/>
    <x v="1"/>
    <s v="United States"/>
    <x v="284"/>
    <x v="2"/>
    <x v="1"/>
    <n v="3"/>
    <n v="807"/>
    <n v="148.58000000000001"/>
  </r>
  <r>
    <x v="61"/>
    <x v="4"/>
    <x v="1"/>
    <s v="United States"/>
    <x v="62"/>
    <x v="7"/>
    <x v="2"/>
    <n v="2"/>
    <n v="1840"/>
    <n v="367.7"/>
  </r>
  <r>
    <x v="736"/>
    <x v="8"/>
    <x v="1"/>
    <s v="United States"/>
    <x v="2"/>
    <x v="2"/>
    <x v="1"/>
    <n v="5"/>
    <n v="4550"/>
    <n v="1039.3399999999999"/>
  </r>
  <r>
    <x v="737"/>
    <x v="7"/>
    <x v="2"/>
    <s v="United States"/>
    <x v="2"/>
    <x v="2"/>
    <x v="1"/>
    <n v="9"/>
    <n v="8793"/>
    <n v="901.7"/>
  </r>
  <r>
    <x v="53"/>
    <x v="4"/>
    <x v="1"/>
    <s v="United States"/>
    <x v="2"/>
    <x v="2"/>
    <x v="1"/>
    <n v="5"/>
    <n v="310"/>
    <n v="32.01"/>
  </r>
  <r>
    <x v="687"/>
    <x v="4"/>
    <x v="1"/>
    <s v="United States"/>
    <x v="76"/>
    <x v="36"/>
    <x v="1"/>
    <n v="3"/>
    <n v="1143"/>
    <n v="275.04000000000002"/>
  </r>
  <r>
    <x v="149"/>
    <x v="6"/>
    <x v="1"/>
    <s v="United States"/>
    <x v="51"/>
    <x v="1"/>
    <x v="0"/>
    <n v="3"/>
    <n v="2610"/>
    <n v="740.21"/>
  </r>
  <r>
    <x v="462"/>
    <x v="2"/>
    <x v="2"/>
    <s v="United States"/>
    <x v="175"/>
    <x v="2"/>
    <x v="1"/>
    <n v="6"/>
    <n v="1494"/>
    <n v="269.25"/>
  </r>
  <r>
    <x v="738"/>
    <x v="7"/>
    <x v="2"/>
    <s v="United States"/>
    <x v="175"/>
    <x v="2"/>
    <x v="1"/>
    <n v="4"/>
    <n v="1524"/>
    <n v="189.32"/>
  </r>
  <r>
    <x v="523"/>
    <x v="2"/>
    <x v="2"/>
    <s v="United States"/>
    <x v="13"/>
    <x v="7"/>
    <x v="2"/>
    <n v="9"/>
    <n v="9441"/>
    <n v="2171.42"/>
  </r>
  <r>
    <x v="316"/>
    <x v="7"/>
    <x v="2"/>
    <s v="United States"/>
    <x v="9"/>
    <x v="8"/>
    <x v="3"/>
    <n v="4"/>
    <n v="3520"/>
    <n v="417.26"/>
  </r>
  <r>
    <x v="46"/>
    <x v="2"/>
    <x v="2"/>
    <s v="United States"/>
    <x v="144"/>
    <x v="5"/>
    <x v="3"/>
    <n v="2"/>
    <n v="390"/>
    <n v="103.99"/>
  </r>
  <r>
    <x v="739"/>
    <x v="0"/>
    <x v="0"/>
    <s v="United States"/>
    <x v="196"/>
    <x v="9"/>
    <x v="0"/>
    <n v="3"/>
    <n v="3219"/>
    <n v="255.09"/>
  </r>
  <r>
    <x v="158"/>
    <x v="9"/>
    <x v="2"/>
    <s v="United States"/>
    <x v="53"/>
    <x v="2"/>
    <x v="1"/>
    <n v="1"/>
    <n v="450"/>
    <n v="75.89"/>
  </r>
  <r>
    <x v="212"/>
    <x v="5"/>
    <x v="2"/>
    <s v="United States"/>
    <x v="28"/>
    <x v="2"/>
    <x v="1"/>
    <n v="4"/>
    <n v="828"/>
    <n v="216.98"/>
  </r>
  <r>
    <x v="47"/>
    <x v="0"/>
    <x v="0"/>
    <s v="United States"/>
    <x v="13"/>
    <x v="7"/>
    <x v="2"/>
    <n v="1"/>
    <n v="1146"/>
    <n v="152.79"/>
  </r>
  <r>
    <x v="53"/>
    <x v="6"/>
    <x v="1"/>
    <s v="United States"/>
    <x v="13"/>
    <x v="7"/>
    <x v="2"/>
    <n v="3"/>
    <n v="1986"/>
    <n v="361.33"/>
  </r>
  <r>
    <x v="88"/>
    <x v="5"/>
    <x v="2"/>
    <s v="United States"/>
    <x v="52"/>
    <x v="6"/>
    <x v="3"/>
    <n v="8"/>
    <n v="7264"/>
    <n v="1776.83"/>
  </r>
  <r>
    <x v="682"/>
    <x v="9"/>
    <x v="2"/>
    <s v="United States"/>
    <x v="52"/>
    <x v="6"/>
    <x v="3"/>
    <n v="7"/>
    <n v="7469"/>
    <n v="915.63"/>
  </r>
  <r>
    <x v="740"/>
    <x v="9"/>
    <x v="2"/>
    <s v="United States"/>
    <x v="41"/>
    <x v="30"/>
    <x v="0"/>
    <n v="5"/>
    <n v="1385"/>
    <n v="165.55"/>
  </r>
  <r>
    <x v="420"/>
    <x v="2"/>
    <x v="2"/>
    <s v="United States"/>
    <x v="58"/>
    <x v="25"/>
    <x v="0"/>
    <n v="4"/>
    <n v="4556"/>
    <n v="315.07"/>
  </r>
  <r>
    <x v="741"/>
    <x v="6"/>
    <x v="1"/>
    <s v="United States"/>
    <x v="53"/>
    <x v="2"/>
    <x v="1"/>
    <n v="3"/>
    <n v="456"/>
    <n v="61.42"/>
  </r>
  <r>
    <x v="131"/>
    <x v="6"/>
    <x v="1"/>
    <s v="United States"/>
    <x v="53"/>
    <x v="2"/>
    <x v="1"/>
    <n v="2"/>
    <n v="1984"/>
    <n v="125.13"/>
  </r>
  <r>
    <x v="545"/>
    <x v="5"/>
    <x v="2"/>
    <s v="United States"/>
    <x v="53"/>
    <x v="2"/>
    <x v="1"/>
    <n v="6"/>
    <n v="5178"/>
    <n v="1321.58"/>
  </r>
  <r>
    <x v="742"/>
    <x v="5"/>
    <x v="2"/>
    <s v="United States"/>
    <x v="18"/>
    <x v="11"/>
    <x v="3"/>
    <n v="1"/>
    <n v="281"/>
    <n v="30.51"/>
  </r>
  <r>
    <x v="48"/>
    <x v="6"/>
    <x v="1"/>
    <s v="United States"/>
    <x v="144"/>
    <x v="5"/>
    <x v="3"/>
    <n v="9"/>
    <n v="3033"/>
    <n v="177.92"/>
  </r>
  <r>
    <x v="743"/>
    <x v="3"/>
    <x v="2"/>
    <s v="United States"/>
    <x v="41"/>
    <x v="2"/>
    <x v="1"/>
    <n v="3"/>
    <n v="1107"/>
    <n v="65.88"/>
  </r>
  <r>
    <x v="243"/>
    <x v="1"/>
    <x v="1"/>
    <s v="United States"/>
    <x v="285"/>
    <x v="31"/>
    <x v="0"/>
    <n v="3"/>
    <n v="1446"/>
    <n v="356.7"/>
  </r>
  <r>
    <x v="624"/>
    <x v="0"/>
    <x v="0"/>
    <s v="United States"/>
    <x v="286"/>
    <x v="19"/>
    <x v="2"/>
    <n v="3"/>
    <n v="1335"/>
    <n v="263.04000000000002"/>
  </r>
  <r>
    <x v="744"/>
    <x v="1"/>
    <x v="1"/>
    <s v="United States"/>
    <x v="287"/>
    <x v="45"/>
    <x v="1"/>
    <n v="2"/>
    <n v="266"/>
    <n v="20.11"/>
  </r>
  <r>
    <x v="127"/>
    <x v="7"/>
    <x v="2"/>
    <s v="United States"/>
    <x v="261"/>
    <x v="2"/>
    <x v="1"/>
    <n v="6"/>
    <n v="648"/>
    <n v="162.30000000000001"/>
  </r>
  <r>
    <x v="745"/>
    <x v="2"/>
    <x v="2"/>
    <s v="United States"/>
    <x v="17"/>
    <x v="6"/>
    <x v="3"/>
    <n v="2"/>
    <n v="344"/>
    <n v="80.87"/>
  </r>
  <r>
    <x v="538"/>
    <x v="7"/>
    <x v="2"/>
    <s v="United States"/>
    <x v="53"/>
    <x v="2"/>
    <x v="1"/>
    <n v="6"/>
    <n v="5724"/>
    <n v="1640.19"/>
  </r>
  <r>
    <x v="746"/>
    <x v="4"/>
    <x v="1"/>
    <s v="United States"/>
    <x v="53"/>
    <x v="2"/>
    <x v="1"/>
    <n v="5"/>
    <n v="4920"/>
    <n v="323.38"/>
  </r>
  <r>
    <x v="747"/>
    <x v="3"/>
    <x v="2"/>
    <s v="United States"/>
    <x v="28"/>
    <x v="2"/>
    <x v="1"/>
    <n v="5"/>
    <n v="5440"/>
    <n v="457.04"/>
  </r>
  <r>
    <x v="702"/>
    <x v="7"/>
    <x v="2"/>
    <s v="United States"/>
    <x v="52"/>
    <x v="6"/>
    <x v="3"/>
    <n v="7"/>
    <n v="7994"/>
    <n v="908.65"/>
  </r>
  <r>
    <x v="320"/>
    <x v="3"/>
    <x v="2"/>
    <s v="United States"/>
    <x v="162"/>
    <x v="18"/>
    <x v="2"/>
    <n v="9"/>
    <n v="3780"/>
    <n v="724.36"/>
  </r>
  <r>
    <x v="748"/>
    <x v="7"/>
    <x v="2"/>
    <s v="United States"/>
    <x v="124"/>
    <x v="2"/>
    <x v="1"/>
    <n v="1"/>
    <n v="1017"/>
    <n v="209.97"/>
  </r>
  <r>
    <x v="171"/>
    <x v="7"/>
    <x v="2"/>
    <s v="United States"/>
    <x v="13"/>
    <x v="7"/>
    <x v="2"/>
    <n v="6"/>
    <n v="1578"/>
    <n v="82.85"/>
  </r>
  <r>
    <x v="6"/>
    <x v="7"/>
    <x v="2"/>
    <s v="United States"/>
    <x v="13"/>
    <x v="7"/>
    <x v="2"/>
    <n v="2"/>
    <n v="912"/>
    <n v="161.37"/>
  </r>
  <r>
    <x v="423"/>
    <x v="9"/>
    <x v="2"/>
    <s v="United States"/>
    <x v="13"/>
    <x v="7"/>
    <x v="2"/>
    <n v="6"/>
    <n v="2520"/>
    <n v="182.59"/>
  </r>
  <r>
    <x v="486"/>
    <x v="1"/>
    <x v="1"/>
    <s v="United States"/>
    <x v="13"/>
    <x v="7"/>
    <x v="2"/>
    <n v="8"/>
    <n v="2632"/>
    <n v="262.55"/>
  </r>
  <r>
    <x v="749"/>
    <x v="6"/>
    <x v="1"/>
    <s v="United States"/>
    <x v="42"/>
    <x v="33"/>
    <x v="0"/>
    <n v="6"/>
    <n v="6582"/>
    <n v="729.68"/>
  </r>
  <r>
    <x v="750"/>
    <x v="3"/>
    <x v="2"/>
    <s v="United States"/>
    <x v="160"/>
    <x v="31"/>
    <x v="0"/>
    <n v="8"/>
    <n v="3432"/>
    <n v="172.69"/>
  </r>
  <r>
    <x v="593"/>
    <x v="8"/>
    <x v="1"/>
    <s v="United States"/>
    <x v="3"/>
    <x v="3"/>
    <x v="2"/>
    <n v="2"/>
    <n v="1030"/>
    <n v="254.65"/>
  </r>
  <r>
    <x v="375"/>
    <x v="1"/>
    <x v="1"/>
    <s v="United States"/>
    <x v="15"/>
    <x v="13"/>
    <x v="1"/>
    <n v="8"/>
    <n v="1192"/>
    <n v="289.91000000000003"/>
  </r>
  <r>
    <x v="751"/>
    <x v="0"/>
    <x v="0"/>
    <s v="United States"/>
    <x v="2"/>
    <x v="2"/>
    <x v="1"/>
    <n v="9"/>
    <n v="7083"/>
    <n v="994.47"/>
  </r>
  <r>
    <x v="752"/>
    <x v="0"/>
    <x v="0"/>
    <s v="United States"/>
    <x v="288"/>
    <x v="3"/>
    <x v="2"/>
    <n v="7"/>
    <n v="3675"/>
    <n v="227.14"/>
  </r>
  <r>
    <x v="95"/>
    <x v="6"/>
    <x v="1"/>
    <s v="United States"/>
    <x v="288"/>
    <x v="3"/>
    <x v="2"/>
    <n v="4"/>
    <n v="4740"/>
    <n v="833.27"/>
  </r>
  <r>
    <x v="290"/>
    <x v="4"/>
    <x v="1"/>
    <s v="United States"/>
    <x v="28"/>
    <x v="2"/>
    <x v="1"/>
    <n v="4"/>
    <n v="1716"/>
    <n v="364.96"/>
  </r>
  <r>
    <x v="33"/>
    <x v="0"/>
    <x v="0"/>
    <s v="United States"/>
    <x v="2"/>
    <x v="2"/>
    <x v="1"/>
    <n v="7"/>
    <n v="3528"/>
    <n v="260.06"/>
  </r>
  <r>
    <x v="753"/>
    <x v="3"/>
    <x v="2"/>
    <s v="United States"/>
    <x v="53"/>
    <x v="2"/>
    <x v="1"/>
    <n v="3"/>
    <n v="777"/>
    <n v="71.72"/>
  </r>
  <r>
    <x v="754"/>
    <x v="3"/>
    <x v="2"/>
    <s v="United States"/>
    <x v="13"/>
    <x v="7"/>
    <x v="2"/>
    <n v="4"/>
    <n v="3368"/>
    <n v="558.92999999999995"/>
  </r>
  <r>
    <x v="755"/>
    <x v="2"/>
    <x v="2"/>
    <s v="United States"/>
    <x v="169"/>
    <x v="37"/>
    <x v="3"/>
    <n v="4"/>
    <n v="4240"/>
    <n v="251.46"/>
  </r>
  <r>
    <x v="102"/>
    <x v="9"/>
    <x v="2"/>
    <s v="United States"/>
    <x v="169"/>
    <x v="37"/>
    <x v="3"/>
    <n v="3"/>
    <n v="3285"/>
    <n v="292.87"/>
  </r>
  <r>
    <x v="485"/>
    <x v="7"/>
    <x v="2"/>
    <s v="United States"/>
    <x v="289"/>
    <x v="21"/>
    <x v="0"/>
    <n v="6"/>
    <n v="4872"/>
    <n v="612.73"/>
  </r>
  <r>
    <x v="108"/>
    <x v="7"/>
    <x v="2"/>
    <s v="United States"/>
    <x v="289"/>
    <x v="21"/>
    <x v="0"/>
    <n v="9"/>
    <n v="2466"/>
    <n v="638.41"/>
  </r>
  <r>
    <x v="756"/>
    <x v="2"/>
    <x v="2"/>
    <s v="United States"/>
    <x v="2"/>
    <x v="2"/>
    <x v="1"/>
    <n v="5"/>
    <n v="2465"/>
    <n v="497.19"/>
  </r>
  <r>
    <x v="332"/>
    <x v="2"/>
    <x v="2"/>
    <s v="United States"/>
    <x v="29"/>
    <x v="15"/>
    <x v="2"/>
    <n v="3"/>
    <n v="612"/>
    <n v="40.15"/>
  </r>
  <r>
    <x v="757"/>
    <x v="2"/>
    <x v="2"/>
    <s v="United States"/>
    <x v="29"/>
    <x v="15"/>
    <x v="2"/>
    <n v="5"/>
    <n v="4170"/>
    <n v="658.98"/>
  </r>
  <r>
    <x v="420"/>
    <x v="3"/>
    <x v="2"/>
    <s v="United States"/>
    <x v="290"/>
    <x v="42"/>
    <x v="1"/>
    <n v="8"/>
    <n v="1088"/>
    <n v="160.33000000000001"/>
  </r>
  <r>
    <x v="539"/>
    <x v="8"/>
    <x v="1"/>
    <s v="United States"/>
    <x v="43"/>
    <x v="22"/>
    <x v="1"/>
    <n v="2"/>
    <n v="1626"/>
    <n v="354.49"/>
  </r>
  <r>
    <x v="577"/>
    <x v="7"/>
    <x v="2"/>
    <s v="United States"/>
    <x v="2"/>
    <x v="2"/>
    <x v="1"/>
    <n v="6"/>
    <n v="6486"/>
    <n v="359.49"/>
  </r>
  <r>
    <x v="91"/>
    <x v="6"/>
    <x v="1"/>
    <s v="United States"/>
    <x v="8"/>
    <x v="7"/>
    <x v="2"/>
    <n v="8"/>
    <n v="6968"/>
    <n v="1226.22"/>
  </r>
  <r>
    <x v="456"/>
    <x v="7"/>
    <x v="2"/>
    <s v="United States"/>
    <x v="73"/>
    <x v="10"/>
    <x v="0"/>
    <n v="1"/>
    <n v="357"/>
    <n v="82.86"/>
  </r>
  <r>
    <x v="298"/>
    <x v="9"/>
    <x v="2"/>
    <s v="United States"/>
    <x v="2"/>
    <x v="2"/>
    <x v="1"/>
    <n v="1"/>
    <n v="454"/>
    <n v="58.4"/>
  </r>
  <r>
    <x v="758"/>
    <x v="2"/>
    <x v="2"/>
    <s v="United States"/>
    <x v="2"/>
    <x v="2"/>
    <x v="1"/>
    <n v="3"/>
    <n v="3582"/>
    <n v="501.47"/>
  </r>
  <r>
    <x v="759"/>
    <x v="2"/>
    <x v="2"/>
    <s v="United States"/>
    <x v="89"/>
    <x v="1"/>
    <x v="0"/>
    <n v="9"/>
    <n v="3762"/>
    <n v="484.75"/>
  </r>
  <r>
    <x v="502"/>
    <x v="5"/>
    <x v="2"/>
    <s v="United States"/>
    <x v="291"/>
    <x v="28"/>
    <x v="2"/>
    <n v="9"/>
    <n v="6642"/>
    <n v="394.48"/>
  </r>
  <r>
    <x v="407"/>
    <x v="6"/>
    <x v="1"/>
    <s v="United States"/>
    <x v="2"/>
    <x v="2"/>
    <x v="1"/>
    <n v="4"/>
    <n v="408"/>
    <n v="45.2"/>
  </r>
  <r>
    <x v="729"/>
    <x v="2"/>
    <x v="2"/>
    <s v="United States"/>
    <x v="292"/>
    <x v="0"/>
    <x v="0"/>
    <n v="1"/>
    <n v="105"/>
    <n v="25.26"/>
  </r>
  <r>
    <x v="28"/>
    <x v="2"/>
    <x v="2"/>
    <s v="United States"/>
    <x v="293"/>
    <x v="22"/>
    <x v="1"/>
    <n v="3"/>
    <n v="2682"/>
    <n v="584.69000000000005"/>
  </r>
  <r>
    <x v="568"/>
    <x v="8"/>
    <x v="1"/>
    <s v="United States"/>
    <x v="270"/>
    <x v="9"/>
    <x v="0"/>
    <n v="7"/>
    <n v="497"/>
    <n v="76.31"/>
  </r>
  <r>
    <x v="688"/>
    <x v="0"/>
    <x v="0"/>
    <s v="United States"/>
    <x v="104"/>
    <x v="22"/>
    <x v="1"/>
    <n v="7"/>
    <n v="4823"/>
    <n v="420.58"/>
  </r>
  <r>
    <x v="244"/>
    <x v="5"/>
    <x v="2"/>
    <s v="United States"/>
    <x v="12"/>
    <x v="11"/>
    <x v="3"/>
    <n v="8"/>
    <n v="4048"/>
    <n v="666.1"/>
  </r>
  <r>
    <x v="668"/>
    <x v="0"/>
    <x v="0"/>
    <s v="United States"/>
    <x v="68"/>
    <x v="15"/>
    <x v="2"/>
    <n v="7"/>
    <n v="2758"/>
    <n v="459.02"/>
  </r>
  <r>
    <x v="717"/>
    <x v="7"/>
    <x v="2"/>
    <s v="United States"/>
    <x v="174"/>
    <x v="2"/>
    <x v="1"/>
    <n v="8"/>
    <n v="4096"/>
    <n v="266.35000000000002"/>
  </r>
  <r>
    <x v="328"/>
    <x v="0"/>
    <x v="0"/>
    <s v="United States"/>
    <x v="174"/>
    <x v="2"/>
    <x v="1"/>
    <n v="8"/>
    <n v="7264"/>
    <n v="1318"/>
  </r>
  <r>
    <x v="584"/>
    <x v="1"/>
    <x v="1"/>
    <s v="United States"/>
    <x v="13"/>
    <x v="7"/>
    <x v="2"/>
    <n v="6"/>
    <n v="4302"/>
    <n v="957.38"/>
  </r>
  <r>
    <x v="204"/>
    <x v="0"/>
    <x v="0"/>
    <s v="United States"/>
    <x v="294"/>
    <x v="5"/>
    <x v="3"/>
    <n v="7"/>
    <n v="3297"/>
    <n v="583.86"/>
  </r>
  <r>
    <x v="760"/>
    <x v="0"/>
    <x v="0"/>
    <s v="United States"/>
    <x v="46"/>
    <x v="2"/>
    <x v="1"/>
    <n v="5"/>
    <n v="5960"/>
    <n v="1139.78"/>
  </r>
  <r>
    <x v="31"/>
    <x v="8"/>
    <x v="1"/>
    <s v="United States"/>
    <x v="13"/>
    <x v="7"/>
    <x v="2"/>
    <n v="1"/>
    <n v="386"/>
    <n v="114.9"/>
  </r>
  <r>
    <x v="761"/>
    <x v="0"/>
    <x v="0"/>
    <s v="United States"/>
    <x v="13"/>
    <x v="7"/>
    <x v="2"/>
    <n v="1"/>
    <n v="684"/>
    <n v="170.36"/>
  </r>
  <r>
    <x v="575"/>
    <x v="9"/>
    <x v="2"/>
    <s v="United States"/>
    <x v="13"/>
    <x v="7"/>
    <x v="2"/>
    <n v="3"/>
    <n v="1275"/>
    <n v="168.64"/>
  </r>
  <r>
    <x v="698"/>
    <x v="1"/>
    <x v="1"/>
    <s v="United States"/>
    <x v="13"/>
    <x v="7"/>
    <x v="2"/>
    <n v="9"/>
    <n v="5949"/>
    <n v="368.51"/>
  </r>
  <r>
    <x v="762"/>
    <x v="3"/>
    <x v="2"/>
    <s v="United States"/>
    <x v="3"/>
    <x v="3"/>
    <x v="2"/>
    <n v="7"/>
    <n v="5159"/>
    <n v="755.22"/>
  </r>
  <r>
    <x v="595"/>
    <x v="6"/>
    <x v="1"/>
    <s v="United States"/>
    <x v="255"/>
    <x v="15"/>
    <x v="2"/>
    <n v="4"/>
    <n v="1100"/>
    <n v="127.13"/>
  </r>
  <r>
    <x v="611"/>
    <x v="1"/>
    <x v="1"/>
    <s v="United States"/>
    <x v="255"/>
    <x v="15"/>
    <x v="2"/>
    <n v="2"/>
    <n v="290"/>
    <n v="50.23"/>
  </r>
  <r>
    <x v="613"/>
    <x v="5"/>
    <x v="2"/>
    <s v="United States"/>
    <x v="255"/>
    <x v="15"/>
    <x v="2"/>
    <n v="8"/>
    <n v="7144"/>
    <n v="492.1"/>
  </r>
  <r>
    <x v="763"/>
    <x v="8"/>
    <x v="1"/>
    <s v="United States"/>
    <x v="76"/>
    <x v="36"/>
    <x v="1"/>
    <n v="5"/>
    <n v="4200"/>
    <n v="330.48"/>
  </r>
  <r>
    <x v="89"/>
    <x v="6"/>
    <x v="1"/>
    <s v="United States"/>
    <x v="76"/>
    <x v="36"/>
    <x v="1"/>
    <n v="6"/>
    <n v="5022"/>
    <n v="291.89"/>
  </r>
  <r>
    <x v="764"/>
    <x v="7"/>
    <x v="2"/>
    <s v="United States"/>
    <x v="13"/>
    <x v="7"/>
    <x v="2"/>
    <n v="2"/>
    <n v="2354"/>
    <n v="371.34"/>
  </r>
  <r>
    <x v="152"/>
    <x v="7"/>
    <x v="2"/>
    <s v="United States"/>
    <x v="13"/>
    <x v="7"/>
    <x v="2"/>
    <n v="2"/>
    <n v="2032"/>
    <n v="149.69999999999999"/>
  </r>
  <r>
    <x v="478"/>
    <x v="0"/>
    <x v="0"/>
    <s v="United States"/>
    <x v="2"/>
    <x v="2"/>
    <x v="1"/>
    <n v="8"/>
    <n v="9528"/>
    <n v="1942.35"/>
  </r>
  <r>
    <x v="538"/>
    <x v="8"/>
    <x v="1"/>
    <s v="United States"/>
    <x v="28"/>
    <x v="2"/>
    <x v="1"/>
    <n v="2"/>
    <n v="2372"/>
    <n v="275.88"/>
  </r>
  <r>
    <x v="699"/>
    <x v="9"/>
    <x v="2"/>
    <s v="United States"/>
    <x v="62"/>
    <x v="2"/>
    <x v="1"/>
    <n v="3"/>
    <n v="2703"/>
    <n v="609.75"/>
  </r>
  <r>
    <x v="34"/>
    <x v="9"/>
    <x v="2"/>
    <s v="United States"/>
    <x v="29"/>
    <x v="24"/>
    <x v="0"/>
    <n v="4"/>
    <n v="1264"/>
    <n v="267.82"/>
  </r>
  <r>
    <x v="765"/>
    <x v="7"/>
    <x v="2"/>
    <s v="United States"/>
    <x v="28"/>
    <x v="2"/>
    <x v="1"/>
    <n v="4"/>
    <n v="1624"/>
    <n v="333.74"/>
  </r>
  <r>
    <x v="654"/>
    <x v="1"/>
    <x v="1"/>
    <s v="United States"/>
    <x v="3"/>
    <x v="3"/>
    <x v="2"/>
    <n v="8"/>
    <n v="2976"/>
    <n v="507.77"/>
  </r>
  <r>
    <x v="766"/>
    <x v="4"/>
    <x v="1"/>
    <s v="United States"/>
    <x v="3"/>
    <x v="3"/>
    <x v="2"/>
    <n v="6"/>
    <n v="4998"/>
    <n v="863.82"/>
  </r>
  <r>
    <x v="705"/>
    <x v="0"/>
    <x v="0"/>
    <s v="United States"/>
    <x v="49"/>
    <x v="1"/>
    <x v="0"/>
    <n v="1"/>
    <n v="445"/>
    <n v="29.57"/>
  </r>
  <r>
    <x v="199"/>
    <x v="0"/>
    <x v="0"/>
    <s v="United States"/>
    <x v="49"/>
    <x v="1"/>
    <x v="0"/>
    <n v="1"/>
    <n v="98"/>
    <n v="28.57"/>
  </r>
  <r>
    <x v="326"/>
    <x v="2"/>
    <x v="2"/>
    <s v="United States"/>
    <x v="11"/>
    <x v="10"/>
    <x v="0"/>
    <n v="7"/>
    <n v="4102"/>
    <n v="354.03"/>
  </r>
  <r>
    <x v="182"/>
    <x v="0"/>
    <x v="0"/>
    <s v="United States"/>
    <x v="295"/>
    <x v="36"/>
    <x v="1"/>
    <n v="1"/>
    <n v="1016"/>
    <n v="171.31"/>
  </r>
  <r>
    <x v="641"/>
    <x v="4"/>
    <x v="1"/>
    <s v="United States"/>
    <x v="13"/>
    <x v="7"/>
    <x v="2"/>
    <n v="4"/>
    <n v="1960"/>
    <n v="234.88"/>
  </r>
  <r>
    <x v="767"/>
    <x v="1"/>
    <x v="1"/>
    <s v="United States"/>
    <x v="278"/>
    <x v="2"/>
    <x v="1"/>
    <n v="7"/>
    <n v="2751"/>
    <n v="675.95"/>
  </r>
  <r>
    <x v="494"/>
    <x v="7"/>
    <x v="2"/>
    <s v="United States"/>
    <x v="149"/>
    <x v="15"/>
    <x v="2"/>
    <n v="7"/>
    <n v="4032"/>
    <n v="742.98"/>
  </r>
  <r>
    <x v="311"/>
    <x v="7"/>
    <x v="2"/>
    <s v="United States"/>
    <x v="6"/>
    <x v="5"/>
    <x v="3"/>
    <n v="7"/>
    <n v="5978"/>
    <n v="1791.25"/>
  </r>
  <r>
    <x v="309"/>
    <x v="4"/>
    <x v="1"/>
    <s v="United States"/>
    <x v="15"/>
    <x v="13"/>
    <x v="1"/>
    <n v="7"/>
    <n v="8050"/>
    <n v="2129.9699999999998"/>
  </r>
  <r>
    <x v="342"/>
    <x v="6"/>
    <x v="1"/>
    <s v="United States"/>
    <x v="13"/>
    <x v="7"/>
    <x v="2"/>
    <n v="7"/>
    <n v="4648"/>
    <n v="1240.98"/>
  </r>
  <r>
    <x v="646"/>
    <x v="7"/>
    <x v="2"/>
    <s v="United States"/>
    <x v="296"/>
    <x v="9"/>
    <x v="0"/>
    <n v="3"/>
    <n v="1119"/>
    <n v="108.68"/>
  </r>
  <r>
    <x v="242"/>
    <x v="0"/>
    <x v="0"/>
    <s v="United States"/>
    <x v="295"/>
    <x v="36"/>
    <x v="1"/>
    <n v="9"/>
    <n v="2178"/>
    <n v="382.67"/>
  </r>
  <r>
    <x v="731"/>
    <x v="9"/>
    <x v="2"/>
    <s v="United States"/>
    <x v="295"/>
    <x v="36"/>
    <x v="1"/>
    <n v="1"/>
    <n v="918"/>
    <n v="180.31"/>
  </r>
  <r>
    <x v="43"/>
    <x v="7"/>
    <x v="2"/>
    <s v="United States"/>
    <x v="15"/>
    <x v="13"/>
    <x v="1"/>
    <n v="9"/>
    <n v="6903"/>
    <n v="837.35"/>
  </r>
  <r>
    <x v="445"/>
    <x v="8"/>
    <x v="1"/>
    <s v="United States"/>
    <x v="124"/>
    <x v="2"/>
    <x v="1"/>
    <n v="5"/>
    <n v="4855"/>
    <n v="534.23"/>
  </r>
  <r>
    <x v="700"/>
    <x v="3"/>
    <x v="2"/>
    <s v="United States"/>
    <x v="41"/>
    <x v="28"/>
    <x v="2"/>
    <n v="2"/>
    <n v="2158"/>
    <n v="483.94"/>
  </r>
  <r>
    <x v="129"/>
    <x v="1"/>
    <x v="1"/>
    <s v="United States"/>
    <x v="15"/>
    <x v="13"/>
    <x v="1"/>
    <n v="7"/>
    <n v="4550"/>
    <n v="1077.8"/>
  </r>
  <r>
    <x v="425"/>
    <x v="2"/>
    <x v="2"/>
    <s v="United States"/>
    <x v="29"/>
    <x v="6"/>
    <x v="3"/>
    <n v="4"/>
    <n v="3592"/>
    <n v="249.54"/>
  </r>
  <r>
    <x v="768"/>
    <x v="2"/>
    <x v="2"/>
    <s v="United States"/>
    <x v="132"/>
    <x v="33"/>
    <x v="0"/>
    <n v="8"/>
    <n v="3488"/>
    <n v="943.25"/>
  </r>
  <r>
    <x v="414"/>
    <x v="6"/>
    <x v="1"/>
    <s v="United States"/>
    <x v="121"/>
    <x v="2"/>
    <x v="1"/>
    <n v="2"/>
    <n v="1214"/>
    <n v="163.80000000000001"/>
  </r>
  <r>
    <x v="769"/>
    <x v="1"/>
    <x v="1"/>
    <s v="United States"/>
    <x v="15"/>
    <x v="13"/>
    <x v="1"/>
    <n v="9"/>
    <n v="7200"/>
    <n v="1469.23"/>
  </r>
  <r>
    <x v="650"/>
    <x v="9"/>
    <x v="2"/>
    <s v="United States"/>
    <x v="15"/>
    <x v="13"/>
    <x v="1"/>
    <n v="8"/>
    <n v="1808"/>
    <n v="339.31"/>
  </r>
  <r>
    <x v="597"/>
    <x v="3"/>
    <x v="2"/>
    <s v="United States"/>
    <x v="149"/>
    <x v="15"/>
    <x v="2"/>
    <n v="9"/>
    <n v="7083"/>
    <n v="560.88"/>
  </r>
  <r>
    <x v="230"/>
    <x v="6"/>
    <x v="1"/>
    <s v="United States"/>
    <x v="2"/>
    <x v="2"/>
    <x v="1"/>
    <n v="4"/>
    <n v="1060"/>
    <n v="260.20999999999998"/>
  </r>
  <r>
    <x v="54"/>
    <x v="5"/>
    <x v="2"/>
    <s v="United States"/>
    <x v="174"/>
    <x v="15"/>
    <x v="2"/>
    <n v="9"/>
    <n v="7182"/>
    <n v="461.61"/>
  </r>
  <r>
    <x v="517"/>
    <x v="7"/>
    <x v="2"/>
    <s v="United States"/>
    <x v="28"/>
    <x v="2"/>
    <x v="1"/>
    <n v="6"/>
    <n v="5532"/>
    <n v="552.74"/>
  </r>
  <r>
    <x v="770"/>
    <x v="4"/>
    <x v="1"/>
    <s v="United States"/>
    <x v="297"/>
    <x v="2"/>
    <x v="1"/>
    <n v="8"/>
    <n v="1800"/>
    <n v="326.02999999999997"/>
  </r>
  <r>
    <x v="232"/>
    <x v="4"/>
    <x v="1"/>
    <s v="United States"/>
    <x v="297"/>
    <x v="2"/>
    <x v="1"/>
    <n v="1"/>
    <n v="351"/>
    <n v="32.61"/>
  </r>
  <r>
    <x v="771"/>
    <x v="5"/>
    <x v="2"/>
    <s v="United States"/>
    <x v="279"/>
    <x v="25"/>
    <x v="0"/>
    <n v="2"/>
    <n v="1200"/>
    <n v="191.43"/>
  </r>
  <r>
    <x v="5"/>
    <x v="2"/>
    <x v="2"/>
    <s v="United States"/>
    <x v="28"/>
    <x v="2"/>
    <x v="1"/>
    <n v="9"/>
    <n v="1593"/>
    <n v="322.45999999999998"/>
  </r>
  <r>
    <x v="701"/>
    <x v="6"/>
    <x v="1"/>
    <s v="United States"/>
    <x v="298"/>
    <x v="36"/>
    <x v="1"/>
    <n v="3"/>
    <n v="2580"/>
    <n v="448.02"/>
  </r>
  <r>
    <x v="655"/>
    <x v="8"/>
    <x v="1"/>
    <s v="United States"/>
    <x v="298"/>
    <x v="36"/>
    <x v="1"/>
    <n v="6"/>
    <n v="6780"/>
    <n v="1794.97"/>
  </r>
  <r>
    <x v="219"/>
    <x v="7"/>
    <x v="2"/>
    <s v="United States"/>
    <x v="299"/>
    <x v="2"/>
    <x v="1"/>
    <n v="2"/>
    <n v="1298"/>
    <n v="204.08"/>
  </r>
  <r>
    <x v="413"/>
    <x v="5"/>
    <x v="2"/>
    <s v="United States"/>
    <x v="300"/>
    <x v="17"/>
    <x v="3"/>
    <n v="7"/>
    <n v="4585"/>
    <n v="383.97"/>
  </r>
  <r>
    <x v="498"/>
    <x v="2"/>
    <x v="2"/>
    <s v="United States"/>
    <x v="300"/>
    <x v="17"/>
    <x v="3"/>
    <n v="1"/>
    <n v="516"/>
    <n v="70.53"/>
  </r>
  <r>
    <x v="146"/>
    <x v="2"/>
    <x v="2"/>
    <s v="United States"/>
    <x v="2"/>
    <x v="2"/>
    <x v="1"/>
    <n v="4"/>
    <n v="1780"/>
    <n v="420.28"/>
  </r>
  <r>
    <x v="256"/>
    <x v="8"/>
    <x v="1"/>
    <s v="United States"/>
    <x v="13"/>
    <x v="7"/>
    <x v="2"/>
    <n v="5"/>
    <n v="365"/>
    <n v="94.05"/>
  </r>
  <r>
    <x v="140"/>
    <x v="2"/>
    <x v="2"/>
    <s v="United States"/>
    <x v="144"/>
    <x v="5"/>
    <x v="3"/>
    <n v="8"/>
    <n v="3896"/>
    <n v="735.66"/>
  </r>
  <r>
    <x v="74"/>
    <x v="9"/>
    <x v="2"/>
    <s v="United States"/>
    <x v="141"/>
    <x v="5"/>
    <x v="3"/>
    <n v="1"/>
    <n v="636"/>
    <n v="169.24"/>
  </r>
  <r>
    <x v="624"/>
    <x v="6"/>
    <x v="1"/>
    <s v="United States"/>
    <x v="13"/>
    <x v="7"/>
    <x v="2"/>
    <n v="7"/>
    <n v="637"/>
    <n v="87.86"/>
  </r>
  <r>
    <x v="673"/>
    <x v="8"/>
    <x v="1"/>
    <s v="United States"/>
    <x v="13"/>
    <x v="7"/>
    <x v="2"/>
    <n v="3"/>
    <n v="1302"/>
    <n v="180.82"/>
  </r>
  <r>
    <x v="715"/>
    <x v="7"/>
    <x v="2"/>
    <s v="United States"/>
    <x v="10"/>
    <x v="9"/>
    <x v="0"/>
    <n v="1"/>
    <n v="719"/>
    <n v="40.42"/>
  </r>
  <r>
    <x v="259"/>
    <x v="3"/>
    <x v="2"/>
    <s v="United States"/>
    <x v="2"/>
    <x v="2"/>
    <x v="1"/>
    <n v="6"/>
    <n v="5106"/>
    <n v="1341.93"/>
  </r>
  <r>
    <x v="398"/>
    <x v="1"/>
    <x v="1"/>
    <s v="United States"/>
    <x v="76"/>
    <x v="15"/>
    <x v="2"/>
    <n v="3"/>
    <n v="1215"/>
    <n v="129.80000000000001"/>
  </r>
  <r>
    <x v="324"/>
    <x v="3"/>
    <x v="2"/>
    <s v="United States"/>
    <x v="13"/>
    <x v="7"/>
    <x v="2"/>
    <n v="9"/>
    <n v="1791"/>
    <n v="187.28"/>
  </r>
  <r>
    <x v="338"/>
    <x v="0"/>
    <x v="0"/>
    <s v="United States"/>
    <x v="120"/>
    <x v="35"/>
    <x v="0"/>
    <n v="9"/>
    <n v="6255"/>
    <n v="452.46"/>
  </r>
  <r>
    <x v="772"/>
    <x v="0"/>
    <x v="0"/>
    <s v="United States"/>
    <x v="120"/>
    <x v="35"/>
    <x v="0"/>
    <n v="5"/>
    <n v="4165"/>
    <n v="1012.37"/>
  </r>
  <r>
    <x v="383"/>
    <x v="6"/>
    <x v="1"/>
    <s v="United States"/>
    <x v="129"/>
    <x v="13"/>
    <x v="1"/>
    <n v="5"/>
    <n v="5990"/>
    <n v="1192.1099999999999"/>
  </r>
  <r>
    <x v="5"/>
    <x v="2"/>
    <x v="2"/>
    <s v="United States"/>
    <x v="6"/>
    <x v="5"/>
    <x v="3"/>
    <n v="1"/>
    <n v="847"/>
    <n v="142.74"/>
  </r>
  <r>
    <x v="649"/>
    <x v="3"/>
    <x v="2"/>
    <s v="United States"/>
    <x v="169"/>
    <x v="37"/>
    <x v="3"/>
    <n v="8"/>
    <n v="688"/>
    <n v="131.26"/>
  </r>
  <r>
    <x v="96"/>
    <x v="2"/>
    <x v="2"/>
    <s v="United States"/>
    <x v="121"/>
    <x v="2"/>
    <x v="1"/>
    <n v="2"/>
    <n v="1188"/>
    <n v="286.38"/>
  </r>
  <r>
    <x v="500"/>
    <x v="3"/>
    <x v="2"/>
    <s v="United States"/>
    <x v="51"/>
    <x v="30"/>
    <x v="0"/>
    <n v="7"/>
    <n v="3101"/>
    <n v="926.09"/>
  </r>
  <r>
    <x v="773"/>
    <x v="4"/>
    <x v="1"/>
    <s v="United States"/>
    <x v="51"/>
    <x v="30"/>
    <x v="0"/>
    <n v="9"/>
    <n v="8703"/>
    <n v="1562.88"/>
  </r>
  <r>
    <x v="774"/>
    <x v="0"/>
    <x v="0"/>
    <s v="United States"/>
    <x v="280"/>
    <x v="42"/>
    <x v="1"/>
    <n v="9"/>
    <n v="9324"/>
    <n v="2416.9299999999998"/>
  </r>
  <r>
    <x v="775"/>
    <x v="9"/>
    <x v="2"/>
    <s v="United States"/>
    <x v="215"/>
    <x v="5"/>
    <x v="3"/>
    <n v="1"/>
    <n v="749"/>
    <n v="68.17"/>
  </r>
  <r>
    <x v="686"/>
    <x v="5"/>
    <x v="2"/>
    <s v="United States"/>
    <x v="13"/>
    <x v="7"/>
    <x v="2"/>
    <n v="4"/>
    <n v="3224"/>
    <n v="871.53"/>
  </r>
  <r>
    <x v="487"/>
    <x v="6"/>
    <x v="1"/>
    <s v="United States"/>
    <x v="13"/>
    <x v="7"/>
    <x v="2"/>
    <n v="3"/>
    <n v="459"/>
    <n v="40.96"/>
  </r>
  <r>
    <x v="413"/>
    <x v="5"/>
    <x v="2"/>
    <s v="United States"/>
    <x v="6"/>
    <x v="5"/>
    <x v="3"/>
    <n v="7"/>
    <n v="5726"/>
    <n v="976.14"/>
  </r>
  <r>
    <x v="776"/>
    <x v="8"/>
    <x v="1"/>
    <s v="United States"/>
    <x v="28"/>
    <x v="2"/>
    <x v="1"/>
    <n v="4"/>
    <n v="616"/>
    <n v="175.75"/>
  </r>
  <r>
    <x v="413"/>
    <x v="9"/>
    <x v="2"/>
    <s v="United States"/>
    <x v="237"/>
    <x v="32"/>
    <x v="2"/>
    <n v="2"/>
    <n v="1584"/>
    <n v="406.25"/>
  </r>
  <r>
    <x v="96"/>
    <x v="9"/>
    <x v="2"/>
    <s v="United States"/>
    <x v="74"/>
    <x v="0"/>
    <x v="0"/>
    <n v="5"/>
    <n v="3205"/>
    <n v="368.41"/>
  </r>
  <r>
    <x v="314"/>
    <x v="0"/>
    <x v="0"/>
    <s v="United States"/>
    <x v="134"/>
    <x v="38"/>
    <x v="2"/>
    <n v="1"/>
    <n v="958"/>
    <n v="186.76"/>
  </r>
  <r>
    <x v="700"/>
    <x v="9"/>
    <x v="2"/>
    <s v="United States"/>
    <x v="3"/>
    <x v="3"/>
    <x v="2"/>
    <n v="9"/>
    <n v="5139"/>
    <n v="1315.93"/>
  </r>
  <r>
    <x v="329"/>
    <x v="7"/>
    <x v="2"/>
    <s v="United States"/>
    <x v="36"/>
    <x v="1"/>
    <x v="0"/>
    <n v="5"/>
    <n v="3795"/>
    <n v="239.15"/>
  </r>
  <r>
    <x v="293"/>
    <x v="3"/>
    <x v="2"/>
    <s v="United States"/>
    <x v="13"/>
    <x v="7"/>
    <x v="2"/>
    <n v="2"/>
    <n v="810"/>
    <n v="229.33"/>
  </r>
  <r>
    <x v="239"/>
    <x v="3"/>
    <x v="2"/>
    <s v="United States"/>
    <x v="3"/>
    <x v="3"/>
    <x v="2"/>
    <n v="6"/>
    <n v="5106"/>
    <n v="1500.2"/>
  </r>
  <r>
    <x v="561"/>
    <x v="6"/>
    <x v="1"/>
    <s v="United States"/>
    <x v="301"/>
    <x v="1"/>
    <x v="0"/>
    <n v="2"/>
    <n v="798"/>
    <n v="79.25"/>
  </r>
  <r>
    <x v="752"/>
    <x v="9"/>
    <x v="2"/>
    <s v="United States"/>
    <x v="74"/>
    <x v="0"/>
    <x v="0"/>
    <n v="5"/>
    <n v="3165"/>
    <n v="895.33"/>
  </r>
  <r>
    <x v="630"/>
    <x v="2"/>
    <x v="2"/>
    <s v="United States"/>
    <x v="3"/>
    <x v="3"/>
    <x v="2"/>
    <n v="5"/>
    <n v="5935"/>
    <n v="875.84"/>
  </r>
  <r>
    <x v="777"/>
    <x v="8"/>
    <x v="1"/>
    <s v="United States"/>
    <x v="28"/>
    <x v="2"/>
    <x v="1"/>
    <n v="4"/>
    <n v="3352"/>
    <n v="663.15"/>
  </r>
  <r>
    <x v="778"/>
    <x v="7"/>
    <x v="2"/>
    <s v="United States"/>
    <x v="28"/>
    <x v="2"/>
    <x v="1"/>
    <n v="9"/>
    <n v="8343"/>
    <n v="821"/>
  </r>
  <r>
    <x v="779"/>
    <x v="6"/>
    <x v="1"/>
    <s v="United States"/>
    <x v="38"/>
    <x v="17"/>
    <x v="3"/>
    <n v="4"/>
    <n v="2604"/>
    <n v="411.38"/>
  </r>
  <r>
    <x v="780"/>
    <x v="4"/>
    <x v="1"/>
    <s v="United States"/>
    <x v="252"/>
    <x v="7"/>
    <x v="2"/>
    <n v="1"/>
    <n v="526"/>
    <n v="108.88"/>
  </r>
  <r>
    <x v="477"/>
    <x v="6"/>
    <x v="1"/>
    <s v="United States"/>
    <x v="270"/>
    <x v="9"/>
    <x v="0"/>
    <n v="9"/>
    <n v="5220"/>
    <n v="1324.01"/>
  </r>
  <r>
    <x v="477"/>
    <x v="0"/>
    <x v="0"/>
    <s v="United States"/>
    <x v="19"/>
    <x v="14"/>
    <x v="2"/>
    <n v="9"/>
    <n v="1737"/>
    <n v="152.97999999999999"/>
  </r>
  <r>
    <x v="781"/>
    <x v="1"/>
    <x v="1"/>
    <s v="United States"/>
    <x v="15"/>
    <x v="13"/>
    <x v="1"/>
    <n v="6"/>
    <n v="3186"/>
    <n v="841.04"/>
  </r>
  <r>
    <x v="616"/>
    <x v="7"/>
    <x v="2"/>
    <s v="United States"/>
    <x v="302"/>
    <x v="8"/>
    <x v="3"/>
    <n v="6"/>
    <n v="7014"/>
    <n v="1202.25"/>
  </r>
  <r>
    <x v="386"/>
    <x v="1"/>
    <x v="1"/>
    <s v="United States"/>
    <x v="27"/>
    <x v="11"/>
    <x v="3"/>
    <n v="9"/>
    <n v="3411"/>
    <n v="444.87"/>
  </r>
  <r>
    <x v="761"/>
    <x v="6"/>
    <x v="1"/>
    <s v="United States"/>
    <x v="13"/>
    <x v="7"/>
    <x v="2"/>
    <n v="1"/>
    <n v="513"/>
    <n v="87.58"/>
  </r>
  <r>
    <x v="782"/>
    <x v="7"/>
    <x v="2"/>
    <s v="United States"/>
    <x v="252"/>
    <x v="7"/>
    <x v="2"/>
    <n v="1"/>
    <n v="1104"/>
    <n v="277.85000000000002"/>
  </r>
  <r>
    <x v="783"/>
    <x v="7"/>
    <x v="2"/>
    <s v="United States"/>
    <x v="37"/>
    <x v="20"/>
    <x v="2"/>
    <n v="9"/>
    <n v="2718"/>
    <n v="271.51"/>
  </r>
  <r>
    <x v="654"/>
    <x v="4"/>
    <x v="1"/>
    <s v="United States"/>
    <x v="37"/>
    <x v="20"/>
    <x v="2"/>
    <n v="6"/>
    <n v="1662"/>
    <n v="416.3"/>
  </r>
  <r>
    <x v="309"/>
    <x v="1"/>
    <x v="1"/>
    <s v="United States"/>
    <x v="6"/>
    <x v="5"/>
    <x v="3"/>
    <n v="5"/>
    <n v="1700"/>
    <n v="360.59"/>
  </r>
  <r>
    <x v="486"/>
    <x v="2"/>
    <x v="2"/>
    <s v="United States"/>
    <x v="2"/>
    <x v="2"/>
    <x v="1"/>
    <n v="4"/>
    <n v="2932"/>
    <n v="597.65"/>
  </r>
  <r>
    <x v="533"/>
    <x v="1"/>
    <x v="1"/>
    <s v="United States"/>
    <x v="15"/>
    <x v="13"/>
    <x v="1"/>
    <n v="4"/>
    <n v="3604"/>
    <n v="971.14"/>
  </r>
  <r>
    <x v="38"/>
    <x v="3"/>
    <x v="2"/>
    <s v="United States"/>
    <x v="279"/>
    <x v="25"/>
    <x v="0"/>
    <n v="4"/>
    <n v="4596"/>
    <n v="553.58000000000004"/>
  </r>
  <r>
    <x v="75"/>
    <x v="5"/>
    <x v="2"/>
    <s v="United States"/>
    <x v="279"/>
    <x v="25"/>
    <x v="0"/>
    <n v="6"/>
    <n v="930"/>
    <n v="68.239999999999995"/>
  </r>
  <r>
    <x v="96"/>
    <x v="2"/>
    <x v="2"/>
    <s v="United States"/>
    <x v="218"/>
    <x v="32"/>
    <x v="2"/>
    <n v="3"/>
    <n v="2790"/>
    <n v="470.93"/>
  </r>
  <r>
    <x v="371"/>
    <x v="7"/>
    <x v="2"/>
    <s v="United States"/>
    <x v="218"/>
    <x v="32"/>
    <x v="2"/>
    <n v="6"/>
    <n v="4596"/>
    <n v="1162.75"/>
  </r>
  <r>
    <x v="499"/>
    <x v="8"/>
    <x v="1"/>
    <s v="United States"/>
    <x v="72"/>
    <x v="2"/>
    <x v="1"/>
    <n v="1"/>
    <n v="962"/>
    <n v="260.27999999999997"/>
  </r>
  <r>
    <x v="784"/>
    <x v="7"/>
    <x v="2"/>
    <s v="United States"/>
    <x v="74"/>
    <x v="0"/>
    <x v="0"/>
    <n v="1"/>
    <n v="92"/>
    <n v="14.88"/>
  </r>
  <r>
    <x v="158"/>
    <x v="8"/>
    <x v="1"/>
    <s v="United States"/>
    <x v="74"/>
    <x v="0"/>
    <x v="0"/>
    <n v="5"/>
    <n v="1130"/>
    <n v="254.99"/>
  </r>
  <r>
    <x v="423"/>
    <x v="4"/>
    <x v="1"/>
    <s v="United States"/>
    <x v="2"/>
    <x v="2"/>
    <x v="1"/>
    <n v="6"/>
    <n v="6024"/>
    <n v="1706.41"/>
  </r>
  <r>
    <x v="750"/>
    <x v="0"/>
    <x v="0"/>
    <s v="United States"/>
    <x v="76"/>
    <x v="23"/>
    <x v="3"/>
    <n v="1"/>
    <n v="879"/>
    <n v="135"/>
  </r>
  <r>
    <x v="437"/>
    <x v="6"/>
    <x v="1"/>
    <s v="United States"/>
    <x v="28"/>
    <x v="2"/>
    <x v="1"/>
    <n v="8"/>
    <n v="2384"/>
    <n v="444.98"/>
  </r>
  <r>
    <x v="366"/>
    <x v="3"/>
    <x v="2"/>
    <s v="United States"/>
    <x v="303"/>
    <x v="5"/>
    <x v="3"/>
    <n v="4"/>
    <n v="4644"/>
    <n v="277.26"/>
  </r>
  <r>
    <x v="758"/>
    <x v="8"/>
    <x v="1"/>
    <s v="United States"/>
    <x v="303"/>
    <x v="5"/>
    <x v="3"/>
    <n v="1"/>
    <n v="607"/>
    <n v="79.78"/>
  </r>
  <r>
    <x v="464"/>
    <x v="1"/>
    <x v="1"/>
    <s v="United States"/>
    <x v="15"/>
    <x v="13"/>
    <x v="1"/>
    <n v="7"/>
    <n v="770"/>
    <n v="129.11000000000001"/>
  </r>
  <r>
    <x v="785"/>
    <x v="8"/>
    <x v="1"/>
    <s v="United States"/>
    <x v="15"/>
    <x v="13"/>
    <x v="1"/>
    <n v="1"/>
    <n v="711"/>
    <n v="158.88999999999999"/>
  </r>
  <r>
    <x v="786"/>
    <x v="8"/>
    <x v="1"/>
    <s v="United States"/>
    <x v="75"/>
    <x v="15"/>
    <x v="2"/>
    <n v="2"/>
    <n v="1088"/>
    <n v="235.83"/>
  </r>
  <r>
    <x v="20"/>
    <x v="9"/>
    <x v="2"/>
    <s v="United States"/>
    <x v="76"/>
    <x v="36"/>
    <x v="1"/>
    <n v="7"/>
    <n v="4704"/>
    <n v="513.14"/>
  </r>
  <r>
    <x v="787"/>
    <x v="9"/>
    <x v="2"/>
    <s v="United States"/>
    <x v="58"/>
    <x v="5"/>
    <x v="3"/>
    <n v="5"/>
    <n v="660"/>
    <n v="90.86"/>
  </r>
  <r>
    <x v="788"/>
    <x v="4"/>
    <x v="1"/>
    <s v="United States"/>
    <x v="58"/>
    <x v="5"/>
    <x v="3"/>
    <n v="5"/>
    <n v="4680"/>
    <n v="516.26"/>
  </r>
  <r>
    <x v="789"/>
    <x v="3"/>
    <x v="2"/>
    <s v="United States"/>
    <x v="171"/>
    <x v="22"/>
    <x v="1"/>
    <n v="7"/>
    <n v="6797"/>
    <n v="665.29"/>
  </r>
  <r>
    <x v="731"/>
    <x v="1"/>
    <x v="1"/>
    <s v="United States"/>
    <x v="171"/>
    <x v="22"/>
    <x v="1"/>
    <n v="9"/>
    <n v="558"/>
    <n v="38.86"/>
  </r>
  <r>
    <x v="280"/>
    <x v="6"/>
    <x v="1"/>
    <s v="United States"/>
    <x v="304"/>
    <x v="25"/>
    <x v="0"/>
    <n v="4"/>
    <n v="4496"/>
    <n v="1115.75"/>
  </r>
  <r>
    <x v="670"/>
    <x v="8"/>
    <x v="1"/>
    <s v="United States"/>
    <x v="109"/>
    <x v="18"/>
    <x v="2"/>
    <n v="1"/>
    <n v="713"/>
    <n v="62.78"/>
  </r>
  <r>
    <x v="653"/>
    <x v="3"/>
    <x v="2"/>
    <s v="United States"/>
    <x v="305"/>
    <x v="25"/>
    <x v="0"/>
    <n v="2"/>
    <n v="1310"/>
    <n v="212.43"/>
  </r>
  <r>
    <x v="502"/>
    <x v="8"/>
    <x v="1"/>
    <s v="United States"/>
    <x v="43"/>
    <x v="22"/>
    <x v="1"/>
    <n v="9"/>
    <n v="2853"/>
    <n v="564.04999999999995"/>
  </r>
  <r>
    <x v="159"/>
    <x v="3"/>
    <x v="2"/>
    <s v="United States"/>
    <x v="2"/>
    <x v="2"/>
    <x v="1"/>
    <n v="2"/>
    <n v="2324"/>
    <n v="516.05999999999995"/>
  </r>
  <r>
    <x v="397"/>
    <x v="9"/>
    <x v="2"/>
    <s v="United States"/>
    <x v="17"/>
    <x v="8"/>
    <x v="3"/>
    <n v="1"/>
    <n v="330"/>
    <n v="53.42"/>
  </r>
  <r>
    <x v="247"/>
    <x v="3"/>
    <x v="2"/>
    <s v="United States"/>
    <x v="53"/>
    <x v="2"/>
    <x v="1"/>
    <n v="3"/>
    <n v="588"/>
    <n v="100.52"/>
  </r>
  <r>
    <x v="517"/>
    <x v="7"/>
    <x v="2"/>
    <s v="United States"/>
    <x v="306"/>
    <x v="30"/>
    <x v="0"/>
    <n v="1"/>
    <n v="63"/>
    <n v="11.91"/>
  </r>
  <r>
    <x v="532"/>
    <x v="2"/>
    <x v="2"/>
    <s v="United States"/>
    <x v="307"/>
    <x v="41"/>
    <x v="1"/>
    <n v="7"/>
    <n v="847"/>
    <n v="147.71"/>
  </r>
  <r>
    <x v="168"/>
    <x v="0"/>
    <x v="0"/>
    <s v="United States"/>
    <x v="307"/>
    <x v="41"/>
    <x v="1"/>
    <n v="1"/>
    <n v="1037"/>
    <n v="56.89"/>
  </r>
  <r>
    <x v="790"/>
    <x v="1"/>
    <x v="1"/>
    <s v="United States"/>
    <x v="187"/>
    <x v="8"/>
    <x v="3"/>
    <n v="1"/>
    <n v="373"/>
    <n v="72.17"/>
  </r>
  <r>
    <x v="119"/>
    <x v="9"/>
    <x v="2"/>
    <s v="United States"/>
    <x v="187"/>
    <x v="8"/>
    <x v="3"/>
    <n v="1"/>
    <n v="1176"/>
    <n v="157.47"/>
  </r>
  <r>
    <x v="182"/>
    <x v="7"/>
    <x v="2"/>
    <s v="United States"/>
    <x v="308"/>
    <x v="31"/>
    <x v="0"/>
    <n v="3"/>
    <n v="2139"/>
    <n v="422.52"/>
  </r>
  <r>
    <x v="731"/>
    <x v="6"/>
    <x v="1"/>
    <s v="United States"/>
    <x v="89"/>
    <x v="1"/>
    <x v="0"/>
    <n v="9"/>
    <n v="4140"/>
    <n v="301.12"/>
  </r>
  <r>
    <x v="791"/>
    <x v="9"/>
    <x v="2"/>
    <s v="United States"/>
    <x v="107"/>
    <x v="9"/>
    <x v="0"/>
    <n v="1"/>
    <n v="1038"/>
    <n v="63.23"/>
  </r>
  <r>
    <x v="311"/>
    <x v="6"/>
    <x v="1"/>
    <s v="United States"/>
    <x v="9"/>
    <x v="8"/>
    <x v="3"/>
    <n v="8"/>
    <n v="2024"/>
    <n v="203.11"/>
  </r>
  <r>
    <x v="102"/>
    <x v="5"/>
    <x v="2"/>
    <s v="United States"/>
    <x v="2"/>
    <x v="2"/>
    <x v="1"/>
    <n v="6"/>
    <n v="6624"/>
    <n v="1136.0899999999999"/>
  </r>
  <r>
    <x v="276"/>
    <x v="5"/>
    <x v="2"/>
    <s v="United States"/>
    <x v="309"/>
    <x v="18"/>
    <x v="2"/>
    <n v="7"/>
    <n v="5019"/>
    <n v="1154.79"/>
  </r>
  <r>
    <x v="404"/>
    <x v="7"/>
    <x v="2"/>
    <s v="United States"/>
    <x v="174"/>
    <x v="18"/>
    <x v="2"/>
    <n v="5"/>
    <n v="750"/>
    <n v="207.77"/>
  </r>
  <r>
    <x v="580"/>
    <x v="3"/>
    <x v="2"/>
    <s v="United States"/>
    <x v="174"/>
    <x v="18"/>
    <x v="2"/>
    <n v="7"/>
    <n v="6461"/>
    <n v="1455.36"/>
  </r>
  <r>
    <x v="609"/>
    <x v="2"/>
    <x v="2"/>
    <s v="United States"/>
    <x v="13"/>
    <x v="7"/>
    <x v="2"/>
    <n v="6"/>
    <n v="2946"/>
    <n v="208.01"/>
  </r>
  <r>
    <x v="342"/>
    <x v="6"/>
    <x v="1"/>
    <s v="United States"/>
    <x v="9"/>
    <x v="8"/>
    <x v="3"/>
    <n v="1"/>
    <n v="618"/>
    <n v="81.040000000000006"/>
  </r>
  <r>
    <x v="743"/>
    <x v="0"/>
    <x v="0"/>
    <s v="United States"/>
    <x v="9"/>
    <x v="8"/>
    <x v="3"/>
    <n v="2"/>
    <n v="1774"/>
    <n v="322.49"/>
  </r>
  <r>
    <x v="2"/>
    <x v="3"/>
    <x v="2"/>
    <s v="United States"/>
    <x v="237"/>
    <x v="32"/>
    <x v="2"/>
    <n v="9"/>
    <n v="8586"/>
    <n v="700.37"/>
  </r>
  <r>
    <x v="792"/>
    <x v="9"/>
    <x v="2"/>
    <s v="United States"/>
    <x v="237"/>
    <x v="32"/>
    <x v="2"/>
    <n v="5"/>
    <n v="2000"/>
    <n v="232.41"/>
  </r>
  <r>
    <x v="390"/>
    <x v="1"/>
    <x v="1"/>
    <s v="United States"/>
    <x v="3"/>
    <x v="3"/>
    <x v="2"/>
    <n v="1"/>
    <n v="849"/>
    <n v="205.88"/>
  </r>
  <r>
    <x v="162"/>
    <x v="1"/>
    <x v="1"/>
    <s v="United States"/>
    <x v="3"/>
    <x v="3"/>
    <x v="2"/>
    <n v="6"/>
    <n v="3186"/>
    <n v="374.63"/>
  </r>
  <r>
    <x v="405"/>
    <x v="6"/>
    <x v="1"/>
    <s v="United States"/>
    <x v="182"/>
    <x v="24"/>
    <x v="0"/>
    <n v="4"/>
    <n v="2536"/>
    <n v="495.13"/>
  </r>
  <r>
    <x v="321"/>
    <x v="5"/>
    <x v="2"/>
    <s v="United States"/>
    <x v="155"/>
    <x v="2"/>
    <x v="1"/>
    <n v="2"/>
    <n v="1306"/>
    <n v="228.41"/>
  </r>
  <r>
    <x v="658"/>
    <x v="2"/>
    <x v="2"/>
    <s v="United States"/>
    <x v="9"/>
    <x v="8"/>
    <x v="3"/>
    <n v="3"/>
    <n v="2508"/>
    <n v="631.85"/>
  </r>
  <r>
    <x v="164"/>
    <x v="2"/>
    <x v="2"/>
    <s v="United States"/>
    <x v="6"/>
    <x v="5"/>
    <x v="3"/>
    <n v="8"/>
    <n v="1048"/>
    <n v="107.56"/>
  </r>
  <r>
    <x v="511"/>
    <x v="8"/>
    <x v="1"/>
    <s v="United States"/>
    <x v="6"/>
    <x v="5"/>
    <x v="3"/>
    <n v="4"/>
    <n v="1516"/>
    <n v="256.95999999999998"/>
  </r>
  <r>
    <x v="117"/>
    <x v="7"/>
    <x v="2"/>
    <s v="United States"/>
    <x v="43"/>
    <x v="22"/>
    <x v="1"/>
    <n v="9"/>
    <n v="10458"/>
    <n v="1835.21"/>
  </r>
  <r>
    <x v="229"/>
    <x v="4"/>
    <x v="1"/>
    <s v="United States"/>
    <x v="43"/>
    <x v="22"/>
    <x v="1"/>
    <n v="9"/>
    <n v="2754"/>
    <n v="259.16000000000003"/>
  </r>
  <r>
    <x v="711"/>
    <x v="0"/>
    <x v="0"/>
    <s v="United States"/>
    <x v="6"/>
    <x v="5"/>
    <x v="3"/>
    <n v="4"/>
    <n v="3432"/>
    <n v="364.27"/>
  </r>
  <r>
    <x v="793"/>
    <x v="6"/>
    <x v="1"/>
    <s v="United States"/>
    <x v="3"/>
    <x v="3"/>
    <x v="2"/>
    <n v="2"/>
    <n v="1234"/>
    <n v="257.89"/>
  </r>
  <r>
    <x v="794"/>
    <x v="6"/>
    <x v="1"/>
    <s v="United States"/>
    <x v="3"/>
    <x v="3"/>
    <x v="2"/>
    <n v="1"/>
    <n v="847"/>
    <n v="146.25"/>
  </r>
  <r>
    <x v="139"/>
    <x v="8"/>
    <x v="1"/>
    <s v="United States"/>
    <x v="15"/>
    <x v="13"/>
    <x v="1"/>
    <n v="7"/>
    <n v="7672"/>
    <n v="896.11"/>
  </r>
  <r>
    <x v="758"/>
    <x v="6"/>
    <x v="1"/>
    <s v="United States"/>
    <x v="117"/>
    <x v="8"/>
    <x v="3"/>
    <n v="9"/>
    <n v="7596"/>
    <n v="1454.15"/>
  </r>
  <r>
    <x v="795"/>
    <x v="8"/>
    <x v="1"/>
    <s v="United States"/>
    <x v="117"/>
    <x v="8"/>
    <x v="3"/>
    <n v="7"/>
    <n v="7252"/>
    <n v="1357.27"/>
  </r>
  <r>
    <x v="227"/>
    <x v="5"/>
    <x v="2"/>
    <s v="United States"/>
    <x v="117"/>
    <x v="8"/>
    <x v="3"/>
    <n v="6"/>
    <n v="732"/>
    <n v="136.59"/>
  </r>
  <r>
    <x v="128"/>
    <x v="7"/>
    <x v="2"/>
    <s v="United States"/>
    <x v="132"/>
    <x v="33"/>
    <x v="0"/>
    <n v="1"/>
    <n v="173"/>
    <n v="20.96"/>
  </r>
  <r>
    <x v="26"/>
    <x v="3"/>
    <x v="2"/>
    <s v="United States"/>
    <x v="72"/>
    <x v="2"/>
    <x v="1"/>
    <n v="3"/>
    <n v="2805"/>
    <n v="749.5"/>
  </r>
  <r>
    <x v="796"/>
    <x v="7"/>
    <x v="2"/>
    <s v="United States"/>
    <x v="310"/>
    <x v="2"/>
    <x v="1"/>
    <n v="8"/>
    <n v="7048"/>
    <n v="391.96"/>
  </r>
  <r>
    <x v="797"/>
    <x v="1"/>
    <x v="1"/>
    <s v="United States"/>
    <x v="76"/>
    <x v="25"/>
    <x v="0"/>
    <n v="6"/>
    <n v="4698"/>
    <n v="1020.11"/>
  </r>
  <r>
    <x v="607"/>
    <x v="5"/>
    <x v="2"/>
    <s v="United States"/>
    <x v="311"/>
    <x v="2"/>
    <x v="1"/>
    <n v="1"/>
    <n v="565"/>
    <n v="148.79"/>
  </r>
  <r>
    <x v="427"/>
    <x v="6"/>
    <x v="1"/>
    <s v="United States"/>
    <x v="2"/>
    <x v="2"/>
    <x v="1"/>
    <n v="1"/>
    <n v="672"/>
    <n v="198.75"/>
  </r>
  <r>
    <x v="798"/>
    <x v="3"/>
    <x v="2"/>
    <s v="United States"/>
    <x v="20"/>
    <x v="16"/>
    <x v="3"/>
    <n v="6"/>
    <n v="2604"/>
    <n v="566.34"/>
  </r>
  <r>
    <x v="678"/>
    <x v="2"/>
    <x v="2"/>
    <s v="United States"/>
    <x v="2"/>
    <x v="2"/>
    <x v="1"/>
    <n v="6"/>
    <n v="5124"/>
    <n v="501.5"/>
  </r>
  <r>
    <x v="201"/>
    <x v="5"/>
    <x v="2"/>
    <s v="United States"/>
    <x v="2"/>
    <x v="2"/>
    <x v="1"/>
    <n v="5"/>
    <n v="2455"/>
    <n v="714.35"/>
  </r>
  <r>
    <x v="799"/>
    <x v="0"/>
    <x v="0"/>
    <s v="United States"/>
    <x v="180"/>
    <x v="25"/>
    <x v="0"/>
    <n v="2"/>
    <n v="1796"/>
    <n v="225.15"/>
  </r>
  <r>
    <x v="676"/>
    <x v="9"/>
    <x v="2"/>
    <s v="United States"/>
    <x v="144"/>
    <x v="5"/>
    <x v="3"/>
    <n v="1"/>
    <n v="288"/>
    <n v="61.85"/>
  </r>
  <r>
    <x v="476"/>
    <x v="9"/>
    <x v="2"/>
    <s v="United States"/>
    <x v="15"/>
    <x v="13"/>
    <x v="1"/>
    <n v="5"/>
    <n v="2160"/>
    <n v="553.41"/>
  </r>
  <r>
    <x v="149"/>
    <x v="2"/>
    <x v="2"/>
    <s v="United States"/>
    <x v="15"/>
    <x v="13"/>
    <x v="1"/>
    <n v="1"/>
    <n v="105"/>
    <n v="27.36"/>
  </r>
  <r>
    <x v="345"/>
    <x v="6"/>
    <x v="1"/>
    <s v="United States"/>
    <x v="12"/>
    <x v="11"/>
    <x v="3"/>
    <n v="9"/>
    <n v="7578"/>
    <n v="1596.64"/>
  </r>
  <r>
    <x v="563"/>
    <x v="4"/>
    <x v="1"/>
    <s v="United States"/>
    <x v="29"/>
    <x v="24"/>
    <x v="0"/>
    <n v="1"/>
    <n v="365"/>
    <n v="50.1"/>
  </r>
  <r>
    <x v="800"/>
    <x v="3"/>
    <x v="2"/>
    <s v="United States"/>
    <x v="312"/>
    <x v="8"/>
    <x v="3"/>
    <n v="8"/>
    <n v="3752"/>
    <n v="537.98"/>
  </r>
  <r>
    <x v="200"/>
    <x v="8"/>
    <x v="1"/>
    <s v="United States"/>
    <x v="313"/>
    <x v="10"/>
    <x v="0"/>
    <n v="2"/>
    <n v="1384"/>
    <n v="316.20999999999998"/>
  </r>
  <r>
    <x v="801"/>
    <x v="7"/>
    <x v="2"/>
    <s v="United States"/>
    <x v="15"/>
    <x v="13"/>
    <x v="1"/>
    <n v="5"/>
    <n v="475"/>
    <n v="76.22"/>
  </r>
  <r>
    <x v="188"/>
    <x v="0"/>
    <x v="0"/>
    <s v="United States"/>
    <x v="155"/>
    <x v="2"/>
    <x v="1"/>
    <n v="4"/>
    <n v="1116"/>
    <n v="242.31"/>
  </r>
  <r>
    <x v="354"/>
    <x v="7"/>
    <x v="2"/>
    <s v="United States"/>
    <x v="13"/>
    <x v="7"/>
    <x v="2"/>
    <n v="1"/>
    <n v="137"/>
    <n v="39.35"/>
  </r>
  <r>
    <x v="187"/>
    <x v="4"/>
    <x v="1"/>
    <s v="United States"/>
    <x v="3"/>
    <x v="3"/>
    <x v="2"/>
    <n v="6"/>
    <n v="738"/>
    <n v="158.96"/>
  </r>
  <r>
    <x v="6"/>
    <x v="3"/>
    <x v="2"/>
    <s v="United States"/>
    <x v="9"/>
    <x v="8"/>
    <x v="3"/>
    <n v="3"/>
    <n v="1821"/>
    <n v="543.01"/>
  </r>
  <r>
    <x v="802"/>
    <x v="8"/>
    <x v="1"/>
    <s v="United States"/>
    <x v="13"/>
    <x v="7"/>
    <x v="2"/>
    <n v="7"/>
    <n v="3654"/>
    <n v="670.16"/>
  </r>
  <r>
    <x v="340"/>
    <x v="8"/>
    <x v="1"/>
    <s v="United States"/>
    <x v="14"/>
    <x v="8"/>
    <x v="3"/>
    <n v="6"/>
    <n v="2592"/>
    <n v="404.89"/>
  </r>
  <r>
    <x v="803"/>
    <x v="3"/>
    <x v="2"/>
    <s v="United States"/>
    <x v="13"/>
    <x v="7"/>
    <x v="2"/>
    <n v="6"/>
    <n v="996"/>
    <n v="225.75"/>
  </r>
  <r>
    <x v="180"/>
    <x v="1"/>
    <x v="1"/>
    <s v="United States"/>
    <x v="29"/>
    <x v="24"/>
    <x v="0"/>
    <n v="1"/>
    <n v="693"/>
    <n v="62.75"/>
  </r>
  <r>
    <x v="126"/>
    <x v="8"/>
    <x v="1"/>
    <s v="United States"/>
    <x v="314"/>
    <x v="13"/>
    <x v="1"/>
    <n v="3"/>
    <n v="513"/>
    <n v="48.23"/>
  </r>
  <r>
    <x v="432"/>
    <x v="5"/>
    <x v="2"/>
    <s v="United States"/>
    <x v="171"/>
    <x v="22"/>
    <x v="1"/>
    <n v="8"/>
    <n v="5736"/>
    <n v="937.62"/>
  </r>
  <r>
    <x v="98"/>
    <x v="1"/>
    <x v="1"/>
    <s v="United States"/>
    <x v="247"/>
    <x v="25"/>
    <x v="0"/>
    <n v="2"/>
    <n v="1458"/>
    <n v="208.93"/>
  </r>
  <r>
    <x v="553"/>
    <x v="7"/>
    <x v="2"/>
    <s v="United States"/>
    <x v="315"/>
    <x v="8"/>
    <x v="3"/>
    <n v="8"/>
    <n v="5496"/>
    <n v="1104.93"/>
  </r>
  <r>
    <x v="804"/>
    <x v="2"/>
    <x v="2"/>
    <s v="United States"/>
    <x v="2"/>
    <x v="2"/>
    <x v="1"/>
    <n v="3"/>
    <n v="3183"/>
    <n v="358.87"/>
  </r>
  <r>
    <x v="346"/>
    <x v="4"/>
    <x v="1"/>
    <s v="United States"/>
    <x v="13"/>
    <x v="7"/>
    <x v="2"/>
    <n v="6"/>
    <n v="3990"/>
    <n v="975.5"/>
  </r>
  <r>
    <x v="805"/>
    <x v="7"/>
    <x v="2"/>
    <s v="United States"/>
    <x v="9"/>
    <x v="8"/>
    <x v="3"/>
    <n v="2"/>
    <n v="582"/>
    <n v="76.45"/>
  </r>
  <r>
    <x v="806"/>
    <x v="0"/>
    <x v="0"/>
    <s v="United States"/>
    <x v="76"/>
    <x v="15"/>
    <x v="2"/>
    <n v="5"/>
    <n v="3340"/>
    <n v="845.53"/>
  </r>
  <r>
    <x v="614"/>
    <x v="6"/>
    <x v="1"/>
    <s v="United States"/>
    <x v="76"/>
    <x v="15"/>
    <x v="2"/>
    <n v="1"/>
    <n v="890"/>
    <n v="59.1"/>
  </r>
  <r>
    <x v="807"/>
    <x v="0"/>
    <x v="0"/>
    <s v="United States"/>
    <x v="316"/>
    <x v="2"/>
    <x v="1"/>
    <n v="6"/>
    <n v="4890"/>
    <n v="689.01"/>
  </r>
  <r>
    <x v="668"/>
    <x v="8"/>
    <x v="1"/>
    <s v="United States"/>
    <x v="22"/>
    <x v="12"/>
    <x v="1"/>
    <n v="3"/>
    <n v="2625"/>
    <n v="349.61"/>
  </r>
  <r>
    <x v="415"/>
    <x v="5"/>
    <x v="2"/>
    <s v="United States"/>
    <x v="13"/>
    <x v="7"/>
    <x v="2"/>
    <n v="4"/>
    <n v="1440"/>
    <n v="200.09"/>
  </r>
  <r>
    <x v="618"/>
    <x v="4"/>
    <x v="1"/>
    <s v="United States"/>
    <x v="53"/>
    <x v="2"/>
    <x v="1"/>
    <n v="5"/>
    <n v="505"/>
    <n v="93.85"/>
  </r>
  <r>
    <x v="245"/>
    <x v="9"/>
    <x v="2"/>
    <s v="United States"/>
    <x v="13"/>
    <x v="7"/>
    <x v="2"/>
    <n v="8"/>
    <n v="8192"/>
    <n v="1822.87"/>
  </r>
  <r>
    <x v="479"/>
    <x v="8"/>
    <x v="1"/>
    <s v="United States"/>
    <x v="3"/>
    <x v="3"/>
    <x v="2"/>
    <n v="3"/>
    <n v="1920"/>
    <n v="144.30000000000001"/>
  </r>
  <r>
    <x v="264"/>
    <x v="5"/>
    <x v="2"/>
    <s v="United States"/>
    <x v="41"/>
    <x v="2"/>
    <x v="1"/>
    <n v="8"/>
    <n v="8768"/>
    <n v="1065.8"/>
  </r>
  <r>
    <x v="808"/>
    <x v="1"/>
    <x v="1"/>
    <s v="United States"/>
    <x v="261"/>
    <x v="2"/>
    <x v="1"/>
    <n v="1"/>
    <n v="1140"/>
    <n v="117.05"/>
  </r>
  <r>
    <x v="744"/>
    <x v="9"/>
    <x v="2"/>
    <s v="United States"/>
    <x v="261"/>
    <x v="2"/>
    <x v="1"/>
    <n v="4"/>
    <n v="952"/>
    <n v="264.61"/>
  </r>
  <r>
    <x v="348"/>
    <x v="7"/>
    <x v="2"/>
    <s v="United States"/>
    <x v="127"/>
    <x v="30"/>
    <x v="0"/>
    <n v="1"/>
    <n v="225"/>
    <n v="51.07"/>
  </r>
  <r>
    <x v="306"/>
    <x v="0"/>
    <x v="0"/>
    <s v="United States"/>
    <x v="19"/>
    <x v="15"/>
    <x v="2"/>
    <n v="4"/>
    <n v="1304"/>
    <n v="336.95"/>
  </r>
  <r>
    <x v="22"/>
    <x v="3"/>
    <x v="2"/>
    <s v="United States"/>
    <x v="19"/>
    <x v="15"/>
    <x v="2"/>
    <n v="3"/>
    <n v="1029"/>
    <n v="206.83"/>
  </r>
  <r>
    <x v="544"/>
    <x v="0"/>
    <x v="0"/>
    <s v="United States"/>
    <x v="0"/>
    <x v="34"/>
    <x v="1"/>
    <n v="3"/>
    <n v="3402"/>
    <n v="442.67"/>
  </r>
  <r>
    <x v="82"/>
    <x v="9"/>
    <x v="2"/>
    <s v="United States"/>
    <x v="15"/>
    <x v="13"/>
    <x v="1"/>
    <n v="9"/>
    <n v="8460"/>
    <n v="1201.94"/>
  </r>
  <r>
    <x v="588"/>
    <x v="6"/>
    <x v="1"/>
    <s v="United States"/>
    <x v="13"/>
    <x v="7"/>
    <x v="2"/>
    <n v="1"/>
    <n v="104"/>
    <n v="26.86"/>
  </r>
  <r>
    <x v="700"/>
    <x v="6"/>
    <x v="1"/>
    <s v="United States"/>
    <x v="19"/>
    <x v="14"/>
    <x v="2"/>
    <n v="9"/>
    <n v="10665"/>
    <n v="1595.08"/>
  </r>
  <r>
    <x v="212"/>
    <x v="5"/>
    <x v="2"/>
    <s v="United States"/>
    <x v="52"/>
    <x v="6"/>
    <x v="3"/>
    <n v="8"/>
    <n v="984"/>
    <n v="183.07"/>
  </r>
  <r>
    <x v="314"/>
    <x v="7"/>
    <x v="2"/>
    <s v="United States"/>
    <x v="52"/>
    <x v="6"/>
    <x v="3"/>
    <n v="4"/>
    <n v="2064"/>
    <n v="359.3"/>
  </r>
  <r>
    <x v="123"/>
    <x v="9"/>
    <x v="2"/>
    <s v="United States"/>
    <x v="52"/>
    <x v="6"/>
    <x v="3"/>
    <n v="2"/>
    <n v="594"/>
    <n v="172.47"/>
  </r>
  <r>
    <x v="809"/>
    <x v="0"/>
    <x v="0"/>
    <s v="United States"/>
    <x v="89"/>
    <x v="1"/>
    <x v="0"/>
    <n v="8"/>
    <n v="6016"/>
    <n v="898.33"/>
  </r>
  <r>
    <x v="589"/>
    <x v="7"/>
    <x v="2"/>
    <s v="United States"/>
    <x v="317"/>
    <x v="23"/>
    <x v="3"/>
    <n v="8"/>
    <n v="2864"/>
    <n v="195.16"/>
  </r>
  <r>
    <x v="426"/>
    <x v="2"/>
    <x v="2"/>
    <s v="United States"/>
    <x v="304"/>
    <x v="25"/>
    <x v="0"/>
    <n v="4"/>
    <n v="724"/>
    <n v="186.95"/>
  </r>
  <r>
    <x v="490"/>
    <x v="1"/>
    <x v="1"/>
    <s v="United States"/>
    <x v="3"/>
    <x v="3"/>
    <x v="2"/>
    <n v="6"/>
    <n v="4098"/>
    <n v="1174.46"/>
  </r>
  <r>
    <x v="810"/>
    <x v="6"/>
    <x v="1"/>
    <s v="United States"/>
    <x v="318"/>
    <x v="33"/>
    <x v="0"/>
    <n v="1"/>
    <n v="338"/>
    <n v="32.61"/>
  </r>
  <r>
    <x v="811"/>
    <x v="0"/>
    <x v="0"/>
    <s v="United States"/>
    <x v="81"/>
    <x v="22"/>
    <x v="1"/>
    <n v="8"/>
    <n v="9280"/>
    <n v="1596.88"/>
  </r>
  <r>
    <x v="812"/>
    <x v="5"/>
    <x v="2"/>
    <s v="United States"/>
    <x v="29"/>
    <x v="24"/>
    <x v="0"/>
    <n v="1"/>
    <n v="890"/>
    <n v="57.04"/>
  </r>
  <r>
    <x v="621"/>
    <x v="2"/>
    <x v="2"/>
    <s v="United States"/>
    <x v="28"/>
    <x v="2"/>
    <x v="1"/>
    <n v="2"/>
    <n v="1790"/>
    <n v="442.75"/>
  </r>
  <r>
    <x v="487"/>
    <x v="2"/>
    <x v="2"/>
    <s v="United States"/>
    <x v="28"/>
    <x v="2"/>
    <x v="1"/>
    <n v="9"/>
    <n v="8523"/>
    <n v="978.97"/>
  </r>
  <r>
    <x v="801"/>
    <x v="4"/>
    <x v="1"/>
    <s v="United States"/>
    <x v="13"/>
    <x v="7"/>
    <x v="2"/>
    <n v="9"/>
    <n v="7776"/>
    <n v="677.74"/>
  </r>
  <r>
    <x v="541"/>
    <x v="1"/>
    <x v="1"/>
    <s v="United States"/>
    <x v="237"/>
    <x v="32"/>
    <x v="2"/>
    <n v="7"/>
    <n v="3031"/>
    <n v="417.5"/>
  </r>
  <r>
    <x v="186"/>
    <x v="3"/>
    <x v="2"/>
    <s v="United States"/>
    <x v="6"/>
    <x v="5"/>
    <x v="3"/>
    <n v="9"/>
    <n v="4698"/>
    <n v="1262.47"/>
  </r>
  <r>
    <x v="347"/>
    <x v="8"/>
    <x v="1"/>
    <s v="United States"/>
    <x v="6"/>
    <x v="5"/>
    <x v="3"/>
    <n v="9"/>
    <n v="4851"/>
    <n v="1408.41"/>
  </r>
  <r>
    <x v="357"/>
    <x v="3"/>
    <x v="2"/>
    <s v="United States"/>
    <x v="53"/>
    <x v="2"/>
    <x v="1"/>
    <n v="6"/>
    <n v="4542"/>
    <n v="1169.1600000000001"/>
  </r>
  <r>
    <x v="813"/>
    <x v="4"/>
    <x v="1"/>
    <s v="United States"/>
    <x v="15"/>
    <x v="13"/>
    <x v="1"/>
    <n v="2"/>
    <n v="978"/>
    <n v="210.75"/>
  </r>
  <r>
    <x v="814"/>
    <x v="1"/>
    <x v="1"/>
    <s v="United States"/>
    <x v="1"/>
    <x v="1"/>
    <x v="0"/>
    <n v="9"/>
    <n v="9378"/>
    <n v="1740.97"/>
  </r>
  <r>
    <x v="665"/>
    <x v="5"/>
    <x v="2"/>
    <s v="United States"/>
    <x v="77"/>
    <x v="7"/>
    <x v="2"/>
    <n v="8"/>
    <n v="9464"/>
    <n v="2043.73"/>
  </r>
  <r>
    <x v="447"/>
    <x v="0"/>
    <x v="0"/>
    <s v="United States"/>
    <x v="317"/>
    <x v="8"/>
    <x v="3"/>
    <n v="8"/>
    <n v="1720"/>
    <n v="401.26"/>
  </r>
  <r>
    <x v="568"/>
    <x v="8"/>
    <x v="1"/>
    <s v="United States"/>
    <x v="28"/>
    <x v="2"/>
    <x v="1"/>
    <n v="8"/>
    <n v="4752"/>
    <n v="1124.22"/>
  </r>
  <r>
    <x v="320"/>
    <x v="8"/>
    <x v="1"/>
    <s v="United States"/>
    <x v="28"/>
    <x v="2"/>
    <x v="1"/>
    <n v="4"/>
    <n v="584"/>
    <n v="127.28"/>
  </r>
  <r>
    <x v="311"/>
    <x v="3"/>
    <x v="2"/>
    <s v="United States"/>
    <x v="13"/>
    <x v="7"/>
    <x v="2"/>
    <n v="9"/>
    <n v="4554"/>
    <n v="1031.0899999999999"/>
  </r>
  <r>
    <x v="692"/>
    <x v="2"/>
    <x v="2"/>
    <s v="United States"/>
    <x v="124"/>
    <x v="2"/>
    <x v="1"/>
    <n v="2"/>
    <n v="2392"/>
    <n v="483.39"/>
  </r>
  <r>
    <x v="159"/>
    <x v="3"/>
    <x v="2"/>
    <s v="United States"/>
    <x v="102"/>
    <x v="2"/>
    <x v="1"/>
    <n v="7"/>
    <n v="3962"/>
    <n v="916.13"/>
  </r>
  <r>
    <x v="722"/>
    <x v="9"/>
    <x v="2"/>
    <s v="United States"/>
    <x v="102"/>
    <x v="2"/>
    <x v="1"/>
    <n v="3"/>
    <n v="1308"/>
    <n v="141.04"/>
  </r>
  <r>
    <x v="124"/>
    <x v="0"/>
    <x v="0"/>
    <s v="United States"/>
    <x v="3"/>
    <x v="3"/>
    <x v="2"/>
    <n v="8"/>
    <n v="5912"/>
    <n v="1153.18"/>
  </r>
  <r>
    <x v="253"/>
    <x v="3"/>
    <x v="2"/>
    <s v="United States"/>
    <x v="29"/>
    <x v="15"/>
    <x v="2"/>
    <n v="7"/>
    <n v="5831"/>
    <n v="1416.31"/>
  </r>
  <r>
    <x v="815"/>
    <x v="3"/>
    <x v="2"/>
    <s v="United States"/>
    <x v="319"/>
    <x v="16"/>
    <x v="3"/>
    <n v="7"/>
    <n v="5572"/>
    <n v="690.68"/>
  </r>
  <r>
    <x v="138"/>
    <x v="6"/>
    <x v="1"/>
    <s v="United States"/>
    <x v="6"/>
    <x v="5"/>
    <x v="3"/>
    <n v="6"/>
    <n v="5214"/>
    <n v="1093.04"/>
  </r>
  <r>
    <x v="316"/>
    <x v="1"/>
    <x v="1"/>
    <s v="United States"/>
    <x v="41"/>
    <x v="30"/>
    <x v="0"/>
    <n v="9"/>
    <n v="6705"/>
    <n v="1283.78"/>
  </r>
  <r>
    <x v="438"/>
    <x v="4"/>
    <x v="1"/>
    <s v="United States"/>
    <x v="124"/>
    <x v="2"/>
    <x v="1"/>
    <n v="1"/>
    <n v="426"/>
    <n v="93.83"/>
  </r>
  <r>
    <x v="177"/>
    <x v="7"/>
    <x v="2"/>
    <s v="United States"/>
    <x v="320"/>
    <x v="46"/>
    <x v="1"/>
    <n v="2"/>
    <n v="2204"/>
    <n v="523.82000000000005"/>
  </r>
  <r>
    <x v="286"/>
    <x v="7"/>
    <x v="2"/>
    <s v="United States"/>
    <x v="59"/>
    <x v="15"/>
    <x v="2"/>
    <n v="3"/>
    <n v="2652"/>
    <n v="161.66999999999999"/>
  </r>
  <r>
    <x v="459"/>
    <x v="0"/>
    <x v="0"/>
    <s v="United States"/>
    <x v="258"/>
    <x v="37"/>
    <x v="3"/>
    <n v="6"/>
    <n v="3132"/>
    <n v="919.52"/>
  </r>
  <r>
    <x v="712"/>
    <x v="0"/>
    <x v="0"/>
    <s v="United States"/>
    <x v="2"/>
    <x v="2"/>
    <x v="1"/>
    <n v="5"/>
    <n v="1830"/>
    <n v="437.35"/>
  </r>
  <r>
    <x v="739"/>
    <x v="9"/>
    <x v="2"/>
    <s v="United States"/>
    <x v="321"/>
    <x v="13"/>
    <x v="1"/>
    <n v="9"/>
    <n v="2763"/>
    <n v="676.25"/>
  </r>
  <r>
    <x v="816"/>
    <x v="6"/>
    <x v="1"/>
    <s v="United States"/>
    <x v="322"/>
    <x v="8"/>
    <x v="3"/>
    <n v="8"/>
    <n v="9056"/>
    <n v="2281.9699999999998"/>
  </r>
  <r>
    <x v="149"/>
    <x v="3"/>
    <x v="2"/>
    <s v="United States"/>
    <x v="322"/>
    <x v="8"/>
    <x v="3"/>
    <n v="7"/>
    <n v="5439"/>
    <n v="1416.62"/>
  </r>
  <r>
    <x v="306"/>
    <x v="3"/>
    <x v="2"/>
    <s v="United States"/>
    <x v="322"/>
    <x v="8"/>
    <x v="3"/>
    <n v="6"/>
    <n v="828"/>
    <n v="47.91"/>
  </r>
  <r>
    <x v="244"/>
    <x v="5"/>
    <x v="2"/>
    <s v="United States"/>
    <x v="98"/>
    <x v="1"/>
    <x v="0"/>
    <n v="5"/>
    <n v="1910"/>
    <n v="463.07"/>
  </r>
  <r>
    <x v="817"/>
    <x v="2"/>
    <x v="2"/>
    <s v="United States"/>
    <x v="215"/>
    <x v="5"/>
    <x v="3"/>
    <n v="2"/>
    <n v="1874"/>
    <n v="333.86"/>
  </r>
  <r>
    <x v="786"/>
    <x v="1"/>
    <x v="1"/>
    <s v="United States"/>
    <x v="124"/>
    <x v="2"/>
    <x v="1"/>
    <n v="1"/>
    <n v="1032"/>
    <n v="291.41000000000003"/>
  </r>
  <r>
    <x v="334"/>
    <x v="8"/>
    <x v="1"/>
    <s v="United States"/>
    <x v="13"/>
    <x v="7"/>
    <x v="2"/>
    <n v="3"/>
    <n v="3264"/>
    <n v="556.86"/>
  </r>
  <r>
    <x v="818"/>
    <x v="7"/>
    <x v="2"/>
    <s v="United States"/>
    <x v="13"/>
    <x v="7"/>
    <x v="2"/>
    <n v="1"/>
    <n v="877"/>
    <n v="110.99"/>
  </r>
  <r>
    <x v="369"/>
    <x v="3"/>
    <x v="2"/>
    <s v="United States"/>
    <x v="13"/>
    <x v="7"/>
    <x v="2"/>
    <n v="3"/>
    <n v="924"/>
    <n v="183.18"/>
  </r>
  <r>
    <x v="621"/>
    <x v="3"/>
    <x v="2"/>
    <s v="United States"/>
    <x v="323"/>
    <x v="2"/>
    <x v="1"/>
    <n v="3"/>
    <n v="417"/>
    <n v="114.42"/>
  </r>
  <r>
    <x v="819"/>
    <x v="9"/>
    <x v="2"/>
    <s v="United States"/>
    <x v="9"/>
    <x v="8"/>
    <x v="3"/>
    <n v="5"/>
    <n v="2670"/>
    <n v="155.88999999999999"/>
  </r>
  <r>
    <x v="113"/>
    <x v="8"/>
    <x v="1"/>
    <s v="United States"/>
    <x v="26"/>
    <x v="1"/>
    <x v="0"/>
    <n v="7"/>
    <n v="2716"/>
    <n v="512.09"/>
  </r>
  <r>
    <x v="698"/>
    <x v="4"/>
    <x v="1"/>
    <s v="United States"/>
    <x v="26"/>
    <x v="1"/>
    <x v="0"/>
    <n v="9"/>
    <n v="10134"/>
    <n v="1334.37"/>
  </r>
  <r>
    <x v="260"/>
    <x v="6"/>
    <x v="1"/>
    <s v="United States"/>
    <x v="13"/>
    <x v="7"/>
    <x v="2"/>
    <n v="5"/>
    <n v="5500"/>
    <n v="1230.98"/>
  </r>
  <r>
    <x v="820"/>
    <x v="2"/>
    <x v="2"/>
    <s v="United States"/>
    <x v="13"/>
    <x v="7"/>
    <x v="2"/>
    <n v="6"/>
    <n v="6228"/>
    <n v="1756.82"/>
  </r>
  <r>
    <x v="821"/>
    <x v="9"/>
    <x v="2"/>
    <s v="United States"/>
    <x v="182"/>
    <x v="24"/>
    <x v="0"/>
    <n v="7"/>
    <n v="1092"/>
    <n v="274.77"/>
  </r>
  <r>
    <x v="96"/>
    <x v="6"/>
    <x v="1"/>
    <s v="United States"/>
    <x v="182"/>
    <x v="24"/>
    <x v="0"/>
    <n v="5"/>
    <n v="3255"/>
    <n v="332.54"/>
  </r>
  <r>
    <x v="620"/>
    <x v="2"/>
    <x v="2"/>
    <s v="United States"/>
    <x v="51"/>
    <x v="1"/>
    <x v="0"/>
    <n v="5"/>
    <n v="5645"/>
    <n v="1320.86"/>
  </r>
  <r>
    <x v="541"/>
    <x v="7"/>
    <x v="2"/>
    <s v="United States"/>
    <x v="51"/>
    <x v="1"/>
    <x v="0"/>
    <n v="9"/>
    <n v="7578"/>
    <n v="466.87"/>
  </r>
  <r>
    <x v="364"/>
    <x v="8"/>
    <x v="1"/>
    <s v="United States"/>
    <x v="43"/>
    <x v="22"/>
    <x v="1"/>
    <n v="9"/>
    <n v="6282"/>
    <n v="1594.61"/>
  </r>
  <r>
    <x v="343"/>
    <x v="9"/>
    <x v="2"/>
    <s v="United States"/>
    <x v="3"/>
    <x v="3"/>
    <x v="2"/>
    <n v="6"/>
    <n v="2364"/>
    <n v="639.29"/>
  </r>
  <r>
    <x v="706"/>
    <x v="8"/>
    <x v="1"/>
    <s v="United States"/>
    <x v="2"/>
    <x v="2"/>
    <x v="1"/>
    <n v="8"/>
    <n v="6880"/>
    <n v="1570.91"/>
  </r>
  <r>
    <x v="822"/>
    <x v="7"/>
    <x v="2"/>
    <s v="United States"/>
    <x v="3"/>
    <x v="3"/>
    <x v="2"/>
    <n v="6"/>
    <n v="3288"/>
    <n v="249.02"/>
  </r>
  <r>
    <x v="69"/>
    <x v="6"/>
    <x v="1"/>
    <s v="United States"/>
    <x v="70"/>
    <x v="27"/>
    <x v="3"/>
    <n v="6"/>
    <n v="5292"/>
    <n v="659.58"/>
  </r>
  <r>
    <x v="577"/>
    <x v="0"/>
    <x v="0"/>
    <s v="United States"/>
    <x v="196"/>
    <x v="9"/>
    <x v="0"/>
    <n v="3"/>
    <n v="3522"/>
    <n v="883.41"/>
  </r>
  <r>
    <x v="727"/>
    <x v="5"/>
    <x v="2"/>
    <s v="United States"/>
    <x v="196"/>
    <x v="9"/>
    <x v="0"/>
    <n v="2"/>
    <n v="1518"/>
    <n v="87.6"/>
  </r>
  <r>
    <x v="427"/>
    <x v="2"/>
    <x v="2"/>
    <s v="United States"/>
    <x v="13"/>
    <x v="7"/>
    <x v="2"/>
    <n v="7"/>
    <n v="2457"/>
    <n v="690.55"/>
  </r>
  <r>
    <x v="77"/>
    <x v="4"/>
    <x v="1"/>
    <s v="United States"/>
    <x v="13"/>
    <x v="7"/>
    <x v="2"/>
    <n v="1"/>
    <n v="309"/>
    <n v="62.08"/>
  </r>
  <r>
    <x v="823"/>
    <x v="6"/>
    <x v="1"/>
    <s v="United States"/>
    <x v="15"/>
    <x v="13"/>
    <x v="1"/>
    <n v="6"/>
    <n v="6192"/>
    <n v="717.46"/>
  </r>
  <r>
    <x v="824"/>
    <x v="3"/>
    <x v="2"/>
    <s v="United States"/>
    <x v="324"/>
    <x v="2"/>
    <x v="1"/>
    <n v="5"/>
    <n v="4235"/>
    <n v="747.96"/>
  </r>
  <r>
    <x v="581"/>
    <x v="5"/>
    <x v="2"/>
    <s v="United States"/>
    <x v="324"/>
    <x v="2"/>
    <x v="1"/>
    <n v="9"/>
    <n v="7128"/>
    <n v="457.11"/>
  </r>
  <r>
    <x v="825"/>
    <x v="2"/>
    <x v="2"/>
    <s v="United States"/>
    <x v="324"/>
    <x v="2"/>
    <x v="1"/>
    <n v="5"/>
    <n v="5660"/>
    <n v="641.69000000000005"/>
  </r>
  <r>
    <x v="324"/>
    <x v="7"/>
    <x v="2"/>
    <s v="United States"/>
    <x v="324"/>
    <x v="2"/>
    <x v="1"/>
    <n v="1"/>
    <n v="787"/>
    <n v="120.38"/>
  </r>
  <r>
    <x v="514"/>
    <x v="1"/>
    <x v="1"/>
    <s v="United States"/>
    <x v="2"/>
    <x v="2"/>
    <x v="1"/>
    <n v="3"/>
    <n v="375"/>
    <n v="107.26"/>
  </r>
  <r>
    <x v="372"/>
    <x v="3"/>
    <x v="2"/>
    <s v="United States"/>
    <x v="219"/>
    <x v="15"/>
    <x v="2"/>
    <n v="4"/>
    <n v="296"/>
    <n v="44.79"/>
  </r>
  <r>
    <x v="105"/>
    <x v="8"/>
    <x v="1"/>
    <s v="United States"/>
    <x v="325"/>
    <x v="36"/>
    <x v="1"/>
    <n v="6"/>
    <n v="6372"/>
    <n v="570.75"/>
  </r>
  <r>
    <x v="821"/>
    <x v="1"/>
    <x v="1"/>
    <s v="United States"/>
    <x v="3"/>
    <x v="3"/>
    <x v="2"/>
    <n v="6"/>
    <n v="2214"/>
    <n v="322.73"/>
  </r>
  <r>
    <x v="389"/>
    <x v="4"/>
    <x v="1"/>
    <s v="United States"/>
    <x v="3"/>
    <x v="3"/>
    <x v="2"/>
    <n v="6"/>
    <n v="2640"/>
    <n v="734.44"/>
  </r>
  <r>
    <x v="826"/>
    <x v="3"/>
    <x v="2"/>
    <s v="United States"/>
    <x v="6"/>
    <x v="5"/>
    <x v="3"/>
    <n v="7"/>
    <n v="2240"/>
    <n v="580.47"/>
  </r>
  <r>
    <x v="441"/>
    <x v="5"/>
    <x v="2"/>
    <s v="United States"/>
    <x v="6"/>
    <x v="5"/>
    <x v="3"/>
    <n v="7"/>
    <n v="6258"/>
    <n v="1347.74"/>
  </r>
  <r>
    <x v="240"/>
    <x v="0"/>
    <x v="0"/>
    <s v="United States"/>
    <x v="326"/>
    <x v="13"/>
    <x v="1"/>
    <n v="8"/>
    <n v="3816"/>
    <n v="574.57000000000005"/>
  </r>
  <r>
    <x v="16"/>
    <x v="5"/>
    <x v="2"/>
    <s v="United States"/>
    <x v="2"/>
    <x v="2"/>
    <x v="1"/>
    <n v="2"/>
    <n v="390"/>
    <n v="115.48"/>
  </r>
  <r>
    <x v="827"/>
    <x v="2"/>
    <x v="2"/>
    <s v="United States"/>
    <x v="9"/>
    <x v="8"/>
    <x v="3"/>
    <n v="7"/>
    <n v="630"/>
    <n v="83.28"/>
  </r>
  <r>
    <x v="156"/>
    <x v="7"/>
    <x v="2"/>
    <s v="United States"/>
    <x v="270"/>
    <x v="9"/>
    <x v="0"/>
    <n v="4"/>
    <n v="3868"/>
    <n v="819.26"/>
  </r>
  <r>
    <x v="128"/>
    <x v="6"/>
    <x v="1"/>
    <s v="United States"/>
    <x v="6"/>
    <x v="5"/>
    <x v="3"/>
    <n v="1"/>
    <n v="777"/>
    <n v="211.31"/>
  </r>
  <r>
    <x v="828"/>
    <x v="6"/>
    <x v="1"/>
    <s v="United States"/>
    <x v="61"/>
    <x v="25"/>
    <x v="0"/>
    <n v="3"/>
    <n v="1347"/>
    <n v="196.59"/>
  </r>
  <r>
    <x v="97"/>
    <x v="9"/>
    <x v="2"/>
    <s v="United States"/>
    <x v="61"/>
    <x v="25"/>
    <x v="0"/>
    <n v="9"/>
    <n v="7272"/>
    <n v="500.32"/>
  </r>
  <r>
    <x v="505"/>
    <x v="0"/>
    <x v="0"/>
    <s v="United States"/>
    <x v="2"/>
    <x v="2"/>
    <x v="1"/>
    <n v="6"/>
    <n v="5724"/>
    <n v="857.33"/>
  </r>
  <r>
    <x v="829"/>
    <x v="4"/>
    <x v="1"/>
    <s v="United States"/>
    <x v="13"/>
    <x v="7"/>
    <x v="2"/>
    <n v="3"/>
    <n v="312"/>
    <n v="74.8"/>
  </r>
  <r>
    <x v="698"/>
    <x v="9"/>
    <x v="2"/>
    <s v="United States"/>
    <x v="0"/>
    <x v="0"/>
    <x v="0"/>
    <n v="3"/>
    <n v="1947"/>
    <n v="239.63"/>
  </r>
  <r>
    <x v="6"/>
    <x v="2"/>
    <x v="2"/>
    <s v="United States"/>
    <x v="3"/>
    <x v="3"/>
    <x v="2"/>
    <n v="6"/>
    <n v="1128"/>
    <n v="207.97"/>
  </r>
  <r>
    <x v="617"/>
    <x v="9"/>
    <x v="2"/>
    <s v="United States"/>
    <x v="63"/>
    <x v="28"/>
    <x v="2"/>
    <n v="9"/>
    <n v="4158"/>
    <n v="672.32"/>
  </r>
  <r>
    <x v="562"/>
    <x v="8"/>
    <x v="1"/>
    <s v="United States"/>
    <x v="2"/>
    <x v="2"/>
    <x v="1"/>
    <n v="6"/>
    <n v="2670"/>
    <n v="782.28"/>
  </r>
  <r>
    <x v="678"/>
    <x v="4"/>
    <x v="1"/>
    <s v="United States"/>
    <x v="6"/>
    <x v="5"/>
    <x v="3"/>
    <n v="1"/>
    <n v="85"/>
    <n v="17.71"/>
  </r>
  <r>
    <x v="103"/>
    <x v="1"/>
    <x v="1"/>
    <s v="United States"/>
    <x v="327"/>
    <x v="2"/>
    <x v="1"/>
    <n v="8"/>
    <n v="4136"/>
    <n v="1056.54"/>
  </r>
  <r>
    <x v="829"/>
    <x v="2"/>
    <x v="2"/>
    <s v="United States"/>
    <x v="327"/>
    <x v="2"/>
    <x v="1"/>
    <n v="6"/>
    <n v="4332"/>
    <n v="348.61"/>
  </r>
  <r>
    <x v="827"/>
    <x v="6"/>
    <x v="1"/>
    <s v="United States"/>
    <x v="29"/>
    <x v="15"/>
    <x v="2"/>
    <n v="8"/>
    <n v="1600"/>
    <n v="305.3"/>
  </r>
  <r>
    <x v="780"/>
    <x v="2"/>
    <x v="2"/>
    <s v="United States"/>
    <x v="68"/>
    <x v="15"/>
    <x v="2"/>
    <n v="7"/>
    <n v="5075"/>
    <n v="471.21"/>
  </r>
  <r>
    <x v="830"/>
    <x v="2"/>
    <x v="2"/>
    <s v="United States"/>
    <x v="195"/>
    <x v="36"/>
    <x v="1"/>
    <n v="6"/>
    <n v="4152"/>
    <n v="1065.46"/>
  </r>
  <r>
    <x v="728"/>
    <x v="0"/>
    <x v="0"/>
    <s v="United States"/>
    <x v="28"/>
    <x v="2"/>
    <x v="1"/>
    <n v="7"/>
    <n v="5635"/>
    <n v="1665.01"/>
  </r>
  <r>
    <x v="615"/>
    <x v="5"/>
    <x v="2"/>
    <s v="United States"/>
    <x v="328"/>
    <x v="12"/>
    <x v="1"/>
    <n v="3"/>
    <n v="3108"/>
    <n v="220.97"/>
  </r>
  <r>
    <x v="781"/>
    <x v="5"/>
    <x v="2"/>
    <s v="United States"/>
    <x v="328"/>
    <x v="12"/>
    <x v="1"/>
    <n v="7"/>
    <n v="4270"/>
    <n v="1197.44"/>
  </r>
  <r>
    <x v="831"/>
    <x v="6"/>
    <x v="1"/>
    <s v="United States"/>
    <x v="329"/>
    <x v="30"/>
    <x v="0"/>
    <n v="5"/>
    <n v="1350"/>
    <n v="321.89999999999998"/>
  </r>
  <r>
    <x v="588"/>
    <x v="8"/>
    <x v="1"/>
    <s v="United States"/>
    <x v="329"/>
    <x v="30"/>
    <x v="0"/>
    <n v="3"/>
    <n v="330"/>
    <n v="81.86"/>
  </r>
  <r>
    <x v="679"/>
    <x v="3"/>
    <x v="2"/>
    <s v="United States"/>
    <x v="6"/>
    <x v="5"/>
    <x v="3"/>
    <n v="6"/>
    <n v="4260"/>
    <n v="504.82"/>
  </r>
  <r>
    <x v="462"/>
    <x v="4"/>
    <x v="1"/>
    <s v="United States"/>
    <x v="22"/>
    <x v="12"/>
    <x v="1"/>
    <n v="3"/>
    <n v="2712"/>
    <n v="751.52"/>
  </r>
  <r>
    <x v="38"/>
    <x v="7"/>
    <x v="2"/>
    <s v="United States"/>
    <x v="22"/>
    <x v="12"/>
    <x v="1"/>
    <n v="1"/>
    <n v="328"/>
    <n v="46.23"/>
  </r>
  <r>
    <x v="162"/>
    <x v="7"/>
    <x v="2"/>
    <s v="United States"/>
    <x v="22"/>
    <x v="12"/>
    <x v="1"/>
    <n v="8"/>
    <n v="7776"/>
    <n v="498.6"/>
  </r>
  <r>
    <x v="176"/>
    <x v="9"/>
    <x v="2"/>
    <s v="United States"/>
    <x v="6"/>
    <x v="5"/>
    <x v="3"/>
    <n v="4"/>
    <n v="2896"/>
    <n v="522.82000000000005"/>
  </r>
  <r>
    <x v="344"/>
    <x v="2"/>
    <x v="2"/>
    <s v="United States"/>
    <x v="3"/>
    <x v="3"/>
    <x v="2"/>
    <n v="2"/>
    <n v="1902"/>
    <n v="388.83"/>
  </r>
  <r>
    <x v="196"/>
    <x v="5"/>
    <x v="2"/>
    <s v="United States"/>
    <x v="62"/>
    <x v="7"/>
    <x v="2"/>
    <n v="7"/>
    <n v="3255"/>
    <n v="814.85"/>
  </r>
  <r>
    <x v="520"/>
    <x v="8"/>
    <x v="1"/>
    <s v="United States"/>
    <x v="68"/>
    <x v="3"/>
    <x v="2"/>
    <n v="3"/>
    <n v="633"/>
    <n v="162.4"/>
  </r>
  <r>
    <x v="832"/>
    <x v="2"/>
    <x v="2"/>
    <s v="United States"/>
    <x v="9"/>
    <x v="8"/>
    <x v="3"/>
    <n v="7"/>
    <n v="6209"/>
    <n v="402.78"/>
  </r>
  <r>
    <x v="175"/>
    <x v="5"/>
    <x v="2"/>
    <s v="United States"/>
    <x v="15"/>
    <x v="13"/>
    <x v="1"/>
    <n v="9"/>
    <n v="4698"/>
    <n v="1167.9000000000001"/>
  </r>
  <r>
    <x v="325"/>
    <x v="7"/>
    <x v="2"/>
    <s v="United States"/>
    <x v="15"/>
    <x v="13"/>
    <x v="1"/>
    <n v="8"/>
    <n v="7424"/>
    <n v="1878.07"/>
  </r>
  <r>
    <x v="833"/>
    <x v="0"/>
    <x v="0"/>
    <s v="United States"/>
    <x v="330"/>
    <x v="25"/>
    <x v="0"/>
    <n v="1"/>
    <n v="498"/>
    <n v="58.3"/>
  </r>
  <r>
    <x v="614"/>
    <x v="4"/>
    <x v="1"/>
    <s v="United States"/>
    <x v="70"/>
    <x v="27"/>
    <x v="3"/>
    <n v="1"/>
    <n v="111"/>
    <n v="27.91"/>
  </r>
  <r>
    <x v="641"/>
    <x v="9"/>
    <x v="2"/>
    <s v="United States"/>
    <x v="13"/>
    <x v="7"/>
    <x v="2"/>
    <n v="8"/>
    <n v="7520"/>
    <n v="1201.4000000000001"/>
  </r>
  <r>
    <x v="70"/>
    <x v="3"/>
    <x v="2"/>
    <s v="United States"/>
    <x v="18"/>
    <x v="2"/>
    <x v="1"/>
    <n v="1"/>
    <n v="182"/>
    <n v="30.97"/>
  </r>
  <r>
    <x v="337"/>
    <x v="1"/>
    <x v="1"/>
    <s v="United States"/>
    <x v="3"/>
    <x v="3"/>
    <x v="2"/>
    <n v="5"/>
    <n v="5890"/>
    <n v="309"/>
  </r>
  <r>
    <x v="426"/>
    <x v="9"/>
    <x v="2"/>
    <s v="United States"/>
    <x v="3"/>
    <x v="3"/>
    <x v="2"/>
    <n v="4"/>
    <n v="3244"/>
    <n v="357.55"/>
  </r>
  <r>
    <x v="395"/>
    <x v="7"/>
    <x v="2"/>
    <s v="United States"/>
    <x v="3"/>
    <x v="3"/>
    <x v="2"/>
    <n v="7"/>
    <n v="5229"/>
    <n v="1058.26"/>
  </r>
  <r>
    <x v="834"/>
    <x v="5"/>
    <x v="2"/>
    <s v="United States"/>
    <x v="9"/>
    <x v="8"/>
    <x v="3"/>
    <n v="9"/>
    <n v="5202"/>
    <n v="1271.47"/>
  </r>
  <r>
    <x v="532"/>
    <x v="8"/>
    <x v="1"/>
    <s v="United States"/>
    <x v="9"/>
    <x v="8"/>
    <x v="3"/>
    <n v="3"/>
    <n v="438"/>
    <n v="67.430000000000007"/>
  </r>
  <r>
    <x v="835"/>
    <x v="8"/>
    <x v="1"/>
    <s v="United States"/>
    <x v="13"/>
    <x v="7"/>
    <x v="2"/>
    <n v="6"/>
    <n v="6900"/>
    <n v="1109.73"/>
  </r>
  <r>
    <x v="37"/>
    <x v="2"/>
    <x v="2"/>
    <s v="United States"/>
    <x v="2"/>
    <x v="2"/>
    <x v="1"/>
    <n v="3"/>
    <n v="369"/>
    <n v="36.07"/>
  </r>
  <r>
    <x v="607"/>
    <x v="9"/>
    <x v="2"/>
    <s v="United States"/>
    <x v="2"/>
    <x v="2"/>
    <x v="1"/>
    <n v="4"/>
    <n v="4140"/>
    <n v="1229.8499999999999"/>
  </r>
  <r>
    <x v="631"/>
    <x v="0"/>
    <x v="0"/>
    <s v="United States"/>
    <x v="25"/>
    <x v="17"/>
    <x v="3"/>
    <n v="3"/>
    <n v="1086"/>
    <n v="188.65"/>
  </r>
  <r>
    <x v="267"/>
    <x v="1"/>
    <x v="1"/>
    <s v="United States"/>
    <x v="193"/>
    <x v="5"/>
    <x v="3"/>
    <n v="2"/>
    <n v="2134"/>
    <n v="269.52999999999997"/>
  </r>
  <r>
    <x v="467"/>
    <x v="9"/>
    <x v="2"/>
    <s v="United States"/>
    <x v="74"/>
    <x v="0"/>
    <x v="0"/>
    <n v="6"/>
    <n v="5310"/>
    <n v="637.80999999999995"/>
  </r>
  <r>
    <x v="500"/>
    <x v="4"/>
    <x v="1"/>
    <s v="United States"/>
    <x v="74"/>
    <x v="0"/>
    <x v="0"/>
    <n v="6"/>
    <n v="2748"/>
    <n v="682.8"/>
  </r>
  <r>
    <x v="314"/>
    <x v="0"/>
    <x v="0"/>
    <s v="United States"/>
    <x v="74"/>
    <x v="0"/>
    <x v="0"/>
    <n v="9"/>
    <n v="3357"/>
    <n v="405.61"/>
  </r>
  <r>
    <x v="438"/>
    <x v="5"/>
    <x v="2"/>
    <s v="United States"/>
    <x v="19"/>
    <x v="14"/>
    <x v="2"/>
    <n v="9"/>
    <n v="10206"/>
    <n v="592.77"/>
  </r>
  <r>
    <x v="836"/>
    <x v="7"/>
    <x v="2"/>
    <s v="United States"/>
    <x v="2"/>
    <x v="2"/>
    <x v="1"/>
    <n v="6"/>
    <n v="2970"/>
    <n v="425.9"/>
  </r>
  <r>
    <x v="531"/>
    <x v="1"/>
    <x v="1"/>
    <s v="United States"/>
    <x v="28"/>
    <x v="2"/>
    <x v="1"/>
    <n v="4"/>
    <n v="1208"/>
    <n v="351.47"/>
  </r>
  <r>
    <x v="534"/>
    <x v="5"/>
    <x v="2"/>
    <s v="United States"/>
    <x v="149"/>
    <x v="15"/>
    <x v="2"/>
    <n v="3"/>
    <n v="945"/>
    <n v="135.59"/>
  </r>
  <r>
    <x v="837"/>
    <x v="6"/>
    <x v="1"/>
    <s v="United States"/>
    <x v="205"/>
    <x v="34"/>
    <x v="1"/>
    <n v="8"/>
    <n v="7040"/>
    <n v="996.02"/>
  </r>
  <r>
    <x v="424"/>
    <x v="7"/>
    <x v="2"/>
    <s v="United States"/>
    <x v="2"/>
    <x v="2"/>
    <x v="1"/>
    <n v="4"/>
    <n v="3684"/>
    <n v="1009.1"/>
  </r>
  <r>
    <x v="838"/>
    <x v="4"/>
    <x v="1"/>
    <s v="United States"/>
    <x v="156"/>
    <x v="5"/>
    <x v="3"/>
    <n v="2"/>
    <n v="1262"/>
    <n v="190.02"/>
  </r>
  <r>
    <x v="839"/>
    <x v="1"/>
    <x v="1"/>
    <s v="United States"/>
    <x v="331"/>
    <x v="35"/>
    <x v="0"/>
    <n v="3"/>
    <n v="3504"/>
    <n v="807.65"/>
  </r>
  <r>
    <x v="787"/>
    <x v="0"/>
    <x v="0"/>
    <s v="United States"/>
    <x v="114"/>
    <x v="20"/>
    <x v="2"/>
    <n v="6"/>
    <n v="4464"/>
    <n v="1122.3699999999999"/>
  </r>
  <r>
    <x v="491"/>
    <x v="9"/>
    <x v="2"/>
    <s v="United States"/>
    <x v="114"/>
    <x v="20"/>
    <x v="2"/>
    <n v="4"/>
    <n v="1324"/>
    <n v="227.2"/>
  </r>
  <r>
    <x v="466"/>
    <x v="3"/>
    <x v="2"/>
    <s v="United States"/>
    <x v="114"/>
    <x v="20"/>
    <x v="2"/>
    <n v="6"/>
    <n v="4140"/>
    <n v="451.27"/>
  </r>
  <r>
    <x v="840"/>
    <x v="1"/>
    <x v="1"/>
    <s v="United States"/>
    <x v="134"/>
    <x v="38"/>
    <x v="2"/>
    <n v="8"/>
    <n v="2384"/>
    <n v="120.28"/>
  </r>
  <r>
    <x v="658"/>
    <x v="9"/>
    <x v="2"/>
    <s v="United States"/>
    <x v="134"/>
    <x v="38"/>
    <x v="2"/>
    <n v="8"/>
    <n v="4624"/>
    <n v="1313.36"/>
  </r>
  <r>
    <x v="841"/>
    <x v="5"/>
    <x v="2"/>
    <s v="United States"/>
    <x v="38"/>
    <x v="17"/>
    <x v="3"/>
    <n v="6"/>
    <n v="4812"/>
    <n v="662.54"/>
  </r>
  <r>
    <x v="842"/>
    <x v="2"/>
    <x v="2"/>
    <s v="United States"/>
    <x v="122"/>
    <x v="25"/>
    <x v="0"/>
    <n v="6"/>
    <n v="5640"/>
    <n v="856.44"/>
  </r>
  <r>
    <x v="482"/>
    <x v="5"/>
    <x v="2"/>
    <s v="United States"/>
    <x v="15"/>
    <x v="13"/>
    <x v="1"/>
    <n v="5"/>
    <n v="1840"/>
    <n v="307.08999999999997"/>
  </r>
  <r>
    <x v="252"/>
    <x v="8"/>
    <x v="1"/>
    <s v="United States"/>
    <x v="37"/>
    <x v="20"/>
    <x v="2"/>
    <n v="7"/>
    <n v="8071"/>
    <n v="435.51"/>
  </r>
  <r>
    <x v="757"/>
    <x v="8"/>
    <x v="1"/>
    <s v="United States"/>
    <x v="25"/>
    <x v="17"/>
    <x v="3"/>
    <n v="3"/>
    <n v="2400"/>
    <n v="297.07"/>
  </r>
  <r>
    <x v="336"/>
    <x v="5"/>
    <x v="2"/>
    <s v="United States"/>
    <x v="160"/>
    <x v="30"/>
    <x v="0"/>
    <n v="6"/>
    <n v="3570"/>
    <n v="265.62"/>
  </r>
  <r>
    <x v="743"/>
    <x v="9"/>
    <x v="2"/>
    <s v="United States"/>
    <x v="198"/>
    <x v="5"/>
    <x v="3"/>
    <n v="3"/>
    <n v="1758"/>
    <n v="245.92"/>
  </r>
  <r>
    <x v="665"/>
    <x v="6"/>
    <x v="1"/>
    <s v="United States"/>
    <x v="15"/>
    <x v="13"/>
    <x v="1"/>
    <n v="4"/>
    <n v="3072"/>
    <n v="394.2"/>
  </r>
  <r>
    <x v="173"/>
    <x v="1"/>
    <x v="1"/>
    <s v="United States"/>
    <x v="58"/>
    <x v="25"/>
    <x v="0"/>
    <n v="5"/>
    <n v="2185"/>
    <n v="136.1"/>
  </r>
  <r>
    <x v="268"/>
    <x v="7"/>
    <x v="2"/>
    <s v="United States"/>
    <x v="51"/>
    <x v="30"/>
    <x v="0"/>
    <n v="8"/>
    <n v="7664"/>
    <n v="1251.6500000000001"/>
  </r>
  <r>
    <x v="732"/>
    <x v="4"/>
    <x v="1"/>
    <s v="United States"/>
    <x v="252"/>
    <x v="7"/>
    <x v="2"/>
    <n v="5"/>
    <n v="1710"/>
    <n v="338.1"/>
  </r>
  <r>
    <x v="571"/>
    <x v="0"/>
    <x v="0"/>
    <s v="United States"/>
    <x v="11"/>
    <x v="32"/>
    <x v="2"/>
    <n v="2"/>
    <n v="1878"/>
    <n v="386.28"/>
  </r>
  <r>
    <x v="843"/>
    <x v="2"/>
    <x v="2"/>
    <s v="United States"/>
    <x v="127"/>
    <x v="30"/>
    <x v="0"/>
    <n v="1"/>
    <n v="569"/>
    <n v="141.33000000000001"/>
  </r>
  <r>
    <x v="246"/>
    <x v="5"/>
    <x v="2"/>
    <s v="United States"/>
    <x v="9"/>
    <x v="8"/>
    <x v="3"/>
    <n v="3"/>
    <n v="1488"/>
    <n v="296.36"/>
  </r>
  <r>
    <x v="341"/>
    <x v="1"/>
    <x v="1"/>
    <s v="United States"/>
    <x v="13"/>
    <x v="7"/>
    <x v="2"/>
    <n v="9"/>
    <n v="9918"/>
    <n v="1956.17"/>
  </r>
  <r>
    <x v="768"/>
    <x v="5"/>
    <x v="2"/>
    <s v="United States"/>
    <x v="99"/>
    <x v="2"/>
    <x v="1"/>
    <n v="3"/>
    <n v="432"/>
    <n v="36.840000000000003"/>
  </r>
  <r>
    <x v="796"/>
    <x v="2"/>
    <x v="2"/>
    <s v="United States"/>
    <x v="218"/>
    <x v="32"/>
    <x v="2"/>
    <n v="9"/>
    <n v="9828"/>
    <n v="1300.68"/>
  </r>
  <r>
    <x v="66"/>
    <x v="5"/>
    <x v="2"/>
    <s v="United States"/>
    <x v="218"/>
    <x v="32"/>
    <x v="2"/>
    <n v="5"/>
    <n v="3625"/>
    <n v="245.52"/>
  </r>
  <r>
    <x v="190"/>
    <x v="5"/>
    <x v="2"/>
    <s v="United States"/>
    <x v="2"/>
    <x v="2"/>
    <x v="1"/>
    <n v="3"/>
    <n v="2187"/>
    <n v="491.13"/>
  </r>
  <r>
    <x v="126"/>
    <x v="6"/>
    <x v="1"/>
    <s v="United States"/>
    <x v="2"/>
    <x v="2"/>
    <x v="1"/>
    <n v="5"/>
    <n v="5105"/>
    <n v="1003.4"/>
  </r>
  <r>
    <x v="677"/>
    <x v="4"/>
    <x v="1"/>
    <s v="United States"/>
    <x v="248"/>
    <x v="7"/>
    <x v="2"/>
    <n v="3"/>
    <n v="1392"/>
    <n v="345.78"/>
  </r>
  <r>
    <x v="256"/>
    <x v="7"/>
    <x v="2"/>
    <s v="United States"/>
    <x v="53"/>
    <x v="2"/>
    <x v="1"/>
    <n v="2"/>
    <n v="744"/>
    <n v="110.81"/>
  </r>
  <r>
    <x v="844"/>
    <x v="5"/>
    <x v="2"/>
    <s v="United States"/>
    <x v="2"/>
    <x v="2"/>
    <x v="1"/>
    <n v="4"/>
    <n v="1724"/>
    <n v="233.21"/>
  </r>
  <r>
    <x v="845"/>
    <x v="1"/>
    <x v="1"/>
    <s v="United States"/>
    <x v="15"/>
    <x v="13"/>
    <x v="1"/>
    <n v="5"/>
    <n v="1940"/>
    <n v="423.17"/>
  </r>
  <r>
    <x v="846"/>
    <x v="1"/>
    <x v="1"/>
    <s v="United States"/>
    <x v="67"/>
    <x v="26"/>
    <x v="3"/>
    <n v="4"/>
    <n v="356"/>
    <n v="59.15"/>
  </r>
  <r>
    <x v="251"/>
    <x v="6"/>
    <x v="1"/>
    <s v="United States"/>
    <x v="191"/>
    <x v="5"/>
    <x v="3"/>
    <n v="5"/>
    <n v="1095"/>
    <n v="269.87"/>
  </r>
  <r>
    <x v="847"/>
    <x v="2"/>
    <x v="2"/>
    <s v="United States"/>
    <x v="6"/>
    <x v="5"/>
    <x v="3"/>
    <n v="8"/>
    <n v="4064"/>
    <n v="543.9"/>
  </r>
  <r>
    <x v="211"/>
    <x v="5"/>
    <x v="2"/>
    <s v="United States"/>
    <x v="81"/>
    <x v="22"/>
    <x v="1"/>
    <n v="7"/>
    <n v="5453"/>
    <n v="1592.37"/>
  </r>
  <r>
    <x v="376"/>
    <x v="6"/>
    <x v="1"/>
    <s v="United States"/>
    <x v="81"/>
    <x v="22"/>
    <x v="1"/>
    <n v="8"/>
    <n v="7104"/>
    <n v="529.35"/>
  </r>
  <r>
    <x v="57"/>
    <x v="8"/>
    <x v="1"/>
    <s v="United States"/>
    <x v="284"/>
    <x v="2"/>
    <x v="1"/>
    <n v="9"/>
    <n v="2745"/>
    <n v="660.56"/>
  </r>
  <r>
    <x v="274"/>
    <x v="3"/>
    <x v="2"/>
    <s v="United States"/>
    <x v="14"/>
    <x v="8"/>
    <x v="3"/>
    <n v="5"/>
    <n v="1030"/>
    <n v="64.81"/>
  </r>
  <r>
    <x v="848"/>
    <x v="2"/>
    <x v="2"/>
    <s v="United States"/>
    <x v="3"/>
    <x v="3"/>
    <x v="2"/>
    <n v="9"/>
    <n v="8973"/>
    <n v="471.86"/>
  </r>
  <r>
    <x v="91"/>
    <x v="8"/>
    <x v="1"/>
    <s v="United States"/>
    <x v="332"/>
    <x v="12"/>
    <x v="1"/>
    <n v="2"/>
    <n v="794"/>
    <n v="128.5"/>
  </r>
  <r>
    <x v="119"/>
    <x v="0"/>
    <x v="0"/>
    <s v="United States"/>
    <x v="332"/>
    <x v="12"/>
    <x v="1"/>
    <n v="6"/>
    <n v="2142"/>
    <n v="476.19"/>
  </r>
  <r>
    <x v="533"/>
    <x v="4"/>
    <x v="1"/>
    <s v="United States"/>
    <x v="332"/>
    <x v="12"/>
    <x v="1"/>
    <n v="2"/>
    <n v="414"/>
    <n v="51.1"/>
  </r>
  <r>
    <x v="242"/>
    <x v="2"/>
    <x v="2"/>
    <s v="United States"/>
    <x v="160"/>
    <x v="31"/>
    <x v="0"/>
    <n v="3"/>
    <n v="1416"/>
    <n v="220.7"/>
  </r>
  <r>
    <x v="8"/>
    <x v="2"/>
    <x v="2"/>
    <s v="United States"/>
    <x v="10"/>
    <x v="9"/>
    <x v="0"/>
    <n v="3"/>
    <n v="2103"/>
    <n v="541.35"/>
  </r>
  <r>
    <x v="295"/>
    <x v="3"/>
    <x v="2"/>
    <s v="United States"/>
    <x v="10"/>
    <x v="9"/>
    <x v="0"/>
    <n v="3"/>
    <n v="861"/>
    <n v="173.49"/>
  </r>
  <r>
    <x v="849"/>
    <x v="4"/>
    <x v="1"/>
    <s v="United States"/>
    <x v="333"/>
    <x v="2"/>
    <x v="1"/>
    <n v="3"/>
    <n v="2367"/>
    <n v="222.26"/>
  </r>
  <r>
    <x v="283"/>
    <x v="2"/>
    <x v="2"/>
    <s v="United States"/>
    <x v="333"/>
    <x v="2"/>
    <x v="1"/>
    <n v="5"/>
    <n v="2435"/>
    <n v="688.82"/>
  </r>
  <r>
    <x v="344"/>
    <x v="0"/>
    <x v="0"/>
    <s v="United States"/>
    <x v="317"/>
    <x v="8"/>
    <x v="3"/>
    <n v="4"/>
    <n v="2456"/>
    <n v="163.61000000000001"/>
  </r>
  <r>
    <x v="336"/>
    <x v="9"/>
    <x v="2"/>
    <s v="United States"/>
    <x v="3"/>
    <x v="3"/>
    <x v="2"/>
    <n v="4"/>
    <n v="3216"/>
    <n v="962.49"/>
  </r>
  <r>
    <x v="619"/>
    <x v="5"/>
    <x v="2"/>
    <s v="United States"/>
    <x v="13"/>
    <x v="7"/>
    <x v="2"/>
    <n v="4"/>
    <n v="4324"/>
    <n v="833.11"/>
  </r>
  <r>
    <x v="850"/>
    <x v="1"/>
    <x v="1"/>
    <s v="United States"/>
    <x v="144"/>
    <x v="5"/>
    <x v="3"/>
    <n v="4"/>
    <n v="2628"/>
    <n v="727.87"/>
  </r>
  <r>
    <x v="212"/>
    <x v="8"/>
    <x v="1"/>
    <s v="United States"/>
    <x v="295"/>
    <x v="36"/>
    <x v="1"/>
    <n v="8"/>
    <n v="8992"/>
    <n v="2018.64"/>
  </r>
  <r>
    <x v="751"/>
    <x v="9"/>
    <x v="2"/>
    <s v="United States"/>
    <x v="53"/>
    <x v="2"/>
    <x v="1"/>
    <n v="6"/>
    <n v="360"/>
    <n v="22.16"/>
  </r>
  <r>
    <x v="530"/>
    <x v="2"/>
    <x v="2"/>
    <s v="United States"/>
    <x v="116"/>
    <x v="5"/>
    <x v="3"/>
    <n v="3"/>
    <n v="2067"/>
    <n v="479.39"/>
  </r>
  <r>
    <x v="353"/>
    <x v="1"/>
    <x v="1"/>
    <s v="United States"/>
    <x v="116"/>
    <x v="5"/>
    <x v="3"/>
    <n v="9"/>
    <n v="3573"/>
    <n v="550.44000000000005"/>
  </r>
  <r>
    <x v="625"/>
    <x v="9"/>
    <x v="2"/>
    <s v="United States"/>
    <x v="297"/>
    <x v="2"/>
    <x v="1"/>
    <n v="8"/>
    <n v="1800"/>
    <n v="142.86000000000001"/>
  </r>
  <r>
    <x v="687"/>
    <x v="0"/>
    <x v="0"/>
    <s v="United States"/>
    <x v="297"/>
    <x v="2"/>
    <x v="1"/>
    <n v="8"/>
    <n v="3912"/>
    <n v="334.1"/>
  </r>
  <r>
    <x v="474"/>
    <x v="4"/>
    <x v="1"/>
    <s v="United States"/>
    <x v="297"/>
    <x v="2"/>
    <x v="1"/>
    <n v="8"/>
    <n v="5640"/>
    <n v="747.26"/>
  </r>
  <r>
    <x v="851"/>
    <x v="2"/>
    <x v="2"/>
    <s v="United States"/>
    <x v="22"/>
    <x v="12"/>
    <x v="1"/>
    <n v="1"/>
    <n v="552"/>
    <n v="115.74"/>
  </r>
  <r>
    <x v="803"/>
    <x v="1"/>
    <x v="1"/>
    <s v="United States"/>
    <x v="22"/>
    <x v="12"/>
    <x v="1"/>
    <n v="7"/>
    <n v="1428"/>
    <n v="289.64999999999998"/>
  </r>
  <r>
    <x v="187"/>
    <x v="0"/>
    <x v="0"/>
    <s v="United States"/>
    <x v="3"/>
    <x v="3"/>
    <x v="2"/>
    <n v="1"/>
    <n v="349"/>
    <n v="42.05"/>
  </r>
  <r>
    <x v="822"/>
    <x v="2"/>
    <x v="2"/>
    <s v="United States"/>
    <x v="334"/>
    <x v="18"/>
    <x v="2"/>
    <n v="6"/>
    <n v="6402"/>
    <n v="1366.28"/>
  </r>
  <r>
    <x v="636"/>
    <x v="6"/>
    <x v="1"/>
    <s v="United States"/>
    <x v="14"/>
    <x v="12"/>
    <x v="1"/>
    <n v="9"/>
    <n v="657"/>
    <n v="185.95"/>
  </r>
  <r>
    <x v="616"/>
    <x v="1"/>
    <x v="1"/>
    <s v="United States"/>
    <x v="53"/>
    <x v="2"/>
    <x v="1"/>
    <n v="7"/>
    <n v="5327"/>
    <n v="950.7"/>
  </r>
  <r>
    <x v="739"/>
    <x v="8"/>
    <x v="1"/>
    <s v="United States"/>
    <x v="15"/>
    <x v="13"/>
    <x v="1"/>
    <n v="4"/>
    <n v="4196"/>
    <n v="1152.45"/>
  </r>
  <r>
    <x v="609"/>
    <x v="9"/>
    <x v="2"/>
    <s v="United States"/>
    <x v="172"/>
    <x v="20"/>
    <x v="2"/>
    <n v="4"/>
    <n v="2892"/>
    <n v="863.47"/>
  </r>
  <r>
    <x v="852"/>
    <x v="9"/>
    <x v="2"/>
    <s v="United States"/>
    <x v="172"/>
    <x v="20"/>
    <x v="2"/>
    <n v="9"/>
    <n v="2772"/>
    <n v="432.77"/>
  </r>
  <r>
    <x v="164"/>
    <x v="5"/>
    <x v="2"/>
    <s v="United States"/>
    <x v="258"/>
    <x v="37"/>
    <x v="3"/>
    <n v="6"/>
    <n v="4692"/>
    <n v="1044.97"/>
  </r>
  <r>
    <x v="847"/>
    <x v="1"/>
    <x v="1"/>
    <s v="United States"/>
    <x v="13"/>
    <x v="7"/>
    <x v="2"/>
    <n v="6"/>
    <n v="2742"/>
    <n v="334.48"/>
  </r>
  <r>
    <x v="283"/>
    <x v="7"/>
    <x v="2"/>
    <s v="United States"/>
    <x v="68"/>
    <x v="15"/>
    <x v="2"/>
    <n v="8"/>
    <n v="8896"/>
    <n v="1154.96"/>
  </r>
  <r>
    <x v="853"/>
    <x v="1"/>
    <x v="1"/>
    <s v="United States"/>
    <x v="144"/>
    <x v="5"/>
    <x v="3"/>
    <n v="2"/>
    <n v="2344"/>
    <n v="385.19"/>
  </r>
  <r>
    <x v="833"/>
    <x v="4"/>
    <x v="1"/>
    <s v="United States"/>
    <x v="13"/>
    <x v="7"/>
    <x v="2"/>
    <n v="7"/>
    <n v="4186"/>
    <n v="655.53"/>
  </r>
  <r>
    <x v="583"/>
    <x v="2"/>
    <x v="2"/>
    <s v="United States"/>
    <x v="45"/>
    <x v="5"/>
    <x v="3"/>
    <n v="9"/>
    <n v="5238"/>
    <n v="1152.42"/>
  </r>
  <r>
    <x v="199"/>
    <x v="1"/>
    <x v="1"/>
    <s v="United States"/>
    <x v="6"/>
    <x v="5"/>
    <x v="3"/>
    <n v="3"/>
    <n v="2982"/>
    <n v="452.22"/>
  </r>
  <r>
    <x v="146"/>
    <x v="5"/>
    <x v="2"/>
    <s v="United States"/>
    <x v="2"/>
    <x v="2"/>
    <x v="1"/>
    <n v="4"/>
    <n v="2580"/>
    <n v="602.5"/>
  </r>
  <r>
    <x v="607"/>
    <x v="8"/>
    <x v="1"/>
    <s v="United States"/>
    <x v="15"/>
    <x v="13"/>
    <x v="1"/>
    <n v="5"/>
    <n v="2675"/>
    <n v="671.6"/>
  </r>
  <r>
    <x v="539"/>
    <x v="0"/>
    <x v="0"/>
    <s v="United States"/>
    <x v="335"/>
    <x v="20"/>
    <x v="2"/>
    <n v="4"/>
    <n v="2396"/>
    <n v="608.5"/>
  </r>
  <r>
    <x v="58"/>
    <x v="9"/>
    <x v="2"/>
    <s v="United States"/>
    <x v="3"/>
    <x v="3"/>
    <x v="2"/>
    <n v="5"/>
    <n v="1600"/>
    <n v="242.25"/>
  </r>
  <r>
    <x v="735"/>
    <x v="5"/>
    <x v="2"/>
    <s v="United States"/>
    <x v="2"/>
    <x v="2"/>
    <x v="1"/>
    <n v="4"/>
    <n v="304"/>
    <n v="34.729999999999997"/>
  </r>
  <r>
    <x v="342"/>
    <x v="8"/>
    <x v="1"/>
    <s v="United States"/>
    <x v="2"/>
    <x v="2"/>
    <x v="1"/>
    <n v="9"/>
    <n v="2070"/>
    <n v="457.39"/>
  </r>
  <r>
    <x v="854"/>
    <x v="0"/>
    <x v="0"/>
    <s v="United States"/>
    <x v="28"/>
    <x v="2"/>
    <x v="1"/>
    <n v="5"/>
    <n v="1230"/>
    <n v="158.22999999999999"/>
  </r>
  <r>
    <x v="377"/>
    <x v="3"/>
    <x v="2"/>
    <s v="United States"/>
    <x v="156"/>
    <x v="5"/>
    <x v="3"/>
    <n v="6"/>
    <n v="6234"/>
    <n v="758.78"/>
  </r>
  <r>
    <x v="739"/>
    <x v="4"/>
    <x v="1"/>
    <s v="United States"/>
    <x v="156"/>
    <x v="5"/>
    <x v="3"/>
    <n v="2"/>
    <n v="396"/>
    <n v="46.33"/>
  </r>
  <r>
    <x v="191"/>
    <x v="1"/>
    <x v="1"/>
    <s v="United States"/>
    <x v="336"/>
    <x v="24"/>
    <x v="0"/>
    <n v="9"/>
    <n v="2349"/>
    <n v="244.18"/>
  </r>
  <r>
    <x v="160"/>
    <x v="4"/>
    <x v="1"/>
    <s v="United States"/>
    <x v="58"/>
    <x v="25"/>
    <x v="0"/>
    <n v="9"/>
    <n v="5949"/>
    <n v="626.91999999999996"/>
  </r>
  <r>
    <x v="147"/>
    <x v="0"/>
    <x v="0"/>
    <s v="United States"/>
    <x v="15"/>
    <x v="13"/>
    <x v="1"/>
    <n v="7"/>
    <n v="5957"/>
    <n v="1433.85"/>
  </r>
  <r>
    <x v="436"/>
    <x v="4"/>
    <x v="1"/>
    <s v="United States"/>
    <x v="6"/>
    <x v="5"/>
    <x v="3"/>
    <n v="3"/>
    <n v="1989"/>
    <n v="299.79000000000002"/>
  </r>
  <r>
    <x v="422"/>
    <x v="1"/>
    <x v="1"/>
    <s v="United States"/>
    <x v="3"/>
    <x v="3"/>
    <x v="2"/>
    <n v="1"/>
    <n v="1138"/>
    <n v="243.36"/>
  </r>
  <r>
    <x v="102"/>
    <x v="2"/>
    <x v="2"/>
    <s v="United States"/>
    <x v="9"/>
    <x v="8"/>
    <x v="3"/>
    <n v="9"/>
    <n v="3321"/>
    <n v="689.64"/>
  </r>
  <r>
    <x v="855"/>
    <x v="3"/>
    <x v="2"/>
    <s v="United States"/>
    <x v="147"/>
    <x v="5"/>
    <x v="3"/>
    <n v="4"/>
    <n v="4480"/>
    <n v="592.82000000000005"/>
  </r>
  <r>
    <x v="835"/>
    <x v="5"/>
    <x v="2"/>
    <s v="United States"/>
    <x v="147"/>
    <x v="5"/>
    <x v="3"/>
    <n v="3"/>
    <n v="1533"/>
    <n v="440.88"/>
  </r>
  <r>
    <x v="392"/>
    <x v="1"/>
    <x v="1"/>
    <s v="United States"/>
    <x v="2"/>
    <x v="2"/>
    <x v="1"/>
    <n v="1"/>
    <n v="109"/>
    <n v="10.35"/>
  </r>
  <r>
    <x v="263"/>
    <x v="7"/>
    <x v="2"/>
    <s v="United States"/>
    <x v="9"/>
    <x v="8"/>
    <x v="3"/>
    <n v="4"/>
    <n v="2380"/>
    <n v="594.86"/>
  </r>
  <r>
    <x v="326"/>
    <x v="0"/>
    <x v="0"/>
    <s v="United States"/>
    <x v="28"/>
    <x v="2"/>
    <x v="1"/>
    <n v="8"/>
    <n v="2592"/>
    <n v="432.37"/>
  </r>
  <r>
    <x v="856"/>
    <x v="9"/>
    <x v="2"/>
    <s v="United States"/>
    <x v="28"/>
    <x v="2"/>
    <x v="1"/>
    <n v="6"/>
    <n v="5112"/>
    <n v="1289.47"/>
  </r>
  <r>
    <x v="610"/>
    <x v="5"/>
    <x v="2"/>
    <s v="United States"/>
    <x v="337"/>
    <x v="2"/>
    <x v="1"/>
    <n v="8"/>
    <n v="9392"/>
    <n v="1753.08"/>
  </r>
  <r>
    <x v="257"/>
    <x v="9"/>
    <x v="2"/>
    <s v="United States"/>
    <x v="9"/>
    <x v="8"/>
    <x v="3"/>
    <n v="2"/>
    <n v="2386"/>
    <n v="381.83"/>
  </r>
  <r>
    <x v="353"/>
    <x v="5"/>
    <x v="2"/>
    <s v="United States"/>
    <x v="144"/>
    <x v="5"/>
    <x v="3"/>
    <n v="5"/>
    <n v="465"/>
    <n v="71.23"/>
  </r>
  <r>
    <x v="704"/>
    <x v="7"/>
    <x v="2"/>
    <s v="United States"/>
    <x v="49"/>
    <x v="1"/>
    <x v="0"/>
    <n v="2"/>
    <n v="604"/>
    <n v="102.52"/>
  </r>
  <r>
    <x v="186"/>
    <x v="5"/>
    <x v="2"/>
    <s v="United States"/>
    <x v="13"/>
    <x v="7"/>
    <x v="2"/>
    <n v="2"/>
    <n v="2216"/>
    <n v="650.27"/>
  </r>
  <r>
    <x v="68"/>
    <x v="1"/>
    <x v="1"/>
    <s v="United States"/>
    <x v="53"/>
    <x v="2"/>
    <x v="1"/>
    <n v="4"/>
    <n v="1168"/>
    <n v="220.22"/>
  </r>
  <r>
    <x v="833"/>
    <x v="6"/>
    <x v="1"/>
    <s v="United States"/>
    <x v="338"/>
    <x v="40"/>
    <x v="3"/>
    <n v="7"/>
    <n v="4088"/>
    <n v="230.43"/>
  </r>
  <r>
    <x v="857"/>
    <x v="8"/>
    <x v="1"/>
    <s v="United States"/>
    <x v="237"/>
    <x v="32"/>
    <x v="2"/>
    <n v="7"/>
    <n v="2597"/>
    <n v="152.09"/>
  </r>
  <r>
    <x v="858"/>
    <x v="5"/>
    <x v="2"/>
    <s v="United States"/>
    <x v="31"/>
    <x v="18"/>
    <x v="2"/>
    <n v="3"/>
    <n v="2151"/>
    <n v="322.02999999999997"/>
  </r>
  <r>
    <x v="303"/>
    <x v="9"/>
    <x v="2"/>
    <s v="United States"/>
    <x v="53"/>
    <x v="2"/>
    <x v="1"/>
    <n v="6"/>
    <n v="462"/>
    <n v="71.22"/>
  </r>
  <r>
    <x v="139"/>
    <x v="1"/>
    <x v="1"/>
    <s v="United States"/>
    <x v="53"/>
    <x v="2"/>
    <x v="1"/>
    <n v="7"/>
    <n v="5957"/>
    <n v="1077.8599999999999"/>
  </r>
  <r>
    <x v="841"/>
    <x v="7"/>
    <x v="2"/>
    <s v="United States"/>
    <x v="28"/>
    <x v="2"/>
    <x v="1"/>
    <n v="6"/>
    <n v="6978"/>
    <n v="2028.63"/>
  </r>
  <r>
    <x v="836"/>
    <x v="4"/>
    <x v="1"/>
    <s v="United States"/>
    <x v="15"/>
    <x v="13"/>
    <x v="1"/>
    <n v="1"/>
    <n v="282"/>
    <n v="72.5"/>
  </r>
  <r>
    <x v="64"/>
    <x v="3"/>
    <x v="2"/>
    <s v="United States"/>
    <x v="15"/>
    <x v="13"/>
    <x v="1"/>
    <n v="1"/>
    <n v="157"/>
    <n v="27.65"/>
  </r>
  <r>
    <x v="63"/>
    <x v="6"/>
    <x v="1"/>
    <s v="United States"/>
    <x v="76"/>
    <x v="36"/>
    <x v="1"/>
    <n v="8"/>
    <n v="3304"/>
    <n v="404.33"/>
  </r>
  <r>
    <x v="516"/>
    <x v="4"/>
    <x v="1"/>
    <s v="United States"/>
    <x v="3"/>
    <x v="3"/>
    <x v="2"/>
    <n v="3"/>
    <n v="3051"/>
    <n v="201.26"/>
  </r>
  <r>
    <x v="821"/>
    <x v="1"/>
    <x v="1"/>
    <s v="United States"/>
    <x v="9"/>
    <x v="8"/>
    <x v="3"/>
    <n v="9"/>
    <n v="8082"/>
    <n v="1783.55"/>
  </r>
  <r>
    <x v="859"/>
    <x v="9"/>
    <x v="2"/>
    <s v="United States"/>
    <x v="9"/>
    <x v="8"/>
    <x v="3"/>
    <n v="3"/>
    <n v="510"/>
    <n v="110.38"/>
  </r>
  <r>
    <x v="341"/>
    <x v="2"/>
    <x v="2"/>
    <s v="United States"/>
    <x v="9"/>
    <x v="8"/>
    <x v="3"/>
    <n v="8"/>
    <n v="3976"/>
    <n v="1170.3599999999999"/>
  </r>
  <r>
    <x v="262"/>
    <x v="7"/>
    <x v="2"/>
    <s v="United States"/>
    <x v="13"/>
    <x v="7"/>
    <x v="2"/>
    <n v="9"/>
    <n v="828"/>
    <n v="59.99"/>
  </r>
  <r>
    <x v="246"/>
    <x v="4"/>
    <x v="1"/>
    <s v="United States"/>
    <x v="339"/>
    <x v="30"/>
    <x v="0"/>
    <n v="7"/>
    <n v="2457"/>
    <n v="388.11"/>
  </r>
  <r>
    <x v="786"/>
    <x v="3"/>
    <x v="2"/>
    <s v="United States"/>
    <x v="13"/>
    <x v="7"/>
    <x v="2"/>
    <n v="4"/>
    <n v="3924"/>
    <n v="298.07"/>
  </r>
  <r>
    <x v="860"/>
    <x v="4"/>
    <x v="1"/>
    <s v="United States"/>
    <x v="13"/>
    <x v="7"/>
    <x v="2"/>
    <n v="2"/>
    <n v="2018"/>
    <n v="227.75"/>
  </r>
  <r>
    <x v="303"/>
    <x v="6"/>
    <x v="1"/>
    <s v="United States"/>
    <x v="340"/>
    <x v="1"/>
    <x v="0"/>
    <n v="3"/>
    <n v="2043"/>
    <n v="479.9"/>
  </r>
  <r>
    <x v="648"/>
    <x v="0"/>
    <x v="0"/>
    <s v="United States"/>
    <x v="144"/>
    <x v="5"/>
    <x v="3"/>
    <n v="5"/>
    <n v="1035"/>
    <n v="187.12"/>
  </r>
  <r>
    <x v="212"/>
    <x v="5"/>
    <x v="2"/>
    <s v="United States"/>
    <x v="144"/>
    <x v="5"/>
    <x v="3"/>
    <n v="6"/>
    <n v="2724"/>
    <n v="675.53"/>
  </r>
  <r>
    <x v="772"/>
    <x v="3"/>
    <x v="2"/>
    <s v="United States"/>
    <x v="8"/>
    <x v="7"/>
    <x v="2"/>
    <n v="1"/>
    <n v="1120"/>
    <n v="127.32"/>
  </r>
  <r>
    <x v="756"/>
    <x v="6"/>
    <x v="1"/>
    <s v="United States"/>
    <x v="244"/>
    <x v="24"/>
    <x v="0"/>
    <n v="6"/>
    <n v="3438"/>
    <n v="631.95000000000005"/>
  </r>
  <r>
    <x v="11"/>
    <x v="5"/>
    <x v="2"/>
    <s v="United States"/>
    <x v="51"/>
    <x v="1"/>
    <x v="0"/>
    <n v="5"/>
    <n v="3170"/>
    <n v="379.27"/>
  </r>
  <r>
    <x v="22"/>
    <x v="5"/>
    <x v="2"/>
    <s v="United States"/>
    <x v="51"/>
    <x v="1"/>
    <x v="0"/>
    <n v="4"/>
    <n v="660"/>
    <n v="83.96"/>
  </r>
  <r>
    <x v="861"/>
    <x v="2"/>
    <x v="2"/>
    <s v="United States"/>
    <x v="51"/>
    <x v="1"/>
    <x v="0"/>
    <n v="7"/>
    <n v="4669"/>
    <n v="1088.1500000000001"/>
  </r>
  <r>
    <x v="209"/>
    <x v="5"/>
    <x v="2"/>
    <s v="United States"/>
    <x v="28"/>
    <x v="2"/>
    <x v="1"/>
    <n v="5"/>
    <n v="1045"/>
    <n v="89"/>
  </r>
  <r>
    <x v="558"/>
    <x v="8"/>
    <x v="1"/>
    <s v="United States"/>
    <x v="9"/>
    <x v="8"/>
    <x v="3"/>
    <n v="4"/>
    <n v="2724"/>
    <n v="229.47"/>
  </r>
  <r>
    <x v="496"/>
    <x v="4"/>
    <x v="1"/>
    <s v="United States"/>
    <x v="14"/>
    <x v="8"/>
    <x v="3"/>
    <n v="8"/>
    <n v="5312"/>
    <n v="1583"/>
  </r>
  <r>
    <x v="862"/>
    <x v="2"/>
    <x v="2"/>
    <s v="United States"/>
    <x v="13"/>
    <x v="7"/>
    <x v="2"/>
    <n v="4"/>
    <n v="4252"/>
    <n v="445.18"/>
  </r>
  <r>
    <x v="62"/>
    <x v="0"/>
    <x v="0"/>
    <s v="United States"/>
    <x v="311"/>
    <x v="2"/>
    <x v="1"/>
    <n v="7"/>
    <n v="8057"/>
    <n v="1652.27"/>
  </r>
  <r>
    <x v="657"/>
    <x v="8"/>
    <x v="1"/>
    <s v="United States"/>
    <x v="51"/>
    <x v="30"/>
    <x v="0"/>
    <n v="7"/>
    <n v="2023"/>
    <n v="274.25"/>
  </r>
  <r>
    <x v="3"/>
    <x v="6"/>
    <x v="1"/>
    <s v="United States"/>
    <x v="317"/>
    <x v="8"/>
    <x v="3"/>
    <n v="8"/>
    <n v="9416"/>
    <n v="2125.54"/>
  </r>
  <r>
    <x v="412"/>
    <x v="6"/>
    <x v="1"/>
    <s v="United States"/>
    <x v="127"/>
    <x v="30"/>
    <x v="0"/>
    <n v="8"/>
    <n v="7560"/>
    <n v="494.34"/>
  </r>
  <r>
    <x v="690"/>
    <x v="6"/>
    <x v="1"/>
    <s v="United States"/>
    <x v="2"/>
    <x v="2"/>
    <x v="1"/>
    <n v="2"/>
    <n v="828"/>
    <n v="50.07"/>
  </r>
  <r>
    <x v="863"/>
    <x v="1"/>
    <x v="1"/>
    <s v="United States"/>
    <x v="175"/>
    <x v="2"/>
    <x v="1"/>
    <n v="1"/>
    <n v="527"/>
    <n v="27.45"/>
  </r>
  <r>
    <x v="37"/>
    <x v="8"/>
    <x v="1"/>
    <s v="United States"/>
    <x v="6"/>
    <x v="5"/>
    <x v="3"/>
    <n v="2"/>
    <n v="1160"/>
    <n v="206.49"/>
  </r>
  <r>
    <x v="540"/>
    <x v="1"/>
    <x v="1"/>
    <s v="United States"/>
    <x v="29"/>
    <x v="24"/>
    <x v="0"/>
    <n v="5"/>
    <n v="5430"/>
    <n v="310.86"/>
  </r>
  <r>
    <x v="864"/>
    <x v="2"/>
    <x v="2"/>
    <s v="United States"/>
    <x v="256"/>
    <x v="5"/>
    <x v="3"/>
    <n v="7"/>
    <n v="6874"/>
    <n v="454.53"/>
  </r>
  <r>
    <x v="865"/>
    <x v="0"/>
    <x v="0"/>
    <s v="United States"/>
    <x v="341"/>
    <x v="20"/>
    <x v="2"/>
    <n v="8"/>
    <n v="8952"/>
    <n v="1825.37"/>
  </r>
  <r>
    <x v="437"/>
    <x v="1"/>
    <x v="1"/>
    <s v="United States"/>
    <x v="170"/>
    <x v="2"/>
    <x v="1"/>
    <n v="8"/>
    <n v="416"/>
    <n v="67.81"/>
  </r>
  <r>
    <x v="249"/>
    <x v="7"/>
    <x v="2"/>
    <s v="United States"/>
    <x v="270"/>
    <x v="9"/>
    <x v="0"/>
    <n v="3"/>
    <n v="1680"/>
    <n v="140.27000000000001"/>
  </r>
  <r>
    <x v="866"/>
    <x v="1"/>
    <x v="1"/>
    <s v="United States"/>
    <x v="270"/>
    <x v="9"/>
    <x v="0"/>
    <n v="7"/>
    <n v="4340"/>
    <n v="383.9"/>
  </r>
  <r>
    <x v="714"/>
    <x v="9"/>
    <x v="2"/>
    <s v="United States"/>
    <x v="37"/>
    <x v="20"/>
    <x v="2"/>
    <n v="9"/>
    <n v="7650"/>
    <n v="2130.8200000000002"/>
  </r>
  <r>
    <x v="840"/>
    <x v="5"/>
    <x v="2"/>
    <s v="United States"/>
    <x v="37"/>
    <x v="20"/>
    <x v="2"/>
    <n v="8"/>
    <n v="6328"/>
    <n v="412.76"/>
  </r>
  <r>
    <x v="688"/>
    <x v="8"/>
    <x v="1"/>
    <s v="United States"/>
    <x v="37"/>
    <x v="20"/>
    <x v="2"/>
    <n v="2"/>
    <n v="1312"/>
    <n v="344"/>
  </r>
  <r>
    <x v="633"/>
    <x v="3"/>
    <x v="2"/>
    <s v="United States"/>
    <x v="3"/>
    <x v="3"/>
    <x v="2"/>
    <n v="9"/>
    <n v="8055"/>
    <n v="2300.17"/>
  </r>
  <r>
    <x v="120"/>
    <x v="3"/>
    <x v="2"/>
    <s v="United States"/>
    <x v="3"/>
    <x v="3"/>
    <x v="2"/>
    <n v="2"/>
    <n v="840"/>
    <n v="153.61000000000001"/>
  </r>
  <r>
    <x v="867"/>
    <x v="2"/>
    <x v="2"/>
    <s v="United States"/>
    <x v="342"/>
    <x v="24"/>
    <x v="0"/>
    <n v="9"/>
    <n v="9423"/>
    <n v="2794.89"/>
  </r>
  <r>
    <x v="80"/>
    <x v="6"/>
    <x v="1"/>
    <s v="United States"/>
    <x v="116"/>
    <x v="5"/>
    <x v="3"/>
    <n v="8"/>
    <n v="6520"/>
    <n v="1113.1199999999999"/>
  </r>
  <r>
    <x v="199"/>
    <x v="9"/>
    <x v="2"/>
    <s v="United States"/>
    <x v="2"/>
    <x v="2"/>
    <x v="1"/>
    <n v="3"/>
    <n v="1950"/>
    <n v="116.12"/>
  </r>
  <r>
    <x v="868"/>
    <x v="3"/>
    <x v="2"/>
    <s v="United States"/>
    <x v="99"/>
    <x v="2"/>
    <x v="1"/>
    <n v="6"/>
    <n v="5928"/>
    <n v="1177.2"/>
  </r>
  <r>
    <x v="587"/>
    <x v="3"/>
    <x v="2"/>
    <s v="United States"/>
    <x v="15"/>
    <x v="13"/>
    <x v="1"/>
    <n v="7"/>
    <n v="4809"/>
    <n v="1418.72"/>
  </r>
  <r>
    <x v="388"/>
    <x v="7"/>
    <x v="2"/>
    <s v="United States"/>
    <x v="6"/>
    <x v="5"/>
    <x v="3"/>
    <n v="4"/>
    <n v="356"/>
    <n v="23.4"/>
  </r>
  <r>
    <x v="869"/>
    <x v="9"/>
    <x v="2"/>
    <s v="United States"/>
    <x v="343"/>
    <x v="19"/>
    <x v="2"/>
    <n v="2"/>
    <n v="570"/>
    <n v="94.39"/>
  </r>
  <r>
    <x v="728"/>
    <x v="6"/>
    <x v="1"/>
    <s v="United States"/>
    <x v="20"/>
    <x v="20"/>
    <x v="2"/>
    <n v="7"/>
    <n v="7791"/>
    <n v="907.96"/>
  </r>
  <r>
    <x v="870"/>
    <x v="5"/>
    <x v="2"/>
    <s v="United States"/>
    <x v="20"/>
    <x v="20"/>
    <x v="2"/>
    <n v="4"/>
    <n v="4168"/>
    <n v="494.48"/>
  </r>
  <r>
    <x v="445"/>
    <x v="2"/>
    <x v="2"/>
    <s v="United States"/>
    <x v="76"/>
    <x v="15"/>
    <x v="2"/>
    <n v="2"/>
    <n v="684"/>
    <n v="183.85"/>
  </r>
  <r>
    <x v="638"/>
    <x v="7"/>
    <x v="2"/>
    <s v="United States"/>
    <x v="13"/>
    <x v="7"/>
    <x v="2"/>
    <n v="7"/>
    <n v="3857"/>
    <n v="447.99"/>
  </r>
  <r>
    <x v="189"/>
    <x v="3"/>
    <x v="2"/>
    <s v="United States"/>
    <x v="19"/>
    <x v="14"/>
    <x v="2"/>
    <n v="5"/>
    <n v="3250"/>
    <n v="699.99"/>
  </r>
  <r>
    <x v="871"/>
    <x v="0"/>
    <x v="0"/>
    <s v="United States"/>
    <x v="19"/>
    <x v="14"/>
    <x v="2"/>
    <n v="6"/>
    <n v="1194"/>
    <n v="79.62"/>
  </r>
  <r>
    <x v="344"/>
    <x v="9"/>
    <x v="2"/>
    <s v="United States"/>
    <x v="259"/>
    <x v="30"/>
    <x v="0"/>
    <n v="6"/>
    <n v="3486"/>
    <n v="320.91000000000003"/>
  </r>
  <r>
    <x v="87"/>
    <x v="6"/>
    <x v="1"/>
    <s v="United States"/>
    <x v="144"/>
    <x v="5"/>
    <x v="3"/>
    <n v="7"/>
    <n v="1554"/>
    <n v="370.97"/>
  </r>
  <r>
    <x v="292"/>
    <x v="5"/>
    <x v="2"/>
    <s v="United States"/>
    <x v="15"/>
    <x v="13"/>
    <x v="1"/>
    <n v="3"/>
    <n v="2601"/>
    <n v="463.36"/>
  </r>
  <r>
    <x v="872"/>
    <x v="4"/>
    <x v="1"/>
    <s v="United States"/>
    <x v="174"/>
    <x v="18"/>
    <x v="2"/>
    <n v="4"/>
    <n v="3616"/>
    <n v="745.75"/>
  </r>
  <r>
    <x v="73"/>
    <x v="1"/>
    <x v="1"/>
    <s v="United States"/>
    <x v="174"/>
    <x v="18"/>
    <x v="2"/>
    <n v="5"/>
    <n v="3350"/>
    <n v="986.33"/>
  </r>
  <r>
    <x v="119"/>
    <x v="5"/>
    <x v="2"/>
    <s v="United States"/>
    <x v="288"/>
    <x v="3"/>
    <x v="2"/>
    <n v="5"/>
    <n v="2545"/>
    <n v="588.47"/>
  </r>
  <r>
    <x v="873"/>
    <x v="6"/>
    <x v="1"/>
    <s v="United States"/>
    <x v="237"/>
    <x v="32"/>
    <x v="2"/>
    <n v="1"/>
    <n v="545"/>
    <n v="68.28"/>
  </r>
  <r>
    <x v="453"/>
    <x v="1"/>
    <x v="1"/>
    <s v="United States"/>
    <x v="177"/>
    <x v="5"/>
    <x v="3"/>
    <n v="7"/>
    <n v="1470"/>
    <n v="178.85"/>
  </r>
  <r>
    <x v="554"/>
    <x v="3"/>
    <x v="2"/>
    <s v="United States"/>
    <x v="236"/>
    <x v="38"/>
    <x v="2"/>
    <n v="3"/>
    <n v="3126"/>
    <n v="870.95"/>
  </r>
  <r>
    <x v="874"/>
    <x v="9"/>
    <x v="2"/>
    <s v="United States"/>
    <x v="236"/>
    <x v="38"/>
    <x v="2"/>
    <n v="3"/>
    <n v="1368"/>
    <n v="302.29000000000002"/>
  </r>
  <r>
    <x v="378"/>
    <x v="4"/>
    <x v="1"/>
    <s v="United States"/>
    <x v="236"/>
    <x v="38"/>
    <x v="2"/>
    <n v="9"/>
    <n v="7083"/>
    <n v="1353.39"/>
  </r>
  <r>
    <x v="551"/>
    <x v="0"/>
    <x v="0"/>
    <s v="United States"/>
    <x v="236"/>
    <x v="38"/>
    <x v="2"/>
    <n v="2"/>
    <n v="1994"/>
    <n v="453.74"/>
  </r>
  <r>
    <x v="52"/>
    <x v="3"/>
    <x v="2"/>
    <s v="United States"/>
    <x v="6"/>
    <x v="5"/>
    <x v="3"/>
    <n v="4"/>
    <n v="4716"/>
    <n v="1084.1600000000001"/>
  </r>
  <r>
    <x v="544"/>
    <x v="6"/>
    <x v="1"/>
    <s v="United States"/>
    <x v="6"/>
    <x v="5"/>
    <x v="3"/>
    <n v="1"/>
    <n v="975"/>
    <n v="125.85"/>
  </r>
  <r>
    <x v="364"/>
    <x v="7"/>
    <x v="2"/>
    <s v="United States"/>
    <x v="9"/>
    <x v="8"/>
    <x v="3"/>
    <n v="9"/>
    <n v="9891"/>
    <n v="1774.03"/>
  </r>
  <r>
    <x v="342"/>
    <x v="5"/>
    <x v="2"/>
    <s v="United States"/>
    <x v="344"/>
    <x v="6"/>
    <x v="3"/>
    <n v="2"/>
    <n v="626"/>
    <n v="159.49"/>
  </r>
  <r>
    <x v="849"/>
    <x v="6"/>
    <x v="1"/>
    <s v="United States"/>
    <x v="345"/>
    <x v="9"/>
    <x v="0"/>
    <n v="8"/>
    <n v="5632"/>
    <n v="1620.04"/>
  </r>
  <r>
    <x v="112"/>
    <x v="0"/>
    <x v="0"/>
    <s v="United States"/>
    <x v="345"/>
    <x v="9"/>
    <x v="0"/>
    <n v="3"/>
    <n v="2568"/>
    <n v="734.6"/>
  </r>
  <r>
    <x v="250"/>
    <x v="2"/>
    <x v="2"/>
    <s v="United States"/>
    <x v="15"/>
    <x v="13"/>
    <x v="1"/>
    <n v="7"/>
    <n v="5285"/>
    <n v="629.07000000000005"/>
  </r>
  <r>
    <x v="826"/>
    <x v="3"/>
    <x v="2"/>
    <s v="United States"/>
    <x v="58"/>
    <x v="25"/>
    <x v="0"/>
    <n v="2"/>
    <n v="516"/>
    <n v="122.77"/>
  </r>
  <r>
    <x v="169"/>
    <x v="6"/>
    <x v="1"/>
    <s v="United States"/>
    <x v="2"/>
    <x v="2"/>
    <x v="1"/>
    <n v="3"/>
    <n v="2139"/>
    <n v="503.08"/>
  </r>
  <r>
    <x v="875"/>
    <x v="9"/>
    <x v="2"/>
    <s v="United States"/>
    <x v="45"/>
    <x v="5"/>
    <x v="3"/>
    <n v="9"/>
    <n v="8136"/>
    <n v="1923.89"/>
  </r>
  <r>
    <x v="876"/>
    <x v="9"/>
    <x v="2"/>
    <s v="United States"/>
    <x v="6"/>
    <x v="5"/>
    <x v="3"/>
    <n v="5"/>
    <n v="2130"/>
    <n v="318.99"/>
  </r>
  <r>
    <x v="330"/>
    <x v="4"/>
    <x v="1"/>
    <s v="United States"/>
    <x v="346"/>
    <x v="5"/>
    <x v="3"/>
    <n v="5"/>
    <n v="3445"/>
    <n v="202.15"/>
  </r>
  <r>
    <x v="877"/>
    <x v="2"/>
    <x v="2"/>
    <s v="United States"/>
    <x v="309"/>
    <x v="18"/>
    <x v="2"/>
    <n v="8"/>
    <n v="5376"/>
    <n v="429.84"/>
  </r>
  <r>
    <x v="613"/>
    <x v="0"/>
    <x v="0"/>
    <s v="United States"/>
    <x v="309"/>
    <x v="18"/>
    <x v="2"/>
    <n v="6"/>
    <n v="3006"/>
    <n v="730.14"/>
  </r>
  <r>
    <x v="403"/>
    <x v="4"/>
    <x v="1"/>
    <s v="United States"/>
    <x v="309"/>
    <x v="18"/>
    <x v="2"/>
    <n v="7"/>
    <n v="3941"/>
    <n v="1113.8499999999999"/>
  </r>
  <r>
    <x v="563"/>
    <x v="6"/>
    <x v="1"/>
    <s v="United States"/>
    <x v="29"/>
    <x v="15"/>
    <x v="2"/>
    <n v="5"/>
    <n v="3350"/>
    <n v="389.95"/>
  </r>
  <r>
    <x v="387"/>
    <x v="0"/>
    <x v="0"/>
    <s v="United States"/>
    <x v="29"/>
    <x v="15"/>
    <x v="2"/>
    <n v="3"/>
    <n v="2019"/>
    <n v="265.44"/>
  </r>
  <r>
    <x v="317"/>
    <x v="4"/>
    <x v="1"/>
    <s v="United States"/>
    <x v="2"/>
    <x v="2"/>
    <x v="1"/>
    <n v="8"/>
    <n v="2416"/>
    <n v="403.38"/>
  </r>
  <r>
    <x v="728"/>
    <x v="6"/>
    <x v="1"/>
    <s v="United States"/>
    <x v="25"/>
    <x v="17"/>
    <x v="3"/>
    <n v="8"/>
    <n v="6160"/>
    <n v="684.71"/>
  </r>
  <r>
    <x v="709"/>
    <x v="0"/>
    <x v="0"/>
    <s v="United States"/>
    <x v="3"/>
    <x v="3"/>
    <x v="2"/>
    <n v="4"/>
    <n v="2796"/>
    <n v="682.65"/>
  </r>
  <r>
    <x v="221"/>
    <x v="5"/>
    <x v="2"/>
    <s v="United States"/>
    <x v="29"/>
    <x v="24"/>
    <x v="0"/>
    <n v="7"/>
    <n v="7700"/>
    <n v="1573.41"/>
  </r>
  <r>
    <x v="373"/>
    <x v="5"/>
    <x v="2"/>
    <s v="United States"/>
    <x v="29"/>
    <x v="24"/>
    <x v="0"/>
    <n v="5"/>
    <n v="2095"/>
    <n v="193.93"/>
  </r>
  <r>
    <x v="407"/>
    <x v="3"/>
    <x v="2"/>
    <s v="United States"/>
    <x v="14"/>
    <x v="12"/>
    <x v="1"/>
    <n v="5"/>
    <n v="5990"/>
    <n v="1548.62"/>
  </r>
  <r>
    <x v="874"/>
    <x v="5"/>
    <x v="2"/>
    <s v="United States"/>
    <x v="76"/>
    <x v="25"/>
    <x v="0"/>
    <n v="2"/>
    <n v="1206"/>
    <n v="307.02"/>
  </r>
  <r>
    <x v="878"/>
    <x v="5"/>
    <x v="2"/>
    <s v="United States"/>
    <x v="6"/>
    <x v="5"/>
    <x v="3"/>
    <n v="5"/>
    <n v="1330"/>
    <n v="285.77999999999997"/>
  </r>
  <r>
    <x v="879"/>
    <x v="3"/>
    <x v="2"/>
    <s v="United States"/>
    <x v="79"/>
    <x v="16"/>
    <x v="3"/>
    <n v="6"/>
    <n v="2706"/>
    <n v="766.68"/>
  </r>
  <r>
    <x v="485"/>
    <x v="9"/>
    <x v="2"/>
    <s v="United States"/>
    <x v="347"/>
    <x v="1"/>
    <x v="0"/>
    <n v="3"/>
    <n v="426"/>
    <n v="50.8"/>
  </r>
  <r>
    <x v="880"/>
    <x v="2"/>
    <x v="2"/>
    <s v="United States"/>
    <x v="41"/>
    <x v="28"/>
    <x v="2"/>
    <n v="1"/>
    <n v="414"/>
    <n v="50.26"/>
  </r>
  <r>
    <x v="136"/>
    <x v="9"/>
    <x v="2"/>
    <s v="United States"/>
    <x v="77"/>
    <x v="11"/>
    <x v="3"/>
    <n v="5"/>
    <n v="5465"/>
    <n v="546.33000000000004"/>
  </r>
  <r>
    <x v="79"/>
    <x v="2"/>
    <x v="2"/>
    <s v="United States"/>
    <x v="348"/>
    <x v="5"/>
    <x v="3"/>
    <n v="3"/>
    <n v="726"/>
    <n v="71.06"/>
  </r>
  <r>
    <x v="881"/>
    <x v="5"/>
    <x v="2"/>
    <s v="United States"/>
    <x v="349"/>
    <x v="12"/>
    <x v="1"/>
    <n v="1"/>
    <n v="1001"/>
    <n v="225.75"/>
  </r>
  <r>
    <x v="93"/>
    <x v="1"/>
    <x v="1"/>
    <s v="United States"/>
    <x v="13"/>
    <x v="7"/>
    <x v="2"/>
    <n v="9"/>
    <n v="7362"/>
    <n v="1866.65"/>
  </r>
  <r>
    <x v="92"/>
    <x v="8"/>
    <x v="1"/>
    <s v="United States"/>
    <x v="13"/>
    <x v="7"/>
    <x v="2"/>
    <n v="4"/>
    <n v="2284"/>
    <n v="576.59"/>
  </r>
  <r>
    <x v="527"/>
    <x v="2"/>
    <x v="2"/>
    <s v="United States"/>
    <x v="13"/>
    <x v="7"/>
    <x v="2"/>
    <n v="4"/>
    <n v="2940"/>
    <n v="566.36"/>
  </r>
  <r>
    <x v="663"/>
    <x v="0"/>
    <x v="0"/>
    <s v="United States"/>
    <x v="2"/>
    <x v="2"/>
    <x v="1"/>
    <n v="4"/>
    <n v="3068"/>
    <n v="868.89"/>
  </r>
  <r>
    <x v="852"/>
    <x v="7"/>
    <x v="2"/>
    <s v="United States"/>
    <x v="144"/>
    <x v="5"/>
    <x v="3"/>
    <n v="3"/>
    <n v="3477"/>
    <n v="862.21"/>
  </r>
  <r>
    <x v="218"/>
    <x v="5"/>
    <x v="2"/>
    <s v="United States"/>
    <x v="13"/>
    <x v="7"/>
    <x v="2"/>
    <n v="9"/>
    <n v="4014"/>
    <n v="204.48"/>
  </r>
  <r>
    <x v="852"/>
    <x v="6"/>
    <x v="1"/>
    <s v="United States"/>
    <x v="268"/>
    <x v="3"/>
    <x v="2"/>
    <n v="8"/>
    <n v="7200"/>
    <n v="804.53"/>
  </r>
  <r>
    <x v="840"/>
    <x v="5"/>
    <x v="2"/>
    <s v="United States"/>
    <x v="3"/>
    <x v="3"/>
    <x v="2"/>
    <n v="3"/>
    <n v="735"/>
    <n v="134.53"/>
  </r>
  <r>
    <x v="171"/>
    <x v="6"/>
    <x v="1"/>
    <s v="United States"/>
    <x v="15"/>
    <x v="13"/>
    <x v="1"/>
    <n v="3"/>
    <n v="2964"/>
    <n v="446.54"/>
  </r>
  <r>
    <x v="219"/>
    <x v="3"/>
    <x v="2"/>
    <s v="United States"/>
    <x v="51"/>
    <x v="30"/>
    <x v="0"/>
    <n v="9"/>
    <n v="3699"/>
    <n v="276.07"/>
  </r>
  <r>
    <x v="92"/>
    <x v="0"/>
    <x v="0"/>
    <s v="United States"/>
    <x v="2"/>
    <x v="2"/>
    <x v="1"/>
    <n v="3"/>
    <n v="1563"/>
    <n v="221.62"/>
  </r>
  <r>
    <x v="442"/>
    <x v="1"/>
    <x v="1"/>
    <s v="United States"/>
    <x v="228"/>
    <x v="9"/>
    <x v="0"/>
    <n v="2"/>
    <n v="124"/>
    <n v="32.270000000000003"/>
  </r>
  <r>
    <x v="237"/>
    <x v="1"/>
    <x v="1"/>
    <s v="United States"/>
    <x v="15"/>
    <x v="13"/>
    <x v="1"/>
    <n v="2"/>
    <n v="416"/>
    <n v="71.680000000000007"/>
  </r>
  <r>
    <x v="401"/>
    <x v="3"/>
    <x v="2"/>
    <s v="United States"/>
    <x v="1"/>
    <x v="1"/>
    <x v="0"/>
    <n v="8"/>
    <n v="2624"/>
    <n v="294.24"/>
  </r>
  <r>
    <x v="143"/>
    <x v="4"/>
    <x v="1"/>
    <s v="United States"/>
    <x v="6"/>
    <x v="5"/>
    <x v="3"/>
    <n v="4"/>
    <n v="1636"/>
    <n v="134.85"/>
  </r>
  <r>
    <x v="161"/>
    <x v="4"/>
    <x v="1"/>
    <s v="United States"/>
    <x v="174"/>
    <x v="2"/>
    <x v="1"/>
    <n v="8"/>
    <n v="8200"/>
    <n v="1978.93"/>
  </r>
  <r>
    <x v="149"/>
    <x v="1"/>
    <x v="1"/>
    <s v="United States"/>
    <x v="59"/>
    <x v="15"/>
    <x v="2"/>
    <n v="5"/>
    <n v="5615"/>
    <n v="715.58"/>
  </r>
  <r>
    <x v="365"/>
    <x v="0"/>
    <x v="0"/>
    <s v="United States"/>
    <x v="42"/>
    <x v="8"/>
    <x v="3"/>
    <n v="5"/>
    <n v="3085"/>
    <n v="413.52"/>
  </r>
  <r>
    <x v="820"/>
    <x v="8"/>
    <x v="1"/>
    <s v="United States"/>
    <x v="42"/>
    <x v="8"/>
    <x v="3"/>
    <n v="6"/>
    <n v="3198"/>
    <n v="913.76"/>
  </r>
  <r>
    <x v="516"/>
    <x v="3"/>
    <x v="2"/>
    <s v="United States"/>
    <x v="350"/>
    <x v="5"/>
    <x v="3"/>
    <n v="4"/>
    <n v="1848"/>
    <n v="374.66"/>
  </r>
  <r>
    <x v="832"/>
    <x v="5"/>
    <x v="2"/>
    <s v="United States"/>
    <x v="28"/>
    <x v="2"/>
    <x v="1"/>
    <n v="4"/>
    <n v="652"/>
    <n v="116.06"/>
  </r>
  <r>
    <x v="601"/>
    <x v="1"/>
    <x v="1"/>
    <s v="United States"/>
    <x v="228"/>
    <x v="9"/>
    <x v="0"/>
    <n v="6"/>
    <n v="2940"/>
    <n v="609.99"/>
  </r>
  <r>
    <x v="282"/>
    <x v="4"/>
    <x v="1"/>
    <s v="United States"/>
    <x v="228"/>
    <x v="9"/>
    <x v="0"/>
    <n v="4"/>
    <n v="3912"/>
    <n v="454.89"/>
  </r>
  <r>
    <x v="672"/>
    <x v="2"/>
    <x v="2"/>
    <s v="United States"/>
    <x v="13"/>
    <x v="7"/>
    <x v="2"/>
    <n v="8"/>
    <n v="9392"/>
    <n v="891.07"/>
  </r>
  <r>
    <x v="30"/>
    <x v="6"/>
    <x v="1"/>
    <s v="United States"/>
    <x v="2"/>
    <x v="2"/>
    <x v="1"/>
    <n v="1"/>
    <n v="312"/>
    <n v="43.01"/>
  </r>
  <r>
    <x v="661"/>
    <x v="9"/>
    <x v="2"/>
    <s v="United States"/>
    <x v="53"/>
    <x v="2"/>
    <x v="1"/>
    <n v="9"/>
    <n v="7731"/>
    <n v="1459.74"/>
  </r>
  <r>
    <x v="882"/>
    <x v="2"/>
    <x v="2"/>
    <s v="United States"/>
    <x v="28"/>
    <x v="2"/>
    <x v="1"/>
    <n v="1"/>
    <n v="1081"/>
    <n v="229.32"/>
  </r>
  <r>
    <x v="173"/>
    <x v="7"/>
    <x v="2"/>
    <s v="United States"/>
    <x v="6"/>
    <x v="5"/>
    <x v="3"/>
    <n v="6"/>
    <n v="1926"/>
    <n v="393.01"/>
  </r>
  <r>
    <x v="530"/>
    <x v="6"/>
    <x v="1"/>
    <s v="United States"/>
    <x v="6"/>
    <x v="5"/>
    <x v="3"/>
    <n v="3"/>
    <n v="936"/>
    <n v="88.51"/>
  </r>
  <r>
    <x v="343"/>
    <x v="9"/>
    <x v="2"/>
    <s v="United States"/>
    <x v="34"/>
    <x v="9"/>
    <x v="0"/>
    <n v="9"/>
    <n v="8550"/>
    <n v="1970.98"/>
  </r>
  <r>
    <x v="354"/>
    <x v="6"/>
    <x v="1"/>
    <s v="United States"/>
    <x v="34"/>
    <x v="9"/>
    <x v="0"/>
    <n v="4"/>
    <n v="2468"/>
    <n v="457.51"/>
  </r>
  <r>
    <x v="339"/>
    <x v="2"/>
    <x v="2"/>
    <s v="United States"/>
    <x v="15"/>
    <x v="13"/>
    <x v="1"/>
    <n v="3"/>
    <n v="801"/>
    <n v="90.34"/>
  </r>
  <r>
    <x v="564"/>
    <x v="9"/>
    <x v="2"/>
    <s v="United States"/>
    <x v="351"/>
    <x v="36"/>
    <x v="1"/>
    <n v="9"/>
    <n v="2655"/>
    <n v="701.11"/>
  </r>
  <r>
    <x v="554"/>
    <x v="5"/>
    <x v="2"/>
    <s v="United States"/>
    <x v="53"/>
    <x v="2"/>
    <x v="1"/>
    <n v="8"/>
    <n v="3928"/>
    <n v="700.38"/>
  </r>
  <r>
    <x v="325"/>
    <x v="6"/>
    <x v="1"/>
    <s v="United States"/>
    <x v="11"/>
    <x v="32"/>
    <x v="2"/>
    <n v="8"/>
    <n v="6488"/>
    <n v="1438.34"/>
  </r>
  <r>
    <x v="13"/>
    <x v="4"/>
    <x v="1"/>
    <s v="United States"/>
    <x v="74"/>
    <x v="12"/>
    <x v="1"/>
    <n v="9"/>
    <n v="7695"/>
    <n v="1749.26"/>
  </r>
  <r>
    <x v="431"/>
    <x v="4"/>
    <x v="1"/>
    <s v="United States"/>
    <x v="156"/>
    <x v="5"/>
    <x v="3"/>
    <n v="2"/>
    <n v="1856"/>
    <n v="468.19"/>
  </r>
  <r>
    <x v="406"/>
    <x v="5"/>
    <x v="2"/>
    <s v="United States"/>
    <x v="13"/>
    <x v="7"/>
    <x v="2"/>
    <n v="7"/>
    <n v="1519"/>
    <n v="403.63"/>
  </r>
  <r>
    <x v="385"/>
    <x v="2"/>
    <x v="2"/>
    <s v="United States"/>
    <x v="6"/>
    <x v="5"/>
    <x v="3"/>
    <n v="3"/>
    <n v="3549"/>
    <n v="996.05"/>
  </r>
  <r>
    <x v="393"/>
    <x v="9"/>
    <x v="2"/>
    <s v="United States"/>
    <x v="352"/>
    <x v="42"/>
    <x v="1"/>
    <n v="3"/>
    <n v="1656"/>
    <n v="378.84"/>
  </r>
  <r>
    <x v="715"/>
    <x v="8"/>
    <x v="1"/>
    <s v="United States"/>
    <x v="91"/>
    <x v="30"/>
    <x v="0"/>
    <n v="7"/>
    <n v="812"/>
    <n v="175.55"/>
  </r>
  <r>
    <x v="793"/>
    <x v="1"/>
    <x v="1"/>
    <s v="United States"/>
    <x v="91"/>
    <x v="30"/>
    <x v="0"/>
    <n v="5"/>
    <n v="3730"/>
    <n v="864.41"/>
  </r>
  <r>
    <x v="161"/>
    <x v="6"/>
    <x v="1"/>
    <s v="United States"/>
    <x v="258"/>
    <x v="37"/>
    <x v="3"/>
    <n v="1"/>
    <n v="1161"/>
    <n v="210.87"/>
  </r>
  <r>
    <x v="531"/>
    <x v="4"/>
    <x v="1"/>
    <s v="United States"/>
    <x v="353"/>
    <x v="7"/>
    <x v="2"/>
    <n v="3"/>
    <n v="2256"/>
    <n v="282.52"/>
  </r>
  <r>
    <x v="505"/>
    <x v="6"/>
    <x v="1"/>
    <s v="United States"/>
    <x v="110"/>
    <x v="22"/>
    <x v="1"/>
    <n v="1"/>
    <n v="359"/>
    <n v="78.17"/>
  </r>
  <r>
    <x v="628"/>
    <x v="4"/>
    <x v="1"/>
    <s v="United States"/>
    <x v="95"/>
    <x v="25"/>
    <x v="0"/>
    <n v="2"/>
    <n v="130"/>
    <n v="11.1"/>
  </r>
  <r>
    <x v="60"/>
    <x v="1"/>
    <x v="1"/>
    <s v="United States"/>
    <x v="168"/>
    <x v="30"/>
    <x v="0"/>
    <n v="8"/>
    <n v="4248"/>
    <n v="831.54"/>
  </r>
  <r>
    <x v="883"/>
    <x v="3"/>
    <x v="2"/>
    <s v="United States"/>
    <x v="309"/>
    <x v="18"/>
    <x v="2"/>
    <n v="5"/>
    <n v="1825"/>
    <n v="221.47"/>
  </r>
  <r>
    <x v="407"/>
    <x v="8"/>
    <x v="1"/>
    <s v="United States"/>
    <x v="9"/>
    <x v="8"/>
    <x v="3"/>
    <n v="2"/>
    <n v="876"/>
    <n v="224.01"/>
  </r>
  <r>
    <x v="564"/>
    <x v="3"/>
    <x v="2"/>
    <s v="United States"/>
    <x v="15"/>
    <x v="13"/>
    <x v="1"/>
    <n v="9"/>
    <n v="9180"/>
    <n v="2752.84"/>
  </r>
  <r>
    <x v="38"/>
    <x v="6"/>
    <x v="1"/>
    <s v="United States"/>
    <x v="354"/>
    <x v="2"/>
    <x v="1"/>
    <n v="5"/>
    <n v="1765"/>
    <n v="160.88999999999999"/>
  </r>
  <r>
    <x v="789"/>
    <x v="6"/>
    <x v="1"/>
    <s v="United States"/>
    <x v="29"/>
    <x v="24"/>
    <x v="0"/>
    <n v="2"/>
    <n v="1504"/>
    <n v="164.51"/>
  </r>
  <r>
    <x v="718"/>
    <x v="8"/>
    <x v="1"/>
    <s v="United States"/>
    <x v="53"/>
    <x v="2"/>
    <x v="1"/>
    <n v="9"/>
    <n v="1881"/>
    <n v="430.78"/>
  </r>
  <r>
    <x v="714"/>
    <x v="8"/>
    <x v="1"/>
    <s v="United States"/>
    <x v="303"/>
    <x v="5"/>
    <x v="3"/>
    <n v="9"/>
    <n v="7425"/>
    <n v="1533.72"/>
  </r>
  <r>
    <x v="15"/>
    <x v="2"/>
    <x v="2"/>
    <s v="United States"/>
    <x v="2"/>
    <x v="2"/>
    <x v="1"/>
    <n v="9"/>
    <n v="720"/>
    <n v="192.83"/>
  </r>
  <r>
    <x v="517"/>
    <x v="7"/>
    <x v="2"/>
    <s v="United States"/>
    <x v="42"/>
    <x v="8"/>
    <x v="3"/>
    <n v="5"/>
    <n v="2985"/>
    <n v="698.22"/>
  </r>
  <r>
    <x v="814"/>
    <x v="9"/>
    <x v="2"/>
    <s v="United States"/>
    <x v="42"/>
    <x v="8"/>
    <x v="3"/>
    <n v="9"/>
    <n v="711"/>
    <n v="200.11"/>
  </r>
  <r>
    <x v="884"/>
    <x v="0"/>
    <x v="0"/>
    <s v="United States"/>
    <x v="304"/>
    <x v="25"/>
    <x v="0"/>
    <n v="6"/>
    <n v="6276"/>
    <n v="1396.25"/>
  </r>
  <r>
    <x v="616"/>
    <x v="1"/>
    <x v="1"/>
    <s v="United States"/>
    <x v="355"/>
    <x v="1"/>
    <x v="0"/>
    <n v="7"/>
    <n v="7966"/>
    <n v="955.8"/>
  </r>
  <r>
    <x v="107"/>
    <x v="4"/>
    <x v="1"/>
    <s v="United States"/>
    <x v="88"/>
    <x v="8"/>
    <x v="3"/>
    <n v="8"/>
    <n v="4200"/>
    <n v="854.89"/>
  </r>
  <r>
    <x v="432"/>
    <x v="9"/>
    <x v="2"/>
    <s v="United States"/>
    <x v="156"/>
    <x v="5"/>
    <x v="3"/>
    <n v="7"/>
    <n v="455"/>
    <n v="80"/>
  </r>
  <r>
    <x v="478"/>
    <x v="8"/>
    <x v="1"/>
    <s v="United States"/>
    <x v="156"/>
    <x v="5"/>
    <x v="3"/>
    <n v="8"/>
    <n v="5040"/>
    <n v="465.36"/>
  </r>
  <r>
    <x v="513"/>
    <x v="1"/>
    <x v="1"/>
    <s v="United States"/>
    <x v="79"/>
    <x v="16"/>
    <x v="3"/>
    <n v="1"/>
    <n v="856"/>
    <n v="87.69"/>
  </r>
  <r>
    <x v="50"/>
    <x v="6"/>
    <x v="1"/>
    <s v="United States"/>
    <x v="356"/>
    <x v="16"/>
    <x v="3"/>
    <n v="5"/>
    <n v="5230"/>
    <n v="385.77"/>
  </r>
  <r>
    <x v="120"/>
    <x v="9"/>
    <x v="2"/>
    <s v="United States"/>
    <x v="14"/>
    <x v="8"/>
    <x v="3"/>
    <n v="5"/>
    <n v="4635"/>
    <n v="769.03"/>
  </r>
  <r>
    <x v="820"/>
    <x v="9"/>
    <x v="2"/>
    <s v="United States"/>
    <x v="38"/>
    <x v="9"/>
    <x v="0"/>
    <n v="6"/>
    <n v="5508"/>
    <n v="360.28"/>
  </r>
  <r>
    <x v="68"/>
    <x v="7"/>
    <x v="2"/>
    <s v="United States"/>
    <x v="51"/>
    <x v="1"/>
    <x v="0"/>
    <n v="1"/>
    <n v="258"/>
    <n v="27.01"/>
  </r>
  <r>
    <x v="442"/>
    <x v="7"/>
    <x v="2"/>
    <s v="United States"/>
    <x v="173"/>
    <x v="1"/>
    <x v="0"/>
    <n v="1"/>
    <n v="677"/>
    <n v="88.41"/>
  </r>
  <r>
    <x v="749"/>
    <x v="6"/>
    <x v="1"/>
    <s v="United States"/>
    <x v="6"/>
    <x v="5"/>
    <x v="3"/>
    <n v="5"/>
    <n v="4545"/>
    <n v="755.05"/>
  </r>
  <r>
    <x v="299"/>
    <x v="7"/>
    <x v="2"/>
    <s v="United States"/>
    <x v="304"/>
    <x v="25"/>
    <x v="0"/>
    <n v="5"/>
    <n v="4370"/>
    <n v="1255.3599999999999"/>
  </r>
  <r>
    <x v="519"/>
    <x v="8"/>
    <x v="1"/>
    <s v="United States"/>
    <x v="304"/>
    <x v="25"/>
    <x v="0"/>
    <n v="3"/>
    <n v="372"/>
    <n v="57.51"/>
  </r>
  <r>
    <x v="640"/>
    <x v="3"/>
    <x v="2"/>
    <s v="United States"/>
    <x v="3"/>
    <x v="3"/>
    <x v="2"/>
    <n v="9"/>
    <n v="3177"/>
    <n v="629.96"/>
  </r>
  <r>
    <x v="704"/>
    <x v="0"/>
    <x v="0"/>
    <s v="United States"/>
    <x v="13"/>
    <x v="7"/>
    <x v="2"/>
    <n v="7"/>
    <n v="1659"/>
    <n v="127.48"/>
  </r>
  <r>
    <x v="157"/>
    <x v="2"/>
    <x v="2"/>
    <s v="United States"/>
    <x v="2"/>
    <x v="2"/>
    <x v="1"/>
    <n v="3"/>
    <n v="3360"/>
    <n v="759.31"/>
  </r>
  <r>
    <x v="885"/>
    <x v="7"/>
    <x v="2"/>
    <s v="United States"/>
    <x v="144"/>
    <x v="5"/>
    <x v="3"/>
    <n v="2"/>
    <n v="1132"/>
    <n v="290.56"/>
  </r>
  <r>
    <x v="220"/>
    <x v="5"/>
    <x v="2"/>
    <s v="United States"/>
    <x v="9"/>
    <x v="8"/>
    <x v="3"/>
    <n v="5"/>
    <n v="1815"/>
    <n v="468.62"/>
  </r>
  <r>
    <x v="734"/>
    <x v="1"/>
    <x v="1"/>
    <s v="United States"/>
    <x v="9"/>
    <x v="8"/>
    <x v="3"/>
    <n v="1"/>
    <n v="459"/>
    <n v="125.19"/>
  </r>
  <r>
    <x v="886"/>
    <x v="7"/>
    <x v="2"/>
    <s v="United States"/>
    <x v="51"/>
    <x v="30"/>
    <x v="0"/>
    <n v="1"/>
    <n v="1128"/>
    <n v="73.739999999999995"/>
  </r>
  <r>
    <x v="421"/>
    <x v="6"/>
    <x v="1"/>
    <s v="United States"/>
    <x v="76"/>
    <x v="23"/>
    <x v="3"/>
    <n v="6"/>
    <n v="1170"/>
    <n v="104.63"/>
  </r>
  <r>
    <x v="306"/>
    <x v="5"/>
    <x v="2"/>
    <s v="United States"/>
    <x v="11"/>
    <x v="9"/>
    <x v="0"/>
    <n v="5"/>
    <n v="4420"/>
    <n v="380.69"/>
  </r>
  <r>
    <x v="544"/>
    <x v="7"/>
    <x v="2"/>
    <s v="United States"/>
    <x v="3"/>
    <x v="3"/>
    <x v="2"/>
    <n v="6"/>
    <n v="456"/>
    <n v="69.150000000000006"/>
  </r>
  <r>
    <x v="400"/>
    <x v="2"/>
    <x v="2"/>
    <s v="United States"/>
    <x v="79"/>
    <x v="16"/>
    <x v="3"/>
    <n v="2"/>
    <n v="1458"/>
    <n v="154.79"/>
  </r>
  <r>
    <x v="887"/>
    <x v="6"/>
    <x v="1"/>
    <s v="United States"/>
    <x v="13"/>
    <x v="7"/>
    <x v="2"/>
    <n v="7"/>
    <n v="2989"/>
    <n v="197.58"/>
  </r>
  <r>
    <x v="888"/>
    <x v="3"/>
    <x v="2"/>
    <s v="United States"/>
    <x v="76"/>
    <x v="25"/>
    <x v="0"/>
    <n v="4"/>
    <n v="3424"/>
    <n v="845.68"/>
  </r>
  <r>
    <x v="859"/>
    <x v="1"/>
    <x v="1"/>
    <s v="United States"/>
    <x v="200"/>
    <x v="12"/>
    <x v="1"/>
    <n v="2"/>
    <n v="1226"/>
    <n v="124.25"/>
  </r>
  <r>
    <x v="419"/>
    <x v="9"/>
    <x v="2"/>
    <s v="United States"/>
    <x v="13"/>
    <x v="7"/>
    <x v="2"/>
    <n v="8"/>
    <n v="6760"/>
    <n v="1097.6300000000001"/>
  </r>
  <r>
    <x v="889"/>
    <x v="7"/>
    <x v="2"/>
    <s v="United States"/>
    <x v="13"/>
    <x v="7"/>
    <x v="2"/>
    <n v="1"/>
    <n v="111"/>
    <n v="13.61"/>
  </r>
  <r>
    <x v="636"/>
    <x v="0"/>
    <x v="0"/>
    <s v="United States"/>
    <x v="357"/>
    <x v="20"/>
    <x v="2"/>
    <n v="5"/>
    <n v="3275"/>
    <n v="222.29"/>
  </r>
  <r>
    <x v="303"/>
    <x v="4"/>
    <x v="1"/>
    <s v="United States"/>
    <x v="357"/>
    <x v="20"/>
    <x v="2"/>
    <n v="3"/>
    <n v="2508"/>
    <n v="498.69"/>
  </r>
  <r>
    <x v="207"/>
    <x v="8"/>
    <x v="1"/>
    <s v="United States"/>
    <x v="15"/>
    <x v="13"/>
    <x v="1"/>
    <n v="8"/>
    <n v="904"/>
    <n v="202.35"/>
  </r>
  <r>
    <x v="640"/>
    <x v="0"/>
    <x v="0"/>
    <s v="United States"/>
    <x v="25"/>
    <x v="17"/>
    <x v="3"/>
    <n v="3"/>
    <n v="1506"/>
    <n v="427.84"/>
  </r>
  <r>
    <x v="139"/>
    <x v="7"/>
    <x v="2"/>
    <s v="United States"/>
    <x v="262"/>
    <x v="22"/>
    <x v="1"/>
    <n v="3"/>
    <n v="987"/>
    <n v="97.01"/>
  </r>
  <r>
    <x v="196"/>
    <x v="7"/>
    <x v="2"/>
    <s v="United States"/>
    <x v="358"/>
    <x v="1"/>
    <x v="0"/>
    <n v="7"/>
    <n v="2968"/>
    <n v="728.94"/>
  </r>
  <r>
    <x v="81"/>
    <x v="1"/>
    <x v="1"/>
    <s v="United States"/>
    <x v="13"/>
    <x v="7"/>
    <x v="2"/>
    <n v="5"/>
    <n v="4200"/>
    <n v="746.86"/>
  </r>
  <r>
    <x v="750"/>
    <x v="5"/>
    <x v="2"/>
    <s v="United States"/>
    <x v="2"/>
    <x v="2"/>
    <x v="1"/>
    <n v="5"/>
    <n v="1645"/>
    <n v="313.66000000000003"/>
  </r>
  <r>
    <x v="890"/>
    <x v="0"/>
    <x v="0"/>
    <s v="United States"/>
    <x v="2"/>
    <x v="2"/>
    <x v="1"/>
    <n v="3"/>
    <n v="3282"/>
    <n v="492.59"/>
  </r>
  <r>
    <x v="516"/>
    <x v="4"/>
    <x v="1"/>
    <s v="United States"/>
    <x v="15"/>
    <x v="13"/>
    <x v="1"/>
    <n v="9"/>
    <n v="4914"/>
    <n v="1160.45"/>
  </r>
  <r>
    <x v="367"/>
    <x v="9"/>
    <x v="2"/>
    <s v="United States"/>
    <x v="67"/>
    <x v="13"/>
    <x v="1"/>
    <n v="6"/>
    <n v="3924"/>
    <n v="762.96"/>
  </r>
  <r>
    <x v="250"/>
    <x v="4"/>
    <x v="1"/>
    <s v="United States"/>
    <x v="3"/>
    <x v="3"/>
    <x v="2"/>
    <n v="6"/>
    <n v="420"/>
    <n v="65.62"/>
  </r>
  <r>
    <x v="168"/>
    <x v="0"/>
    <x v="0"/>
    <s v="United States"/>
    <x v="0"/>
    <x v="0"/>
    <x v="0"/>
    <n v="4"/>
    <n v="1544"/>
    <n v="106.02"/>
  </r>
  <r>
    <x v="891"/>
    <x v="4"/>
    <x v="1"/>
    <s v="United States"/>
    <x v="6"/>
    <x v="5"/>
    <x v="3"/>
    <n v="2"/>
    <n v="2046"/>
    <n v="233.47"/>
  </r>
  <r>
    <x v="424"/>
    <x v="4"/>
    <x v="1"/>
    <s v="United States"/>
    <x v="8"/>
    <x v="15"/>
    <x v="2"/>
    <n v="2"/>
    <n v="1548"/>
    <n v="157.47999999999999"/>
  </r>
  <r>
    <x v="253"/>
    <x v="8"/>
    <x v="1"/>
    <s v="United States"/>
    <x v="6"/>
    <x v="5"/>
    <x v="3"/>
    <n v="4"/>
    <n v="3184"/>
    <n v="478.27"/>
  </r>
  <r>
    <x v="892"/>
    <x v="0"/>
    <x v="0"/>
    <s v="United States"/>
    <x v="3"/>
    <x v="3"/>
    <x v="2"/>
    <n v="5"/>
    <n v="3385"/>
    <n v="774.86"/>
  </r>
  <r>
    <x v="893"/>
    <x v="6"/>
    <x v="1"/>
    <s v="United States"/>
    <x v="3"/>
    <x v="3"/>
    <x v="2"/>
    <n v="1"/>
    <n v="59"/>
    <n v="10.32"/>
  </r>
  <r>
    <x v="463"/>
    <x v="6"/>
    <x v="1"/>
    <s v="United States"/>
    <x v="6"/>
    <x v="5"/>
    <x v="3"/>
    <n v="8"/>
    <n v="5976"/>
    <n v="1016.99"/>
  </r>
  <r>
    <x v="894"/>
    <x v="1"/>
    <x v="1"/>
    <s v="United States"/>
    <x v="6"/>
    <x v="5"/>
    <x v="3"/>
    <n v="3"/>
    <n v="1791"/>
    <n v="122.5"/>
  </r>
  <r>
    <x v="616"/>
    <x v="5"/>
    <x v="2"/>
    <s v="United States"/>
    <x v="59"/>
    <x v="15"/>
    <x v="2"/>
    <n v="2"/>
    <n v="1644"/>
    <n v="189.32"/>
  </r>
  <r>
    <x v="432"/>
    <x v="2"/>
    <x v="2"/>
    <s v="United States"/>
    <x v="359"/>
    <x v="32"/>
    <x v="2"/>
    <n v="8"/>
    <n v="6584"/>
    <n v="544.62"/>
  </r>
  <r>
    <x v="474"/>
    <x v="4"/>
    <x v="1"/>
    <s v="United States"/>
    <x v="3"/>
    <x v="3"/>
    <x v="2"/>
    <n v="5"/>
    <n v="1620"/>
    <n v="325.87"/>
  </r>
  <r>
    <x v="895"/>
    <x v="1"/>
    <x v="1"/>
    <s v="United States"/>
    <x v="360"/>
    <x v="16"/>
    <x v="3"/>
    <n v="9"/>
    <n v="2736"/>
    <n v="407.22"/>
  </r>
  <r>
    <x v="896"/>
    <x v="6"/>
    <x v="1"/>
    <s v="United States"/>
    <x v="360"/>
    <x v="16"/>
    <x v="3"/>
    <n v="4"/>
    <n v="1064"/>
    <n v="274.47000000000003"/>
  </r>
  <r>
    <x v="113"/>
    <x v="3"/>
    <x v="2"/>
    <s v="United States"/>
    <x v="299"/>
    <x v="2"/>
    <x v="1"/>
    <n v="7"/>
    <n v="2667"/>
    <n v="363.5"/>
  </r>
  <r>
    <x v="897"/>
    <x v="4"/>
    <x v="1"/>
    <s v="United States"/>
    <x v="327"/>
    <x v="2"/>
    <x v="1"/>
    <n v="3"/>
    <n v="735"/>
    <n v="217.79"/>
  </r>
  <r>
    <x v="643"/>
    <x v="9"/>
    <x v="2"/>
    <s v="United States"/>
    <x v="327"/>
    <x v="2"/>
    <x v="1"/>
    <n v="1"/>
    <n v="58"/>
    <n v="11.25"/>
  </r>
  <r>
    <x v="526"/>
    <x v="3"/>
    <x v="2"/>
    <s v="United States"/>
    <x v="124"/>
    <x v="2"/>
    <x v="1"/>
    <n v="7"/>
    <n v="3136"/>
    <n v="850.3"/>
  </r>
  <r>
    <x v="652"/>
    <x v="1"/>
    <x v="1"/>
    <s v="United States"/>
    <x v="361"/>
    <x v="18"/>
    <x v="2"/>
    <n v="4"/>
    <n v="3936"/>
    <n v="374.34"/>
  </r>
  <r>
    <x v="457"/>
    <x v="7"/>
    <x v="2"/>
    <s v="United States"/>
    <x v="28"/>
    <x v="2"/>
    <x v="1"/>
    <n v="9"/>
    <n v="6102"/>
    <n v="947.91"/>
  </r>
  <r>
    <x v="432"/>
    <x v="7"/>
    <x v="2"/>
    <s v="United States"/>
    <x v="28"/>
    <x v="2"/>
    <x v="1"/>
    <n v="8"/>
    <n v="9408"/>
    <n v="552.44000000000005"/>
  </r>
  <r>
    <x v="91"/>
    <x v="1"/>
    <x v="1"/>
    <s v="United States"/>
    <x v="3"/>
    <x v="3"/>
    <x v="2"/>
    <n v="9"/>
    <n v="7875"/>
    <n v="1243.56"/>
  </r>
  <r>
    <x v="224"/>
    <x v="8"/>
    <x v="1"/>
    <s v="United States"/>
    <x v="120"/>
    <x v="35"/>
    <x v="0"/>
    <n v="9"/>
    <n v="9900"/>
    <n v="576.79999999999995"/>
  </r>
  <r>
    <x v="898"/>
    <x v="8"/>
    <x v="1"/>
    <s v="United States"/>
    <x v="2"/>
    <x v="2"/>
    <x v="1"/>
    <n v="2"/>
    <n v="430"/>
    <n v="114.91"/>
  </r>
  <r>
    <x v="796"/>
    <x v="1"/>
    <x v="1"/>
    <s v="United States"/>
    <x v="2"/>
    <x v="2"/>
    <x v="1"/>
    <n v="3"/>
    <n v="813"/>
    <n v="238.1"/>
  </r>
  <r>
    <x v="644"/>
    <x v="3"/>
    <x v="2"/>
    <s v="United States"/>
    <x v="29"/>
    <x v="15"/>
    <x v="2"/>
    <n v="4"/>
    <n v="4176"/>
    <n v="980.11"/>
  </r>
  <r>
    <x v="368"/>
    <x v="3"/>
    <x v="2"/>
    <s v="United States"/>
    <x v="28"/>
    <x v="2"/>
    <x v="1"/>
    <n v="4"/>
    <n v="3084"/>
    <n v="348.38"/>
  </r>
  <r>
    <x v="133"/>
    <x v="1"/>
    <x v="1"/>
    <s v="United States"/>
    <x v="11"/>
    <x v="23"/>
    <x v="3"/>
    <n v="7"/>
    <n v="8008"/>
    <n v="1593.65"/>
  </r>
  <r>
    <x v="585"/>
    <x v="5"/>
    <x v="2"/>
    <s v="United States"/>
    <x v="11"/>
    <x v="23"/>
    <x v="3"/>
    <n v="4"/>
    <n v="4608"/>
    <n v="963.5"/>
  </r>
  <r>
    <x v="821"/>
    <x v="4"/>
    <x v="1"/>
    <s v="United States"/>
    <x v="15"/>
    <x v="13"/>
    <x v="1"/>
    <n v="4"/>
    <n v="4356"/>
    <n v="614.62"/>
  </r>
  <r>
    <x v="339"/>
    <x v="0"/>
    <x v="0"/>
    <s v="United States"/>
    <x v="25"/>
    <x v="17"/>
    <x v="3"/>
    <n v="1"/>
    <n v="566"/>
    <n v="169.17"/>
  </r>
  <r>
    <x v="899"/>
    <x v="9"/>
    <x v="2"/>
    <s v="United States"/>
    <x v="111"/>
    <x v="34"/>
    <x v="1"/>
    <n v="7"/>
    <n v="945"/>
    <n v="75.209999999999994"/>
  </r>
  <r>
    <x v="900"/>
    <x v="5"/>
    <x v="2"/>
    <s v="United States"/>
    <x v="234"/>
    <x v="7"/>
    <x v="2"/>
    <n v="4"/>
    <n v="2200"/>
    <n v="484.33"/>
  </r>
  <r>
    <x v="773"/>
    <x v="1"/>
    <x v="1"/>
    <s v="United States"/>
    <x v="13"/>
    <x v="7"/>
    <x v="2"/>
    <n v="1"/>
    <n v="746"/>
    <n v="131.25"/>
  </r>
  <r>
    <x v="486"/>
    <x v="6"/>
    <x v="1"/>
    <s v="United States"/>
    <x v="3"/>
    <x v="3"/>
    <x v="2"/>
    <n v="5"/>
    <n v="3505"/>
    <n v="678.18"/>
  </r>
  <r>
    <x v="603"/>
    <x v="6"/>
    <x v="1"/>
    <s v="United States"/>
    <x v="15"/>
    <x v="13"/>
    <x v="1"/>
    <n v="5"/>
    <n v="4795"/>
    <n v="819.12"/>
  </r>
  <r>
    <x v="836"/>
    <x v="6"/>
    <x v="1"/>
    <s v="United States"/>
    <x v="20"/>
    <x v="16"/>
    <x v="3"/>
    <n v="5"/>
    <n v="4590"/>
    <n v="650.04999999999995"/>
  </r>
  <r>
    <x v="34"/>
    <x v="6"/>
    <x v="1"/>
    <s v="United States"/>
    <x v="91"/>
    <x v="30"/>
    <x v="0"/>
    <n v="4"/>
    <n v="2092"/>
    <n v="467.02"/>
  </r>
  <r>
    <x v="321"/>
    <x v="1"/>
    <x v="1"/>
    <s v="United States"/>
    <x v="144"/>
    <x v="5"/>
    <x v="3"/>
    <n v="8"/>
    <n v="3568"/>
    <n v="334.13"/>
  </r>
  <r>
    <x v="863"/>
    <x v="7"/>
    <x v="2"/>
    <s v="United States"/>
    <x v="3"/>
    <x v="3"/>
    <x v="2"/>
    <n v="9"/>
    <n v="10404"/>
    <n v="2028.21"/>
  </r>
  <r>
    <x v="901"/>
    <x v="0"/>
    <x v="0"/>
    <s v="United States"/>
    <x v="59"/>
    <x v="15"/>
    <x v="2"/>
    <n v="9"/>
    <n v="7029"/>
    <n v="1005.58"/>
  </r>
  <r>
    <x v="853"/>
    <x v="9"/>
    <x v="2"/>
    <s v="United States"/>
    <x v="362"/>
    <x v="5"/>
    <x v="3"/>
    <n v="8"/>
    <n v="664"/>
    <n v="126.6"/>
  </r>
  <r>
    <x v="211"/>
    <x v="2"/>
    <x v="2"/>
    <s v="United States"/>
    <x v="13"/>
    <x v="7"/>
    <x v="2"/>
    <n v="3"/>
    <n v="1923"/>
    <n v="274"/>
  </r>
  <r>
    <x v="860"/>
    <x v="0"/>
    <x v="0"/>
    <s v="United States"/>
    <x v="13"/>
    <x v="7"/>
    <x v="2"/>
    <n v="7"/>
    <n v="2471"/>
    <n v="566.51"/>
  </r>
  <r>
    <x v="456"/>
    <x v="7"/>
    <x v="2"/>
    <s v="United States"/>
    <x v="6"/>
    <x v="5"/>
    <x v="3"/>
    <n v="2"/>
    <n v="258"/>
    <n v="64.12"/>
  </r>
  <r>
    <x v="774"/>
    <x v="5"/>
    <x v="2"/>
    <s v="United States"/>
    <x v="6"/>
    <x v="5"/>
    <x v="3"/>
    <n v="9"/>
    <n v="1134"/>
    <n v="267.26"/>
  </r>
  <r>
    <x v="902"/>
    <x v="4"/>
    <x v="1"/>
    <s v="United States"/>
    <x v="2"/>
    <x v="2"/>
    <x v="1"/>
    <n v="5"/>
    <n v="855"/>
    <n v="238.83"/>
  </r>
  <r>
    <x v="549"/>
    <x v="5"/>
    <x v="2"/>
    <s v="United States"/>
    <x v="71"/>
    <x v="13"/>
    <x v="1"/>
    <n v="9"/>
    <n v="3231"/>
    <n v="670.85"/>
  </r>
  <r>
    <x v="640"/>
    <x v="2"/>
    <x v="2"/>
    <s v="United States"/>
    <x v="97"/>
    <x v="1"/>
    <x v="0"/>
    <n v="7"/>
    <n v="3591"/>
    <n v="266.58999999999997"/>
  </r>
  <r>
    <x v="13"/>
    <x v="3"/>
    <x v="2"/>
    <s v="United States"/>
    <x v="8"/>
    <x v="15"/>
    <x v="2"/>
    <n v="2"/>
    <n v="254"/>
    <n v="20.48"/>
  </r>
  <r>
    <x v="278"/>
    <x v="7"/>
    <x v="2"/>
    <s v="United States"/>
    <x v="8"/>
    <x v="15"/>
    <x v="2"/>
    <n v="5"/>
    <n v="5930"/>
    <n v="1193.32"/>
  </r>
  <r>
    <x v="903"/>
    <x v="4"/>
    <x v="1"/>
    <s v="United States"/>
    <x v="8"/>
    <x v="15"/>
    <x v="2"/>
    <n v="2"/>
    <n v="1344"/>
    <n v="297.99"/>
  </r>
  <r>
    <x v="904"/>
    <x v="9"/>
    <x v="2"/>
    <s v="United States"/>
    <x v="363"/>
    <x v="2"/>
    <x v="1"/>
    <n v="1"/>
    <n v="920"/>
    <n v="98.31"/>
  </r>
  <r>
    <x v="905"/>
    <x v="0"/>
    <x v="0"/>
    <s v="United States"/>
    <x v="363"/>
    <x v="2"/>
    <x v="1"/>
    <n v="9"/>
    <n v="5454"/>
    <n v="385.51"/>
  </r>
  <r>
    <x v="906"/>
    <x v="9"/>
    <x v="2"/>
    <s v="United States"/>
    <x v="15"/>
    <x v="13"/>
    <x v="1"/>
    <n v="8"/>
    <n v="9512"/>
    <n v="663.23"/>
  </r>
  <r>
    <x v="304"/>
    <x v="1"/>
    <x v="1"/>
    <s v="United States"/>
    <x v="9"/>
    <x v="8"/>
    <x v="3"/>
    <n v="4"/>
    <n v="2972"/>
    <n v="827.46"/>
  </r>
  <r>
    <x v="324"/>
    <x v="5"/>
    <x v="2"/>
    <s v="United States"/>
    <x v="13"/>
    <x v="7"/>
    <x v="2"/>
    <n v="3"/>
    <n v="3360"/>
    <n v="465.02"/>
  </r>
  <r>
    <x v="781"/>
    <x v="2"/>
    <x v="2"/>
    <s v="United States"/>
    <x v="13"/>
    <x v="7"/>
    <x v="2"/>
    <n v="4"/>
    <n v="1004"/>
    <n v="240.13"/>
  </r>
  <r>
    <x v="366"/>
    <x v="4"/>
    <x v="1"/>
    <s v="United States"/>
    <x v="15"/>
    <x v="13"/>
    <x v="1"/>
    <n v="2"/>
    <n v="1944"/>
    <n v="332.55"/>
  </r>
  <r>
    <x v="796"/>
    <x v="6"/>
    <x v="1"/>
    <s v="United States"/>
    <x v="218"/>
    <x v="32"/>
    <x v="2"/>
    <n v="5"/>
    <n v="5055"/>
    <n v="1200.0899999999999"/>
  </r>
  <r>
    <x v="222"/>
    <x v="5"/>
    <x v="2"/>
    <s v="United States"/>
    <x v="29"/>
    <x v="15"/>
    <x v="2"/>
    <n v="2"/>
    <n v="128"/>
    <n v="8.33"/>
  </r>
  <r>
    <x v="811"/>
    <x v="7"/>
    <x v="2"/>
    <s v="United States"/>
    <x v="29"/>
    <x v="15"/>
    <x v="2"/>
    <n v="3"/>
    <n v="633"/>
    <n v="163.03"/>
  </r>
  <r>
    <x v="91"/>
    <x v="0"/>
    <x v="0"/>
    <s v="United States"/>
    <x v="26"/>
    <x v="1"/>
    <x v="0"/>
    <n v="3"/>
    <n v="2523"/>
    <n v="506.7"/>
  </r>
  <r>
    <x v="577"/>
    <x v="0"/>
    <x v="0"/>
    <s v="United States"/>
    <x v="81"/>
    <x v="22"/>
    <x v="1"/>
    <n v="1"/>
    <n v="196"/>
    <n v="39.6"/>
  </r>
  <r>
    <x v="691"/>
    <x v="0"/>
    <x v="0"/>
    <s v="United States"/>
    <x v="22"/>
    <x v="12"/>
    <x v="1"/>
    <n v="9"/>
    <n v="4212"/>
    <n v="552.96"/>
  </r>
  <r>
    <x v="594"/>
    <x v="6"/>
    <x v="1"/>
    <s v="United States"/>
    <x v="13"/>
    <x v="7"/>
    <x v="2"/>
    <n v="1"/>
    <n v="63"/>
    <n v="17.29"/>
  </r>
  <r>
    <x v="907"/>
    <x v="1"/>
    <x v="1"/>
    <s v="United States"/>
    <x v="13"/>
    <x v="7"/>
    <x v="2"/>
    <n v="8"/>
    <n v="2752"/>
    <n v="394.66"/>
  </r>
  <r>
    <x v="599"/>
    <x v="1"/>
    <x v="1"/>
    <s v="United States"/>
    <x v="104"/>
    <x v="22"/>
    <x v="1"/>
    <n v="3"/>
    <n v="1989"/>
    <n v="419.61"/>
  </r>
  <r>
    <x v="811"/>
    <x v="9"/>
    <x v="2"/>
    <s v="United States"/>
    <x v="13"/>
    <x v="7"/>
    <x v="2"/>
    <n v="8"/>
    <n v="8032"/>
    <n v="466.19"/>
  </r>
  <r>
    <x v="633"/>
    <x v="2"/>
    <x v="2"/>
    <s v="United States"/>
    <x v="13"/>
    <x v="7"/>
    <x v="2"/>
    <n v="6"/>
    <n v="3702"/>
    <n v="407.34"/>
  </r>
  <r>
    <x v="461"/>
    <x v="5"/>
    <x v="2"/>
    <s v="United States"/>
    <x v="3"/>
    <x v="3"/>
    <x v="2"/>
    <n v="8"/>
    <n v="456"/>
    <n v="90.24"/>
  </r>
  <r>
    <x v="291"/>
    <x v="3"/>
    <x v="2"/>
    <s v="United States"/>
    <x v="2"/>
    <x v="2"/>
    <x v="1"/>
    <n v="7"/>
    <n v="5355"/>
    <n v="1143.1600000000001"/>
  </r>
  <r>
    <x v="117"/>
    <x v="3"/>
    <x v="2"/>
    <s v="United States"/>
    <x v="15"/>
    <x v="13"/>
    <x v="1"/>
    <n v="1"/>
    <n v="972"/>
    <n v="261.91000000000003"/>
  </r>
  <r>
    <x v="449"/>
    <x v="4"/>
    <x v="1"/>
    <s v="United States"/>
    <x v="13"/>
    <x v="7"/>
    <x v="2"/>
    <n v="5"/>
    <n v="3290"/>
    <n v="797.82"/>
  </r>
  <r>
    <x v="167"/>
    <x v="9"/>
    <x v="2"/>
    <s v="United States"/>
    <x v="252"/>
    <x v="7"/>
    <x v="2"/>
    <n v="1"/>
    <n v="735"/>
    <n v="139.31"/>
  </r>
  <r>
    <x v="908"/>
    <x v="2"/>
    <x v="2"/>
    <s v="United States"/>
    <x v="156"/>
    <x v="5"/>
    <x v="3"/>
    <n v="3"/>
    <n v="3336"/>
    <n v="798.26"/>
  </r>
  <r>
    <x v="716"/>
    <x v="8"/>
    <x v="1"/>
    <s v="United States"/>
    <x v="144"/>
    <x v="5"/>
    <x v="3"/>
    <n v="3"/>
    <n v="2082"/>
    <n v="346.53"/>
  </r>
  <r>
    <x v="361"/>
    <x v="8"/>
    <x v="1"/>
    <s v="United States"/>
    <x v="169"/>
    <x v="37"/>
    <x v="3"/>
    <n v="2"/>
    <n v="1340"/>
    <n v="129.88999999999999"/>
  </r>
  <r>
    <x v="576"/>
    <x v="9"/>
    <x v="2"/>
    <s v="United States"/>
    <x v="74"/>
    <x v="0"/>
    <x v="0"/>
    <n v="5"/>
    <n v="1160"/>
    <n v="227.13"/>
  </r>
  <r>
    <x v="769"/>
    <x v="6"/>
    <x v="1"/>
    <s v="United States"/>
    <x v="15"/>
    <x v="13"/>
    <x v="1"/>
    <n v="4"/>
    <n v="1272"/>
    <n v="299.83999999999997"/>
  </r>
  <r>
    <x v="7"/>
    <x v="0"/>
    <x v="0"/>
    <s v="United States"/>
    <x v="13"/>
    <x v="7"/>
    <x v="2"/>
    <n v="3"/>
    <n v="2817"/>
    <n v="588.47"/>
  </r>
  <r>
    <x v="20"/>
    <x v="6"/>
    <x v="1"/>
    <s v="United States"/>
    <x v="13"/>
    <x v="7"/>
    <x v="2"/>
    <n v="3"/>
    <n v="1464"/>
    <n v="264.67"/>
  </r>
  <r>
    <x v="694"/>
    <x v="4"/>
    <x v="1"/>
    <s v="United States"/>
    <x v="13"/>
    <x v="7"/>
    <x v="2"/>
    <n v="1"/>
    <n v="307"/>
    <n v="60.51"/>
  </r>
  <r>
    <x v="430"/>
    <x v="2"/>
    <x v="2"/>
    <s v="United States"/>
    <x v="9"/>
    <x v="8"/>
    <x v="3"/>
    <n v="6"/>
    <n v="5706"/>
    <n v="1306.92"/>
  </r>
  <r>
    <x v="538"/>
    <x v="4"/>
    <x v="1"/>
    <s v="United States"/>
    <x v="6"/>
    <x v="5"/>
    <x v="3"/>
    <n v="1"/>
    <n v="1112"/>
    <n v="100.47"/>
  </r>
  <r>
    <x v="160"/>
    <x v="8"/>
    <x v="1"/>
    <s v="United States"/>
    <x v="167"/>
    <x v="47"/>
    <x v="2"/>
    <n v="1"/>
    <n v="1147"/>
    <n v="133.47999999999999"/>
  </r>
  <r>
    <x v="17"/>
    <x v="9"/>
    <x v="2"/>
    <s v="United States"/>
    <x v="364"/>
    <x v="37"/>
    <x v="3"/>
    <n v="2"/>
    <n v="330"/>
    <n v="66.569999999999993"/>
  </r>
  <r>
    <x v="865"/>
    <x v="6"/>
    <x v="1"/>
    <s v="United States"/>
    <x v="79"/>
    <x v="16"/>
    <x v="3"/>
    <n v="4"/>
    <n v="2176"/>
    <n v="250.89"/>
  </r>
  <r>
    <x v="120"/>
    <x v="4"/>
    <x v="1"/>
    <s v="United States"/>
    <x v="28"/>
    <x v="2"/>
    <x v="1"/>
    <n v="7"/>
    <n v="7616"/>
    <n v="1317.79"/>
  </r>
  <r>
    <x v="909"/>
    <x v="0"/>
    <x v="0"/>
    <s v="United States"/>
    <x v="144"/>
    <x v="5"/>
    <x v="3"/>
    <n v="1"/>
    <n v="1091"/>
    <n v="258.3"/>
  </r>
  <r>
    <x v="840"/>
    <x v="2"/>
    <x v="2"/>
    <s v="United States"/>
    <x v="15"/>
    <x v="13"/>
    <x v="1"/>
    <n v="2"/>
    <n v="1026"/>
    <n v="279.76"/>
  </r>
  <r>
    <x v="686"/>
    <x v="2"/>
    <x v="2"/>
    <s v="United States"/>
    <x v="13"/>
    <x v="7"/>
    <x v="2"/>
    <n v="2"/>
    <n v="210"/>
    <n v="42.04"/>
  </r>
  <r>
    <x v="816"/>
    <x v="0"/>
    <x v="0"/>
    <s v="United States"/>
    <x v="9"/>
    <x v="8"/>
    <x v="3"/>
    <n v="2"/>
    <n v="180"/>
    <n v="10.78"/>
  </r>
  <r>
    <x v="393"/>
    <x v="2"/>
    <x v="2"/>
    <s v="United States"/>
    <x v="28"/>
    <x v="2"/>
    <x v="1"/>
    <n v="4"/>
    <n v="380"/>
    <n v="72.88"/>
  </r>
  <r>
    <x v="162"/>
    <x v="6"/>
    <x v="1"/>
    <s v="United States"/>
    <x v="43"/>
    <x v="22"/>
    <x v="1"/>
    <n v="8"/>
    <n v="7664"/>
    <n v="1580.55"/>
  </r>
  <r>
    <x v="418"/>
    <x v="7"/>
    <x v="2"/>
    <s v="United States"/>
    <x v="6"/>
    <x v="5"/>
    <x v="3"/>
    <n v="8"/>
    <n v="6056"/>
    <n v="1029.9000000000001"/>
  </r>
  <r>
    <x v="245"/>
    <x v="1"/>
    <x v="1"/>
    <s v="United States"/>
    <x v="131"/>
    <x v="12"/>
    <x v="1"/>
    <n v="6"/>
    <n v="606"/>
    <n v="104.52"/>
  </r>
  <r>
    <x v="301"/>
    <x v="6"/>
    <x v="1"/>
    <s v="United States"/>
    <x v="29"/>
    <x v="15"/>
    <x v="2"/>
    <n v="3"/>
    <n v="750"/>
    <n v="193.86"/>
  </r>
  <r>
    <x v="731"/>
    <x v="0"/>
    <x v="0"/>
    <s v="United States"/>
    <x v="6"/>
    <x v="5"/>
    <x v="3"/>
    <n v="2"/>
    <n v="1218"/>
    <n v="218.88"/>
  </r>
  <r>
    <x v="99"/>
    <x v="9"/>
    <x v="2"/>
    <s v="United States"/>
    <x v="19"/>
    <x v="15"/>
    <x v="2"/>
    <n v="2"/>
    <n v="2162"/>
    <n v="355.45"/>
  </r>
  <r>
    <x v="420"/>
    <x v="4"/>
    <x v="1"/>
    <s v="United States"/>
    <x v="26"/>
    <x v="1"/>
    <x v="0"/>
    <n v="9"/>
    <n v="2223"/>
    <n v="347.01"/>
  </r>
  <r>
    <x v="910"/>
    <x v="7"/>
    <x v="2"/>
    <s v="United States"/>
    <x v="135"/>
    <x v="2"/>
    <x v="1"/>
    <n v="7"/>
    <n v="4452"/>
    <n v="920.05"/>
  </r>
  <r>
    <x v="89"/>
    <x v="0"/>
    <x v="0"/>
    <s v="United States"/>
    <x v="21"/>
    <x v="5"/>
    <x v="3"/>
    <n v="1"/>
    <n v="184"/>
    <n v="50.19"/>
  </r>
  <r>
    <x v="911"/>
    <x v="4"/>
    <x v="1"/>
    <s v="United States"/>
    <x v="21"/>
    <x v="5"/>
    <x v="3"/>
    <n v="3"/>
    <n v="288"/>
    <n v="77.38"/>
  </r>
  <r>
    <x v="450"/>
    <x v="3"/>
    <x v="2"/>
    <s v="United States"/>
    <x v="13"/>
    <x v="7"/>
    <x v="2"/>
    <n v="2"/>
    <n v="834"/>
    <n v="150.12"/>
  </r>
  <r>
    <x v="500"/>
    <x v="8"/>
    <x v="1"/>
    <s v="United States"/>
    <x v="13"/>
    <x v="7"/>
    <x v="2"/>
    <n v="5"/>
    <n v="4025"/>
    <n v="923.17"/>
  </r>
  <r>
    <x v="912"/>
    <x v="4"/>
    <x v="1"/>
    <s v="United States"/>
    <x v="102"/>
    <x v="5"/>
    <x v="3"/>
    <n v="7"/>
    <n v="4732"/>
    <n v="1084.28"/>
  </r>
  <r>
    <x v="913"/>
    <x v="4"/>
    <x v="1"/>
    <s v="United States"/>
    <x v="102"/>
    <x v="5"/>
    <x v="3"/>
    <n v="5"/>
    <n v="4025"/>
    <n v="407.72"/>
  </r>
  <r>
    <x v="160"/>
    <x v="0"/>
    <x v="0"/>
    <s v="United States"/>
    <x v="155"/>
    <x v="2"/>
    <x v="1"/>
    <n v="8"/>
    <n v="2416"/>
    <n v="500.93"/>
  </r>
  <r>
    <x v="3"/>
    <x v="2"/>
    <x v="2"/>
    <s v="United States"/>
    <x v="77"/>
    <x v="7"/>
    <x v="2"/>
    <n v="7"/>
    <n v="1897"/>
    <n v="524.69000000000005"/>
  </r>
  <r>
    <x v="812"/>
    <x v="1"/>
    <x v="1"/>
    <s v="United States"/>
    <x v="2"/>
    <x v="2"/>
    <x v="1"/>
    <n v="4"/>
    <n v="840"/>
    <n v="190.13"/>
  </r>
  <r>
    <x v="270"/>
    <x v="1"/>
    <x v="1"/>
    <s v="United States"/>
    <x v="144"/>
    <x v="5"/>
    <x v="3"/>
    <n v="8"/>
    <n v="6600"/>
    <n v="360.45"/>
  </r>
  <r>
    <x v="199"/>
    <x v="9"/>
    <x v="2"/>
    <s v="United States"/>
    <x v="144"/>
    <x v="5"/>
    <x v="3"/>
    <n v="2"/>
    <n v="2362"/>
    <n v="342.27"/>
  </r>
  <r>
    <x v="649"/>
    <x v="4"/>
    <x v="1"/>
    <s v="United States"/>
    <x v="114"/>
    <x v="20"/>
    <x v="2"/>
    <n v="6"/>
    <n v="2958"/>
    <n v="577.27"/>
  </r>
  <r>
    <x v="122"/>
    <x v="2"/>
    <x v="2"/>
    <s v="United States"/>
    <x v="15"/>
    <x v="13"/>
    <x v="1"/>
    <n v="1"/>
    <n v="477"/>
    <n v="56.49"/>
  </r>
  <r>
    <x v="824"/>
    <x v="8"/>
    <x v="1"/>
    <s v="United States"/>
    <x v="15"/>
    <x v="13"/>
    <x v="1"/>
    <n v="3"/>
    <n v="942"/>
    <n v="84.8"/>
  </r>
  <r>
    <x v="304"/>
    <x v="3"/>
    <x v="2"/>
    <s v="United States"/>
    <x v="41"/>
    <x v="30"/>
    <x v="0"/>
    <n v="2"/>
    <n v="2084"/>
    <n v="586.72"/>
  </r>
  <r>
    <x v="173"/>
    <x v="2"/>
    <x v="2"/>
    <s v="United States"/>
    <x v="15"/>
    <x v="13"/>
    <x v="1"/>
    <n v="6"/>
    <n v="4584"/>
    <n v="473.37"/>
  </r>
  <r>
    <x v="670"/>
    <x v="0"/>
    <x v="0"/>
    <s v="United States"/>
    <x v="15"/>
    <x v="13"/>
    <x v="1"/>
    <n v="1"/>
    <n v="1118"/>
    <n v="319.27999999999997"/>
  </r>
  <r>
    <x v="261"/>
    <x v="1"/>
    <x v="1"/>
    <s v="United States"/>
    <x v="2"/>
    <x v="2"/>
    <x v="1"/>
    <n v="9"/>
    <n v="4005"/>
    <n v="652.15"/>
  </r>
  <r>
    <x v="117"/>
    <x v="5"/>
    <x v="2"/>
    <s v="United States"/>
    <x v="2"/>
    <x v="2"/>
    <x v="1"/>
    <n v="5"/>
    <n v="4610"/>
    <n v="1293.3699999999999"/>
  </r>
  <r>
    <x v="859"/>
    <x v="8"/>
    <x v="1"/>
    <s v="United States"/>
    <x v="13"/>
    <x v="7"/>
    <x v="2"/>
    <n v="1"/>
    <n v="551"/>
    <n v="86.84"/>
  </r>
  <r>
    <x v="87"/>
    <x v="0"/>
    <x v="0"/>
    <s v="United States"/>
    <x v="13"/>
    <x v="7"/>
    <x v="2"/>
    <n v="1"/>
    <n v="75"/>
    <n v="19.29"/>
  </r>
  <r>
    <x v="453"/>
    <x v="1"/>
    <x v="1"/>
    <s v="United States"/>
    <x v="2"/>
    <x v="2"/>
    <x v="1"/>
    <n v="6"/>
    <n v="6576"/>
    <n v="1899.67"/>
  </r>
  <r>
    <x v="99"/>
    <x v="0"/>
    <x v="0"/>
    <s v="United States"/>
    <x v="2"/>
    <x v="2"/>
    <x v="1"/>
    <n v="6"/>
    <n v="6432"/>
    <n v="1410.52"/>
  </r>
  <r>
    <x v="358"/>
    <x v="4"/>
    <x v="1"/>
    <s v="United States"/>
    <x v="175"/>
    <x v="2"/>
    <x v="1"/>
    <n v="7"/>
    <n v="7763"/>
    <n v="1444.27"/>
  </r>
  <r>
    <x v="578"/>
    <x v="6"/>
    <x v="1"/>
    <s v="United States"/>
    <x v="28"/>
    <x v="2"/>
    <x v="1"/>
    <n v="7"/>
    <n v="2240"/>
    <n v="622.29"/>
  </r>
  <r>
    <x v="41"/>
    <x v="4"/>
    <x v="1"/>
    <s v="United States"/>
    <x v="6"/>
    <x v="5"/>
    <x v="3"/>
    <n v="6"/>
    <n v="5298"/>
    <n v="1209.8800000000001"/>
  </r>
  <r>
    <x v="160"/>
    <x v="5"/>
    <x v="2"/>
    <s v="United States"/>
    <x v="3"/>
    <x v="3"/>
    <x v="2"/>
    <n v="2"/>
    <n v="116"/>
    <n v="32.270000000000003"/>
  </r>
  <r>
    <x v="914"/>
    <x v="2"/>
    <x v="2"/>
    <s v="United States"/>
    <x v="2"/>
    <x v="2"/>
    <x v="1"/>
    <n v="8"/>
    <n v="6728"/>
    <n v="1140.19"/>
  </r>
  <r>
    <x v="899"/>
    <x v="6"/>
    <x v="1"/>
    <s v="United States"/>
    <x v="2"/>
    <x v="2"/>
    <x v="1"/>
    <n v="5"/>
    <n v="490"/>
    <n v="55.59"/>
  </r>
  <r>
    <x v="611"/>
    <x v="6"/>
    <x v="1"/>
    <s v="United States"/>
    <x v="3"/>
    <x v="3"/>
    <x v="2"/>
    <n v="7"/>
    <n v="2765"/>
    <n v="699.86"/>
  </r>
  <r>
    <x v="915"/>
    <x v="7"/>
    <x v="2"/>
    <s v="United States"/>
    <x v="356"/>
    <x v="16"/>
    <x v="3"/>
    <n v="8"/>
    <n v="2680"/>
    <n v="598.97"/>
  </r>
  <r>
    <x v="372"/>
    <x v="3"/>
    <x v="2"/>
    <s v="United States"/>
    <x v="13"/>
    <x v="7"/>
    <x v="2"/>
    <n v="2"/>
    <n v="2174"/>
    <n v="335.37"/>
  </r>
  <r>
    <x v="896"/>
    <x v="6"/>
    <x v="1"/>
    <s v="United States"/>
    <x v="247"/>
    <x v="25"/>
    <x v="0"/>
    <n v="9"/>
    <n v="5562"/>
    <n v="1258.1199999999999"/>
  </r>
  <r>
    <x v="11"/>
    <x v="7"/>
    <x v="2"/>
    <s v="United States"/>
    <x v="259"/>
    <x v="43"/>
    <x v="2"/>
    <n v="8"/>
    <n v="9208"/>
    <n v="2595.33"/>
  </r>
  <r>
    <x v="557"/>
    <x v="7"/>
    <x v="2"/>
    <s v="United States"/>
    <x v="2"/>
    <x v="2"/>
    <x v="1"/>
    <n v="4"/>
    <n v="4512"/>
    <n v="546.71"/>
  </r>
  <r>
    <x v="117"/>
    <x v="3"/>
    <x v="2"/>
    <s v="United States"/>
    <x v="2"/>
    <x v="2"/>
    <x v="1"/>
    <n v="9"/>
    <n v="7974"/>
    <n v="1965.96"/>
  </r>
  <r>
    <x v="881"/>
    <x v="6"/>
    <x v="1"/>
    <s v="United States"/>
    <x v="9"/>
    <x v="8"/>
    <x v="3"/>
    <n v="6"/>
    <n v="4944"/>
    <n v="1335.04"/>
  </r>
  <r>
    <x v="120"/>
    <x v="0"/>
    <x v="0"/>
    <s v="United States"/>
    <x v="9"/>
    <x v="8"/>
    <x v="3"/>
    <n v="3"/>
    <n v="1611"/>
    <n v="234.84"/>
  </r>
  <r>
    <x v="528"/>
    <x v="5"/>
    <x v="2"/>
    <s v="United States"/>
    <x v="52"/>
    <x v="25"/>
    <x v="0"/>
    <n v="9"/>
    <n v="4599"/>
    <n v="618.89"/>
  </r>
  <r>
    <x v="726"/>
    <x v="9"/>
    <x v="2"/>
    <s v="United States"/>
    <x v="28"/>
    <x v="2"/>
    <x v="1"/>
    <n v="6"/>
    <n v="4380"/>
    <n v="419.3"/>
  </r>
  <r>
    <x v="836"/>
    <x v="4"/>
    <x v="1"/>
    <s v="United States"/>
    <x v="173"/>
    <x v="1"/>
    <x v="0"/>
    <n v="2"/>
    <n v="2376"/>
    <n v="580.26"/>
  </r>
  <r>
    <x v="564"/>
    <x v="6"/>
    <x v="1"/>
    <s v="United States"/>
    <x v="21"/>
    <x v="5"/>
    <x v="3"/>
    <n v="9"/>
    <n v="6588"/>
    <n v="1800.9"/>
  </r>
  <r>
    <x v="443"/>
    <x v="1"/>
    <x v="1"/>
    <s v="United States"/>
    <x v="309"/>
    <x v="18"/>
    <x v="2"/>
    <n v="5"/>
    <n v="3745"/>
    <n v="720.08"/>
  </r>
  <r>
    <x v="316"/>
    <x v="3"/>
    <x v="2"/>
    <s v="United States"/>
    <x v="247"/>
    <x v="25"/>
    <x v="0"/>
    <n v="5"/>
    <n v="5305"/>
    <n v="1389.25"/>
  </r>
  <r>
    <x v="130"/>
    <x v="2"/>
    <x v="2"/>
    <s v="United States"/>
    <x v="6"/>
    <x v="5"/>
    <x v="3"/>
    <n v="8"/>
    <n v="1608"/>
    <n v="332.12"/>
  </r>
  <r>
    <x v="361"/>
    <x v="6"/>
    <x v="1"/>
    <s v="United States"/>
    <x v="6"/>
    <x v="5"/>
    <x v="3"/>
    <n v="9"/>
    <n v="4977"/>
    <n v="745.81"/>
  </r>
  <r>
    <x v="460"/>
    <x v="7"/>
    <x v="2"/>
    <s v="United States"/>
    <x v="6"/>
    <x v="5"/>
    <x v="3"/>
    <n v="7"/>
    <n v="4529"/>
    <n v="273.97000000000003"/>
  </r>
  <r>
    <x v="404"/>
    <x v="3"/>
    <x v="2"/>
    <s v="United States"/>
    <x v="6"/>
    <x v="5"/>
    <x v="3"/>
    <n v="7"/>
    <n v="4690"/>
    <n v="319.42"/>
  </r>
  <r>
    <x v="916"/>
    <x v="8"/>
    <x v="1"/>
    <s v="United States"/>
    <x v="13"/>
    <x v="7"/>
    <x v="2"/>
    <n v="4"/>
    <n v="2424"/>
    <n v="544.07000000000005"/>
  </r>
  <r>
    <x v="492"/>
    <x v="8"/>
    <x v="1"/>
    <s v="United States"/>
    <x v="1"/>
    <x v="1"/>
    <x v="0"/>
    <n v="6"/>
    <n v="3594"/>
    <n v="610.77"/>
  </r>
  <r>
    <x v="806"/>
    <x v="8"/>
    <x v="1"/>
    <s v="United States"/>
    <x v="168"/>
    <x v="30"/>
    <x v="0"/>
    <n v="7"/>
    <n v="3962"/>
    <n v="491.9"/>
  </r>
  <r>
    <x v="685"/>
    <x v="3"/>
    <x v="2"/>
    <s v="United States"/>
    <x v="66"/>
    <x v="1"/>
    <x v="0"/>
    <n v="2"/>
    <n v="944"/>
    <n v="149.38"/>
  </r>
  <r>
    <x v="917"/>
    <x v="5"/>
    <x v="2"/>
    <s v="United States"/>
    <x v="28"/>
    <x v="2"/>
    <x v="1"/>
    <n v="6"/>
    <n v="6792"/>
    <n v="1787.97"/>
  </r>
  <r>
    <x v="536"/>
    <x v="2"/>
    <x v="2"/>
    <s v="United States"/>
    <x v="127"/>
    <x v="30"/>
    <x v="0"/>
    <n v="7"/>
    <n v="6804"/>
    <n v="1383.81"/>
  </r>
  <r>
    <x v="775"/>
    <x v="3"/>
    <x v="2"/>
    <s v="United States"/>
    <x v="365"/>
    <x v="5"/>
    <x v="3"/>
    <n v="6"/>
    <n v="816"/>
    <n v="98.75"/>
  </r>
  <r>
    <x v="637"/>
    <x v="6"/>
    <x v="1"/>
    <s v="United States"/>
    <x v="101"/>
    <x v="5"/>
    <x v="3"/>
    <n v="6"/>
    <n v="5916"/>
    <n v="544.59"/>
  </r>
  <r>
    <x v="669"/>
    <x v="1"/>
    <x v="1"/>
    <s v="United States"/>
    <x v="62"/>
    <x v="2"/>
    <x v="1"/>
    <n v="5"/>
    <n v="5730"/>
    <n v="310.58"/>
  </r>
  <r>
    <x v="468"/>
    <x v="4"/>
    <x v="1"/>
    <s v="United States"/>
    <x v="42"/>
    <x v="8"/>
    <x v="3"/>
    <n v="7"/>
    <n v="8288"/>
    <n v="785.54"/>
  </r>
  <r>
    <x v="839"/>
    <x v="4"/>
    <x v="1"/>
    <s v="United States"/>
    <x v="2"/>
    <x v="2"/>
    <x v="1"/>
    <n v="2"/>
    <n v="2046"/>
    <n v="394.93"/>
  </r>
  <r>
    <x v="918"/>
    <x v="2"/>
    <x v="2"/>
    <s v="United States"/>
    <x v="13"/>
    <x v="7"/>
    <x v="2"/>
    <n v="9"/>
    <n v="5031"/>
    <n v="1149.48"/>
  </r>
  <r>
    <x v="149"/>
    <x v="8"/>
    <x v="1"/>
    <s v="United States"/>
    <x v="13"/>
    <x v="7"/>
    <x v="2"/>
    <n v="9"/>
    <n v="1764"/>
    <n v="417.95"/>
  </r>
  <r>
    <x v="692"/>
    <x v="9"/>
    <x v="2"/>
    <s v="United States"/>
    <x v="28"/>
    <x v="2"/>
    <x v="1"/>
    <n v="8"/>
    <n v="1880"/>
    <n v="486.88"/>
  </r>
  <r>
    <x v="132"/>
    <x v="5"/>
    <x v="2"/>
    <s v="United States"/>
    <x v="15"/>
    <x v="13"/>
    <x v="1"/>
    <n v="2"/>
    <n v="200"/>
    <n v="10.45"/>
  </r>
  <r>
    <x v="789"/>
    <x v="1"/>
    <x v="1"/>
    <s v="United States"/>
    <x v="52"/>
    <x v="6"/>
    <x v="3"/>
    <n v="3"/>
    <n v="2688"/>
    <n v="476.77"/>
  </r>
  <r>
    <x v="622"/>
    <x v="9"/>
    <x v="2"/>
    <s v="United States"/>
    <x v="366"/>
    <x v="15"/>
    <x v="2"/>
    <n v="4"/>
    <n v="3216"/>
    <n v="213.81"/>
  </r>
  <r>
    <x v="12"/>
    <x v="3"/>
    <x v="2"/>
    <s v="United States"/>
    <x v="13"/>
    <x v="7"/>
    <x v="2"/>
    <n v="8"/>
    <n v="8440"/>
    <n v="1504.18"/>
  </r>
  <r>
    <x v="395"/>
    <x v="2"/>
    <x v="2"/>
    <s v="United States"/>
    <x v="79"/>
    <x v="16"/>
    <x v="3"/>
    <n v="7"/>
    <n v="1582"/>
    <n v="208.42"/>
  </r>
  <r>
    <x v="681"/>
    <x v="9"/>
    <x v="2"/>
    <s v="United States"/>
    <x v="79"/>
    <x v="16"/>
    <x v="3"/>
    <n v="1"/>
    <n v="58"/>
    <n v="10.79"/>
  </r>
  <r>
    <x v="627"/>
    <x v="5"/>
    <x v="2"/>
    <s v="United States"/>
    <x v="130"/>
    <x v="15"/>
    <x v="2"/>
    <n v="8"/>
    <n v="608"/>
    <n v="163.18"/>
  </r>
  <r>
    <x v="422"/>
    <x v="7"/>
    <x v="2"/>
    <s v="United States"/>
    <x v="130"/>
    <x v="15"/>
    <x v="2"/>
    <n v="3"/>
    <n v="183"/>
    <n v="41.82"/>
  </r>
  <r>
    <x v="766"/>
    <x v="6"/>
    <x v="1"/>
    <s v="United States"/>
    <x v="76"/>
    <x v="15"/>
    <x v="2"/>
    <n v="5"/>
    <n v="3105"/>
    <n v="744.26"/>
  </r>
  <r>
    <x v="129"/>
    <x v="6"/>
    <x v="1"/>
    <s v="United States"/>
    <x v="74"/>
    <x v="12"/>
    <x v="1"/>
    <n v="5"/>
    <n v="2450"/>
    <n v="485.18"/>
  </r>
  <r>
    <x v="86"/>
    <x v="9"/>
    <x v="2"/>
    <s v="United States"/>
    <x v="118"/>
    <x v="5"/>
    <x v="3"/>
    <n v="3"/>
    <n v="3024"/>
    <n v="622.29"/>
  </r>
  <r>
    <x v="157"/>
    <x v="0"/>
    <x v="0"/>
    <s v="United States"/>
    <x v="261"/>
    <x v="2"/>
    <x v="1"/>
    <n v="4"/>
    <n v="3856"/>
    <n v="747.79"/>
  </r>
  <r>
    <x v="919"/>
    <x v="8"/>
    <x v="1"/>
    <s v="United States"/>
    <x v="261"/>
    <x v="2"/>
    <x v="1"/>
    <n v="7"/>
    <n v="532"/>
    <n v="121.03"/>
  </r>
  <r>
    <x v="817"/>
    <x v="7"/>
    <x v="2"/>
    <s v="United States"/>
    <x v="261"/>
    <x v="2"/>
    <x v="1"/>
    <n v="4"/>
    <n v="3152"/>
    <n v="307.62"/>
  </r>
  <r>
    <x v="10"/>
    <x v="6"/>
    <x v="1"/>
    <s v="United States"/>
    <x v="261"/>
    <x v="2"/>
    <x v="1"/>
    <n v="9"/>
    <n v="8586"/>
    <n v="1555.82"/>
  </r>
  <r>
    <x v="30"/>
    <x v="6"/>
    <x v="1"/>
    <s v="United States"/>
    <x v="367"/>
    <x v="2"/>
    <x v="1"/>
    <n v="2"/>
    <n v="1046"/>
    <n v="273.38"/>
  </r>
  <r>
    <x v="483"/>
    <x v="2"/>
    <x v="2"/>
    <s v="United States"/>
    <x v="149"/>
    <x v="26"/>
    <x v="3"/>
    <n v="4"/>
    <n v="3452"/>
    <n v="560.30999999999995"/>
  </r>
  <r>
    <x v="655"/>
    <x v="6"/>
    <x v="1"/>
    <s v="United States"/>
    <x v="368"/>
    <x v="5"/>
    <x v="3"/>
    <n v="4"/>
    <n v="2368"/>
    <n v="361.02"/>
  </r>
  <r>
    <x v="199"/>
    <x v="3"/>
    <x v="2"/>
    <s v="United States"/>
    <x v="28"/>
    <x v="2"/>
    <x v="1"/>
    <n v="2"/>
    <n v="1924"/>
    <n v="422.25"/>
  </r>
  <r>
    <x v="399"/>
    <x v="9"/>
    <x v="2"/>
    <s v="United States"/>
    <x v="369"/>
    <x v="2"/>
    <x v="1"/>
    <n v="5"/>
    <n v="4580"/>
    <n v="1148.06"/>
  </r>
  <r>
    <x v="795"/>
    <x v="4"/>
    <x v="1"/>
    <s v="United States"/>
    <x v="2"/>
    <x v="2"/>
    <x v="1"/>
    <n v="5"/>
    <n v="3735"/>
    <n v="423.94"/>
  </r>
  <r>
    <x v="920"/>
    <x v="6"/>
    <x v="1"/>
    <s v="United States"/>
    <x v="13"/>
    <x v="7"/>
    <x v="2"/>
    <n v="4"/>
    <n v="2476"/>
    <n v="417.16"/>
  </r>
  <r>
    <x v="442"/>
    <x v="9"/>
    <x v="2"/>
    <s v="United States"/>
    <x v="370"/>
    <x v="6"/>
    <x v="3"/>
    <n v="2"/>
    <n v="162"/>
    <n v="16.510000000000002"/>
  </r>
  <r>
    <x v="509"/>
    <x v="0"/>
    <x v="0"/>
    <s v="United States"/>
    <x v="2"/>
    <x v="2"/>
    <x v="1"/>
    <n v="3"/>
    <n v="258"/>
    <n v="38.03"/>
  </r>
  <r>
    <x v="120"/>
    <x v="8"/>
    <x v="1"/>
    <s v="United States"/>
    <x v="6"/>
    <x v="5"/>
    <x v="3"/>
    <n v="4"/>
    <n v="3524"/>
    <n v="998.29"/>
  </r>
  <r>
    <x v="748"/>
    <x v="5"/>
    <x v="2"/>
    <s v="United States"/>
    <x v="19"/>
    <x v="14"/>
    <x v="2"/>
    <n v="8"/>
    <n v="6184"/>
    <n v="1796.9"/>
  </r>
  <r>
    <x v="401"/>
    <x v="6"/>
    <x v="1"/>
    <s v="United States"/>
    <x v="120"/>
    <x v="35"/>
    <x v="0"/>
    <n v="6"/>
    <n v="3750"/>
    <n v="645.69000000000005"/>
  </r>
  <r>
    <x v="102"/>
    <x v="1"/>
    <x v="1"/>
    <s v="United States"/>
    <x v="89"/>
    <x v="1"/>
    <x v="0"/>
    <n v="5"/>
    <n v="1465"/>
    <n v="424.64"/>
  </r>
  <r>
    <x v="594"/>
    <x v="3"/>
    <x v="2"/>
    <s v="United States"/>
    <x v="46"/>
    <x v="2"/>
    <x v="1"/>
    <n v="4"/>
    <n v="4480"/>
    <n v="412.05"/>
  </r>
  <r>
    <x v="544"/>
    <x v="9"/>
    <x v="2"/>
    <s v="United States"/>
    <x v="29"/>
    <x v="24"/>
    <x v="0"/>
    <n v="8"/>
    <n v="1544"/>
    <n v="281.22000000000003"/>
  </r>
  <r>
    <x v="184"/>
    <x v="4"/>
    <x v="1"/>
    <s v="United States"/>
    <x v="28"/>
    <x v="2"/>
    <x v="1"/>
    <n v="9"/>
    <n v="7974"/>
    <n v="1181.04"/>
  </r>
  <r>
    <x v="301"/>
    <x v="0"/>
    <x v="0"/>
    <s v="United States"/>
    <x v="28"/>
    <x v="2"/>
    <x v="1"/>
    <n v="5"/>
    <n v="5920"/>
    <n v="1679.15"/>
  </r>
  <r>
    <x v="710"/>
    <x v="5"/>
    <x v="2"/>
    <s v="United States"/>
    <x v="13"/>
    <x v="7"/>
    <x v="2"/>
    <n v="8"/>
    <n v="8792"/>
    <n v="2045.54"/>
  </r>
  <r>
    <x v="700"/>
    <x v="5"/>
    <x v="2"/>
    <s v="United States"/>
    <x v="237"/>
    <x v="32"/>
    <x v="2"/>
    <n v="1"/>
    <n v="294"/>
    <n v="52.37"/>
  </r>
  <r>
    <x v="150"/>
    <x v="3"/>
    <x v="2"/>
    <s v="United States"/>
    <x v="6"/>
    <x v="5"/>
    <x v="3"/>
    <n v="7"/>
    <n v="1169"/>
    <n v="264.37"/>
  </r>
  <r>
    <x v="921"/>
    <x v="3"/>
    <x v="2"/>
    <s v="United States"/>
    <x v="6"/>
    <x v="5"/>
    <x v="3"/>
    <n v="8"/>
    <n v="9232"/>
    <n v="880.52"/>
  </r>
  <r>
    <x v="6"/>
    <x v="4"/>
    <x v="1"/>
    <s v="United States"/>
    <x v="53"/>
    <x v="2"/>
    <x v="1"/>
    <n v="4"/>
    <n v="1396"/>
    <n v="135.47999999999999"/>
  </r>
  <r>
    <x v="203"/>
    <x v="3"/>
    <x v="2"/>
    <s v="United States"/>
    <x v="15"/>
    <x v="13"/>
    <x v="1"/>
    <n v="9"/>
    <n v="10188"/>
    <n v="1408.18"/>
  </r>
  <r>
    <x v="922"/>
    <x v="6"/>
    <x v="1"/>
    <s v="United States"/>
    <x v="1"/>
    <x v="1"/>
    <x v="0"/>
    <n v="2"/>
    <n v="222"/>
    <n v="23.65"/>
  </r>
  <r>
    <x v="840"/>
    <x v="6"/>
    <x v="1"/>
    <s v="United States"/>
    <x v="77"/>
    <x v="7"/>
    <x v="2"/>
    <n v="2"/>
    <n v="1328"/>
    <n v="358.07"/>
  </r>
  <r>
    <x v="177"/>
    <x v="0"/>
    <x v="0"/>
    <s v="United States"/>
    <x v="317"/>
    <x v="8"/>
    <x v="3"/>
    <n v="9"/>
    <n v="5085"/>
    <n v="488.63"/>
  </r>
  <r>
    <x v="923"/>
    <x v="1"/>
    <x v="1"/>
    <s v="United States"/>
    <x v="28"/>
    <x v="2"/>
    <x v="1"/>
    <n v="3"/>
    <n v="1245"/>
    <n v="229.73"/>
  </r>
  <r>
    <x v="480"/>
    <x v="2"/>
    <x v="2"/>
    <s v="United States"/>
    <x v="28"/>
    <x v="2"/>
    <x v="1"/>
    <n v="2"/>
    <n v="960"/>
    <n v="124.02"/>
  </r>
  <r>
    <x v="293"/>
    <x v="7"/>
    <x v="2"/>
    <s v="United States"/>
    <x v="13"/>
    <x v="7"/>
    <x v="2"/>
    <n v="9"/>
    <n v="5553"/>
    <n v="329.79"/>
  </r>
  <r>
    <x v="593"/>
    <x v="8"/>
    <x v="1"/>
    <s v="United States"/>
    <x v="124"/>
    <x v="2"/>
    <x v="1"/>
    <n v="2"/>
    <n v="1790"/>
    <n v="236.76"/>
  </r>
  <r>
    <x v="325"/>
    <x v="8"/>
    <x v="1"/>
    <s v="United States"/>
    <x v="102"/>
    <x v="2"/>
    <x v="1"/>
    <n v="8"/>
    <n v="2712"/>
    <n v="247.84"/>
  </r>
  <r>
    <x v="274"/>
    <x v="9"/>
    <x v="2"/>
    <s v="United States"/>
    <x v="102"/>
    <x v="2"/>
    <x v="1"/>
    <n v="1"/>
    <n v="632"/>
    <n v="89.14"/>
  </r>
  <r>
    <x v="555"/>
    <x v="4"/>
    <x v="1"/>
    <s v="United States"/>
    <x v="3"/>
    <x v="3"/>
    <x v="2"/>
    <n v="8"/>
    <n v="4904"/>
    <n v="520.74"/>
  </r>
  <r>
    <x v="86"/>
    <x v="8"/>
    <x v="1"/>
    <s v="United States"/>
    <x v="29"/>
    <x v="15"/>
    <x v="2"/>
    <n v="1"/>
    <n v="361"/>
    <n v="58.8"/>
  </r>
  <r>
    <x v="691"/>
    <x v="0"/>
    <x v="0"/>
    <s v="United States"/>
    <x v="319"/>
    <x v="16"/>
    <x v="3"/>
    <n v="9"/>
    <n v="7290"/>
    <n v="841.07"/>
  </r>
  <r>
    <x v="729"/>
    <x v="5"/>
    <x v="2"/>
    <s v="United States"/>
    <x v="6"/>
    <x v="5"/>
    <x v="3"/>
    <n v="4"/>
    <n v="2052"/>
    <n v="181.64"/>
  </r>
  <r>
    <x v="765"/>
    <x v="1"/>
    <x v="1"/>
    <s v="United States"/>
    <x v="41"/>
    <x v="30"/>
    <x v="0"/>
    <n v="3"/>
    <n v="1842"/>
    <n v="112.85"/>
  </r>
  <r>
    <x v="216"/>
    <x v="1"/>
    <x v="1"/>
    <s v="United States"/>
    <x v="124"/>
    <x v="2"/>
    <x v="1"/>
    <n v="9"/>
    <n v="10593"/>
    <n v="2488.69"/>
  </r>
  <r>
    <x v="905"/>
    <x v="3"/>
    <x v="2"/>
    <s v="United States"/>
    <x v="320"/>
    <x v="46"/>
    <x v="1"/>
    <n v="6"/>
    <n v="1218"/>
    <n v="129.36000000000001"/>
  </r>
  <r>
    <x v="359"/>
    <x v="1"/>
    <x v="1"/>
    <s v="United States"/>
    <x v="59"/>
    <x v="15"/>
    <x v="2"/>
    <n v="5"/>
    <n v="4240"/>
    <n v="426.41"/>
  </r>
  <r>
    <x v="774"/>
    <x v="8"/>
    <x v="1"/>
    <s v="United States"/>
    <x v="258"/>
    <x v="37"/>
    <x v="3"/>
    <n v="2"/>
    <n v="226"/>
    <n v="38.520000000000003"/>
  </r>
  <r>
    <x v="219"/>
    <x v="3"/>
    <x v="2"/>
    <s v="United States"/>
    <x v="2"/>
    <x v="2"/>
    <x v="1"/>
    <n v="6"/>
    <n v="5154"/>
    <n v="1072.8"/>
  </r>
  <r>
    <x v="924"/>
    <x v="1"/>
    <x v="1"/>
    <s v="United States"/>
    <x v="321"/>
    <x v="13"/>
    <x v="1"/>
    <n v="6"/>
    <n v="1236"/>
    <n v="304.88"/>
  </r>
  <r>
    <x v="137"/>
    <x v="2"/>
    <x v="2"/>
    <s v="United States"/>
    <x v="322"/>
    <x v="8"/>
    <x v="3"/>
    <n v="1"/>
    <n v="1179"/>
    <n v="159.41999999999999"/>
  </r>
  <r>
    <x v="343"/>
    <x v="0"/>
    <x v="0"/>
    <s v="United States"/>
    <x v="322"/>
    <x v="8"/>
    <x v="3"/>
    <n v="5"/>
    <n v="2275"/>
    <n v="313.5"/>
  </r>
  <r>
    <x v="722"/>
    <x v="5"/>
    <x v="2"/>
    <s v="United States"/>
    <x v="322"/>
    <x v="8"/>
    <x v="3"/>
    <n v="7"/>
    <n v="6188"/>
    <n v="1231.3"/>
  </r>
  <r>
    <x v="309"/>
    <x v="4"/>
    <x v="1"/>
    <s v="United States"/>
    <x v="98"/>
    <x v="1"/>
    <x v="0"/>
    <n v="3"/>
    <n v="2946"/>
    <n v="666.99"/>
  </r>
  <r>
    <x v="593"/>
    <x v="4"/>
    <x v="1"/>
    <s v="United States"/>
    <x v="215"/>
    <x v="5"/>
    <x v="3"/>
    <n v="5"/>
    <n v="5085"/>
    <n v="1172.1199999999999"/>
  </r>
  <r>
    <x v="658"/>
    <x v="8"/>
    <x v="1"/>
    <s v="United States"/>
    <x v="124"/>
    <x v="2"/>
    <x v="1"/>
    <n v="2"/>
    <n v="712"/>
    <n v="205.53"/>
  </r>
  <r>
    <x v="268"/>
    <x v="5"/>
    <x v="2"/>
    <s v="United States"/>
    <x v="13"/>
    <x v="7"/>
    <x v="2"/>
    <n v="6"/>
    <n v="648"/>
    <n v="62.25"/>
  </r>
  <r>
    <x v="374"/>
    <x v="1"/>
    <x v="1"/>
    <s v="United States"/>
    <x v="13"/>
    <x v="7"/>
    <x v="2"/>
    <n v="5"/>
    <n v="2735"/>
    <n v="483.2"/>
  </r>
  <r>
    <x v="570"/>
    <x v="0"/>
    <x v="0"/>
    <s v="United States"/>
    <x v="13"/>
    <x v="7"/>
    <x v="2"/>
    <n v="6"/>
    <n v="2910"/>
    <n v="173.45"/>
  </r>
  <r>
    <x v="16"/>
    <x v="5"/>
    <x v="2"/>
    <s v="United States"/>
    <x v="323"/>
    <x v="2"/>
    <x v="1"/>
    <n v="1"/>
    <n v="263"/>
    <n v="69.39"/>
  </r>
  <r>
    <x v="64"/>
    <x v="7"/>
    <x v="2"/>
    <s v="United States"/>
    <x v="9"/>
    <x v="8"/>
    <x v="3"/>
    <n v="2"/>
    <n v="876"/>
    <n v="66.680000000000007"/>
  </r>
  <r>
    <x v="572"/>
    <x v="1"/>
    <x v="1"/>
    <s v="United States"/>
    <x v="26"/>
    <x v="1"/>
    <x v="0"/>
    <n v="1"/>
    <n v="913"/>
    <n v="162.24"/>
  </r>
  <r>
    <x v="224"/>
    <x v="9"/>
    <x v="2"/>
    <s v="United States"/>
    <x v="26"/>
    <x v="1"/>
    <x v="0"/>
    <n v="9"/>
    <n v="594"/>
    <n v="93.92"/>
  </r>
  <r>
    <x v="558"/>
    <x v="4"/>
    <x v="1"/>
    <s v="United States"/>
    <x v="13"/>
    <x v="7"/>
    <x v="2"/>
    <n v="2"/>
    <n v="956"/>
    <n v="202.14"/>
  </r>
  <r>
    <x v="373"/>
    <x v="9"/>
    <x v="2"/>
    <s v="United States"/>
    <x v="13"/>
    <x v="7"/>
    <x v="2"/>
    <n v="7"/>
    <n v="7301"/>
    <n v="2026.43"/>
  </r>
  <r>
    <x v="654"/>
    <x v="4"/>
    <x v="1"/>
    <s v="United States"/>
    <x v="182"/>
    <x v="24"/>
    <x v="0"/>
    <n v="6"/>
    <n v="5754"/>
    <n v="1628.61"/>
  </r>
  <r>
    <x v="925"/>
    <x v="4"/>
    <x v="1"/>
    <s v="United States"/>
    <x v="182"/>
    <x v="24"/>
    <x v="0"/>
    <n v="4"/>
    <n v="1372"/>
    <n v="274.47000000000003"/>
  </r>
  <r>
    <x v="926"/>
    <x v="4"/>
    <x v="1"/>
    <s v="United States"/>
    <x v="51"/>
    <x v="1"/>
    <x v="0"/>
    <n v="8"/>
    <n v="920"/>
    <n v="214.27"/>
  </r>
  <r>
    <x v="927"/>
    <x v="7"/>
    <x v="2"/>
    <s v="United States"/>
    <x v="51"/>
    <x v="1"/>
    <x v="0"/>
    <n v="3"/>
    <n v="885"/>
    <n v="150.79"/>
  </r>
  <r>
    <x v="773"/>
    <x v="3"/>
    <x v="2"/>
    <s v="United States"/>
    <x v="43"/>
    <x v="22"/>
    <x v="1"/>
    <n v="1"/>
    <n v="379"/>
    <n v="39.409999999999997"/>
  </r>
  <r>
    <x v="299"/>
    <x v="4"/>
    <x v="1"/>
    <s v="United States"/>
    <x v="3"/>
    <x v="3"/>
    <x v="2"/>
    <n v="8"/>
    <n v="1024"/>
    <n v="201.92"/>
  </r>
  <r>
    <x v="28"/>
    <x v="8"/>
    <x v="1"/>
    <s v="United States"/>
    <x v="2"/>
    <x v="2"/>
    <x v="1"/>
    <n v="4"/>
    <n v="4312"/>
    <n v="388.48"/>
  </r>
  <r>
    <x v="68"/>
    <x v="1"/>
    <x v="1"/>
    <s v="United States"/>
    <x v="3"/>
    <x v="3"/>
    <x v="2"/>
    <n v="5"/>
    <n v="5030"/>
    <n v="540.73"/>
  </r>
  <r>
    <x v="429"/>
    <x v="7"/>
    <x v="2"/>
    <s v="United States"/>
    <x v="70"/>
    <x v="27"/>
    <x v="3"/>
    <n v="2"/>
    <n v="1438"/>
    <n v="315.83"/>
  </r>
  <r>
    <x v="709"/>
    <x v="8"/>
    <x v="1"/>
    <s v="United States"/>
    <x v="196"/>
    <x v="9"/>
    <x v="0"/>
    <n v="1"/>
    <n v="419"/>
    <n v="108.36"/>
  </r>
  <r>
    <x v="857"/>
    <x v="4"/>
    <x v="1"/>
    <s v="United States"/>
    <x v="196"/>
    <x v="9"/>
    <x v="0"/>
    <n v="3"/>
    <n v="3519"/>
    <n v="935.72"/>
  </r>
  <r>
    <x v="384"/>
    <x v="2"/>
    <x v="2"/>
    <s v="United States"/>
    <x v="13"/>
    <x v="7"/>
    <x v="2"/>
    <n v="8"/>
    <n v="2912"/>
    <n v="451.97"/>
  </r>
  <r>
    <x v="507"/>
    <x v="7"/>
    <x v="2"/>
    <s v="United States"/>
    <x v="13"/>
    <x v="7"/>
    <x v="2"/>
    <n v="5"/>
    <n v="4005"/>
    <n v="226.09"/>
  </r>
  <r>
    <x v="858"/>
    <x v="5"/>
    <x v="2"/>
    <s v="United States"/>
    <x v="15"/>
    <x v="13"/>
    <x v="1"/>
    <n v="5"/>
    <n v="2075"/>
    <n v="271.70999999999998"/>
  </r>
  <r>
    <x v="626"/>
    <x v="9"/>
    <x v="2"/>
    <s v="United States"/>
    <x v="324"/>
    <x v="2"/>
    <x v="1"/>
    <n v="2"/>
    <n v="120"/>
    <n v="7.74"/>
  </r>
  <r>
    <x v="518"/>
    <x v="3"/>
    <x v="2"/>
    <s v="United States"/>
    <x v="324"/>
    <x v="2"/>
    <x v="1"/>
    <n v="4"/>
    <n v="564"/>
    <n v="32.799999999999997"/>
  </r>
  <r>
    <x v="487"/>
    <x v="5"/>
    <x v="2"/>
    <s v="United States"/>
    <x v="324"/>
    <x v="2"/>
    <x v="1"/>
    <n v="2"/>
    <n v="486"/>
    <n v="62.58"/>
  </r>
  <r>
    <x v="269"/>
    <x v="5"/>
    <x v="2"/>
    <s v="United States"/>
    <x v="324"/>
    <x v="2"/>
    <x v="1"/>
    <n v="2"/>
    <n v="1488"/>
    <n v="342.87"/>
  </r>
  <r>
    <x v="144"/>
    <x v="9"/>
    <x v="2"/>
    <s v="United States"/>
    <x v="2"/>
    <x v="2"/>
    <x v="1"/>
    <n v="6"/>
    <n v="3096"/>
    <n v="277.68"/>
  </r>
  <r>
    <x v="254"/>
    <x v="5"/>
    <x v="2"/>
    <s v="United States"/>
    <x v="219"/>
    <x v="15"/>
    <x v="2"/>
    <n v="8"/>
    <n v="6488"/>
    <n v="1845.07"/>
  </r>
  <r>
    <x v="896"/>
    <x v="5"/>
    <x v="2"/>
    <s v="United States"/>
    <x v="325"/>
    <x v="36"/>
    <x v="1"/>
    <n v="4"/>
    <n v="4284"/>
    <n v="848.44"/>
  </r>
  <r>
    <x v="782"/>
    <x v="5"/>
    <x v="2"/>
    <s v="United States"/>
    <x v="3"/>
    <x v="3"/>
    <x v="2"/>
    <n v="8"/>
    <n v="1864"/>
    <n v="110.81"/>
  </r>
  <r>
    <x v="111"/>
    <x v="3"/>
    <x v="2"/>
    <s v="United States"/>
    <x v="3"/>
    <x v="3"/>
    <x v="2"/>
    <n v="5"/>
    <n v="4435"/>
    <n v="954.12"/>
  </r>
  <r>
    <x v="141"/>
    <x v="3"/>
    <x v="2"/>
    <s v="United States"/>
    <x v="6"/>
    <x v="5"/>
    <x v="3"/>
    <n v="4"/>
    <n v="3296"/>
    <n v="460.98"/>
  </r>
  <r>
    <x v="345"/>
    <x v="1"/>
    <x v="1"/>
    <s v="United States"/>
    <x v="6"/>
    <x v="5"/>
    <x v="3"/>
    <n v="3"/>
    <n v="780"/>
    <n v="217.92"/>
  </r>
  <r>
    <x v="928"/>
    <x v="5"/>
    <x v="2"/>
    <s v="United States"/>
    <x v="326"/>
    <x v="13"/>
    <x v="1"/>
    <n v="7"/>
    <n v="4396"/>
    <n v="962.61"/>
  </r>
  <r>
    <x v="772"/>
    <x v="8"/>
    <x v="1"/>
    <s v="United States"/>
    <x v="2"/>
    <x v="2"/>
    <x v="1"/>
    <n v="6"/>
    <n v="1362"/>
    <n v="202.68"/>
  </r>
  <r>
    <x v="555"/>
    <x v="1"/>
    <x v="1"/>
    <s v="United States"/>
    <x v="9"/>
    <x v="8"/>
    <x v="3"/>
    <n v="7"/>
    <n v="3843"/>
    <n v="378.03"/>
  </r>
  <r>
    <x v="693"/>
    <x v="0"/>
    <x v="0"/>
    <s v="United States"/>
    <x v="270"/>
    <x v="9"/>
    <x v="0"/>
    <n v="2"/>
    <n v="2080"/>
    <n v="450.24"/>
  </r>
  <r>
    <x v="709"/>
    <x v="1"/>
    <x v="1"/>
    <s v="United States"/>
    <x v="6"/>
    <x v="5"/>
    <x v="3"/>
    <n v="5"/>
    <n v="1210"/>
    <n v="201.45"/>
  </r>
  <r>
    <x v="886"/>
    <x v="0"/>
    <x v="0"/>
    <s v="United States"/>
    <x v="61"/>
    <x v="25"/>
    <x v="0"/>
    <n v="3"/>
    <n v="2316"/>
    <n v="356.5"/>
  </r>
  <r>
    <x v="21"/>
    <x v="6"/>
    <x v="1"/>
    <s v="United States"/>
    <x v="61"/>
    <x v="25"/>
    <x v="0"/>
    <n v="6"/>
    <n v="3366"/>
    <n v="614.22"/>
  </r>
  <r>
    <x v="648"/>
    <x v="2"/>
    <x v="2"/>
    <s v="United States"/>
    <x v="2"/>
    <x v="2"/>
    <x v="1"/>
    <n v="9"/>
    <n v="6507"/>
    <n v="1075.51"/>
  </r>
  <r>
    <x v="146"/>
    <x v="1"/>
    <x v="1"/>
    <s v="United States"/>
    <x v="13"/>
    <x v="7"/>
    <x v="2"/>
    <n v="1"/>
    <n v="384"/>
    <n v="35.36"/>
  </r>
  <r>
    <x v="443"/>
    <x v="9"/>
    <x v="2"/>
    <s v="United States"/>
    <x v="0"/>
    <x v="0"/>
    <x v="0"/>
    <n v="5"/>
    <n v="3625"/>
    <n v="563.95000000000005"/>
  </r>
  <r>
    <x v="91"/>
    <x v="2"/>
    <x v="2"/>
    <s v="United States"/>
    <x v="3"/>
    <x v="3"/>
    <x v="2"/>
    <n v="1"/>
    <n v="400"/>
    <n v="45.16"/>
  </r>
  <r>
    <x v="752"/>
    <x v="6"/>
    <x v="1"/>
    <s v="United States"/>
    <x v="63"/>
    <x v="28"/>
    <x v="2"/>
    <n v="5"/>
    <n v="2880"/>
    <n v="209.58"/>
  </r>
  <r>
    <x v="470"/>
    <x v="0"/>
    <x v="0"/>
    <s v="United States"/>
    <x v="2"/>
    <x v="2"/>
    <x v="1"/>
    <n v="6"/>
    <n v="1608"/>
    <n v="302.32"/>
  </r>
  <r>
    <x v="929"/>
    <x v="4"/>
    <x v="1"/>
    <s v="United States"/>
    <x v="6"/>
    <x v="5"/>
    <x v="3"/>
    <n v="2"/>
    <n v="1574"/>
    <n v="196.84"/>
  </r>
  <r>
    <x v="602"/>
    <x v="8"/>
    <x v="1"/>
    <s v="United States"/>
    <x v="327"/>
    <x v="2"/>
    <x v="1"/>
    <n v="3"/>
    <n v="2478"/>
    <n v="584.37"/>
  </r>
  <r>
    <x v="775"/>
    <x v="4"/>
    <x v="1"/>
    <s v="United States"/>
    <x v="327"/>
    <x v="2"/>
    <x v="1"/>
    <n v="8"/>
    <n v="8872"/>
    <n v="1486.58"/>
  </r>
  <r>
    <x v="153"/>
    <x v="0"/>
    <x v="0"/>
    <s v="United States"/>
    <x v="29"/>
    <x v="15"/>
    <x v="2"/>
    <n v="8"/>
    <n v="2320"/>
    <n v="668.63"/>
  </r>
  <r>
    <x v="587"/>
    <x v="4"/>
    <x v="1"/>
    <s v="United States"/>
    <x v="68"/>
    <x v="15"/>
    <x v="2"/>
    <n v="3"/>
    <n v="171"/>
    <n v="9.02"/>
  </r>
  <r>
    <x v="211"/>
    <x v="8"/>
    <x v="1"/>
    <s v="United States"/>
    <x v="195"/>
    <x v="36"/>
    <x v="1"/>
    <n v="8"/>
    <n v="4536"/>
    <n v="627.13"/>
  </r>
  <r>
    <x v="83"/>
    <x v="4"/>
    <x v="1"/>
    <s v="United States"/>
    <x v="28"/>
    <x v="2"/>
    <x v="1"/>
    <n v="3"/>
    <n v="1308"/>
    <n v="73.28"/>
  </r>
  <r>
    <x v="930"/>
    <x v="9"/>
    <x v="2"/>
    <s v="United States"/>
    <x v="328"/>
    <x v="12"/>
    <x v="1"/>
    <n v="4"/>
    <n v="4048"/>
    <n v="641.23"/>
  </r>
  <r>
    <x v="282"/>
    <x v="2"/>
    <x v="2"/>
    <s v="United States"/>
    <x v="328"/>
    <x v="12"/>
    <x v="1"/>
    <n v="9"/>
    <n v="4041"/>
    <n v="963.58"/>
  </r>
  <r>
    <x v="342"/>
    <x v="4"/>
    <x v="1"/>
    <s v="United States"/>
    <x v="329"/>
    <x v="30"/>
    <x v="0"/>
    <n v="5"/>
    <n v="5665"/>
    <n v="332.46"/>
  </r>
  <r>
    <x v="639"/>
    <x v="1"/>
    <x v="1"/>
    <s v="United States"/>
    <x v="329"/>
    <x v="30"/>
    <x v="0"/>
    <n v="6"/>
    <n v="6876"/>
    <n v="1029.92"/>
  </r>
  <r>
    <x v="885"/>
    <x v="6"/>
    <x v="1"/>
    <s v="United States"/>
    <x v="6"/>
    <x v="5"/>
    <x v="3"/>
    <n v="1"/>
    <n v="617"/>
    <n v="145.37"/>
  </r>
  <r>
    <x v="481"/>
    <x v="6"/>
    <x v="1"/>
    <s v="United States"/>
    <x v="22"/>
    <x v="12"/>
    <x v="1"/>
    <n v="6"/>
    <n v="1440"/>
    <n v="130.4"/>
  </r>
  <r>
    <x v="57"/>
    <x v="5"/>
    <x v="2"/>
    <s v="United States"/>
    <x v="22"/>
    <x v="12"/>
    <x v="1"/>
    <n v="8"/>
    <n v="472"/>
    <n v="116.36"/>
  </r>
  <r>
    <x v="308"/>
    <x v="9"/>
    <x v="2"/>
    <s v="United States"/>
    <x v="22"/>
    <x v="12"/>
    <x v="1"/>
    <n v="5"/>
    <n v="5640"/>
    <n v="1227.77"/>
  </r>
  <r>
    <x v="931"/>
    <x v="4"/>
    <x v="1"/>
    <s v="United States"/>
    <x v="6"/>
    <x v="5"/>
    <x v="3"/>
    <n v="6"/>
    <n v="2640"/>
    <n v="668.12"/>
  </r>
  <r>
    <x v="164"/>
    <x v="7"/>
    <x v="2"/>
    <s v="United States"/>
    <x v="3"/>
    <x v="3"/>
    <x v="2"/>
    <n v="3"/>
    <n v="768"/>
    <n v="72.67"/>
  </r>
  <r>
    <x v="932"/>
    <x v="8"/>
    <x v="1"/>
    <s v="United States"/>
    <x v="62"/>
    <x v="7"/>
    <x v="2"/>
    <n v="1"/>
    <n v="725"/>
    <n v="81.96"/>
  </r>
  <r>
    <x v="74"/>
    <x v="4"/>
    <x v="1"/>
    <s v="United States"/>
    <x v="68"/>
    <x v="3"/>
    <x v="2"/>
    <n v="8"/>
    <n v="1080"/>
    <n v="210.69"/>
  </r>
  <r>
    <x v="421"/>
    <x v="4"/>
    <x v="1"/>
    <s v="United States"/>
    <x v="9"/>
    <x v="8"/>
    <x v="3"/>
    <n v="1"/>
    <n v="393"/>
    <n v="40.340000000000003"/>
  </r>
  <r>
    <x v="525"/>
    <x v="5"/>
    <x v="2"/>
    <s v="United States"/>
    <x v="15"/>
    <x v="13"/>
    <x v="1"/>
    <n v="4"/>
    <n v="1264"/>
    <n v="371.92"/>
  </r>
  <r>
    <x v="52"/>
    <x v="4"/>
    <x v="1"/>
    <s v="United States"/>
    <x v="15"/>
    <x v="13"/>
    <x v="1"/>
    <n v="9"/>
    <n v="4797"/>
    <n v="1193.95"/>
  </r>
  <r>
    <x v="743"/>
    <x v="2"/>
    <x v="2"/>
    <s v="United States"/>
    <x v="330"/>
    <x v="25"/>
    <x v="0"/>
    <n v="8"/>
    <n v="2080"/>
    <n v="151.13999999999999"/>
  </r>
  <r>
    <x v="93"/>
    <x v="3"/>
    <x v="2"/>
    <s v="United States"/>
    <x v="70"/>
    <x v="27"/>
    <x v="3"/>
    <n v="4"/>
    <n v="3812"/>
    <n v="312.8"/>
  </r>
  <r>
    <x v="400"/>
    <x v="1"/>
    <x v="1"/>
    <s v="United States"/>
    <x v="13"/>
    <x v="7"/>
    <x v="2"/>
    <n v="5"/>
    <n v="3695"/>
    <n v="463.57"/>
  </r>
  <r>
    <x v="429"/>
    <x v="1"/>
    <x v="1"/>
    <s v="United States"/>
    <x v="18"/>
    <x v="2"/>
    <x v="1"/>
    <n v="1"/>
    <n v="1159"/>
    <n v="344.22"/>
  </r>
  <r>
    <x v="933"/>
    <x v="2"/>
    <x v="2"/>
    <s v="United States"/>
    <x v="3"/>
    <x v="3"/>
    <x v="2"/>
    <n v="9"/>
    <n v="4149"/>
    <n v="605.52"/>
  </r>
  <r>
    <x v="64"/>
    <x v="8"/>
    <x v="1"/>
    <s v="United States"/>
    <x v="3"/>
    <x v="3"/>
    <x v="2"/>
    <n v="2"/>
    <n v="1446"/>
    <n v="171.73"/>
  </r>
  <r>
    <x v="751"/>
    <x v="9"/>
    <x v="2"/>
    <s v="United States"/>
    <x v="3"/>
    <x v="3"/>
    <x v="2"/>
    <n v="1"/>
    <n v="225"/>
    <n v="48.82"/>
  </r>
  <r>
    <x v="677"/>
    <x v="4"/>
    <x v="1"/>
    <s v="United States"/>
    <x v="9"/>
    <x v="8"/>
    <x v="3"/>
    <n v="1"/>
    <n v="355"/>
    <n v="26.8"/>
  </r>
  <r>
    <x v="124"/>
    <x v="2"/>
    <x v="2"/>
    <s v="United States"/>
    <x v="9"/>
    <x v="8"/>
    <x v="3"/>
    <n v="7"/>
    <n v="3164"/>
    <n v="166.4"/>
  </r>
  <r>
    <x v="934"/>
    <x v="5"/>
    <x v="2"/>
    <s v="United States"/>
    <x v="13"/>
    <x v="7"/>
    <x v="2"/>
    <n v="1"/>
    <n v="498"/>
    <n v="38.67"/>
  </r>
  <r>
    <x v="869"/>
    <x v="4"/>
    <x v="1"/>
    <s v="United States"/>
    <x v="2"/>
    <x v="2"/>
    <x v="1"/>
    <n v="5"/>
    <n v="1315"/>
    <n v="217.79"/>
  </r>
  <r>
    <x v="602"/>
    <x v="4"/>
    <x v="1"/>
    <s v="United States"/>
    <x v="2"/>
    <x v="2"/>
    <x v="1"/>
    <n v="5"/>
    <n v="2805"/>
    <n v="438.89"/>
  </r>
  <r>
    <x v="506"/>
    <x v="6"/>
    <x v="1"/>
    <s v="United States"/>
    <x v="25"/>
    <x v="17"/>
    <x v="3"/>
    <n v="5"/>
    <n v="5180"/>
    <n v="726.62"/>
  </r>
  <r>
    <x v="935"/>
    <x v="3"/>
    <x v="2"/>
    <s v="United States"/>
    <x v="193"/>
    <x v="5"/>
    <x v="3"/>
    <n v="5"/>
    <n v="4045"/>
    <n v="203.35"/>
  </r>
  <r>
    <x v="936"/>
    <x v="9"/>
    <x v="2"/>
    <s v="United States"/>
    <x v="74"/>
    <x v="0"/>
    <x v="0"/>
    <n v="9"/>
    <n v="8793"/>
    <n v="2262.4299999999998"/>
  </r>
  <r>
    <x v="145"/>
    <x v="4"/>
    <x v="1"/>
    <s v="United States"/>
    <x v="74"/>
    <x v="0"/>
    <x v="0"/>
    <n v="8"/>
    <n v="2592"/>
    <n v="526.38"/>
  </r>
  <r>
    <x v="89"/>
    <x v="8"/>
    <x v="1"/>
    <s v="United States"/>
    <x v="74"/>
    <x v="0"/>
    <x v="0"/>
    <n v="7"/>
    <n v="7819"/>
    <n v="1708.84"/>
  </r>
  <r>
    <x v="325"/>
    <x v="5"/>
    <x v="2"/>
    <s v="United States"/>
    <x v="19"/>
    <x v="14"/>
    <x v="2"/>
    <n v="7"/>
    <n v="2919"/>
    <n v="325.35000000000002"/>
  </r>
  <r>
    <x v="937"/>
    <x v="0"/>
    <x v="0"/>
    <s v="United States"/>
    <x v="2"/>
    <x v="2"/>
    <x v="1"/>
    <n v="3"/>
    <n v="768"/>
    <n v="85.37"/>
  </r>
  <r>
    <x v="938"/>
    <x v="7"/>
    <x v="2"/>
    <s v="United States"/>
    <x v="28"/>
    <x v="2"/>
    <x v="1"/>
    <n v="2"/>
    <n v="1736"/>
    <n v="388.09"/>
  </r>
  <r>
    <x v="21"/>
    <x v="5"/>
    <x v="2"/>
    <s v="United States"/>
    <x v="149"/>
    <x v="15"/>
    <x v="2"/>
    <n v="7"/>
    <n v="6293"/>
    <n v="389.22"/>
  </r>
  <r>
    <x v="726"/>
    <x v="4"/>
    <x v="1"/>
    <s v="United States"/>
    <x v="205"/>
    <x v="34"/>
    <x v="1"/>
    <n v="6"/>
    <n v="3684"/>
    <n v="477.02"/>
  </r>
  <r>
    <x v="413"/>
    <x v="0"/>
    <x v="0"/>
    <s v="United States"/>
    <x v="2"/>
    <x v="2"/>
    <x v="1"/>
    <n v="9"/>
    <n v="8370"/>
    <n v="1064.6500000000001"/>
  </r>
  <r>
    <x v="354"/>
    <x v="8"/>
    <x v="1"/>
    <s v="United States"/>
    <x v="156"/>
    <x v="5"/>
    <x v="3"/>
    <n v="4"/>
    <n v="3788"/>
    <n v="875.54"/>
  </r>
  <r>
    <x v="858"/>
    <x v="9"/>
    <x v="2"/>
    <s v="United States"/>
    <x v="331"/>
    <x v="35"/>
    <x v="0"/>
    <n v="8"/>
    <n v="8296"/>
    <n v="1884.18"/>
  </r>
  <r>
    <x v="645"/>
    <x v="2"/>
    <x v="2"/>
    <s v="United States"/>
    <x v="114"/>
    <x v="20"/>
    <x v="2"/>
    <n v="5"/>
    <n v="325"/>
    <n v="21.01"/>
  </r>
  <r>
    <x v="797"/>
    <x v="3"/>
    <x v="2"/>
    <s v="United States"/>
    <x v="114"/>
    <x v="20"/>
    <x v="2"/>
    <n v="2"/>
    <n v="2216"/>
    <n v="444.36"/>
  </r>
  <r>
    <x v="429"/>
    <x v="9"/>
    <x v="2"/>
    <s v="United States"/>
    <x v="114"/>
    <x v="20"/>
    <x v="2"/>
    <n v="8"/>
    <n v="7064"/>
    <n v="1873.02"/>
  </r>
  <r>
    <x v="145"/>
    <x v="1"/>
    <x v="1"/>
    <s v="United States"/>
    <x v="134"/>
    <x v="38"/>
    <x v="2"/>
    <n v="9"/>
    <n v="2538"/>
    <n v="575.41"/>
  </r>
  <r>
    <x v="732"/>
    <x v="4"/>
    <x v="1"/>
    <s v="United States"/>
    <x v="134"/>
    <x v="38"/>
    <x v="2"/>
    <n v="1"/>
    <n v="1151"/>
    <n v="77.22"/>
  </r>
  <r>
    <x v="842"/>
    <x v="8"/>
    <x v="1"/>
    <s v="United States"/>
    <x v="38"/>
    <x v="17"/>
    <x v="3"/>
    <n v="1"/>
    <n v="717"/>
    <n v="137.27000000000001"/>
  </r>
  <r>
    <x v="187"/>
    <x v="5"/>
    <x v="2"/>
    <s v="United States"/>
    <x v="122"/>
    <x v="25"/>
    <x v="0"/>
    <n v="8"/>
    <n v="3048"/>
    <n v="444.3"/>
  </r>
  <r>
    <x v="674"/>
    <x v="8"/>
    <x v="1"/>
    <s v="United States"/>
    <x v="15"/>
    <x v="13"/>
    <x v="1"/>
    <n v="3"/>
    <n v="2070"/>
    <n v="163.22999999999999"/>
  </r>
  <r>
    <x v="939"/>
    <x v="3"/>
    <x v="2"/>
    <s v="United States"/>
    <x v="37"/>
    <x v="20"/>
    <x v="2"/>
    <n v="5"/>
    <n v="3630"/>
    <n v="537.92999999999995"/>
  </r>
  <r>
    <x v="110"/>
    <x v="2"/>
    <x v="2"/>
    <s v="United States"/>
    <x v="25"/>
    <x v="17"/>
    <x v="3"/>
    <n v="7"/>
    <n v="896"/>
    <n v="219.98"/>
  </r>
  <r>
    <x v="544"/>
    <x v="2"/>
    <x v="2"/>
    <s v="United States"/>
    <x v="160"/>
    <x v="30"/>
    <x v="0"/>
    <n v="7"/>
    <n v="1981"/>
    <n v="311.44"/>
  </r>
  <r>
    <x v="940"/>
    <x v="4"/>
    <x v="1"/>
    <s v="United States"/>
    <x v="198"/>
    <x v="5"/>
    <x v="3"/>
    <n v="6"/>
    <n v="7140"/>
    <n v="605.22"/>
  </r>
  <r>
    <x v="129"/>
    <x v="6"/>
    <x v="1"/>
    <s v="United States"/>
    <x v="15"/>
    <x v="13"/>
    <x v="1"/>
    <n v="5"/>
    <n v="1015"/>
    <n v="85.06"/>
  </r>
  <r>
    <x v="518"/>
    <x v="4"/>
    <x v="1"/>
    <s v="United States"/>
    <x v="58"/>
    <x v="25"/>
    <x v="0"/>
    <n v="4"/>
    <n v="524"/>
    <n v="52.31"/>
  </r>
  <r>
    <x v="431"/>
    <x v="5"/>
    <x v="2"/>
    <s v="United States"/>
    <x v="51"/>
    <x v="30"/>
    <x v="0"/>
    <n v="2"/>
    <n v="1678"/>
    <n v="372.78"/>
  </r>
  <r>
    <x v="251"/>
    <x v="2"/>
    <x v="2"/>
    <s v="United States"/>
    <x v="252"/>
    <x v="7"/>
    <x v="2"/>
    <n v="4"/>
    <n v="3260"/>
    <n v="969.76"/>
  </r>
  <r>
    <x v="941"/>
    <x v="4"/>
    <x v="1"/>
    <s v="United States"/>
    <x v="11"/>
    <x v="32"/>
    <x v="2"/>
    <n v="5"/>
    <n v="720"/>
    <n v="214.31"/>
  </r>
  <r>
    <x v="28"/>
    <x v="0"/>
    <x v="0"/>
    <s v="United States"/>
    <x v="127"/>
    <x v="30"/>
    <x v="0"/>
    <n v="4"/>
    <n v="1792"/>
    <n v="417.99"/>
  </r>
  <r>
    <x v="316"/>
    <x v="2"/>
    <x v="2"/>
    <s v="United States"/>
    <x v="9"/>
    <x v="8"/>
    <x v="3"/>
    <n v="9"/>
    <n v="3096"/>
    <n v="505.08"/>
  </r>
  <r>
    <x v="942"/>
    <x v="8"/>
    <x v="1"/>
    <s v="United States"/>
    <x v="13"/>
    <x v="7"/>
    <x v="2"/>
    <n v="5"/>
    <n v="1400"/>
    <n v="273.39"/>
  </r>
  <r>
    <x v="43"/>
    <x v="5"/>
    <x v="2"/>
    <s v="United States"/>
    <x v="99"/>
    <x v="2"/>
    <x v="1"/>
    <n v="4"/>
    <n v="508"/>
    <n v="37.94"/>
  </r>
  <r>
    <x v="615"/>
    <x v="2"/>
    <x v="2"/>
    <s v="United States"/>
    <x v="218"/>
    <x v="32"/>
    <x v="2"/>
    <n v="7"/>
    <n v="2646"/>
    <n v="380.83"/>
  </r>
  <r>
    <x v="588"/>
    <x v="1"/>
    <x v="1"/>
    <s v="United States"/>
    <x v="218"/>
    <x v="32"/>
    <x v="2"/>
    <n v="1"/>
    <n v="357"/>
    <n v="79.86"/>
  </r>
  <r>
    <x v="55"/>
    <x v="2"/>
    <x v="2"/>
    <s v="United States"/>
    <x v="2"/>
    <x v="2"/>
    <x v="1"/>
    <n v="1"/>
    <n v="373"/>
    <n v="53.15"/>
  </r>
  <r>
    <x v="650"/>
    <x v="7"/>
    <x v="2"/>
    <s v="United States"/>
    <x v="2"/>
    <x v="2"/>
    <x v="1"/>
    <n v="1"/>
    <n v="266"/>
    <n v="55.52"/>
  </r>
  <r>
    <x v="943"/>
    <x v="7"/>
    <x v="2"/>
    <s v="United States"/>
    <x v="248"/>
    <x v="7"/>
    <x v="2"/>
    <n v="4"/>
    <n v="344"/>
    <n v="25.7"/>
  </r>
  <r>
    <x v="373"/>
    <x v="7"/>
    <x v="2"/>
    <s v="United States"/>
    <x v="53"/>
    <x v="2"/>
    <x v="1"/>
    <n v="7"/>
    <n v="1806"/>
    <n v="308.92"/>
  </r>
  <r>
    <x v="563"/>
    <x v="0"/>
    <x v="0"/>
    <s v="United States"/>
    <x v="2"/>
    <x v="2"/>
    <x v="1"/>
    <n v="9"/>
    <n v="7281"/>
    <n v="396.28"/>
  </r>
  <r>
    <x v="168"/>
    <x v="5"/>
    <x v="2"/>
    <s v="United States"/>
    <x v="15"/>
    <x v="13"/>
    <x v="1"/>
    <n v="7"/>
    <n v="3094"/>
    <n v="463.72"/>
  </r>
  <r>
    <x v="59"/>
    <x v="8"/>
    <x v="1"/>
    <s v="United States"/>
    <x v="67"/>
    <x v="26"/>
    <x v="3"/>
    <n v="2"/>
    <n v="252"/>
    <n v="67.37"/>
  </r>
  <r>
    <x v="944"/>
    <x v="3"/>
    <x v="2"/>
    <s v="United States"/>
    <x v="191"/>
    <x v="5"/>
    <x v="3"/>
    <n v="9"/>
    <n v="2691"/>
    <n v="761.16"/>
  </r>
  <r>
    <x v="395"/>
    <x v="0"/>
    <x v="0"/>
    <s v="United States"/>
    <x v="6"/>
    <x v="5"/>
    <x v="3"/>
    <n v="6"/>
    <n v="990"/>
    <n v="102.83"/>
  </r>
  <r>
    <x v="918"/>
    <x v="5"/>
    <x v="2"/>
    <s v="United States"/>
    <x v="81"/>
    <x v="22"/>
    <x v="1"/>
    <n v="4"/>
    <n v="3236"/>
    <n v="655.17999999999995"/>
  </r>
  <r>
    <x v="944"/>
    <x v="9"/>
    <x v="2"/>
    <s v="United States"/>
    <x v="81"/>
    <x v="22"/>
    <x v="1"/>
    <n v="4"/>
    <n v="1076"/>
    <n v="124.56"/>
  </r>
  <r>
    <x v="612"/>
    <x v="2"/>
    <x v="2"/>
    <s v="United States"/>
    <x v="284"/>
    <x v="2"/>
    <x v="1"/>
    <n v="4"/>
    <n v="1428"/>
    <n v="160.54"/>
  </r>
  <r>
    <x v="802"/>
    <x v="8"/>
    <x v="1"/>
    <s v="United States"/>
    <x v="14"/>
    <x v="8"/>
    <x v="3"/>
    <n v="5"/>
    <n v="1000"/>
    <n v="292.04000000000002"/>
  </r>
  <r>
    <x v="42"/>
    <x v="5"/>
    <x v="2"/>
    <s v="United States"/>
    <x v="3"/>
    <x v="3"/>
    <x v="2"/>
    <n v="9"/>
    <n v="3429"/>
    <n v="998.82"/>
  </r>
  <r>
    <x v="391"/>
    <x v="6"/>
    <x v="1"/>
    <s v="United States"/>
    <x v="332"/>
    <x v="12"/>
    <x v="1"/>
    <n v="5"/>
    <n v="4730"/>
    <n v="1416.1"/>
  </r>
  <r>
    <x v="609"/>
    <x v="6"/>
    <x v="1"/>
    <s v="United States"/>
    <x v="332"/>
    <x v="12"/>
    <x v="1"/>
    <n v="6"/>
    <n v="6630"/>
    <n v="512.6"/>
  </r>
  <r>
    <x v="9"/>
    <x v="3"/>
    <x v="2"/>
    <s v="United States"/>
    <x v="332"/>
    <x v="12"/>
    <x v="1"/>
    <n v="7"/>
    <n v="2296"/>
    <n v="138.93"/>
  </r>
  <r>
    <x v="945"/>
    <x v="6"/>
    <x v="1"/>
    <s v="United States"/>
    <x v="160"/>
    <x v="31"/>
    <x v="0"/>
    <n v="7"/>
    <n v="7420"/>
    <n v="1107.31"/>
  </r>
  <r>
    <x v="472"/>
    <x v="0"/>
    <x v="0"/>
    <s v="United States"/>
    <x v="10"/>
    <x v="9"/>
    <x v="0"/>
    <n v="7"/>
    <n v="2338"/>
    <n v="531.5"/>
  </r>
  <r>
    <x v="165"/>
    <x v="8"/>
    <x v="1"/>
    <s v="United States"/>
    <x v="10"/>
    <x v="9"/>
    <x v="0"/>
    <n v="7"/>
    <n v="4039"/>
    <n v="420.29"/>
  </r>
  <r>
    <x v="130"/>
    <x v="9"/>
    <x v="2"/>
    <s v="United States"/>
    <x v="333"/>
    <x v="2"/>
    <x v="1"/>
    <n v="2"/>
    <n v="990"/>
    <n v="76.87"/>
  </r>
  <r>
    <x v="613"/>
    <x v="9"/>
    <x v="2"/>
    <s v="United States"/>
    <x v="333"/>
    <x v="2"/>
    <x v="1"/>
    <n v="1"/>
    <n v="733"/>
    <n v="54.11"/>
  </r>
  <r>
    <x v="450"/>
    <x v="7"/>
    <x v="2"/>
    <s v="United States"/>
    <x v="317"/>
    <x v="8"/>
    <x v="3"/>
    <n v="3"/>
    <n v="2421"/>
    <n v="334.61"/>
  </r>
  <r>
    <x v="685"/>
    <x v="8"/>
    <x v="1"/>
    <s v="United States"/>
    <x v="3"/>
    <x v="3"/>
    <x v="2"/>
    <n v="8"/>
    <n v="832"/>
    <n v="214.81"/>
  </r>
  <r>
    <x v="728"/>
    <x v="5"/>
    <x v="2"/>
    <s v="United States"/>
    <x v="13"/>
    <x v="7"/>
    <x v="2"/>
    <n v="1"/>
    <n v="483"/>
    <n v="98.15"/>
  </r>
  <r>
    <x v="946"/>
    <x v="8"/>
    <x v="1"/>
    <s v="United States"/>
    <x v="144"/>
    <x v="5"/>
    <x v="3"/>
    <n v="6"/>
    <n v="2508"/>
    <n v="480.48"/>
  </r>
  <r>
    <x v="487"/>
    <x v="8"/>
    <x v="1"/>
    <s v="United States"/>
    <x v="295"/>
    <x v="36"/>
    <x v="1"/>
    <n v="7"/>
    <n v="4032"/>
    <n v="426.13"/>
  </r>
  <r>
    <x v="102"/>
    <x v="8"/>
    <x v="1"/>
    <s v="United States"/>
    <x v="53"/>
    <x v="2"/>
    <x v="1"/>
    <n v="8"/>
    <n v="3208"/>
    <n v="840.97"/>
  </r>
  <r>
    <x v="870"/>
    <x v="5"/>
    <x v="2"/>
    <s v="United States"/>
    <x v="116"/>
    <x v="5"/>
    <x v="3"/>
    <n v="6"/>
    <n v="3402"/>
    <n v="857.61"/>
  </r>
  <r>
    <x v="486"/>
    <x v="4"/>
    <x v="1"/>
    <s v="United States"/>
    <x v="116"/>
    <x v="5"/>
    <x v="3"/>
    <n v="1"/>
    <n v="541"/>
    <n v="52.5"/>
  </r>
  <r>
    <x v="89"/>
    <x v="5"/>
    <x v="2"/>
    <s v="United States"/>
    <x v="297"/>
    <x v="2"/>
    <x v="1"/>
    <n v="7"/>
    <n v="1806"/>
    <n v="129.6"/>
  </r>
  <r>
    <x v="444"/>
    <x v="4"/>
    <x v="1"/>
    <s v="United States"/>
    <x v="297"/>
    <x v="2"/>
    <x v="1"/>
    <n v="3"/>
    <n v="2433"/>
    <n v="515.28"/>
  </r>
  <r>
    <x v="396"/>
    <x v="8"/>
    <x v="1"/>
    <s v="United States"/>
    <x v="297"/>
    <x v="2"/>
    <x v="1"/>
    <n v="6"/>
    <n v="5880"/>
    <n v="454.19"/>
  </r>
  <r>
    <x v="947"/>
    <x v="1"/>
    <x v="1"/>
    <s v="United States"/>
    <x v="22"/>
    <x v="12"/>
    <x v="1"/>
    <n v="3"/>
    <n v="3375"/>
    <n v="451.5"/>
  </r>
  <r>
    <x v="410"/>
    <x v="2"/>
    <x v="2"/>
    <s v="United States"/>
    <x v="22"/>
    <x v="12"/>
    <x v="1"/>
    <n v="8"/>
    <n v="6960"/>
    <n v="1913.58"/>
  </r>
  <r>
    <x v="933"/>
    <x v="8"/>
    <x v="1"/>
    <s v="United States"/>
    <x v="3"/>
    <x v="3"/>
    <x v="2"/>
    <n v="4"/>
    <n v="316"/>
    <n v="32.79"/>
  </r>
  <r>
    <x v="645"/>
    <x v="2"/>
    <x v="2"/>
    <s v="United States"/>
    <x v="334"/>
    <x v="18"/>
    <x v="2"/>
    <n v="9"/>
    <n v="1404"/>
    <n v="89.43"/>
  </r>
  <r>
    <x v="729"/>
    <x v="8"/>
    <x v="1"/>
    <s v="United States"/>
    <x v="14"/>
    <x v="12"/>
    <x v="1"/>
    <n v="9"/>
    <n v="5823"/>
    <n v="478.22"/>
  </r>
  <r>
    <x v="948"/>
    <x v="4"/>
    <x v="1"/>
    <s v="United States"/>
    <x v="53"/>
    <x v="2"/>
    <x v="1"/>
    <n v="6"/>
    <n v="2790"/>
    <n v="719.15"/>
  </r>
  <r>
    <x v="678"/>
    <x v="2"/>
    <x v="2"/>
    <s v="United States"/>
    <x v="15"/>
    <x v="13"/>
    <x v="1"/>
    <n v="7"/>
    <n v="1169"/>
    <n v="69.41"/>
  </r>
  <r>
    <x v="845"/>
    <x v="0"/>
    <x v="0"/>
    <s v="United States"/>
    <x v="172"/>
    <x v="20"/>
    <x v="2"/>
    <n v="8"/>
    <n v="6016"/>
    <n v="406.13"/>
  </r>
  <r>
    <x v="591"/>
    <x v="5"/>
    <x v="2"/>
    <s v="United States"/>
    <x v="172"/>
    <x v="20"/>
    <x v="2"/>
    <n v="7"/>
    <n v="7154"/>
    <n v="1177.51"/>
  </r>
  <r>
    <x v="778"/>
    <x v="8"/>
    <x v="1"/>
    <s v="United States"/>
    <x v="258"/>
    <x v="37"/>
    <x v="3"/>
    <n v="2"/>
    <n v="370"/>
    <n v="102.74"/>
  </r>
  <r>
    <x v="3"/>
    <x v="6"/>
    <x v="1"/>
    <s v="United States"/>
    <x v="13"/>
    <x v="7"/>
    <x v="2"/>
    <n v="1"/>
    <n v="430"/>
    <n v="113.57"/>
  </r>
  <r>
    <x v="503"/>
    <x v="5"/>
    <x v="2"/>
    <s v="United States"/>
    <x v="68"/>
    <x v="15"/>
    <x v="2"/>
    <n v="1"/>
    <n v="946"/>
    <n v="280.52999999999997"/>
  </r>
  <r>
    <x v="229"/>
    <x v="2"/>
    <x v="2"/>
    <s v="United States"/>
    <x v="144"/>
    <x v="5"/>
    <x v="3"/>
    <n v="8"/>
    <n v="984"/>
    <n v="73.84"/>
  </r>
  <r>
    <x v="818"/>
    <x v="8"/>
    <x v="1"/>
    <s v="United States"/>
    <x v="13"/>
    <x v="7"/>
    <x v="2"/>
    <n v="9"/>
    <n v="1467"/>
    <n v="372.17"/>
  </r>
  <r>
    <x v="173"/>
    <x v="7"/>
    <x v="2"/>
    <s v="United States"/>
    <x v="45"/>
    <x v="5"/>
    <x v="3"/>
    <n v="4"/>
    <n v="2444"/>
    <n v="155.41999999999999"/>
  </r>
  <r>
    <x v="949"/>
    <x v="1"/>
    <x v="1"/>
    <s v="United States"/>
    <x v="6"/>
    <x v="5"/>
    <x v="3"/>
    <n v="9"/>
    <n v="8640"/>
    <n v="1254.3"/>
  </r>
  <r>
    <x v="466"/>
    <x v="5"/>
    <x v="2"/>
    <s v="United States"/>
    <x v="2"/>
    <x v="2"/>
    <x v="1"/>
    <n v="9"/>
    <n v="3861"/>
    <n v="536.04"/>
  </r>
  <r>
    <x v="798"/>
    <x v="8"/>
    <x v="1"/>
    <s v="United States"/>
    <x v="15"/>
    <x v="13"/>
    <x v="1"/>
    <n v="1"/>
    <n v="868"/>
    <n v="60.12"/>
  </r>
  <r>
    <x v="327"/>
    <x v="9"/>
    <x v="2"/>
    <s v="United States"/>
    <x v="335"/>
    <x v="20"/>
    <x v="2"/>
    <n v="9"/>
    <n v="1746"/>
    <n v="260.5"/>
  </r>
  <r>
    <x v="315"/>
    <x v="0"/>
    <x v="0"/>
    <s v="United States"/>
    <x v="3"/>
    <x v="3"/>
    <x v="2"/>
    <n v="1"/>
    <n v="915"/>
    <n v="129.08000000000001"/>
  </r>
  <r>
    <x v="767"/>
    <x v="5"/>
    <x v="2"/>
    <s v="United States"/>
    <x v="2"/>
    <x v="2"/>
    <x v="1"/>
    <n v="9"/>
    <n v="3591"/>
    <n v="423"/>
  </r>
  <r>
    <x v="438"/>
    <x v="3"/>
    <x v="2"/>
    <s v="United States"/>
    <x v="2"/>
    <x v="2"/>
    <x v="1"/>
    <n v="6"/>
    <n v="2562"/>
    <n v="612.36"/>
  </r>
  <r>
    <x v="380"/>
    <x v="5"/>
    <x v="2"/>
    <s v="United States"/>
    <x v="28"/>
    <x v="2"/>
    <x v="1"/>
    <n v="9"/>
    <n v="5382"/>
    <n v="1037.04"/>
  </r>
  <r>
    <x v="723"/>
    <x v="5"/>
    <x v="2"/>
    <s v="United States"/>
    <x v="156"/>
    <x v="5"/>
    <x v="3"/>
    <n v="4"/>
    <n v="2792"/>
    <n v="170.96"/>
  </r>
  <r>
    <x v="472"/>
    <x v="4"/>
    <x v="1"/>
    <s v="United States"/>
    <x v="156"/>
    <x v="5"/>
    <x v="3"/>
    <n v="4"/>
    <n v="2160"/>
    <n v="631.9"/>
  </r>
  <r>
    <x v="632"/>
    <x v="6"/>
    <x v="1"/>
    <s v="United States"/>
    <x v="336"/>
    <x v="24"/>
    <x v="0"/>
    <n v="7"/>
    <n v="6377"/>
    <n v="1332.86"/>
  </r>
  <r>
    <x v="432"/>
    <x v="7"/>
    <x v="2"/>
    <s v="United States"/>
    <x v="58"/>
    <x v="25"/>
    <x v="0"/>
    <n v="8"/>
    <n v="5264"/>
    <n v="1051.5"/>
  </r>
  <r>
    <x v="700"/>
    <x v="9"/>
    <x v="2"/>
    <s v="United States"/>
    <x v="15"/>
    <x v="13"/>
    <x v="1"/>
    <n v="2"/>
    <n v="1346"/>
    <n v="196.5"/>
  </r>
  <r>
    <x v="372"/>
    <x v="3"/>
    <x v="2"/>
    <s v="United States"/>
    <x v="6"/>
    <x v="5"/>
    <x v="3"/>
    <n v="7"/>
    <n v="7301"/>
    <n v="1311.65"/>
  </r>
  <r>
    <x v="157"/>
    <x v="8"/>
    <x v="1"/>
    <s v="United States"/>
    <x v="3"/>
    <x v="3"/>
    <x v="2"/>
    <n v="2"/>
    <n v="2016"/>
    <n v="198.26"/>
  </r>
  <r>
    <x v="718"/>
    <x v="9"/>
    <x v="2"/>
    <s v="United States"/>
    <x v="9"/>
    <x v="8"/>
    <x v="3"/>
    <n v="6"/>
    <n v="1266"/>
    <n v="220.5"/>
  </r>
  <r>
    <x v="832"/>
    <x v="1"/>
    <x v="1"/>
    <s v="United States"/>
    <x v="147"/>
    <x v="5"/>
    <x v="3"/>
    <n v="2"/>
    <n v="140"/>
    <n v="35.18"/>
  </r>
  <r>
    <x v="950"/>
    <x v="3"/>
    <x v="2"/>
    <s v="United States"/>
    <x v="147"/>
    <x v="5"/>
    <x v="3"/>
    <n v="8"/>
    <n v="6520"/>
    <n v="1073.6199999999999"/>
  </r>
  <r>
    <x v="273"/>
    <x v="8"/>
    <x v="1"/>
    <s v="United States"/>
    <x v="2"/>
    <x v="2"/>
    <x v="1"/>
    <n v="1"/>
    <n v="582"/>
    <n v="29.91"/>
  </r>
  <r>
    <x v="951"/>
    <x v="0"/>
    <x v="0"/>
    <s v="United States"/>
    <x v="9"/>
    <x v="8"/>
    <x v="3"/>
    <n v="1"/>
    <n v="245"/>
    <n v="14.5"/>
  </r>
  <r>
    <x v="448"/>
    <x v="1"/>
    <x v="1"/>
    <s v="United States"/>
    <x v="28"/>
    <x v="2"/>
    <x v="1"/>
    <n v="1"/>
    <n v="504"/>
    <n v="143.12"/>
  </r>
  <r>
    <x v="789"/>
    <x v="6"/>
    <x v="1"/>
    <s v="United States"/>
    <x v="28"/>
    <x v="2"/>
    <x v="1"/>
    <n v="6"/>
    <n v="6834"/>
    <n v="1211.75"/>
  </r>
  <r>
    <x v="430"/>
    <x v="4"/>
    <x v="1"/>
    <s v="United States"/>
    <x v="337"/>
    <x v="2"/>
    <x v="1"/>
    <n v="8"/>
    <n v="5712"/>
    <n v="1191.02"/>
  </r>
  <r>
    <x v="175"/>
    <x v="9"/>
    <x v="2"/>
    <s v="United States"/>
    <x v="9"/>
    <x v="8"/>
    <x v="3"/>
    <n v="5"/>
    <n v="4485"/>
    <n v="347.99"/>
  </r>
  <r>
    <x v="59"/>
    <x v="4"/>
    <x v="1"/>
    <s v="United States"/>
    <x v="144"/>
    <x v="5"/>
    <x v="3"/>
    <n v="8"/>
    <n v="2304"/>
    <n v="291.45999999999998"/>
  </r>
  <r>
    <x v="172"/>
    <x v="1"/>
    <x v="1"/>
    <s v="United States"/>
    <x v="49"/>
    <x v="1"/>
    <x v="0"/>
    <n v="6"/>
    <n v="6576"/>
    <n v="815.56"/>
  </r>
  <r>
    <x v="724"/>
    <x v="8"/>
    <x v="1"/>
    <s v="United States"/>
    <x v="13"/>
    <x v="7"/>
    <x v="2"/>
    <n v="9"/>
    <n v="10629"/>
    <n v="2843.54"/>
  </r>
  <r>
    <x v="655"/>
    <x v="3"/>
    <x v="2"/>
    <s v="United States"/>
    <x v="53"/>
    <x v="2"/>
    <x v="1"/>
    <n v="1"/>
    <n v="706"/>
    <n v="153.59"/>
  </r>
  <r>
    <x v="812"/>
    <x v="4"/>
    <x v="1"/>
    <s v="United States"/>
    <x v="338"/>
    <x v="40"/>
    <x v="3"/>
    <n v="1"/>
    <n v="977"/>
    <n v="103.82"/>
  </r>
  <r>
    <x v="498"/>
    <x v="5"/>
    <x v="2"/>
    <s v="United States"/>
    <x v="237"/>
    <x v="32"/>
    <x v="2"/>
    <n v="4"/>
    <n v="776"/>
    <n v="73.16"/>
  </r>
  <r>
    <x v="808"/>
    <x v="2"/>
    <x v="2"/>
    <s v="United States"/>
    <x v="31"/>
    <x v="18"/>
    <x v="2"/>
    <n v="4"/>
    <n v="3932"/>
    <n v="309.43"/>
  </r>
  <r>
    <x v="952"/>
    <x v="8"/>
    <x v="1"/>
    <s v="United States"/>
    <x v="53"/>
    <x v="2"/>
    <x v="1"/>
    <n v="3"/>
    <n v="1263"/>
    <n v="368.46"/>
  </r>
  <r>
    <x v="306"/>
    <x v="8"/>
    <x v="1"/>
    <s v="United States"/>
    <x v="53"/>
    <x v="2"/>
    <x v="1"/>
    <n v="8"/>
    <n v="7064"/>
    <n v="745.24"/>
  </r>
  <r>
    <x v="157"/>
    <x v="8"/>
    <x v="1"/>
    <s v="United States"/>
    <x v="28"/>
    <x v="2"/>
    <x v="1"/>
    <n v="4"/>
    <n v="4740"/>
    <n v="746.77"/>
  </r>
  <r>
    <x v="170"/>
    <x v="0"/>
    <x v="0"/>
    <s v="United States"/>
    <x v="15"/>
    <x v="13"/>
    <x v="1"/>
    <n v="7"/>
    <n v="4522"/>
    <n v="1137.23"/>
  </r>
  <r>
    <x v="55"/>
    <x v="2"/>
    <x v="2"/>
    <s v="United States"/>
    <x v="15"/>
    <x v="13"/>
    <x v="1"/>
    <n v="7"/>
    <n v="2009"/>
    <n v="183.19"/>
  </r>
  <r>
    <x v="705"/>
    <x v="7"/>
    <x v="2"/>
    <s v="United States"/>
    <x v="76"/>
    <x v="36"/>
    <x v="1"/>
    <n v="2"/>
    <n v="2110"/>
    <n v="548.12"/>
  </r>
  <r>
    <x v="469"/>
    <x v="1"/>
    <x v="1"/>
    <s v="United States"/>
    <x v="3"/>
    <x v="3"/>
    <x v="2"/>
    <n v="1"/>
    <n v="95"/>
    <n v="6.97"/>
  </r>
  <r>
    <x v="359"/>
    <x v="5"/>
    <x v="2"/>
    <s v="United States"/>
    <x v="9"/>
    <x v="8"/>
    <x v="3"/>
    <n v="1"/>
    <n v="384"/>
    <n v="83.58"/>
  </r>
  <r>
    <x v="590"/>
    <x v="2"/>
    <x v="2"/>
    <s v="United States"/>
    <x v="9"/>
    <x v="8"/>
    <x v="3"/>
    <n v="3"/>
    <n v="3471"/>
    <n v="200.08"/>
  </r>
  <r>
    <x v="657"/>
    <x v="2"/>
    <x v="2"/>
    <s v="United States"/>
    <x v="9"/>
    <x v="8"/>
    <x v="3"/>
    <n v="4"/>
    <n v="2048"/>
    <n v="507.01"/>
  </r>
  <r>
    <x v="87"/>
    <x v="6"/>
    <x v="1"/>
    <s v="United States"/>
    <x v="13"/>
    <x v="7"/>
    <x v="2"/>
    <n v="8"/>
    <n v="9296"/>
    <n v="2581.06"/>
  </r>
  <r>
    <x v="670"/>
    <x v="9"/>
    <x v="2"/>
    <s v="United States"/>
    <x v="339"/>
    <x v="30"/>
    <x v="0"/>
    <n v="8"/>
    <n v="5272"/>
    <n v="1188.1600000000001"/>
  </r>
  <r>
    <x v="927"/>
    <x v="4"/>
    <x v="1"/>
    <s v="United States"/>
    <x v="13"/>
    <x v="7"/>
    <x v="2"/>
    <n v="1"/>
    <n v="619"/>
    <n v="127.58"/>
  </r>
  <r>
    <x v="185"/>
    <x v="9"/>
    <x v="2"/>
    <s v="United States"/>
    <x v="13"/>
    <x v="7"/>
    <x v="2"/>
    <n v="1"/>
    <n v="448"/>
    <n v="53.2"/>
  </r>
  <r>
    <x v="42"/>
    <x v="8"/>
    <x v="1"/>
    <s v="United States"/>
    <x v="340"/>
    <x v="1"/>
    <x v="0"/>
    <n v="9"/>
    <n v="5004"/>
    <n v="1313.13"/>
  </r>
  <r>
    <x v="64"/>
    <x v="8"/>
    <x v="1"/>
    <s v="United States"/>
    <x v="144"/>
    <x v="5"/>
    <x v="3"/>
    <n v="4"/>
    <n v="4716"/>
    <n v="704.99"/>
  </r>
  <r>
    <x v="2"/>
    <x v="0"/>
    <x v="0"/>
    <s v="United States"/>
    <x v="144"/>
    <x v="5"/>
    <x v="3"/>
    <n v="9"/>
    <n v="7506"/>
    <n v="827.17"/>
  </r>
  <r>
    <x v="953"/>
    <x v="8"/>
    <x v="1"/>
    <s v="United States"/>
    <x v="8"/>
    <x v="7"/>
    <x v="2"/>
    <n v="7"/>
    <n v="4095"/>
    <n v="883.56"/>
  </r>
  <r>
    <x v="363"/>
    <x v="5"/>
    <x v="2"/>
    <s v="United States"/>
    <x v="244"/>
    <x v="24"/>
    <x v="0"/>
    <n v="7"/>
    <n v="4459"/>
    <n v="1037.27"/>
  </r>
  <r>
    <x v="266"/>
    <x v="2"/>
    <x v="2"/>
    <s v="United States"/>
    <x v="51"/>
    <x v="1"/>
    <x v="0"/>
    <n v="5"/>
    <n v="620"/>
    <n v="62.49"/>
  </r>
  <r>
    <x v="653"/>
    <x v="5"/>
    <x v="2"/>
    <s v="United States"/>
    <x v="51"/>
    <x v="1"/>
    <x v="0"/>
    <n v="2"/>
    <n v="2362"/>
    <n v="185.89"/>
  </r>
  <r>
    <x v="312"/>
    <x v="0"/>
    <x v="0"/>
    <s v="United States"/>
    <x v="51"/>
    <x v="1"/>
    <x v="0"/>
    <n v="2"/>
    <n v="606"/>
    <n v="154.99"/>
  </r>
  <r>
    <x v="501"/>
    <x v="3"/>
    <x v="2"/>
    <s v="United States"/>
    <x v="28"/>
    <x v="2"/>
    <x v="1"/>
    <n v="4"/>
    <n v="1084"/>
    <n v="134.41999999999999"/>
  </r>
  <r>
    <x v="954"/>
    <x v="9"/>
    <x v="2"/>
    <s v="United States"/>
    <x v="9"/>
    <x v="8"/>
    <x v="3"/>
    <n v="8"/>
    <n v="2880"/>
    <n v="315.87"/>
  </r>
  <r>
    <x v="157"/>
    <x v="9"/>
    <x v="2"/>
    <s v="United States"/>
    <x v="14"/>
    <x v="8"/>
    <x v="3"/>
    <n v="8"/>
    <n v="4544"/>
    <n v="727.05"/>
  </r>
  <r>
    <x v="303"/>
    <x v="1"/>
    <x v="1"/>
    <s v="United States"/>
    <x v="13"/>
    <x v="7"/>
    <x v="2"/>
    <n v="4"/>
    <n v="556"/>
    <n v="85.63"/>
  </r>
  <r>
    <x v="554"/>
    <x v="9"/>
    <x v="2"/>
    <s v="United States"/>
    <x v="311"/>
    <x v="2"/>
    <x v="1"/>
    <n v="5"/>
    <n v="505"/>
    <n v="71.97"/>
  </r>
  <r>
    <x v="267"/>
    <x v="2"/>
    <x v="2"/>
    <s v="United States"/>
    <x v="51"/>
    <x v="30"/>
    <x v="0"/>
    <n v="5"/>
    <n v="2595"/>
    <n v="774.2"/>
  </r>
  <r>
    <x v="955"/>
    <x v="4"/>
    <x v="1"/>
    <s v="United States"/>
    <x v="317"/>
    <x v="8"/>
    <x v="3"/>
    <n v="5"/>
    <n v="2820"/>
    <n v="737.68"/>
  </r>
  <r>
    <x v="115"/>
    <x v="8"/>
    <x v="1"/>
    <s v="United States"/>
    <x v="127"/>
    <x v="30"/>
    <x v="0"/>
    <n v="2"/>
    <n v="1018"/>
    <n v="297.20999999999998"/>
  </r>
  <r>
    <x v="956"/>
    <x v="9"/>
    <x v="2"/>
    <s v="United States"/>
    <x v="2"/>
    <x v="2"/>
    <x v="1"/>
    <n v="4"/>
    <n v="944"/>
    <n v="176.56"/>
  </r>
  <r>
    <x v="614"/>
    <x v="2"/>
    <x v="2"/>
    <s v="United States"/>
    <x v="175"/>
    <x v="2"/>
    <x v="1"/>
    <n v="1"/>
    <n v="610"/>
    <n v="44.99"/>
  </r>
  <r>
    <x v="538"/>
    <x v="3"/>
    <x v="2"/>
    <s v="United States"/>
    <x v="6"/>
    <x v="5"/>
    <x v="3"/>
    <n v="4"/>
    <n v="912"/>
    <n v="81.650000000000006"/>
  </r>
  <r>
    <x v="610"/>
    <x v="6"/>
    <x v="1"/>
    <s v="United States"/>
    <x v="29"/>
    <x v="24"/>
    <x v="0"/>
    <n v="9"/>
    <n v="10413"/>
    <n v="1738.63"/>
  </r>
  <r>
    <x v="346"/>
    <x v="0"/>
    <x v="0"/>
    <s v="United States"/>
    <x v="256"/>
    <x v="5"/>
    <x v="3"/>
    <n v="8"/>
    <n v="2176"/>
    <n v="398.29"/>
  </r>
  <r>
    <x v="814"/>
    <x v="0"/>
    <x v="0"/>
    <s v="United States"/>
    <x v="341"/>
    <x v="20"/>
    <x v="2"/>
    <n v="6"/>
    <n v="6108"/>
    <n v="1488.4"/>
  </r>
  <r>
    <x v="921"/>
    <x v="1"/>
    <x v="1"/>
    <s v="United States"/>
    <x v="170"/>
    <x v="2"/>
    <x v="1"/>
    <n v="2"/>
    <n v="1148"/>
    <n v="173.89"/>
  </r>
  <r>
    <x v="957"/>
    <x v="6"/>
    <x v="1"/>
    <s v="United States"/>
    <x v="270"/>
    <x v="9"/>
    <x v="0"/>
    <n v="8"/>
    <n v="8824"/>
    <n v="597.1"/>
  </r>
  <r>
    <x v="669"/>
    <x v="4"/>
    <x v="1"/>
    <s v="United States"/>
    <x v="270"/>
    <x v="9"/>
    <x v="0"/>
    <n v="5"/>
    <n v="2240"/>
    <n v="159.58000000000001"/>
  </r>
  <r>
    <x v="958"/>
    <x v="3"/>
    <x v="2"/>
    <s v="United States"/>
    <x v="37"/>
    <x v="20"/>
    <x v="2"/>
    <n v="2"/>
    <n v="1312"/>
    <n v="386.79"/>
  </r>
  <r>
    <x v="374"/>
    <x v="9"/>
    <x v="2"/>
    <s v="United States"/>
    <x v="37"/>
    <x v="20"/>
    <x v="2"/>
    <n v="9"/>
    <n v="10620"/>
    <n v="2946.93"/>
  </r>
  <r>
    <x v="58"/>
    <x v="2"/>
    <x v="2"/>
    <s v="United States"/>
    <x v="37"/>
    <x v="20"/>
    <x v="2"/>
    <n v="2"/>
    <n v="2178"/>
    <n v="574.4"/>
  </r>
  <r>
    <x v="446"/>
    <x v="6"/>
    <x v="1"/>
    <s v="United States"/>
    <x v="3"/>
    <x v="3"/>
    <x v="2"/>
    <n v="3"/>
    <n v="1671"/>
    <n v="94.52"/>
  </r>
  <r>
    <x v="311"/>
    <x v="6"/>
    <x v="1"/>
    <s v="United States"/>
    <x v="3"/>
    <x v="3"/>
    <x v="2"/>
    <n v="3"/>
    <n v="2025"/>
    <n v="355.59"/>
  </r>
  <r>
    <x v="252"/>
    <x v="1"/>
    <x v="1"/>
    <s v="United States"/>
    <x v="342"/>
    <x v="24"/>
    <x v="0"/>
    <n v="6"/>
    <n v="2886"/>
    <n v="355.32"/>
  </r>
  <r>
    <x v="624"/>
    <x v="0"/>
    <x v="0"/>
    <s v="United States"/>
    <x v="116"/>
    <x v="5"/>
    <x v="3"/>
    <n v="2"/>
    <n v="1868"/>
    <n v="307.32"/>
  </r>
  <r>
    <x v="690"/>
    <x v="4"/>
    <x v="1"/>
    <s v="United States"/>
    <x v="2"/>
    <x v="2"/>
    <x v="1"/>
    <n v="4"/>
    <n v="3280"/>
    <n v="826.94"/>
  </r>
  <r>
    <x v="531"/>
    <x v="2"/>
    <x v="2"/>
    <s v="United States"/>
    <x v="99"/>
    <x v="2"/>
    <x v="1"/>
    <n v="2"/>
    <n v="1768"/>
    <n v="375.86"/>
  </r>
  <r>
    <x v="768"/>
    <x v="3"/>
    <x v="2"/>
    <s v="United States"/>
    <x v="15"/>
    <x v="13"/>
    <x v="1"/>
    <n v="7"/>
    <n v="6937"/>
    <n v="1753.02"/>
  </r>
  <r>
    <x v="769"/>
    <x v="5"/>
    <x v="2"/>
    <s v="United States"/>
    <x v="6"/>
    <x v="5"/>
    <x v="3"/>
    <n v="6"/>
    <n v="3012"/>
    <n v="307.47000000000003"/>
  </r>
  <r>
    <x v="49"/>
    <x v="4"/>
    <x v="1"/>
    <s v="United States"/>
    <x v="343"/>
    <x v="19"/>
    <x v="2"/>
    <n v="3"/>
    <n v="777"/>
    <n v="147.93"/>
  </r>
  <r>
    <x v="959"/>
    <x v="7"/>
    <x v="2"/>
    <s v="United States"/>
    <x v="20"/>
    <x v="20"/>
    <x v="2"/>
    <n v="6"/>
    <n v="4056"/>
    <n v="452.14"/>
  </r>
  <r>
    <x v="960"/>
    <x v="0"/>
    <x v="0"/>
    <s v="United States"/>
    <x v="20"/>
    <x v="20"/>
    <x v="2"/>
    <n v="4"/>
    <n v="3212"/>
    <n v="514.91999999999996"/>
  </r>
  <r>
    <x v="444"/>
    <x v="5"/>
    <x v="2"/>
    <s v="United States"/>
    <x v="76"/>
    <x v="15"/>
    <x v="2"/>
    <n v="1"/>
    <n v="952"/>
    <n v="179.4"/>
  </r>
  <r>
    <x v="282"/>
    <x v="7"/>
    <x v="2"/>
    <s v="United States"/>
    <x v="13"/>
    <x v="7"/>
    <x v="2"/>
    <n v="3"/>
    <n v="1674"/>
    <n v="106.24"/>
  </r>
  <r>
    <x v="792"/>
    <x v="5"/>
    <x v="2"/>
    <s v="United States"/>
    <x v="19"/>
    <x v="14"/>
    <x v="2"/>
    <n v="5"/>
    <n v="4315"/>
    <n v="1019.91"/>
  </r>
  <r>
    <x v="228"/>
    <x v="1"/>
    <x v="1"/>
    <s v="United States"/>
    <x v="19"/>
    <x v="14"/>
    <x v="2"/>
    <n v="7"/>
    <n v="1722"/>
    <n v="162.38999999999999"/>
  </r>
  <r>
    <x v="415"/>
    <x v="8"/>
    <x v="1"/>
    <s v="United States"/>
    <x v="259"/>
    <x v="30"/>
    <x v="0"/>
    <n v="5"/>
    <n v="2895"/>
    <n v="334.35"/>
  </r>
  <r>
    <x v="846"/>
    <x v="2"/>
    <x v="2"/>
    <s v="United States"/>
    <x v="144"/>
    <x v="5"/>
    <x v="3"/>
    <n v="2"/>
    <n v="1280"/>
    <n v="335.22"/>
  </r>
  <r>
    <x v="243"/>
    <x v="4"/>
    <x v="1"/>
    <s v="United States"/>
    <x v="15"/>
    <x v="13"/>
    <x v="1"/>
    <n v="5"/>
    <n v="4295"/>
    <n v="414.42"/>
  </r>
  <r>
    <x v="659"/>
    <x v="0"/>
    <x v="0"/>
    <s v="United States"/>
    <x v="174"/>
    <x v="18"/>
    <x v="2"/>
    <n v="6"/>
    <n v="4434"/>
    <n v="306.63"/>
  </r>
  <r>
    <x v="24"/>
    <x v="8"/>
    <x v="1"/>
    <s v="United States"/>
    <x v="174"/>
    <x v="18"/>
    <x v="2"/>
    <n v="6"/>
    <n v="3816"/>
    <n v="623.78"/>
  </r>
  <r>
    <x v="549"/>
    <x v="4"/>
    <x v="1"/>
    <s v="United States"/>
    <x v="288"/>
    <x v="3"/>
    <x v="2"/>
    <n v="7"/>
    <n v="6335"/>
    <n v="1137.08"/>
  </r>
  <r>
    <x v="599"/>
    <x v="1"/>
    <x v="1"/>
    <s v="United States"/>
    <x v="237"/>
    <x v="32"/>
    <x v="2"/>
    <n v="3"/>
    <n v="315"/>
    <n v="78.41"/>
  </r>
  <r>
    <x v="492"/>
    <x v="3"/>
    <x v="2"/>
    <s v="United States"/>
    <x v="177"/>
    <x v="5"/>
    <x v="3"/>
    <n v="2"/>
    <n v="626"/>
    <n v="168.82"/>
  </r>
  <r>
    <x v="324"/>
    <x v="5"/>
    <x v="2"/>
    <s v="United States"/>
    <x v="236"/>
    <x v="38"/>
    <x v="2"/>
    <n v="1"/>
    <n v="1140"/>
    <n v="85.75"/>
  </r>
  <r>
    <x v="724"/>
    <x v="7"/>
    <x v="2"/>
    <s v="United States"/>
    <x v="236"/>
    <x v="38"/>
    <x v="2"/>
    <n v="5"/>
    <n v="590"/>
    <n v="52.55"/>
  </r>
  <r>
    <x v="915"/>
    <x v="2"/>
    <x v="2"/>
    <s v="United States"/>
    <x v="236"/>
    <x v="38"/>
    <x v="2"/>
    <n v="1"/>
    <n v="631"/>
    <n v="99.31"/>
  </r>
  <r>
    <x v="235"/>
    <x v="6"/>
    <x v="1"/>
    <s v="United States"/>
    <x v="236"/>
    <x v="38"/>
    <x v="2"/>
    <n v="8"/>
    <n v="1944"/>
    <n v="134.94"/>
  </r>
  <r>
    <x v="153"/>
    <x v="7"/>
    <x v="2"/>
    <s v="United States"/>
    <x v="6"/>
    <x v="5"/>
    <x v="3"/>
    <n v="6"/>
    <n v="5100"/>
    <n v="1461.79"/>
  </r>
  <r>
    <x v="902"/>
    <x v="8"/>
    <x v="1"/>
    <s v="United States"/>
    <x v="6"/>
    <x v="5"/>
    <x v="3"/>
    <n v="6"/>
    <n v="1092"/>
    <n v="176.52"/>
  </r>
  <r>
    <x v="212"/>
    <x v="6"/>
    <x v="1"/>
    <s v="United States"/>
    <x v="9"/>
    <x v="8"/>
    <x v="3"/>
    <n v="7"/>
    <n v="4662"/>
    <n v="1007.43"/>
  </r>
  <r>
    <x v="961"/>
    <x v="4"/>
    <x v="1"/>
    <s v="United States"/>
    <x v="344"/>
    <x v="6"/>
    <x v="3"/>
    <n v="7"/>
    <n v="4312"/>
    <n v="1088.3399999999999"/>
  </r>
  <r>
    <x v="199"/>
    <x v="1"/>
    <x v="1"/>
    <s v="United States"/>
    <x v="345"/>
    <x v="9"/>
    <x v="0"/>
    <n v="6"/>
    <n v="4056"/>
    <n v="815.1"/>
  </r>
  <r>
    <x v="962"/>
    <x v="4"/>
    <x v="1"/>
    <s v="United States"/>
    <x v="345"/>
    <x v="9"/>
    <x v="0"/>
    <n v="3"/>
    <n v="534"/>
    <n v="120.53"/>
  </r>
  <r>
    <x v="70"/>
    <x v="0"/>
    <x v="0"/>
    <s v="United States"/>
    <x v="15"/>
    <x v="13"/>
    <x v="1"/>
    <n v="5"/>
    <n v="3475"/>
    <n v="991.47"/>
  </r>
  <r>
    <x v="398"/>
    <x v="2"/>
    <x v="2"/>
    <s v="United States"/>
    <x v="58"/>
    <x v="25"/>
    <x v="0"/>
    <n v="5"/>
    <n v="4880"/>
    <n v="829.03"/>
  </r>
  <r>
    <x v="876"/>
    <x v="2"/>
    <x v="2"/>
    <s v="United States"/>
    <x v="2"/>
    <x v="2"/>
    <x v="1"/>
    <n v="8"/>
    <n v="8336"/>
    <n v="782.8"/>
  </r>
  <r>
    <x v="194"/>
    <x v="1"/>
    <x v="1"/>
    <s v="United States"/>
    <x v="45"/>
    <x v="5"/>
    <x v="3"/>
    <n v="8"/>
    <n v="9232"/>
    <n v="490.66"/>
  </r>
  <r>
    <x v="804"/>
    <x v="7"/>
    <x v="2"/>
    <s v="United States"/>
    <x v="6"/>
    <x v="5"/>
    <x v="3"/>
    <n v="3"/>
    <n v="2031"/>
    <n v="466.25"/>
  </r>
  <r>
    <x v="135"/>
    <x v="5"/>
    <x v="2"/>
    <s v="United States"/>
    <x v="346"/>
    <x v="5"/>
    <x v="3"/>
    <n v="3"/>
    <n v="2412"/>
    <n v="640.35"/>
  </r>
  <r>
    <x v="963"/>
    <x v="7"/>
    <x v="2"/>
    <s v="United States"/>
    <x v="309"/>
    <x v="18"/>
    <x v="2"/>
    <n v="1"/>
    <n v="1039"/>
    <n v="137.24"/>
  </r>
  <r>
    <x v="564"/>
    <x v="3"/>
    <x v="2"/>
    <s v="United States"/>
    <x v="309"/>
    <x v="18"/>
    <x v="2"/>
    <n v="6"/>
    <n v="696"/>
    <n v="100.78"/>
  </r>
  <r>
    <x v="697"/>
    <x v="9"/>
    <x v="2"/>
    <s v="United States"/>
    <x v="309"/>
    <x v="18"/>
    <x v="2"/>
    <n v="8"/>
    <n v="6160"/>
    <n v="1617.32"/>
  </r>
  <r>
    <x v="787"/>
    <x v="3"/>
    <x v="2"/>
    <s v="United States"/>
    <x v="29"/>
    <x v="15"/>
    <x v="2"/>
    <n v="3"/>
    <n v="447"/>
    <n v="58.4"/>
  </r>
  <r>
    <x v="964"/>
    <x v="8"/>
    <x v="1"/>
    <s v="United States"/>
    <x v="29"/>
    <x v="15"/>
    <x v="2"/>
    <n v="6"/>
    <n v="6102"/>
    <n v="364.82"/>
  </r>
  <r>
    <x v="840"/>
    <x v="3"/>
    <x v="2"/>
    <s v="United States"/>
    <x v="2"/>
    <x v="2"/>
    <x v="1"/>
    <n v="9"/>
    <n v="5085"/>
    <n v="1372.83"/>
  </r>
  <r>
    <x v="797"/>
    <x v="9"/>
    <x v="2"/>
    <s v="United States"/>
    <x v="25"/>
    <x v="17"/>
    <x v="3"/>
    <n v="7"/>
    <n v="3038"/>
    <n v="158.82"/>
  </r>
  <r>
    <x v="919"/>
    <x v="4"/>
    <x v="1"/>
    <s v="United States"/>
    <x v="3"/>
    <x v="3"/>
    <x v="2"/>
    <n v="1"/>
    <n v="882"/>
    <n v="215.24"/>
  </r>
  <r>
    <x v="745"/>
    <x v="6"/>
    <x v="1"/>
    <s v="United States"/>
    <x v="29"/>
    <x v="24"/>
    <x v="0"/>
    <n v="6"/>
    <n v="2490"/>
    <n v="720.06"/>
  </r>
  <r>
    <x v="965"/>
    <x v="3"/>
    <x v="2"/>
    <s v="United States"/>
    <x v="29"/>
    <x v="24"/>
    <x v="0"/>
    <n v="1"/>
    <n v="635"/>
    <n v="101.09"/>
  </r>
  <r>
    <x v="528"/>
    <x v="9"/>
    <x v="2"/>
    <s v="United States"/>
    <x v="14"/>
    <x v="12"/>
    <x v="1"/>
    <n v="1"/>
    <n v="1083"/>
    <n v="152.5"/>
  </r>
  <r>
    <x v="966"/>
    <x v="8"/>
    <x v="1"/>
    <s v="United States"/>
    <x v="76"/>
    <x v="25"/>
    <x v="0"/>
    <n v="6"/>
    <n v="720"/>
    <n v="144.26"/>
  </r>
  <r>
    <x v="816"/>
    <x v="0"/>
    <x v="0"/>
    <s v="United States"/>
    <x v="6"/>
    <x v="5"/>
    <x v="3"/>
    <n v="3"/>
    <n v="3111"/>
    <n v="382.52"/>
  </r>
  <r>
    <x v="584"/>
    <x v="5"/>
    <x v="2"/>
    <s v="United States"/>
    <x v="79"/>
    <x v="16"/>
    <x v="3"/>
    <n v="6"/>
    <n v="1242"/>
    <n v="87.37"/>
  </r>
  <r>
    <x v="786"/>
    <x v="5"/>
    <x v="2"/>
    <s v="United States"/>
    <x v="347"/>
    <x v="1"/>
    <x v="0"/>
    <n v="5"/>
    <n v="5845"/>
    <n v="978.75"/>
  </r>
  <r>
    <x v="46"/>
    <x v="5"/>
    <x v="2"/>
    <s v="United States"/>
    <x v="41"/>
    <x v="28"/>
    <x v="2"/>
    <n v="1"/>
    <n v="835"/>
    <n v="131.69999999999999"/>
  </r>
  <r>
    <x v="967"/>
    <x v="6"/>
    <x v="1"/>
    <s v="United States"/>
    <x v="77"/>
    <x v="11"/>
    <x v="3"/>
    <n v="2"/>
    <n v="2314"/>
    <n v="305.42"/>
  </r>
  <r>
    <x v="968"/>
    <x v="5"/>
    <x v="2"/>
    <s v="United States"/>
    <x v="348"/>
    <x v="5"/>
    <x v="3"/>
    <n v="7"/>
    <n v="6041"/>
    <n v="776.09"/>
  </r>
  <r>
    <x v="510"/>
    <x v="1"/>
    <x v="1"/>
    <s v="United States"/>
    <x v="349"/>
    <x v="12"/>
    <x v="1"/>
    <n v="3"/>
    <n v="369"/>
    <n v="19.22"/>
  </r>
  <r>
    <x v="209"/>
    <x v="2"/>
    <x v="2"/>
    <s v="United States"/>
    <x v="13"/>
    <x v="7"/>
    <x v="2"/>
    <n v="5"/>
    <n v="1635"/>
    <n v="321.83999999999997"/>
  </r>
  <r>
    <x v="709"/>
    <x v="8"/>
    <x v="1"/>
    <s v="United States"/>
    <x v="13"/>
    <x v="7"/>
    <x v="2"/>
    <n v="3"/>
    <n v="2067"/>
    <n v="465.39"/>
  </r>
  <r>
    <x v="969"/>
    <x v="7"/>
    <x v="2"/>
    <s v="United States"/>
    <x v="13"/>
    <x v="7"/>
    <x v="2"/>
    <n v="6"/>
    <n v="7128"/>
    <n v="544.54"/>
  </r>
  <r>
    <x v="134"/>
    <x v="0"/>
    <x v="0"/>
    <s v="United States"/>
    <x v="2"/>
    <x v="2"/>
    <x v="1"/>
    <n v="2"/>
    <n v="944"/>
    <n v="94.4"/>
  </r>
  <r>
    <x v="42"/>
    <x v="2"/>
    <x v="2"/>
    <s v="United States"/>
    <x v="144"/>
    <x v="5"/>
    <x v="3"/>
    <n v="5"/>
    <n v="5160"/>
    <n v="698.15"/>
  </r>
  <r>
    <x v="316"/>
    <x v="7"/>
    <x v="2"/>
    <s v="United States"/>
    <x v="13"/>
    <x v="7"/>
    <x v="2"/>
    <n v="8"/>
    <n v="8032"/>
    <n v="1987.82"/>
  </r>
  <r>
    <x v="877"/>
    <x v="3"/>
    <x v="2"/>
    <s v="United States"/>
    <x v="268"/>
    <x v="3"/>
    <x v="2"/>
    <n v="2"/>
    <n v="376"/>
    <n v="99.16"/>
  </r>
  <r>
    <x v="936"/>
    <x v="7"/>
    <x v="2"/>
    <s v="United States"/>
    <x v="3"/>
    <x v="3"/>
    <x v="2"/>
    <n v="7"/>
    <n v="4144"/>
    <n v="426.39"/>
  </r>
  <r>
    <x v="143"/>
    <x v="3"/>
    <x v="2"/>
    <s v="United States"/>
    <x v="15"/>
    <x v="13"/>
    <x v="1"/>
    <n v="4"/>
    <n v="2228"/>
    <n v="293.25"/>
  </r>
  <r>
    <x v="872"/>
    <x v="2"/>
    <x v="2"/>
    <s v="United States"/>
    <x v="51"/>
    <x v="30"/>
    <x v="0"/>
    <n v="1"/>
    <n v="1178"/>
    <n v="182.76"/>
  </r>
  <r>
    <x v="448"/>
    <x v="1"/>
    <x v="1"/>
    <s v="United States"/>
    <x v="2"/>
    <x v="2"/>
    <x v="1"/>
    <n v="5"/>
    <n v="2505"/>
    <n v="303.61"/>
  </r>
  <r>
    <x v="970"/>
    <x v="5"/>
    <x v="2"/>
    <s v="United States"/>
    <x v="228"/>
    <x v="9"/>
    <x v="0"/>
    <n v="4"/>
    <n v="1872"/>
    <n v="418.05"/>
  </r>
  <r>
    <x v="379"/>
    <x v="0"/>
    <x v="0"/>
    <s v="United States"/>
    <x v="15"/>
    <x v="13"/>
    <x v="1"/>
    <n v="2"/>
    <n v="340"/>
    <n v="59.56"/>
  </r>
  <r>
    <x v="971"/>
    <x v="9"/>
    <x v="2"/>
    <s v="United States"/>
    <x v="1"/>
    <x v="1"/>
    <x v="0"/>
    <n v="1"/>
    <n v="589"/>
    <n v="158.85"/>
  </r>
  <r>
    <x v="706"/>
    <x v="9"/>
    <x v="2"/>
    <s v="United States"/>
    <x v="6"/>
    <x v="5"/>
    <x v="3"/>
    <n v="3"/>
    <n v="2598"/>
    <n v="560.82000000000005"/>
  </r>
  <r>
    <x v="958"/>
    <x v="2"/>
    <x v="2"/>
    <s v="United States"/>
    <x v="174"/>
    <x v="2"/>
    <x v="1"/>
    <n v="1"/>
    <n v="502"/>
    <n v="92.31"/>
  </r>
  <r>
    <x v="450"/>
    <x v="9"/>
    <x v="2"/>
    <s v="United States"/>
    <x v="59"/>
    <x v="15"/>
    <x v="2"/>
    <n v="3"/>
    <n v="3576"/>
    <n v="546.44000000000005"/>
  </r>
  <r>
    <x v="33"/>
    <x v="8"/>
    <x v="1"/>
    <s v="United States"/>
    <x v="42"/>
    <x v="8"/>
    <x v="3"/>
    <n v="3"/>
    <n v="2412"/>
    <n v="468.27"/>
  </r>
  <r>
    <x v="363"/>
    <x v="0"/>
    <x v="0"/>
    <s v="United States"/>
    <x v="42"/>
    <x v="8"/>
    <x v="3"/>
    <n v="5"/>
    <n v="1145"/>
    <n v="244.72"/>
  </r>
  <r>
    <x v="106"/>
    <x v="8"/>
    <x v="1"/>
    <s v="United States"/>
    <x v="350"/>
    <x v="5"/>
    <x v="3"/>
    <n v="2"/>
    <n v="2116"/>
    <n v="159.30000000000001"/>
  </r>
  <r>
    <x v="877"/>
    <x v="9"/>
    <x v="2"/>
    <s v="United States"/>
    <x v="28"/>
    <x v="2"/>
    <x v="1"/>
    <n v="1"/>
    <n v="707"/>
    <n v="100.16"/>
  </r>
  <r>
    <x v="455"/>
    <x v="1"/>
    <x v="1"/>
    <s v="United States"/>
    <x v="228"/>
    <x v="9"/>
    <x v="0"/>
    <n v="9"/>
    <n v="657"/>
    <n v="109.39"/>
  </r>
  <r>
    <x v="859"/>
    <x v="9"/>
    <x v="2"/>
    <s v="United States"/>
    <x v="228"/>
    <x v="9"/>
    <x v="0"/>
    <n v="5"/>
    <n v="5345"/>
    <n v="1060.46"/>
  </r>
  <r>
    <x v="739"/>
    <x v="2"/>
    <x v="2"/>
    <s v="United States"/>
    <x v="13"/>
    <x v="7"/>
    <x v="2"/>
    <n v="8"/>
    <n v="4032"/>
    <n v="251.05"/>
  </r>
  <r>
    <x v="493"/>
    <x v="3"/>
    <x v="2"/>
    <s v="United States"/>
    <x v="2"/>
    <x v="2"/>
    <x v="1"/>
    <n v="4"/>
    <n v="3840"/>
    <n v="552.57000000000005"/>
  </r>
  <r>
    <x v="744"/>
    <x v="6"/>
    <x v="1"/>
    <s v="United States"/>
    <x v="53"/>
    <x v="2"/>
    <x v="1"/>
    <n v="5"/>
    <n v="575"/>
    <n v="47.35"/>
  </r>
  <r>
    <x v="622"/>
    <x v="9"/>
    <x v="2"/>
    <s v="United States"/>
    <x v="28"/>
    <x v="2"/>
    <x v="1"/>
    <n v="9"/>
    <n v="9315"/>
    <n v="1808.68"/>
  </r>
  <r>
    <x v="890"/>
    <x v="1"/>
    <x v="1"/>
    <s v="United States"/>
    <x v="6"/>
    <x v="5"/>
    <x v="3"/>
    <n v="7"/>
    <n v="3423"/>
    <n v="435.06"/>
  </r>
  <r>
    <x v="972"/>
    <x v="6"/>
    <x v="1"/>
    <s v="United States"/>
    <x v="6"/>
    <x v="5"/>
    <x v="3"/>
    <n v="6"/>
    <n v="3942"/>
    <n v="748.74"/>
  </r>
  <r>
    <x v="903"/>
    <x v="9"/>
    <x v="2"/>
    <s v="United States"/>
    <x v="34"/>
    <x v="9"/>
    <x v="0"/>
    <n v="2"/>
    <n v="574"/>
    <n v="70.16"/>
  </r>
  <r>
    <x v="712"/>
    <x v="4"/>
    <x v="1"/>
    <s v="United States"/>
    <x v="34"/>
    <x v="9"/>
    <x v="0"/>
    <n v="6"/>
    <n v="3024"/>
    <n v="336.28"/>
  </r>
  <r>
    <x v="520"/>
    <x v="4"/>
    <x v="1"/>
    <s v="United States"/>
    <x v="15"/>
    <x v="13"/>
    <x v="1"/>
    <n v="7"/>
    <n v="952"/>
    <n v="215.51"/>
  </r>
  <r>
    <x v="574"/>
    <x v="7"/>
    <x v="2"/>
    <s v="United States"/>
    <x v="351"/>
    <x v="36"/>
    <x v="1"/>
    <n v="9"/>
    <n v="9090"/>
    <n v="937.69"/>
  </r>
  <r>
    <x v="148"/>
    <x v="2"/>
    <x v="2"/>
    <s v="United States"/>
    <x v="53"/>
    <x v="2"/>
    <x v="1"/>
    <n v="2"/>
    <n v="1166"/>
    <n v="170.11"/>
  </r>
  <r>
    <x v="77"/>
    <x v="8"/>
    <x v="1"/>
    <s v="United States"/>
    <x v="11"/>
    <x v="32"/>
    <x v="2"/>
    <n v="3"/>
    <n v="2925"/>
    <n v="433.95"/>
  </r>
  <r>
    <x v="132"/>
    <x v="3"/>
    <x v="2"/>
    <s v="United States"/>
    <x v="74"/>
    <x v="12"/>
    <x v="1"/>
    <n v="5"/>
    <n v="3455"/>
    <n v="867.55"/>
  </r>
  <r>
    <x v="521"/>
    <x v="7"/>
    <x v="2"/>
    <s v="United States"/>
    <x v="156"/>
    <x v="5"/>
    <x v="3"/>
    <n v="2"/>
    <n v="1614"/>
    <n v="331.3"/>
  </r>
  <r>
    <x v="852"/>
    <x v="1"/>
    <x v="1"/>
    <s v="United States"/>
    <x v="13"/>
    <x v="7"/>
    <x v="2"/>
    <n v="7"/>
    <n v="1771"/>
    <n v="171.26"/>
  </r>
  <r>
    <x v="519"/>
    <x v="0"/>
    <x v="0"/>
    <s v="United States"/>
    <x v="6"/>
    <x v="5"/>
    <x v="3"/>
    <n v="6"/>
    <n v="5658"/>
    <n v="1504.97"/>
  </r>
  <r>
    <x v="407"/>
    <x v="1"/>
    <x v="1"/>
    <s v="United States"/>
    <x v="352"/>
    <x v="42"/>
    <x v="1"/>
    <n v="9"/>
    <n v="8460"/>
    <n v="1515.06"/>
  </r>
  <r>
    <x v="973"/>
    <x v="0"/>
    <x v="0"/>
    <s v="United States"/>
    <x v="91"/>
    <x v="30"/>
    <x v="0"/>
    <n v="5"/>
    <n v="1925"/>
    <n v="570.92999999999995"/>
  </r>
  <r>
    <x v="542"/>
    <x v="9"/>
    <x v="2"/>
    <s v="United States"/>
    <x v="91"/>
    <x v="30"/>
    <x v="0"/>
    <n v="6"/>
    <n v="2196"/>
    <n v="572.16999999999996"/>
  </r>
  <r>
    <x v="528"/>
    <x v="8"/>
    <x v="1"/>
    <s v="United States"/>
    <x v="258"/>
    <x v="37"/>
    <x v="3"/>
    <n v="2"/>
    <n v="1696"/>
    <n v="500.56"/>
  </r>
  <r>
    <x v="974"/>
    <x v="0"/>
    <x v="0"/>
    <s v="United States"/>
    <x v="353"/>
    <x v="7"/>
    <x v="2"/>
    <n v="9"/>
    <n v="6813"/>
    <n v="1966.66"/>
  </r>
  <r>
    <x v="975"/>
    <x v="8"/>
    <x v="1"/>
    <s v="United States"/>
    <x v="110"/>
    <x v="22"/>
    <x v="1"/>
    <n v="5"/>
    <n v="3670"/>
    <n v="790.67"/>
  </r>
  <r>
    <x v="152"/>
    <x v="8"/>
    <x v="1"/>
    <s v="United States"/>
    <x v="95"/>
    <x v="25"/>
    <x v="0"/>
    <n v="4"/>
    <n v="2936"/>
    <n v="204.55"/>
  </r>
  <r>
    <x v="778"/>
    <x v="6"/>
    <x v="1"/>
    <s v="United States"/>
    <x v="168"/>
    <x v="30"/>
    <x v="0"/>
    <n v="5"/>
    <n v="5165"/>
    <n v="283.60000000000002"/>
  </r>
  <r>
    <x v="942"/>
    <x v="3"/>
    <x v="2"/>
    <s v="United States"/>
    <x v="309"/>
    <x v="18"/>
    <x v="2"/>
    <n v="5"/>
    <n v="5940"/>
    <n v="467.31"/>
  </r>
  <r>
    <x v="606"/>
    <x v="5"/>
    <x v="2"/>
    <s v="United States"/>
    <x v="9"/>
    <x v="8"/>
    <x v="3"/>
    <n v="6"/>
    <n v="2664"/>
    <n v="520.29999999999995"/>
  </r>
  <r>
    <x v="294"/>
    <x v="4"/>
    <x v="1"/>
    <s v="United States"/>
    <x v="15"/>
    <x v="13"/>
    <x v="1"/>
    <n v="2"/>
    <n v="1198"/>
    <n v="134.38999999999999"/>
  </r>
  <r>
    <x v="589"/>
    <x v="4"/>
    <x v="1"/>
    <s v="United States"/>
    <x v="354"/>
    <x v="2"/>
    <x v="1"/>
    <n v="4"/>
    <n v="1340"/>
    <n v="309.8"/>
  </r>
  <r>
    <x v="591"/>
    <x v="6"/>
    <x v="1"/>
    <s v="United States"/>
    <x v="29"/>
    <x v="24"/>
    <x v="0"/>
    <n v="9"/>
    <n v="9657"/>
    <n v="1233.47"/>
  </r>
  <r>
    <x v="620"/>
    <x v="3"/>
    <x v="2"/>
    <s v="United States"/>
    <x v="53"/>
    <x v="2"/>
    <x v="1"/>
    <n v="8"/>
    <n v="2592"/>
    <n v="191.66"/>
  </r>
  <r>
    <x v="174"/>
    <x v="3"/>
    <x v="2"/>
    <s v="United States"/>
    <x v="303"/>
    <x v="5"/>
    <x v="3"/>
    <n v="4"/>
    <n v="1168"/>
    <n v="135.36000000000001"/>
  </r>
  <r>
    <x v="580"/>
    <x v="4"/>
    <x v="1"/>
    <s v="United States"/>
    <x v="2"/>
    <x v="2"/>
    <x v="1"/>
    <n v="8"/>
    <n v="5920"/>
    <n v="1241.27"/>
  </r>
  <r>
    <x v="958"/>
    <x v="7"/>
    <x v="2"/>
    <s v="United States"/>
    <x v="42"/>
    <x v="8"/>
    <x v="3"/>
    <n v="2"/>
    <n v="2260"/>
    <n v="268.47000000000003"/>
  </r>
  <r>
    <x v="910"/>
    <x v="0"/>
    <x v="0"/>
    <s v="United States"/>
    <x v="42"/>
    <x v="8"/>
    <x v="3"/>
    <n v="8"/>
    <n v="7016"/>
    <n v="1490.07"/>
  </r>
  <r>
    <x v="181"/>
    <x v="4"/>
    <x v="1"/>
    <s v="United States"/>
    <x v="304"/>
    <x v="25"/>
    <x v="0"/>
    <n v="6"/>
    <n v="546"/>
    <n v="79.94"/>
  </r>
  <r>
    <x v="976"/>
    <x v="9"/>
    <x v="2"/>
    <s v="United States"/>
    <x v="355"/>
    <x v="1"/>
    <x v="0"/>
    <n v="1"/>
    <n v="839"/>
    <n v="228.72"/>
  </r>
  <r>
    <x v="751"/>
    <x v="2"/>
    <x v="2"/>
    <s v="United States"/>
    <x v="88"/>
    <x v="8"/>
    <x v="3"/>
    <n v="8"/>
    <n v="5176"/>
    <n v="619.45000000000005"/>
  </r>
  <r>
    <x v="610"/>
    <x v="9"/>
    <x v="2"/>
    <s v="United States"/>
    <x v="156"/>
    <x v="5"/>
    <x v="3"/>
    <n v="4"/>
    <n v="280"/>
    <n v="24.9"/>
  </r>
  <r>
    <x v="66"/>
    <x v="6"/>
    <x v="1"/>
    <s v="United States"/>
    <x v="156"/>
    <x v="5"/>
    <x v="3"/>
    <n v="9"/>
    <n v="2097"/>
    <n v="210.59"/>
  </r>
  <r>
    <x v="342"/>
    <x v="1"/>
    <x v="1"/>
    <s v="United States"/>
    <x v="79"/>
    <x v="16"/>
    <x v="3"/>
    <n v="6"/>
    <n v="4632"/>
    <n v="799.16"/>
  </r>
  <r>
    <x v="977"/>
    <x v="8"/>
    <x v="1"/>
    <s v="United States"/>
    <x v="356"/>
    <x v="16"/>
    <x v="3"/>
    <n v="4"/>
    <n v="1088"/>
    <n v="283.61"/>
  </r>
  <r>
    <x v="652"/>
    <x v="3"/>
    <x v="2"/>
    <s v="United States"/>
    <x v="14"/>
    <x v="8"/>
    <x v="3"/>
    <n v="2"/>
    <n v="1314"/>
    <n v="391.55"/>
  </r>
  <r>
    <x v="344"/>
    <x v="1"/>
    <x v="1"/>
    <s v="United States"/>
    <x v="38"/>
    <x v="9"/>
    <x v="0"/>
    <n v="8"/>
    <n v="7960"/>
    <n v="804.11"/>
  </r>
  <r>
    <x v="424"/>
    <x v="0"/>
    <x v="0"/>
    <s v="United States"/>
    <x v="51"/>
    <x v="1"/>
    <x v="0"/>
    <n v="8"/>
    <n v="2856"/>
    <n v="350.32"/>
  </r>
  <r>
    <x v="467"/>
    <x v="5"/>
    <x v="2"/>
    <s v="United States"/>
    <x v="173"/>
    <x v="1"/>
    <x v="0"/>
    <n v="4"/>
    <n v="1680"/>
    <n v="385.92"/>
  </r>
  <r>
    <x v="211"/>
    <x v="6"/>
    <x v="1"/>
    <s v="United States"/>
    <x v="6"/>
    <x v="5"/>
    <x v="3"/>
    <n v="4"/>
    <n v="4464"/>
    <n v="1069.6300000000001"/>
  </r>
  <r>
    <x v="682"/>
    <x v="7"/>
    <x v="2"/>
    <s v="United States"/>
    <x v="304"/>
    <x v="25"/>
    <x v="0"/>
    <n v="6"/>
    <n v="2940"/>
    <n v="184.97"/>
  </r>
  <r>
    <x v="978"/>
    <x v="6"/>
    <x v="1"/>
    <s v="United States"/>
    <x v="304"/>
    <x v="25"/>
    <x v="0"/>
    <n v="8"/>
    <n v="1272"/>
    <n v="344.45"/>
  </r>
  <r>
    <x v="546"/>
    <x v="0"/>
    <x v="0"/>
    <s v="United States"/>
    <x v="3"/>
    <x v="3"/>
    <x v="2"/>
    <n v="6"/>
    <n v="1728"/>
    <n v="247.86"/>
  </r>
  <r>
    <x v="979"/>
    <x v="6"/>
    <x v="1"/>
    <s v="United States"/>
    <x v="13"/>
    <x v="7"/>
    <x v="2"/>
    <n v="3"/>
    <n v="3153"/>
    <n v="563.55999999999995"/>
  </r>
  <r>
    <x v="628"/>
    <x v="7"/>
    <x v="2"/>
    <s v="United States"/>
    <x v="2"/>
    <x v="2"/>
    <x v="1"/>
    <n v="4"/>
    <n v="2536"/>
    <n v="285.72000000000003"/>
  </r>
  <r>
    <x v="746"/>
    <x v="2"/>
    <x v="2"/>
    <s v="United States"/>
    <x v="144"/>
    <x v="5"/>
    <x v="3"/>
    <n v="3"/>
    <n v="2508"/>
    <n v="431.53"/>
  </r>
  <r>
    <x v="941"/>
    <x v="2"/>
    <x v="2"/>
    <s v="United States"/>
    <x v="9"/>
    <x v="8"/>
    <x v="3"/>
    <n v="1"/>
    <n v="123"/>
    <n v="12.36"/>
  </r>
  <r>
    <x v="924"/>
    <x v="7"/>
    <x v="2"/>
    <s v="United States"/>
    <x v="9"/>
    <x v="8"/>
    <x v="3"/>
    <n v="3"/>
    <n v="2379"/>
    <n v="148.68"/>
  </r>
  <r>
    <x v="980"/>
    <x v="0"/>
    <x v="0"/>
    <s v="United States"/>
    <x v="51"/>
    <x v="30"/>
    <x v="0"/>
    <n v="6"/>
    <n v="6924"/>
    <n v="1693.77"/>
  </r>
  <r>
    <x v="70"/>
    <x v="5"/>
    <x v="2"/>
    <s v="United States"/>
    <x v="76"/>
    <x v="23"/>
    <x v="3"/>
    <n v="9"/>
    <n v="9054"/>
    <n v="644.36"/>
  </r>
  <r>
    <x v="856"/>
    <x v="3"/>
    <x v="2"/>
    <s v="United States"/>
    <x v="11"/>
    <x v="9"/>
    <x v="0"/>
    <n v="9"/>
    <n v="9936"/>
    <n v="2797.45"/>
  </r>
  <r>
    <x v="981"/>
    <x v="7"/>
    <x v="2"/>
    <s v="United States"/>
    <x v="3"/>
    <x v="3"/>
    <x v="2"/>
    <n v="1"/>
    <n v="393"/>
    <n v="41.05"/>
  </r>
  <r>
    <x v="315"/>
    <x v="0"/>
    <x v="0"/>
    <s v="United States"/>
    <x v="79"/>
    <x v="16"/>
    <x v="3"/>
    <n v="2"/>
    <n v="308"/>
    <n v="35.32"/>
  </r>
  <r>
    <x v="756"/>
    <x v="2"/>
    <x v="2"/>
    <s v="United States"/>
    <x v="13"/>
    <x v="7"/>
    <x v="2"/>
    <n v="5"/>
    <n v="4900"/>
    <n v="347.25"/>
  </r>
  <r>
    <x v="715"/>
    <x v="9"/>
    <x v="2"/>
    <s v="United States"/>
    <x v="76"/>
    <x v="25"/>
    <x v="0"/>
    <n v="1"/>
    <n v="927"/>
    <n v="103.95"/>
  </r>
  <r>
    <x v="962"/>
    <x v="8"/>
    <x v="1"/>
    <s v="United States"/>
    <x v="200"/>
    <x v="12"/>
    <x v="1"/>
    <n v="1"/>
    <n v="266"/>
    <n v="22.42"/>
  </r>
  <r>
    <x v="254"/>
    <x v="0"/>
    <x v="0"/>
    <s v="United States"/>
    <x v="13"/>
    <x v="7"/>
    <x v="2"/>
    <n v="5"/>
    <n v="4750"/>
    <n v="1179.56"/>
  </r>
  <r>
    <x v="241"/>
    <x v="5"/>
    <x v="2"/>
    <s v="United States"/>
    <x v="13"/>
    <x v="7"/>
    <x v="2"/>
    <n v="8"/>
    <n v="3272"/>
    <n v="460.82"/>
  </r>
  <r>
    <x v="901"/>
    <x v="1"/>
    <x v="1"/>
    <s v="United States"/>
    <x v="357"/>
    <x v="20"/>
    <x v="2"/>
    <n v="5"/>
    <n v="4350"/>
    <n v="688.77"/>
  </r>
  <r>
    <x v="624"/>
    <x v="8"/>
    <x v="1"/>
    <s v="United States"/>
    <x v="357"/>
    <x v="20"/>
    <x v="2"/>
    <n v="1"/>
    <n v="706"/>
    <n v="63.82"/>
  </r>
  <r>
    <x v="342"/>
    <x v="9"/>
    <x v="2"/>
    <s v="United States"/>
    <x v="15"/>
    <x v="13"/>
    <x v="1"/>
    <n v="3"/>
    <n v="213"/>
    <n v="30.68"/>
  </r>
  <r>
    <x v="809"/>
    <x v="7"/>
    <x v="2"/>
    <s v="United States"/>
    <x v="25"/>
    <x v="17"/>
    <x v="3"/>
    <n v="2"/>
    <n v="1614"/>
    <n v="376.31"/>
  </r>
  <r>
    <x v="977"/>
    <x v="1"/>
    <x v="1"/>
    <s v="United States"/>
    <x v="262"/>
    <x v="22"/>
    <x v="1"/>
    <n v="8"/>
    <n v="6232"/>
    <n v="499.63"/>
  </r>
  <r>
    <x v="268"/>
    <x v="0"/>
    <x v="0"/>
    <s v="United States"/>
    <x v="358"/>
    <x v="1"/>
    <x v="0"/>
    <n v="4"/>
    <n v="3864"/>
    <n v="717.45"/>
  </r>
  <r>
    <x v="982"/>
    <x v="4"/>
    <x v="1"/>
    <s v="United States"/>
    <x v="13"/>
    <x v="7"/>
    <x v="2"/>
    <n v="3"/>
    <n v="2601"/>
    <n v="363.64"/>
  </r>
  <r>
    <x v="73"/>
    <x v="1"/>
    <x v="1"/>
    <s v="United States"/>
    <x v="2"/>
    <x v="2"/>
    <x v="1"/>
    <n v="6"/>
    <n v="4944"/>
    <n v="758.46"/>
  </r>
  <r>
    <x v="974"/>
    <x v="0"/>
    <x v="0"/>
    <s v="United States"/>
    <x v="2"/>
    <x v="2"/>
    <x v="1"/>
    <n v="4"/>
    <n v="4680"/>
    <n v="301.91000000000003"/>
  </r>
  <r>
    <x v="196"/>
    <x v="1"/>
    <x v="1"/>
    <s v="United States"/>
    <x v="15"/>
    <x v="13"/>
    <x v="1"/>
    <n v="8"/>
    <n v="2112"/>
    <n v="418.58"/>
  </r>
  <r>
    <x v="163"/>
    <x v="6"/>
    <x v="1"/>
    <s v="United States"/>
    <x v="67"/>
    <x v="13"/>
    <x v="1"/>
    <n v="6"/>
    <n v="7140"/>
    <n v="869.93"/>
  </r>
  <r>
    <x v="834"/>
    <x v="8"/>
    <x v="1"/>
    <s v="United States"/>
    <x v="3"/>
    <x v="3"/>
    <x v="2"/>
    <n v="1"/>
    <n v="750"/>
    <n v="37.97"/>
  </r>
  <r>
    <x v="209"/>
    <x v="1"/>
    <x v="1"/>
    <s v="United States"/>
    <x v="0"/>
    <x v="0"/>
    <x v="0"/>
    <n v="4"/>
    <n v="392"/>
    <n v="39.229999999999997"/>
  </r>
  <r>
    <x v="710"/>
    <x v="9"/>
    <x v="2"/>
    <s v="United States"/>
    <x v="6"/>
    <x v="5"/>
    <x v="3"/>
    <n v="4"/>
    <n v="2408"/>
    <n v="721.8"/>
  </r>
  <r>
    <x v="280"/>
    <x v="6"/>
    <x v="1"/>
    <s v="United States"/>
    <x v="8"/>
    <x v="15"/>
    <x v="2"/>
    <n v="2"/>
    <n v="2016"/>
    <n v="151.4"/>
  </r>
  <r>
    <x v="879"/>
    <x v="6"/>
    <x v="1"/>
    <s v="United States"/>
    <x v="6"/>
    <x v="5"/>
    <x v="3"/>
    <n v="4"/>
    <n v="464"/>
    <n v="47.93"/>
  </r>
  <r>
    <x v="644"/>
    <x v="4"/>
    <x v="1"/>
    <s v="United States"/>
    <x v="3"/>
    <x v="3"/>
    <x v="2"/>
    <n v="1"/>
    <n v="832"/>
    <n v="227.11"/>
  </r>
  <r>
    <x v="376"/>
    <x v="4"/>
    <x v="1"/>
    <s v="United States"/>
    <x v="3"/>
    <x v="3"/>
    <x v="2"/>
    <n v="8"/>
    <n v="1296"/>
    <n v="374.8"/>
  </r>
  <r>
    <x v="472"/>
    <x v="7"/>
    <x v="2"/>
    <s v="United States"/>
    <x v="6"/>
    <x v="5"/>
    <x v="3"/>
    <n v="1"/>
    <n v="300"/>
    <n v="45.81"/>
  </r>
  <r>
    <x v="983"/>
    <x v="6"/>
    <x v="1"/>
    <s v="United States"/>
    <x v="6"/>
    <x v="5"/>
    <x v="3"/>
    <n v="6"/>
    <n v="2856"/>
    <n v="226.53"/>
  </r>
  <r>
    <x v="901"/>
    <x v="2"/>
    <x v="2"/>
    <s v="United States"/>
    <x v="59"/>
    <x v="15"/>
    <x v="2"/>
    <n v="5"/>
    <n v="3380"/>
    <n v="287.05"/>
  </r>
  <r>
    <x v="45"/>
    <x v="2"/>
    <x v="2"/>
    <s v="United States"/>
    <x v="359"/>
    <x v="32"/>
    <x v="2"/>
    <n v="5"/>
    <n v="400"/>
    <n v="86.52"/>
  </r>
  <r>
    <x v="634"/>
    <x v="3"/>
    <x v="2"/>
    <s v="United States"/>
    <x v="3"/>
    <x v="3"/>
    <x v="2"/>
    <n v="1"/>
    <n v="722"/>
    <n v="49.7"/>
  </r>
  <r>
    <x v="862"/>
    <x v="9"/>
    <x v="2"/>
    <s v="United States"/>
    <x v="360"/>
    <x v="16"/>
    <x v="3"/>
    <n v="4"/>
    <n v="4596"/>
    <n v="947.45"/>
  </r>
  <r>
    <x v="984"/>
    <x v="8"/>
    <x v="1"/>
    <s v="United States"/>
    <x v="360"/>
    <x v="16"/>
    <x v="3"/>
    <n v="8"/>
    <n v="1176"/>
    <n v="313.58"/>
  </r>
  <r>
    <x v="155"/>
    <x v="3"/>
    <x v="2"/>
    <s v="United States"/>
    <x v="299"/>
    <x v="2"/>
    <x v="1"/>
    <n v="2"/>
    <n v="644"/>
    <n v="45.72"/>
  </r>
  <r>
    <x v="256"/>
    <x v="7"/>
    <x v="2"/>
    <s v="United States"/>
    <x v="327"/>
    <x v="2"/>
    <x v="1"/>
    <n v="8"/>
    <n v="544"/>
    <n v="40.78"/>
  </r>
  <r>
    <x v="985"/>
    <x v="6"/>
    <x v="1"/>
    <s v="United States"/>
    <x v="327"/>
    <x v="2"/>
    <x v="1"/>
    <n v="2"/>
    <n v="586"/>
    <n v="101.64"/>
  </r>
  <r>
    <x v="881"/>
    <x v="8"/>
    <x v="1"/>
    <s v="United States"/>
    <x v="124"/>
    <x v="2"/>
    <x v="1"/>
    <n v="5"/>
    <n v="3835"/>
    <n v="229.11"/>
  </r>
  <r>
    <x v="841"/>
    <x v="0"/>
    <x v="0"/>
    <s v="United States"/>
    <x v="361"/>
    <x v="18"/>
    <x v="2"/>
    <n v="5"/>
    <n v="1415"/>
    <n v="358.39"/>
  </r>
  <r>
    <x v="742"/>
    <x v="8"/>
    <x v="1"/>
    <s v="United States"/>
    <x v="28"/>
    <x v="2"/>
    <x v="1"/>
    <n v="9"/>
    <n v="1125"/>
    <n v="138.49"/>
  </r>
  <r>
    <x v="513"/>
    <x v="3"/>
    <x v="2"/>
    <s v="United States"/>
    <x v="28"/>
    <x v="2"/>
    <x v="1"/>
    <n v="3"/>
    <n v="3399"/>
    <n v="489.36"/>
  </r>
  <r>
    <x v="204"/>
    <x v="6"/>
    <x v="1"/>
    <s v="United States"/>
    <x v="3"/>
    <x v="3"/>
    <x v="2"/>
    <n v="6"/>
    <n v="5370"/>
    <n v="1501.06"/>
  </r>
  <r>
    <x v="301"/>
    <x v="8"/>
    <x v="1"/>
    <s v="United States"/>
    <x v="120"/>
    <x v="35"/>
    <x v="0"/>
    <n v="3"/>
    <n v="2331"/>
    <n v="419.26"/>
  </r>
  <r>
    <x v="777"/>
    <x v="9"/>
    <x v="2"/>
    <s v="United States"/>
    <x v="2"/>
    <x v="2"/>
    <x v="1"/>
    <n v="9"/>
    <n v="10728"/>
    <n v="1967.84"/>
  </r>
  <r>
    <x v="885"/>
    <x v="6"/>
    <x v="1"/>
    <s v="United States"/>
    <x v="2"/>
    <x v="2"/>
    <x v="1"/>
    <n v="8"/>
    <n v="9056"/>
    <n v="1860.37"/>
  </r>
  <r>
    <x v="143"/>
    <x v="6"/>
    <x v="1"/>
    <s v="United States"/>
    <x v="29"/>
    <x v="15"/>
    <x v="2"/>
    <n v="9"/>
    <n v="4581"/>
    <n v="250.06"/>
  </r>
  <r>
    <x v="244"/>
    <x v="3"/>
    <x v="2"/>
    <s v="United States"/>
    <x v="28"/>
    <x v="2"/>
    <x v="1"/>
    <n v="3"/>
    <n v="1074"/>
    <n v="240.44"/>
  </r>
  <r>
    <x v="427"/>
    <x v="2"/>
    <x v="2"/>
    <s v="United States"/>
    <x v="11"/>
    <x v="23"/>
    <x v="3"/>
    <n v="4"/>
    <n v="4572"/>
    <n v="1199.49"/>
  </r>
  <r>
    <x v="159"/>
    <x v="9"/>
    <x v="2"/>
    <s v="United States"/>
    <x v="11"/>
    <x v="23"/>
    <x v="3"/>
    <n v="7"/>
    <n v="8141"/>
    <n v="651.16"/>
  </r>
  <r>
    <x v="661"/>
    <x v="0"/>
    <x v="0"/>
    <s v="United States"/>
    <x v="15"/>
    <x v="13"/>
    <x v="1"/>
    <n v="4"/>
    <n v="604"/>
    <n v="180.93"/>
  </r>
  <r>
    <x v="28"/>
    <x v="1"/>
    <x v="1"/>
    <s v="United States"/>
    <x v="25"/>
    <x v="17"/>
    <x v="3"/>
    <n v="2"/>
    <n v="906"/>
    <n v="59.06"/>
  </r>
  <r>
    <x v="986"/>
    <x v="4"/>
    <x v="1"/>
    <s v="United States"/>
    <x v="111"/>
    <x v="34"/>
    <x v="1"/>
    <n v="7"/>
    <n v="1582"/>
    <n v="278.14"/>
  </r>
  <r>
    <x v="76"/>
    <x v="1"/>
    <x v="1"/>
    <s v="United States"/>
    <x v="234"/>
    <x v="7"/>
    <x v="2"/>
    <n v="6"/>
    <n v="3306"/>
    <n v="216.91"/>
  </r>
  <r>
    <x v="161"/>
    <x v="4"/>
    <x v="1"/>
    <s v="United States"/>
    <x v="13"/>
    <x v="7"/>
    <x v="2"/>
    <n v="1"/>
    <n v="847"/>
    <n v="237.41"/>
  </r>
  <r>
    <x v="987"/>
    <x v="0"/>
    <x v="0"/>
    <s v="United States"/>
    <x v="3"/>
    <x v="3"/>
    <x v="2"/>
    <n v="6"/>
    <n v="3222"/>
    <n v="846.27"/>
  </r>
  <r>
    <x v="327"/>
    <x v="8"/>
    <x v="1"/>
    <s v="United States"/>
    <x v="15"/>
    <x v="13"/>
    <x v="1"/>
    <n v="3"/>
    <n v="189"/>
    <n v="33.94"/>
  </r>
  <r>
    <x v="212"/>
    <x v="9"/>
    <x v="2"/>
    <s v="United States"/>
    <x v="20"/>
    <x v="16"/>
    <x v="3"/>
    <n v="4"/>
    <n v="1224"/>
    <n v="348.91"/>
  </r>
  <r>
    <x v="929"/>
    <x v="3"/>
    <x v="2"/>
    <s v="United States"/>
    <x v="91"/>
    <x v="30"/>
    <x v="0"/>
    <n v="7"/>
    <n v="5621"/>
    <n v="1390.73"/>
  </r>
  <r>
    <x v="750"/>
    <x v="2"/>
    <x v="2"/>
    <s v="United States"/>
    <x v="144"/>
    <x v="5"/>
    <x v="3"/>
    <n v="6"/>
    <n v="966"/>
    <n v="246.21"/>
  </r>
  <r>
    <x v="786"/>
    <x v="2"/>
    <x v="2"/>
    <s v="United States"/>
    <x v="3"/>
    <x v="3"/>
    <x v="2"/>
    <n v="9"/>
    <n v="1728"/>
    <n v="179.64"/>
  </r>
  <r>
    <x v="791"/>
    <x v="1"/>
    <x v="1"/>
    <s v="United States"/>
    <x v="59"/>
    <x v="15"/>
    <x v="2"/>
    <n v="9"/>
    <n v="6138"/>
    <n v="1478.57"/>
  </r>
  <r>
    <x v="211"/>
    <x v="6"/>
    <x v="1"/>
    <s v="United States"/>
    <x v="362"/>
    <x v="5"/>
    <x v="3"/>
    <n v="4"/>
    <n v="964"/>
    <n v="184.03"/>
  </r>
  <r>
    <x v="533"/>
    <x v="7"/>
    <x v="2"/>
    <s v="United States"/>
    <x v="13"/>
    <x v="7"/>
    <x v="2"/>
    <n v="7"/>
    <n v="4697"/>
    <n v="976.26"/>
  </r>
  <r>
    <x v="255"/>
    <x v="7"/>
    <x v="2"/>
    <s v="United States"/>
    <x v="13"/>
    <x v="7"/>
    <x v="2"/>
    <n v="2"/>
    <n v="1232"/>
    <n v="155.52000000000001"/>
  </r>
  <r>
    <x v="981"/>
    <x v="6"/>
    <x v="1"/>
    <s v="United States"/>
    <x v="6"/>
    <x v="5"/>
    <x v="3"/>
    <n v="7"/>
    <n v="6384"/>
    <n v="734.79"/>
  </r>
  <r>
    <x v="988"/>
    <x v="1"/>
    <x v="1"/>
    <s v="United States"/>
    <x v="6"/>
    <x v="5"/>
    <x v="3"/>
    <n v="4"/>
    <n v="780"/>
    <n v="162.72"/>
  </r>
  <r>
    <x v="760"/>
    <x v="0"/>
    <x v="0"/>
    <s v="United States"/>
    <x v="2"/>
    <x v="2"/>
    <x v="1"/>
    <n v="4"/>
    <n v="1256"/>
    <n v="362.22"/>
  </r>
  <r>
    <x v="176"/>
    <x v="1"/>
    <x v="1"/>
    <s v="United States"/>
    <x v="71"/>
    <x v="13"/>
    <x v="1"/>
    <n v="1"/>
    <n v="1162"/>
    <n v="220.93"/>
  </r>
  <r>
    <x v="291"/>
    <x v="1"/>
    <x v="1"/>
    <s v="United States"/>
    <x v="97"/>
    <x v="1"/>
    <x v="0"/>
    <n v="8"/>
    <n v="7520"/>
    <n v="995.03"/>
  </r>
  <r>
    <x v="38"/>
    <x v="4"/>
    <x v="1"/>
    <s v="United States"/>
    <x v="8"/>
    <x v="15"/>
    <x v="2"/>
    <n v="7"/>
    <n v="2387"/>
    <n v="463.92"/>
  </r>
  <r>
    <x v="85"/>
    <x v="8"/>
    <x v="1"/>
    <s v="United States"/>
    <x v="8"/>
    <x v="15"/>
    <x v="2"/>
    <n v="8"/>
    <n v="2256"/>
    <n v="316.77"/>
  </r>
  <r>
    <x v="151"/>
    <x v="6"/>
    <x v="1"/>
    <s v="United States"/>
    <x v="8"/>
    <x v="15"/>
    <x v="2"/>
    <n v="8"/>
    <n v="7792"/>
    <n v="913.12"/>
  </r>
  <r>
    <x v="947"/>
    <x v="9"/>
    <x v="2"/>
    <s v="United States"/>
    <x v="363"/>
    <x v="2"/>
    <x v="1"/>
    <n v="8"/>
    <n v="3944"/>
    <n v="296.35000000000002"/>
  </r>
  <r>
    <x v="232"/>
    <x v="7"/>
    <x v="2"/>
    <s v="United States"/>
    <x v="363"/>
    <x v="2"/>
    <x v="1"/>
    <n v="2"/>
    <n v="822"/>
    <n v="183.45"/>
  </r>
  <r>
    <x v="295"/>
    <x v="4"/>
    <x v="1"/>
    <s v="United States"/>
    <x v="15"/>
    <x v="13"/>
    <x v="1"/>
    <n v="3"/>
    <n v="1962"/>
    <n v="469.94"/>
  </r>
  <r>
    <x v="981"/>
    <x v="0"/>
    <x v="0"/>
    <s v="United States"/>
    <x v="9"/>
    <x v="8"/>
    <x v="3"/>
    <n v="4"/>
    <n v="1016"/>
    <n v="269.88"/>
  </r>
  <r>
    <x v="657"/>
    <x v="2"/>
    <x v="2"/>
    <s v="United States"/>
    <x v="13"/>
    <x v="7"/>
    <x v="2"/>
    <n v="2"/>
    <n v="1980"/>
    <n v="125.99"/>
  </r>
  <r>
    <x v="982"/>
    <x v="4"/>
    <x v="1"/>
    <s v="United States"/>
    <x v="13"/>
    <x v="7"/>
    <x v="2"/>
    <n v="4"/>
    <n v="3996"/>
    <n v="965.26"/>
  </r>
  <r>
    <x v="222"/>
    <x v="5"/>
    <x v="2"/>
    <s v="United States"/>
    <x v="15"/>
    <x v="13"/>
    <x v="1"/>
    <n v="1"/>
    <n v="663"/>
    <n v="183.82"/>
  </r>
  <r>
    <x v="19"/>
    <x v="9"/>
    <x v="2"/>
    <s v="United States"/>
    <x v="218"/>
    <x v="32"/>
    <x v="2"/>
    <n v="1"/>
    <n v="575"/>
    <n v="104.31"/>
  </r>
  <r>
    <x v="339"/>
    <x v="2"/>
    <x v="2"/>
    <s v="United States"/>
    <x v="29"/>
    <x v="15"/>
    <x v="2"/>
    <n v="1"/>
    <n v="187"/>
    <n v="33.76"/>
  </r>
  <r>
    <x v="598"/>
    <x v="2"/>
    <x v="2"/>
    <s v="United States"/>
    <x v="29"/>
    <x v="15"/>
    <x v="2"/>
    <n v="7"/>
    <n v="6216"/>
    <n v="378.24"/>
  </r>
  <r>
    <x v="408"/>
    <x v="3"/>
    <x v="2"/>
    <s v="United States"/>
    <x v="26"/>
    <x v="1"/>
    <x v="0"/>
    <n v="1"/>
    <n v="189"/>
    <n v="19.02"/>
  </r>
  <r>
    <x v="581"/>
    <x v="2"/>
    <x v="2"/>
    <s v="United States"/>
    <x v="81"/>
    <x v="22"/>
    <x v="1"/>
    <n v="2"/>
    <n v="358"/>
    <n v="41.46"/>
  </r>
  <r>
    <x v="118"/>
    <x v="8"/>
    <x v="1"/>
    <s v="United States"/>
    <x v="22"/>
    <x v="12"/>
    <x v="1"/>
    <n v="6"/>
    <n v="6192"/>
    <n v="316.23"/>
  </r>
  <r>
    <x v="40"/>
    <x v="2"/>
    <x v="2"/>
    <s v="United States"/>
    <x v="13"/>
    <x v="7"/>
    <x v="2"/>
    <n v="7"/>
    <n v="4382"/>
    <n v="592.46"/>
  </r>
  <r>
    <x v="836"/>
    <x v="8"/>
    <x v="1"/>
    <s v="United States"/>
    <x v="13"/>
    <x v="7"/>
    <x v="2"/>
    <n v="2"/>
    <n v="1122"/>
    <n v="100.78"/>
  </r>
  <r>
    <x v="925"/>
    <x v="9"/>
    <x v="2"/>
    <s v="United States"/>
    <x v="104"/>
    <x v="22"/>
    <x v="1"/>
    <n v="8"/>
    <n v="8192"/>
    <n v="2081.7199999999998"/>
  </r>
  <r>
    <x v="326"/>
    <x v="9"/>
    <x v="2"/>
    <s v="United States"/>
    <x v="13"/>
    <x v="7"/>
    <x v="2"/>
    <n v="6"/>
    <n v="2658"/>
    <n v="200.79"/>
  </r>
  <r>
    <x v="278"/>
    <x v="2"/>
    <x v="2"/>
    <s v="United States"/>
    <x v="13"/>
    <x v="7"/>
    <x v="2"/>
    <n v="6"/>
    <n v="606"/>
    <n v="127.68"/>
  </r>
  <r>
    <x v="795"/>
    <x v="6"/>
    <x v="1"/>
    <s v="United States"/>
    <x v="3"/>
    <x v="3"/>
    <x v="2"/>
    <n v="8"/>
    <n v="448"/>
    <n v="45.43"/>
  </r>
  <r>
    <x v="386"/>
    <x v="0"/>
    <x v="0"/>
    <s v="United States"/>
    <x v="2"/>
    <x v="2"/>
    <x v="1"/>
    <n v="3"/>
    <n v="1674"/>
    <n v="435.95"/>
  </r>
  <r>
    <x v="516"/>
    <x v="2"/>
    <x v="2"/>
    <s v="United States"/>
    <x v="15"/>
    <x v="13"/>
    <x v="1"/>
    <n v="6"/>
    <n v="1944"/>
    <n v="366.18"/>
  </r>
  <r>
    <x v="736"/>
    <x v="6"/>
    <x v="1"/>
    <s v="United States"/>
    <x v="13"/>
    <x v="7"/>
    <x v="2"/>
    <n v="6"/>
    <n v="1716"/>
    <n v="302.08999999999997"/>
  </r>
  <r>
    <x v="582"/>
    <x v="3"/>
    <x v="2"/>
    <s v="United States"/>
    <x v="252"/>
    <x v="7"/>
    <x v="2"/>
    <n v="6"/>
    <n v="2982"/>
    <n v="445.01"/>
  </r>
  <r>
    <x v="201"/>
    <x v="9"/>
    <x v="2"/>
    <s v="United States"/>
    <x v="156"/>
    <x v="5"/>
    <x v="3"/>
    <n v="9"/>
    <n v="7497"/>
    <n v="2241.59"/>
  </r>
  <r>
    <x v="611"/>
    <x v="4"/>
    <x v="1"/>
    <s v="United States"/>
    <x v="144"/>
    <x v="5"/>
    <x v="3"/>
    <n v="3"/>
    <n v="1026"/>
    <n v="142.71"/>
  </r>
  <r>
    <x v="731"/>
    <x v="9"/>
    <x v="2"/>
    <s v="United States"/>
    <x v="169"/>
    <x v="37"/>
    <x v="3"/>
    <n v="7"/>
    <n v="7392"/>
    <n v="2063.23"/>
  </r>
  <r>
    <x v="172"/>
    <x v="0"/>
    <x v="0"/>
    <s v="United States"/>
    <x v="74"/>
    <x v="0"/>
    <x v="0"/>
    <n v="4"/>
    <n v="2604"/>
    <n v="271.22000000000003"/>
  </r>
  <r>
    <x v="962"/>
    <x v="5"/>
    <x v="2"/>
    <s v="United States"/>
    <x v="15"/>
    <x v="13"/>
    <x v="1"/>
    <n v="6"/>
    <n v="1746"/>
    <n v="289.2"/>
  </r>
  <r>
    <x v="838"/>
    <x v="4"/>
    <x v="1"/>
    <s v="United States"/>
    <x v="13"/>
    <x v="7"/>
    <x v="2"/>
    <n v="6"/>
    <n v="5682"/>
    <n v="1365.87"/>
  </r>
  <r>
    <x v="887"/>
    <x v="1"/>
    <x v="1"/>
    <s v="United States"/>
    <x v="13"/>
    <x v="7"/>
    <x v="2"/>
    <n v="8"/>
    <n v="8664"/>
    <n v="2131.16"/>
  </r>
  <r>
    <x v="596"/>
    <x v="2"/>
    <x v="2"/>
    <s v="United States"/>
    <x v="13"/>
    <x v="7"/>
    <x v="2"/>
    <n v="3"/>
    <n v="1887"/>
    <n v="363.42"/>
  </r>
  <r>
    <x v="774"/>
    <x v="7"/>
    <x v="2"/>
    <s v="United States"/>
    <x v="9"/>
    <x v="8"/>
    <x v="3"/>
    <n v="7"/>
    <n v="6013"/>
    <n v="1544.51"/>
  </r>
  <r>
    <x v="638"/>
    <x v="5"/>
    <x v="2"/>
    <s v="United States"/>
    <x v="6"/>
    <x v="5"/>
    <x v="3"/>
    <n v="2"/>
    <n v="1578"/>
    <n v="463.58"/>
  </r>
  <r>
    <x v="688"/>
    <x v="3"/>
    <x v="2"/>
    <s v="United States"/>
    <x v="167"/>
    <x v="47"/>
    <x v="2"/>
    <n v="3"/>
    <n v="285"/>
    <n v="38.369999999999997"/>
  </r>
  <r>
    <x v="760"/>
    <x v="9"/>
    <x v="2"/>
    <s v="United States"/>
    <x v="364"/>
    <x v="37"/>
    <x v="3"/>
    <n v="6"/>
    <n v="5448"/>
    <n v="963.82"/>
  </r>
  <r>
    <x v="27"/>
    <x v="0"/>
    <x v="0"/>
    <s v="United States"/>
    <x v="79"/>
    <x v="16"/>
    <x v="3"/>
    <n v="2"/>
    <n v="1710"/>
    <n v="468.76"/>
  </r>
  <r>
    <x v="236"/>
    <x v="8"/>
    <x v="1"/>
    <s v="United States"/>
    <x v="28"/>
    <x v="2"/>
    <x v="1"/>
    <n v="9"/>
    <n v="2817"/>
    <n v="432.67"/>
  </r>
  <r>
    <x v="584"/>
    <x v="7"/>
    <x v="2"/>
    <s v="United States"/>
    <x v="144"/>
    <x v="5"/>
    <x v="3"/>
    <n v="9"/>
    <n v="9117"/>
    <n v="1780.52"/>
  </r>
  <r>
    <x v="479"/>
    <x v="5"/>
    <x v="2"/>
    <s v="United States"/>
    <x v="15"/>
    <x v="13"/>
    <x v="1"/>
    <n v="2"/>
    <n v="274"/>
    <n v="42.37"/>
  </r>
  <r>
    <x v="889"/>
    <x v="8"/>
    <x v="1"/>
    <s v="United States"/>
    <x v="13"/>
    <x v="7"/>
    <x v="2"/>
    <n v="6"/>
    <n v="6408"/>
    <n v="885.71"/>
  </r>
  <r>
    <x v="967"/>
    <x v="8"/>
    <x v="1"/>
    <s v="United States"/>
    <x v="9"/>
    <x v="8"/>
    <x v="3"/>
    <n v="5"/>
    <n v="5755"/>
    <n v="1441.84"/>
  </r>
  <r>
    <x v="989"/>
    <x v="2"/>
    <x v="2"/>
    <s v="United States"/>
    <x v="28"/>
    <x v="2"/>
    <x v="1"/>
    <n v="3"/>
    <n v="2262"/>
    <n v="245.66"/>
  </r>
  <r>
    <x v="410"/>
    <x v="4"/>
    <x v="1"/>
    <s v="United States"/>
    <x v="43"/>
    <x v="22"/>
    <x v="1"/>
    <n v="7"/>
    <n v="1785"/>
    <n v="233.77"/>
  </r>
  <r>
    <x v="68"/>
    <x v="0"/>
    <x v="0"/>
    <s v="United States"/>
    <x v="6"/>
    <x v="5"/>
    <x v="3"/>
    <n v="8"/>
    <n v="5128"/>
    <n v="657.87"/>
  </r>
  <r>
    <x v="990"/>
    <x v="3"/>
    <x v="2"/>
    <s v="United States"/>
    <x v="131"/>
    <x v="12"/>
    <x v="1"/>
    <n v="8"/>
    <n v="5176"/>
    <n v="1400.82"/>
  </r>
  <r>
    <x v="991"/>
    <x v="8"/>
    <x v="1"/>
    <s v="United States"/>
    <x v="29"/>
    <x v="15"/>
    <x v="2"/>
    <n v="5"/>
    <n v="1510"/>
    <n v="331.76"/>
  </r>
  <r>
    <x v="278"/>
    <x v="8"/>
    <x v="1"/>
    <s v="United States"/>
    <x v="6"/>
    <x v="5"/>
    <x v="3"/>
    <n v="1"/>
    <n v="947"/>
    <n v="77.209999999999994"/>
  </r>
  <r>
    <x v="383"/>
    <x v="7"/>
    <x v="2"/>
    <s v="United States"/>
    <x v="19"/>
    <x v="15"/>
    <x v="2"/>
    <n v="9"/>
    <n v="5427"/>
    <n v="731.33"/>
  </r>
  <r>
    <x v="584"/>
    <x v="5"/>
    <x v="2"/>
    <s v="United States"/>
    <x v="26"/>
    <x v="1"/>
    <x v="0"/>
    <n v="4"/>
    <n v="4560"/>
    <n v="507.87"/>
  </r>
  <r>
    <x v="318"/>
    <x v="2"/>
    <x v="2"/>
    <s v="United States"/>
    <x v="135"/>
    <x v="2"/>
    <x v="1"/>
    <n v="6"/>
    <n v="2100"/>
    <n v="268.39999999999998"/>
  </r>
  <r>
    <x v="870"/>
    <x v="9"/>
    <x v="2"/>
    <s v="United States"/>
    <x v="21"/>
    <x v="5"/>
    <x v="3"/>
    <n v="1"/>
    <n v="1054"/>
    <n v="288.14999999999998"/>
  </r>
  <r>
    <x v="480"/>
    <x v="5"/>
    <x v="2"/>
    <s v="United States"/>
    <x v="21"/>
    <x v="5"/>
    <x v="3"/>
    <n v="6"/>
    <n v="7026"/>
    <n v="1814.21"/>
  </r>
  <r>
    <x v="992"/>
    <x v="3"/>
    <x v="2"/>
    <s v="United States"/>
    <x v="13"/>
    <x v="7"/>
    <x v="2"/>
    <n v="9"/>
    <n v="513"/>
    <n v="151.87"/>
  </r>
  <r>
    <x v="423"/>
    <x v="4"/>
    <x v="1"/>
    <s v="United States"/>
    <x v="13"/>
    <x v="7"/>
    <x v="2"/>
    <n v="2"/>
    <n v="2244"/>
    <n v="353.83"/>
  </r>
  <r>
    <x v="932"/>
    <x v="7"/>
    <x v="2"/>
    <s v="United States"/>
    <x v="102"/>
    <x v="5"/>
    <x v="3"/>
    <n v="5"/>
    <n v="1785"/>
    <n v="134.94999999999999"/>
  </r>
  <r>
    <x v="96"/>
    <x v="8"/>
    <x v="1"/>
    <s v="United States"/>
    <x v="102"/>
    <x v="5"/>
    <x v="3"/>
    <n v="5"/>
    <n v="725"/>
    <n v="77.91"/>
  </r>
  <r>
    <x v="880"/>
    <x v="7"/>
    <x v="2"/>
    <s v="United States"/>
    <x v="155"/>
    <x v="2"/>
    <x v="1"/>
    <n v="4"/>
    <n v="2516"/>
    <n v="689.29"/>
  </r>
  <r>
    <x v="377"/>
    <x v="6"/>
    <x v="1"/>
    <s v="United States"/>
    <x v="77"/>
    <x v="7"/>
    <x v="2"/>
    <n v="8"/>
    <n v="6256"/>
    <n v="1152.99"/>
  </r>
  <r>
    <x v="223"/>
    <x v="3"/>
    <x v="2"/>
    <s v="United States"/>
    <x v="2"/>
    <x v="2"/>
    <x v="1"/>
    <n v="2"/>
    <n v="452"/>
    <n v="74.34"/>
  </r>
  <r>
    <x v="408"/>
    <x v="9"/>
    <x v="2"/>
    <s v="United States"/>
    <x v="144"/>
    <x v="5"/>
    <x v="3"/>
    <n v="7"/>
    <n v="5285"/>
    <n v="1338.58"/>
  </r>
  <r>
    <x v="569"/>
    <x v="7"/>
    <x v="2"/>
    <s v="United States"/>
    <x v="144"/>
    <x v="5"/>
    <x v="3"/>
    <n v="6"/>
    <n v="4872"/>
    <n v="786.79"/>
  </r>
  <r>
    <x v="858"/>
    <x v="8"/>
    <x v="1"/>
    <s v="United States"/>
    <x v="114"/>
    <x v="20"/>
    <x v="2"/>
    <n v="5"/>
    <n v="2495"/>
    <n v="164.56"/>
  </r>
  <r>
    <x v="273"/>
    <x v="6"/>
    <x v="1"/>
    <s v="United States"/>
    <x v="15"/>
    <x v="13"/>
    <x v="1"/>
    <n v="1"/>
    <n v="442"/>
    <n v="82.73"/>
  </r>
  <r>
    <x v="545"/>
    <x v="0"/>
    <x v="0"/>
    <s v="United States"/>
    <x v="15"/>
    <x v="13"/>
    <x v="1"/>
    <n v="9"/>
    <n v="8595"/>
    <n v="1312.19"/>
  </r>
  <r>
    <x v="183"/>
    <x v="8"/>
    <x v="1"/>
    <s v="United States"/>
    <x v="41"/>
    <x v="30"/>
    <x v="0"/>
    <n v="4"/>
    <n v="3528"/>
    <n v="411.5"/>
  </r>
  <r>
    <x v="428"/>
    <x v="9"/>
    <x v="2"/>
    <s v="United States"/>
    <x v="15"/>
    <x v="13"/>
    <x v="1"/>
    <n v="7"/>
    <n v="7777"/>
    <n v="746.84"/>
  </r>
  <r>
    <x v="861"/>
    <x v="5"/>
    <x v="2"/>
    <s v="United States"/>
    <x v="15"/>
    <x v="13"/>
    <x v="1"/>
    <n v="4"/>
    <n v="2008"/>
    <n v="451.68"/>
  </r>
  <r>
    <x v="806"/>
    <x v="1"/>
    <x v="1"/>
    <s v="United States"/>
    <x v="2"/>
    <x v="2"/>
    <x v="1"/>
    <n v="2"/>
    <n v="596"/>
    <n v="41.37"/>
  </r>
  <r>
    <x v="366"/>
    <x v="5"/>
    <x v="2"/>
    <s v="United States"/>
    <x v="2"/>
    <x v="2"/>
    <x v="1"/>
    <n v="9"/>
    <n v="4950"/>
    <n v="1402.67"/>
  </r>
  <r>
    <x v="821"/>
    <x v="8"/>
    <x v="1"/>
    <s v="United States"/>
    <x v="13"/>
    <x v="7"/>
    <x v="2"/>
    <n v="2"/>
    <n v="630"/>
    <n v="86.07"/>
  </r>
  <r>
    <x v="528"/>
    <x v="3"/>
    <x v="2"/>
    <s v="United States"/>
    <x v="13"/>
    <x v="7"/>
    <x v="2"/>
    <n v="6"/>
    <n v="6144"/>
    <n v="754.18"/>
  </r>
  <r>
    <x v="963"/>
    <x v="6"/>
    <x v="1"/>
    <s v="United States"/>
    <x v="2"/>
    <x v="2"/>
    <x v="1"/>
    <n v="1"/>
    <n v="140"/>
    <n v="24.21"/>
  </r>
  <r>
    <x v="475"/>
    <x v="4"/>
    <x v="1"/>
    <s v="United States"/>
    <x v="2"/>
    <x v="2"/>
    <x v="1"/>
    <n v="2"/>
    <n v="2014"/>
    <n v="215.06"/>
  </r>
  <r>
    <x v="933"/>
    <x v="1"/>
    <x v="1"/>
    <s v="United States"/>
    <x v="175"/>
    <x v="2"/>
    <x v="1"/>
    <n v="2"/>
    <n v="384"/>
    <n v="99.02"/>
  </r>
  <r>
    <x v="842"/>
    <x v="0"/>
    <x v="0"/>
    <s v="United States"/>
    <x v="28"/>
    <x v="2"/>
    <x v="1"/>
    <n v="7"/>
    <n v="3780"/>
    <n v="351.51"/>
  </r>
  <r>
    <x v="993"/>
    <x v="6"/>
    <x v="1"/>
    <s v="United States"/>
    <x v="6"/>
    <x v="5"/>
    <x v="3"/>
    <n v="7"/>
    <n v="5047"/>
    <n v="915.75"/>
  </r>
  <r>
    <x v="866"/>
    <x v="4"/>
    <x v="1"/>
    <s v="United States"/>
    <x v="3"/>
    <x v="3"/>
    <x v="2"/>
    <n v="3"/>
    <n v="2658"/>
    <n v="175.89"/>
  </r>
  <r>
    <x v="662"/>
    <x v="1"/>
    <x v="1"/>
    <s v="United States"/>
    <x v="2"/>
    <x v="2"/>
    <x v="1"/>
    <n v="8"/>
    <n v="528"/>
    <n v="53.91"/>
  </r>
  <r>
    <x v="994"/>
    <x v="8"/>
    <x v="1"/>
    <s v="United States"/>
    <x v="2"/>
    <x v="2"/>
    <x v="1"/>
    <n v="9"/>
    <n v="6507"/>
    <n v="1045.1400000000001"/>
  </r>
  <r>
    <x v="642"/>
    <x v="3"/>
    <x v="2"/>
    <s v="United States"/>
    <x v="3"/>
    <x v="3"/>
    <x v="2"/>
    <n v="7"/>
    <n v="5887"/>
    <n v="1035.5"/>
  </r>
  <r>
    <x v="162"/>
    <x v="4"/>
    <x v="1"/>
    <s v="United States"/>
    <x v="356"/>
    <x v="16"/>
    <x v="3"/>
    <n v="8"/>
    <n v="8224"/>
    <n v="1679.16"/>
  </r>
  <r>
    <x v="655"/>
    <x v="9"/>
    <x v="2"/>
    <s v="United States"/>
    <x v="13"/>
    <x v="7"/>
    <x v="2"/>
    <n v="3"/>
    <n v="723"/>
    <n v="115.25"/>
  </r>
  <r>
    <x v="937"/>
    <x v="1"/>
    <x v="1"/>
    <s v="United States"/>
    <x v="247"/>
    <x v="25"/>
    <x v="0"/>
    <n v="2"/>
    <n v="2272"/>
    <n v="504.72"/>
  </r>
  <r>
    <x v="995"/>
    <x v="8"/>
    <x v="1"/>
    <s v="United States"/>
    <x v="259"/>
    <x v="43"/>
    <x v="2"/>
    <n v="9"/>
    <n v="8640"/>
    <n v="1963.34"/>
  </r>
  <r>
    <x v="496"/>
    <x v="3"/>
    <x v="2"/>
    <s v="United States"/>
    <x v="2"/>
    <x v="2"/>
    <x v="1"/>
    <n v="8"/>
    <n v="2984"/>
    <n v="631.80999999999995"/>
  </r>
  <r>
    <x v="503"/>
    <x v="7"/>
    <x v="2"/>
    <s v="United States"/>
    <x v="2"/>
    <x v="2"/>
    <x v="1"/>
    <n v="2"/>
    <n v="606"/>
    <n v="150.94999999999999"/>
  </r>
  <r>
    <x v="183"/>
    <x v="6"/>
    <x v="1"/>
    <s v="United States"/>
    <x v="9"/>
    <x v="8"/>
    <x v="3"/>
    <n v="2"/>
    <n v="170"/>
    <n v="48.69"/>
  </r>
  <r>
    <x v="996"/>
    <x v="4"/>
    <x v="1"/>
    <s v="United States"/>
    <x v="9"/>
    <x v="8"/>
    <x v="3"/>
    <n v="9"/>
    <n v="5283"/>
    <n v="1550.3"/>
  </r>
  <r>
    <x v="946"/>
    <x v="5"/>
    <x v="2"/>
    <s v="United States"/>
    <x v="52"/>
    <x v="25"/>
    <x v="0"/>
    <n v="6"/>
    <n v="1350"/>
    <n v="356.88"/>
  </r>
  <r>
    <x v="380"/>
    <x v="4"/>
    <x v="1"/>
    <s v="United States"/>
    <x v="28"/>
    <x v="2"/>
    <x v="1"/>
    <n v="4"/>
    <n v="2500"/>
    <n v="467.34"/>
  </r>
  <r>
    <x v="691"/>
    <x v="3"/>
    <x v="2"/>
    <s v="United States"/>
    <x v="173"/>
    <x v="1"/>
    <x v="0"/>
    <n v="4"/>
    <n v="4648"/>
    <n v="689.85"/>
  </r>
  <r>
    <x v="722"/>
    <x v="0"/>
    <x v="0"/>
    <s v="United States"/>
    <x v="21"/>
    <x v="5"/>
    <x v="3"/>
    <n v="5"/>
    <n v="650"/>
    <n v="93.41"/>
  </r>
  <r>
    <x v="415"/>
    <x v="6"/>
    <x v="1"/>
    <s v="United States"/>
    <x v="309"/>
    <x v="18"/>
    <x v="2"/>
    <n v="2"/>
    <n v="1538"/>
    <n v="97.15"/>
  </r>
  <r>
    <x v="689"/>
    <x v="5"/>
    <x v="2"/>
    <s v="United States"/>
    <x v="247"/>
    <x v="25"/>
    <x v="0"/>
    <n v="4"/>
    <n v="3928"/>
    <n v="325.32"/>
  </r>
  <r>
    <x v="510"/>
    <x v="4"/>
    <x v="1"/>
    <s v="United States"/>
    <x v="6"/>
    <x v="5"/>
    <x v="3"/>
    <n v="2"/>
    <n v="2258"/>
    <n v="175.86"/>
  </r>
  <r>
    <x v="317"/>
    <x v="6"/>
    <x v="1"/>
    <s v="United States"/>
    <x v="6"/>
    <x v="5"/>
    <x v="3"/>
    <n v="9"/>
    <n v="2988"/>
    <n v="447.93"/>
  </r>
  <r>
    <x v="529"/>
    <x v="4"/>
    <x v="1"/>
    <s v="United States"/>
    <x v="6"/>
    <x v="5"/>
    <x v="3"/>
    <n v="8"/>
    <n v="4136"/>
    <n v="810.82"/>
  </r>
  <r>
    <x v="708"/>
    <x v="1"/>
    <x v="1"/>
    <s v="United States"/>
    <x v="6"/>
    <x v="5"/>
    <x v="3"/>
    <n v="7"/>
    <n v="3605"/>
    <n v="387.82"/>
  </r>
  <r>
    <x v="966"/>
    <x v="5"/>
    <x v="2"/>
    <s v="United States"/>
    <x v="13"/>
    <x v="7"/>
    <x v="2"/>
    <n v="3"/>
    <n v="1656"/>
    <n v="469.28"/>
  </r>
  <r>
    <x v="997"/>
    <x v="0"/>
    <x v="0"/>
    <s v="United States"/>
    <x v="1"/>
    <x v="1"/>
    <x v="0"/>
    <n v="8"/>
    <n v="7072"/>
    <n v="2113.06"/>
  </r>
  <r>
    <x v="235"/>
    <x v="8"/>
    <x v="1"/>
    <s v="United States"/>
    <x v="168"/>
    <x v="30"/>
    <x v="0"/>
    <n v="8"/>
    <n v="5368"/>
    <n v="542.52"/>
  </r>
  <r>
    <x v="31"/>
    <x v="9"/>
    <x v="2"/>
    <s v="United States"/>
    <x v="66"/>
    <x v="1"/>
    <x v="0"/>
    <n v="4"/>
    <n v="1356"/>
    <n v="374.79"/>
  </r>
  <r>
    <x v="697"/>
    <x v="0"/>
    <x v="0"/>
    <s v="United States"/>
    <x v="28"/>
    <x v="2"/>
    <x v="1"/>
    <n v="6"/>
    <n v="1326"/>
    <n v="338.66"/>
  </r>
  <r>
    <x v="756"/>
    <x v="0"/>
    <x v="0"/>
    <s v="United States"/>
    <x v="127"/>
    <x v="30"/>
    <x v="0"/>
    <n v="1"/>
    <n v="730"/>
    <n v="55.72"/>
  </r>
  <r>
    <x v="870"/>
    <x v="4"/>
    <x v="1"/>
    <s v="United States"/>
    <x v="365"/>
    <x v="5"/>
    <x v="3"/>
    <n v="4"/>
    <n v="4664"/>
    <n v="294.05"/>
  </r>
  <r>
    <x v="10"/>
    <x v="9"/>
    <x v="2"/>
    <s v="United States"/>
    <x v="101"/>
    <x v="5"/>
    <x v="3"/>
    <n v="8"/>
    <n v="3528"/>
    <n v="593.11"/>
  </r>
  <r>
    <x v="569"/>
    <x v="1"/>
    <x v="1"/>
    <s v="United States"/>
    <x v="62"/>
    <x v="2"/>
    <x v="1"/>
    <n v="3"/>
    <n v="1497"/>
    <n v="190.59"/>
  </r>
  <r>
    <x v="364"/>
    <x v="2"/>
    <x v="2"/>
    <s v="United States"/>
    <x v="42"/>
    <x v="8"/>
    <x v="3"/>
    <n v="3"/>
    <n v="2628"/>
    <n v="781.94"/>
  </r>
  <r>
    <x v="900"/>
    <x v="9"/>
    <x v="2"/>
    <s v="United States"/>
    <x v="2"/>
    <x v="2"/>
    <x v="1"/>
    <n v="4"/>
    <n v="4196"/>
    <n v="655.29"/>
  </r>
  <r>
    <x v="382"/>
    <x v="6"/>
    <x v="1"/>
    <s v="United States"/>
    <x v="13"/>
    <x v="7"/>
    <x v="2"/>
    <n v="7"/>
    <n v="1204"/>
    <n v="317.12"/>
  </r>
  <r>
    <x v="635"/>
    <x v="0"/>
    <x v="0"/>
    <s v="United States"/>
    <x v="13"/>
    <x v="7"/>
    <x v="2"/>
    <n v="7"/>
    <n v="7119"/>
    <n v="1555.05"/>
  </r>
  <r>
    <x v="446"/>
    <x v="2"/>
    <x v="2"/>
    <s v="United States"/>
    <x v="28"/>
    <x v="2"/>
    <x v="1"/>
    <n v="8"/>
    <n v="1848"/>
    <n v="351.02"/>
  </r>
  <r>
    <x v="342"/>
    <x v="2"/>
    <x v="2"/>
    <s v="United States"/>
    <x v="15"/>
    <x v="13"/>
    <x v="1"/>
    <n v="4"/>
    <n v="2232"/>
    <n v="531.12"/>
  </r>
  <r>
    <x v="221"/>
    <x v="1"/>
    <x v="1"/>
    <s v="United States"/>
    <x v="52"/>
    <x v="6"/>
    <x v="3"/>
    <n v="6"/>
    <n v="5190"/>
    <n v="898.86"/>
  </r>
  <r>
    <x v="245"/>
    <x v="7"/>
    <x v="2"/>
    <s v="United States"/>
    <x v="366"/>
    <x v="15"/>
    <x v="2"/>
    <n v="3"/>
    <n v="1830"/>
    <n v="403.42"/>
  </r>
  <r>
    <x v="196"/>
    <x v="1"/>
    <x v="1"/>
    <s v="United States"/>
    <x v="13"/>
    <x v="7"/>
    <x v="2"/>
    <n v="1"/>
    <n v="1033"/>
    <n v="302.68"/>
  </r>
  <r>
    <x v="506"/>
    <x v="5"/>
    <x v="2"/>
    <s v="United States"/>
    <x v="79"/>
    <x v="16"/>
    <x v="3"/>
    <n v="7"/>
    <n v="2324"/>
    <n v="611.70000000000005"/>
  </r>
  <r>
    <x v="388"/>
    <x v="8"/>
    <x v="1"/>
    <s v="United States"/>
    <x v="79"/>
    <x v="16"/>
    <x v="3"/>
    <n v="2"/>
    <n v="1942"/>
    <n v="235.42"/>
  </r>
  <r>
    <x v="743"/>
    <x v="0"/>
    <x v="0"/>
    <s v="United States"/>
    <x v="130"/>
    <x v="15"/>
    <x v="2"/>
    <n v="7"/>
    <n v="5740"/>
    <n v="1615.9"/>
  </r>
  <r>
    <x v="418"/>
    <x v="5"/>
    <x v="2"/>
    <s v="United States"/>
    <x v="130"/>
    <x v="15"/>
    <x v="2"/>
    <n v="9"/>
    <n v="6435"/>
    <n v="1096.8800000000001"/>
  </r>
  <r>
    <x v="540"/>
    <x v="1"/>
    <x v="1"/>
    <s v="United States"/>
    <x v="76"/>
    <x v="15"/>
    <x v="2"/>
    <n v="2"/>
    <n v="1168"/>
    <n v="172.18"/>
  </r>
  <r>
    <x v="356"/>
    <x v="2"/>
    <x v="2"/>
    <s v="United States"/>
    <x v="74"/>
    <x v="12"/>
    <x v="1"/>
    <n v="9"/>
    <n v="7362"/>
    <n v="441.36"/>
  </r>
  <r>
    <x v="391"/>
    <x v="5"/>
    <x v="2"/>
    <s v="United States"/>
    <x v="118"/>
    <x v="5"/>
    <x v="3"/>
    <n v="2"/>
    <n v="862"/>
    <n v="105.97"/>
  </r>
  <r>
    <x v="809"/>
    <x v="1"/>
    <x v="1"/>
    <s v="United States"/>
    <x v="261"/>
    <x v="2"/>
    <x v="1"/>
    <n v="1"/>
    <n v="956"/>
    <n v="167.16"/>
  </r>
  <r>
    <x v="935"/>
    <x v="7"/>
    <x v="2"/>
    <s v="United States"/>
    <x v="261"/>
    <x v="2"/>
    <x v="1"/>
    <n v="7"/>
    <n v="4438"/>
    <n v="770.3"/>
  </r>
  <r>
    <x v="14"/>
    <x v="8"/>
    <x v="1"/>
    <s v="United States"/>
    <x v="261"/>
    <x v="2"/>
    <x v="1"/>
    <n v="9"/>
    <n v="972"/>
    <n v="100"/>
  </r>
  <r>
    <x v="851"/>
    <x v="8"/>
    <x v="1"/>
    <s v="United States"/>
    <x v="261"/>
    <x v="2"/>
    <x v="1"/>
    <n v="2"/>
    <n v="1816"/>
    <n v="129.24"/>
  </r>
  <r>
    <x v="526"/>
    <x v="6"/>
    <x v="1"/>
    <s v="United States"/>
    <x v="367"/>
    <x v="2"/>
    <x v="1"/>
    <n v="4"/>
    <n v="596"/>
    <n v="105.89"/>
  </r>
  <r>
    <x v="153"/>
    <x v="1"/>
    <x v="1"/>
    <s v="United States"/>
    <x v="149"/>
    <x v="26"/>
    <x v="3"/>
    <n v="9"/>
    <n v="1233"/>
    <n v="346.9"/>
  </r>
  <r>
    <x v="188"/>
    <x v="4"/>
    <x v="1"/>
    <s v="United States"/>
    <x v="368"/>
    <x v="5"/>
    <x v="3"/>
    <n v="1"/>
    <n v="1055"/>
    <n v="88.61"/>
  </r>
  <r>
    <x v="514"/>
    <x v="2"/>
    <x v="2"/>
    <s v="United States"/>
    <x v="28"/>
    <x v="2"/>
    <x v="1"/>
    <n v="2"/>
    <n v="952"/>
    <n v="112.39"/>
  </r>
  <r>
    <x v="956"/>
    <x v="1"/>
    <x v="1"/>
    <s v="United States"/>
    <x v="369"/>
    <x v="2"/>
    <x v="1"/>
    <n v="1"/>
    <n v="312"/>
    <n v="40.47"/>
  </r>
  <r>
    <x v="998"/>
    <x v="2"/>
    <x v="2"/>
    <s v="United States"/>
    <x v="2"/>
    <x v="2"/>
    <x v="1"/>
    <n v="2"/>
    <n v="294"/>
    <n v="35.049999999999997"/>
  </r>
  <r>
    <x v="312"/>
    <x v="5"/>
    <x v="2"/>
    <s v="United States"/>
    <x v="13"/>
    <x v="7"/>
    <x v="2"/>
    <n v="2"/>
    <n v="474"/>
    <n v="120.91"/>
  </r>
  <r>
    <x v="642"/>
    <x v="3"/>
    <x v="2"/>
    <s v="United States"/>
    <x v="370"/>
    <x v="6"/>
    <x v="3"/>
    <n v="2"/>
    <n v="788"/>
    <n v="195.15"/>
  </r>
  <r>
    <x v="16"/>
    <x v="1"/>
    <x v="1"/>
    <s v="United States"/>
    <x v="2"/>
    <x v="2"/>
    <x v="1"/>
    <n v="8"/>
    <n v="2760"/>
    <n v="156.53"/>
  </r>
  <r>
    <x v="662"/>
    <x v="9"/>
    <x v="2"/>
    <s v="United States"/>
    <x v="6"/>
    <x v="5"/>
    <x v="3"/>
    <n v="4"/>
    <n v="908"/>
    <n v="219.79"/>
  </r>
  <r>
    <x v="461"/>
    <x v="7"/>
    <x v="2"/>
    <s v="United States"/>
    <x v="19"/>
    <x v="14"/>
    <x v="2"/>
    <n v="1"/>
    <n v="593"/>
    <n v="133.01"/>
  </r>
  <r>
    <x v="940"/>
    <x v="4"/>
    <x v="1"/>
    <s v="United States"/>
    <x v="120"/>
    <x v="35"/>
    <x v="0"/>
    <n v="6"/>
    <n v="1698"/>
    <n v="193.42"/>
  </r>
  <r>
    <x v="104"/>
    <x v="0"/>
    <x v="0"/>
    <s v="United States"/>
    <x v="89"/>
    <x v="1"/>
    <x v="0"/>
    <n v="1"/>
    <n v="546"/>
    <n v="124.1"/>
  </r>
  <r>
    <x v="783"/>
    <x v="9"/>
    <x v="2"/>
    <s v="United States"/>
    <x v="46"/>
    <x v="2"/>
    <x v="1"/>
    <n v="5"/>
    <n v="4380"/>
    <n v="275.83999999999997"/>
  </r>
  <r>
    <x v="223"/>
    <x v="3"/>
    <x v="2"/>
    <s v="United States"/>
    <x v="0"/>
    <x v="0"/>
    <x v="0"/>
    <n v="4"/>
    <n v="2472"/>
    <n v="594.62"/>
  </r>
  <r>
    <x v="330"/>
    <x v="7"/>
    <x v="2"/>
    <s v="United States"/>
    <x v="0"/>
    <x v="0"/>
    <x v="0"/>
    <n v="4"/>
    <n v="1996"/>
    <n v="396.63"/>
  </r>
  <r>
    <x v="366"/>
    <x v="3"/>
    <x v="2"/>
    <s v="United States"/>
    <x v="1"/>
    <x v="1"/>
    <x v="0"/>
    <n v="5"/>
    <n v="2525"/>
    <n v="699.74"/>
  </r>
  <r>
    <x v="782"/>
    <x v="4"/>
    <x v="1"/>
    <s v="United States"/>
    <x v="2"/>
    <x v="2"/>
    <x v="1"/>
    <n v="9"/>
    <n v="4041"/>
    <n v="517.23"/>
  </r>
  <r>
    <x v="909"/>
    <x v="8"/>
    <x v="1"/>
    <s v="United States"/>
    <x v="2"/>
    <x v="2"/>
    <x v="1"/>
    <n v="3"/>
    <n v="858"/>
    <n v="246.86"/>
  </r>
  <r>
    <x v="91"/>
    <x v="8"/>
    <x v="1"/>
    <s v="United States"/>
    <x v="3"/>
    <x v="3"/>
    <x v="2"/>
    <n v="9"/>
    <n v="4221"/>
    <n v="1238.5999999999999"/>
  </r>
  <r>
    <x v="390"/>
    <x v="2"/>
    <x v="2"/>
    <s v="United States"/>
    <x v="4"/>
    <x v="4"/>
    <x v="1"/>
    <n v="2"/>
    <n v="858"/>
    <n v="73.489999999999995"/>
  </r>
  <r>
    <x v="227"/>
    <x v="8"/>
    <x v="1"/>
    <s v="United States"/>
    <x v="3"/>
    <x v="3"/>
    <x v="2"/>
    <n v="1"/>
    <n v="776"/>
    <n v="172.19"/>
  </r>
  <r>
    <x v="635"/>
    <x v="9"/>
    <x v="2"/>
    <s v="United States"/>
    <x v="3"/>
    <x v="3"/>
    <x v="2"/>
    <n v="7"/>
    <n v="3654"/>
    <n v="871.81"/>
  </r>
  <r>
    <x v="921"/>
    <x v="4"/>
    <x v="1"/>
    <s v="United States"/>
    <x v="5"/>
    <x v="5"/>
    <x v="3"/>
    <n v="3"/>
    <n v="384"/>
    <n v="45.99"/>
  </r>
  <r>
    <x v="991"/>
    <x v="0"/>
    <x v="0"/>
    <s v="United States"/>
    <x v="6"/>
    <x v="5"/>
    <x v="3"/>
    <n v="5"/>
    <n v="535"/>
    <n v="43.47"/>
  </r>
  <r>
    <x v="818"/>
    <x v="4"/>
    <x v="1"/>
    <s v="United States"/>
    <x v="6"/>
    <x v="5"/>
    <x v="3"/>
    <n v="9"/>
    <n v="7992"/>
    <n v="1979.53"/>
  </r>
  <r>
    <x v="562"/>
    <x v="1"/>
    <x v="1"/>
    <s v="United States"/>
    <x v="7"/>
    <x v="6"/>
    <x v="3"/>
    <n v="7"/>
    <n v="3892"/>
    <n v="350.57"/>
  </r>
  <r>
    <x v="999"/>
    <x v="2"/>
    <x v="2"/>
    <s v="United States"/>
    <x v="7"/>
    <x v="6"/>
    <x v="3"/>
    <n v="3"/>
    <n v="2637"/>
    <n v="468.6"/>
  </r>
  <r>
    <x v="1000"/>
    <x v="1"/>
    <x v="1"/>
    <s v="United States"/>
    <x v="8"/>
    <x v="7"/>
    <x v="2"/>
    <n v="8"/>
    <n v="8664"/>
    <n v="2349.6799999999998"/>
  </r>
  <r>
    <x v="855"/>
    <x v="5"/>
    <x v="2"/>
    <s v="United States"/>
    <x v="2"/>
    <x v="2"/>
    <x v="1"/>
    <n v="6"/>
    <n v="918"/>
    <n v="116.87"/>
  </r>
  <r>
    <x v="607"/>
    <x v="6"/>
    <x v="1"/>
    <s v="United States"/>
    <x v="9"/>
    <x v="8"/>
    <x v="3"/>
    <n v="5"/>
    <n v="5625"/>
    <n v="1006.95"/>
  </r>
  <r>
    <x v="642"/>
    <x v="2"/>
    <x v="2"/>
    <s v="United States"/>
    <x v="10"/>
    <x v="9"/>
    <x v="0"/>
    <n v="6"/>
    <n v="6030"/>
    <n v="511.7"/>
  </r>
  <r>
    <x v="802"/>
    <x v="0"/>
    <x v="0"/>
    <s v="United States"/>
    <x v="10"/>
    <x v="9"/>
    <x v="0"/>
    <n v="8"/>
    <n v="432"/>
    <n v="98.44"/>
  </r>
  <r>
    <x v="819"/>
    <x v="9"/>
    <x v="2"/>
    <s v="United States"/>
    <x v="6"/>
    <x v="5"/>
    <x v="3"/>
    <n v="6"/>
    <n v="1884"/>
    <n v="190.58"/>
  </r>
  <r>
    <x v="801"/>
    <x v="9"/>
    <x v="2"/>
    <s v="United States"/>
    <x v="6"/>
    <x v="5"/>
    <x v="3"/>
    <n v="9"/>
    <n v="9225"/>
    <n v="2526.27"/>
  </r>
  <r>
    <x v="210"/>
    <x v="0"/>
    <x v="0"/>
    <s v="United States"/>
    <x v="11"/>
    <x v="10"/>
    <x v="0"/>
    <n v="2"/>
    <n v="954"/>
    <n v="71"/>
  </r>
  <r>
    <x v="33"/>
    <x v="5"/>
    <x v="2"/>
    <s v="United States"/>
    <x v="12"/>
    <x v="11"/>
    <x v="3"/>
    <n v="8"/>
    <n v="7072"/>
    <n v="1983.42"/>
  </r>
  <r>
    <x v="852"/>
    <x v="7"/>
    <x v="2"/>
    <s v="United States"/>
    <x v="13"/>
    <x v="7"/>
    <x v="2"/>
    <n v="3"/>
    <n v="342"/>
    <n v="89.67"/>
  </r>
  <r>
    <x v="43"/>
    <x v="0"/>
    <x v="0"/>
    <s v="United States"/>
    <x v="14"/>
    <x v="12"/>
    <x v="1"/>
    <n v="4"/>
    <n v="2440"/>
    <n v="410.86"/>
  </r>
  <r>
    <x v="31"/>
    <x v="1"/>
    <x v="1"/>
    <s v="United States"/>
    <x v="13"/>
    <x v="7"/>
    <x v="2"/>
    <n v="5"/>
    <n v="510"/>
    <n v="82.47"/>
  </r>
  <r>
    <x v="305"/>
    <x v="7"/>
    <x v="2"/>
    <s v="United States"/>
    <x v="15"/>
    <x v="13"/>
    <x v="1"/>
    <n v="1"/>
    <n v="192"/>
    <n v="16.47"/>
  </r>
  <r>
    <x v="673"/>
    <x v="1"/>
    <x v="1"/>
    <s v="United States"/>
    <x v="16"/>
    <x v="14"/>
    <x v="2"/>
    <n v="5"/>
    <n v="3600"/>
    <n v="712.3"/>
  </r>
  <r>
    <x v="1001"/>
    <x v="3"/>
    <x v="2"/>
    <s v="United States"/>
    <x v="6"/>
    <x v="5"/>
    <x v="3"/>
    <n v="7"/>
    <n v="2597"/>
    <n v="766.32"/>
  </r>
  <r>
    <x v="212"/>
    <x v="3"/>
    <x v="2"/>
    <s v="United States"/>
    <x v="17"/>
    <x v="8"/>
    <x v="3"/>
    <n v="4"/>
    <n v="772"/>
    <n v="215.62"/>
  </r>
  <r>
    <x v="665"/>
    <x v="1"/>
    <x v="1"/>
    <s v="United States"/>
    <x v="2"/>
    <x v="2"/>
    <x v="1"/>
    <n v="2"/>
    <n v="646"/>
    <n v="180.5"/>
  </r>
  <r>
    <x v="181"/>
    <x v="7"/>
    <x v="2"/>
    <s v="United States"/>
    <x v="2"/>
    <x v="2"/>
    <x v="1"/>
    <n v="7"/>
    <n v="2947"/>
    <n v="809.46"/>
  </r>
  <r>
    <x v="801"/>
    <x v="9"/>
    <x v="2"/>
    <s v="United States"/>
    <x v="18"/>
    <x v="2"/>
    <x v="1"/>
    <n v="5"/>
    <n v="880"/>
    <n v="255.9"/>
  </r>
  <r>
    <x v="691"/>
    <x v="3"/>
    <x v="2"/>
    <s v="United States"/>
    <x v="3"/>
    <x v="3"/>
    <x v="2"/>
    <n v="3"/>
    <n v="1038"/>
    <n v="219.69"/>
  </r>
  <r>
    <x v="965"/>
    <x v="0"/>
    <x v="0"/>
    <s v="United States"/>
    <x v="19"/>
    <x v="15"/>
    <x v="2"/>
    <n v="1"/>
    <n v="714"/>
    <n v="209.69"/>
  </r>
  <r>
    <x v="275"/>
    <x v="9"/>
    <x v="2"/>
    <s v="United States"/>
    <x v="20"/>
    <x v="16"/>
    <x v="3"/>
    <n v="4"/>
    <n v="1792"/>
    <n v="506.56"/>
  </r>
  <r>
    <x v="116"/>
    <x v="4"/>
    <x v="1"/>
    <s v="United States"/>
    <x v="15"/>
    <x v="13"/>
    <x v="1"/>
    <n v="6"/>
    <n v="5874"/>
    <n v="1386.51"/>
  </r>
  <r>
    <x v="162"/>
    <x v="5"/>
    <x v="2"/>
    <s v="United States"/>
    <x v="21"/>
    <x v="5"/>
    <x v="3"/>
    <n v="6"/>
    <n v="2496"/>
    <n v="332.08"/>
  </r>
  <r>
    <x v="841"/>
    <x v="5"/>
    <x v="2"/>
    <s v="United States"/>
    <x v="2"/>
    <x v="2"/>
    <x v="1"/>
    <n v="3"/>
    <n v="795"/>
    <n v="60.34"/>
  </r>
  <r>
    <x v="350"/>
    <x v="7"/>
    <x v="2"/>
    <s v="United States"/>
    <x v="19"/>
    <x v="15"/>
    <x v="2"/>
    <n v="7"/>
    <n v="7238"/>
    <n v="1597.03"/>
  </r>
  <r>
    <x v="409"/>
    <x v="2"/>
    <x v="2"/>
    <s v="United States"/>
    <x v="13"/>
    <x v="7"/>
    <x v="2"/>
    <n v="1"/>
    <n v="430"/>
    <n v="83.33"/>
  </r>
  <r>
    <x v="135"/>
    <x v="4"/>
    <x v="1"/>
    <s v="United States"/>
    <x v="13"/>
    <x v="7"/>
    <x v="2"/>
    <n v="4"/>
    <n v="1728"/>
    <n v="239.64"/>
  </r>
  <r>
    <x v="709"/>
    <x v="6"/>
    <x v="1"/>
    <s v="United States"/>
    <x v="22"/>
    <x v="12"/>
    <x v="1"/>
    <n v="3"/>
    <n v="1833"/>
    <n v="314.79000000000002"/>
  </r>
  <r>
    <x v="320"/>
    <x v="6"/>
    <x v="1"/>
    <s v="United States"/>
    <x v="20"/>
    <x v="9"/>
    <x v="0"/>
    <n v="7"/>
    <n v="7280"/>
    <n v="1682.79"/>
  </r>
  <r>
    <x v="458"/>
    <x v="5"/>
    <x v="2"/>
    <s v="United States"/>
    <x v="23"/>
    <x v="15"/>
    <x v="2"/>
    <n v="1"/>
    <n v="814"/>
    <n v="197.91"/>
  </r>
  <r>
    <x v="536"/>
    <x v="0"/>
    <x v="0"/>
    <s v="United States"/>
    <x v="24"/>
    <x v="15"/>
    <x v="2"/>
    <n v="8"/>
    <n v="4696"/>
    <n v="410.03"/>
  </r>
  <r>
    <x v="346"/>
    <x v="1"/>
    <x v="1"/>
    <s v="United States"/>
    <x v="25"/>
    <x v="17"/>
    <x v="3"/>
    <n v="5"/>
    <n v="1190"/>
    <n v="235.64"/>
  </r>
  <r>
    <x v="750"/>
    <x v="0"/>
    <x v="0"/>
    <s v="United States"/>
    <x v="11"/>
    <x v="9"/>
    <x v="0"/>
    <n v="1"/>
    <n v="591"/>
    <n v="39.06"/>
  </r>
  <r>
    <x v="639"/>
    <x v="1"/>
    <x v="1"/>
    <s v="United States"/>
    <x v="11"/>
    <x v="9"/>
    <x v="0"/>
    <n v="9"/>
    <n v="8100"/>
    <n v="2203.56"/>
  </r>
  <r>
    <x v="552"/>
    <x v="9"/>
    <x v="2"/>
    <s v="United States"/>
    <x v="26"/>
    <x v="1"/>
    <x v="0"/>
    <n v="6"/>
    <n v="1500"/>
    <n v="183.31"/>
  </r>
  <r>
    <x v="501"/>
    <x v="5"/>
    <x v="2"/>
    <s v="United States"/>
    <x v="26"/>
    <x v="1"/>
    <x v="0"/>
    <n v="2"/>
    <n v="300"/>
    <n v="48.69"/>
  </r>
  <r>
    <x v="70"/>
    <x v="5"/>
    <x v="2"/>
    <s v="United States"/>
    <x v="26"/>
    <x v="1"/>
    <x v="0"/>
    <n v="9"/>
    <n v="1098"/>
    <n v="106.97"/>
  </r>
  <r>
    <x v="828"/>
    <x v="6"/>
    <x v="1"/>
    <s v="United States"/>
    <x v="9"/>
    <x v="8"/>
    <x v="3"/>
    <n v="4"/>
    <n v="2336"/>
    <n v="509.49"/>
  </r>
  <r>
    <x v="323"/>
    <x v="3"/>
    <x v="2"/>
    <s v="United States"/>
    <x v="9"/>
    <x v="8"/>
    <x v="3"/>
    <n v="5"/>
    <n v="410"/>
    <n v="40.96"/>
  </r>
  <r>
    <x v="6"/>
    <x v="1"/>
    <x v="1"/>
    <s v="United States"/>
    <x v="9"/>
    <x v="8"/>
    <x v="3"/>
    <n v="9"/>
    <n v="594"/>
    <n v="51.49"/>
  </r>
  <r>
    <x v="39"/>
    <x v="5"/>
    <x v="2"/>
    <s v="United States"/>
    <x v="9"/>
    <x v="8"/>
    <x v="3"/>
    <n v="2"/>
    <n v="218"/>
    <n v="38.93"/>
  </r>
  <r>
    <x v="1002"/>
    <x v="2"/>
    <x v="2"/>
    <s v="United States"/>
    <x v="27"/>
    <x v="11"/>
    <x v="3"/>
    <n v="2"/>
    <n v="1298"/>
    <n v="123.9"/>
  </r>
  <r>
    <x v="594"/>
    <x v="2"/>
    <x v="2"/>
    <s v="United States"/>
    <x v="28"/>
    <x v="2"/>
    <x v="1"/>
    <n v="5"/>
    <n v="895"/>
    <n v="180.64"/>
  </r>
  <r>
    <x v="713"/>
    <x v="8"/>
    <x v="1"/>
    <s v="United States"/>
    <x v="9"/>
    <x v="8"/>
    <x v="3"/>
    <n v="4"/>
    <n v="2828"/>
    <n v="539.42999999999995"/>
  </r>
  <r>
    <x v="886"/>
    <x v="2"/>
    <x v="2"/>
    <s v="United States"/>
    <x v="28"/>
    <x v="2"/>
    <x v="1"/>
    <n v="3"/>
    <n v="813"/>
    <n v="188.94"/>
  </r>
  <r>
    <x v="534"/>
    <x v="6"/>
    <x v="1"/>
    <s v="United States"/>
    <x v="2"/>
    <x v="2"/>
    <x v="1"/>
    <n v="4"/>
    <n v="1800"/>
    <n v="170.19"/>
  </r>
  <r>
    <x v="751"/>
    <x v="2"/>
    <x v="2"/>
    <s v="United States"/>
    <x v="29"/>
    <x v="15"/>
    <x v="2"/>
    <n v="1"/>
    <n v="99"/>
    <n v="12.79"/>
  </r>
  <r>
    <x v="481"/>
    <x v="4"/>
    <x v="1"/>
    <s v="United States"/>
    <x v="30"/>
    <x v="12"/>
    <x v="1"/>
    <n v="8"/>
    <n v="7576"/>
    <n v="1703.42"/>
  </r>
  <r>
    <x v="450"/>
    <x v="5"/>
    <x v="2"/>
    <s v="United States"/>
    <x v="30"/>
    <x v="12"/>
    <x v="1"/>
    <n v="3"/>
    <n v="1317"/>
    <n v="71.02"/>
  </r>
  <r>
    <x v="726"/>
    <x v="5"/>
    <x v="2"/>
    <s v="United States"/>
    <x v="30"/>
    <x v="12"/>
    <x v="1"/>
    <n v="3"/>
    <n v="957"/>
    <n v="120.27"/>
  </r>
  <r>
    <x v="47"/>
    <x v="1"/>
    <x v="1"/>
    <s v="United States"/>
    <x v="31"/>
    <x v="18"/>
    <x v="2"/>
    <n v="4"/>
    <n v="1316"/>
    <n v="244.13"/>
  </r>
  <r>
    <x v="888"/>
    <x v="4"/>
    <x v="1"/>
    <s v="United States"/>
    <x v="9"/>
    <x v="8"/>
    <x v="3"/>
    <n v="6"/>
    <n v="5346"/>
    <n v="351.93"/>
  </r>
  <r>
    <x v="401"/>
    <x v="7"/>
    <x v="2"/>
    <s v="United States"/>
    <x v="13"/>
    <x v="7"/>
    <x v="2"/>
    <n v="1"/>
    <n v="464"/>
    <n v="66.260000000000005"/>
  </r>
  <r>
    <x v="711"/>
    <x v="8"/>
    <x v="1"/>
    <s v="United States"/>
    <x v="32"/>
    <x v="12"/>
    <x v="1"/>
    <n v="7"/>
    <n v="3752"/>
    <n v="835.34"/>
  </r>
  <r>
    <x v="827"/>
    <x v="8"/>
    <x v="1"/>
    <s v="United States"/>
    <x v="32"/>
    <x v="12"/>
    <x v="1"/>
    <n v="6"/>
    <n v="1962"/>
    <n v="301.57"/>
  </r>
  <r>
    <x v="492"/>
    <x v="7"/>
    <x v="2"/>
    <s v="United States"/>
    <x v="32"/>
    <x v="12"/>
    <x v="1"/>
    <n v="6"/>
    <n v="2310"/>
    <n v="202.98"/>
  </r>
  <r>
    <x v="125"/>
    <x v="2"/>
    <x v="2"/>
    <s v="United States"/>
    <x v="33"/>
    <x v="18"/>
    <x v="2"/>
    <n v="4"/>
    <n v="3028"/>
    <n v="685.23"/>
  </r>
  <r>
    <x v="843"/>
    <x v="6"/>
    <x v="1"/>
    <s v="United States"/>
    <x v="13"/>
    <x v="7"/>
    <x v="2"/>
    <n v="3"/>
    <n v="2994"/>
    <n v="877.92"/>
  </r>
  <r>
    <x v="113"/>
    <x v="2"/>
    <x v="2"/>
    <s v="United States"/>
    <x v="34"/>
    <x v="9"/>
    <x v="0"/>
    <n v="3"/>
    <n v="3393"/>
    <n v="313.45"/>
  </r>
  <r>
    <x v="447"/>
    <x v="3"/>
    <x v="2"/>
    <s v="United States"/>
    <x v="3"/>
    <x v="3"/>
    <x v="2"/>
    <n v="3"/>
    <n v="1209"/>
    <n v="320.61"/>
  </r>
  <r>
    <x v="417"/>
    <x v="8"/>
    <x v="1"/>
    <s v="United States"/>
    <x v="28"/>
    <x v="2"/>
    <x v="1"/>
    <n v="8"/>
    <n v="5784"/>
    <n v="1276.57"/>
  </r>
  <r>
    <x v="149"/>
    <x v="9"/>
    <x v="2"/>
    <s v="United States"/>
    <x v="13"/>
    <x v="7"/>
    <x v="2"/>
    <n v="9"/>
    <n v="3078"/>
    <n v="285.05"/>
  </r>
  <r>
    <x v="927"/>
    <x v="0"/>
    <x v="0"/>
    <s v="United States"/>
    <x v="13"/>
    <x v="7"/>
    <x v="2"/>
    <n v="4"/>
    <n v="2464"/>
    <n v="602.29999999999995"/>
  </r>
  <r>
    <x v="1003"/>
    <x v="3"/>
    <x v="2"/>
    <s v="United States"/>
    <x v="13"/>
    <x v="7"/>
    <x v="2"/>
    <n v="5"/>
    <n v="2445"/>
    <n v="146.6"/>
  </r>
  <r>
    <x v="144"/>
    <x v="8"/>
    <x v="1"/>
    <s v="United States"/>
    <x v="35"/>
    <x v="19"/>
    <x v="2"/>
    <n v="8"/>
    <n v="5312"/>
    <n v="841.13"/>
  </r>
  <r>
    <x v="133"/>
    <x v="8"/>
    <x v="1"/>
    <s v="United States"/>
    <x v="20"/>
    <x v="20"/>
    <x v="2"/>
    <n v="1"/>
    <n v="657"/>
    <n v="101.85"/>
  </r>
  <r>
    <x v="432"/>
    <x v="8"/>
    <x v="1"/>
    <s v="United States"/>
    <x v="36"/>
    <x v="1"/>
    <x v="0"/>
    <n v="3"/>
    <n v="2580"/>
    <n v="173.89"/>
  </r>
  <r>
    <x v="323"/>
    <x v="9"/>
    <x v="2"/>
    <s v="United States"/>
    <x v="3"/>
    <x v="3"/>
    <x v="2"/>
    <n v="8"/>
    <n v="4624"/>
    <n v="893.74"/>
  </r>
  <r>
    <x v="424"/>
    <x v="5"/>
    <x v="2"/>
    <s v="United States"/>
    <x v="6"/>
    <x v="5"/>
    <x v="3"/>
    <n v="2"/>
    <n v="1258"/>
    <n v="146.69999999999999"/>
  </r>
  <r>
    <x v="311"/>
    <x v="3"/>
    <x v="2"/>
    <s v="United States"/>
    <x v="28"/>
    <x v="2"/>
    <x v="1"/>
    <n v="7"/>
    <n v="6468"/>
    <n v="398.23"/>
  </r>
  <r>
    <x v="947"/>
    <x v="6"/>
    <x v="1"/>
    <s v="United States"/>
    <x v="28"/>
    <x v="2"/>
    <x v="1"/>
    <n v="3"/>
    <n v="1359"/>
    <n v="152.85"/>
  </r>
  <r>
    <x v="271"/>
    <x v="9"/>
    <x v="2"/>
    <s v="United States"/>
    <x v="28"/>
    <x v="2"/>
    <x v="1"/>
    <n v="1"/>
    <n v="104"/>
    <n v="18.670000000000002"/>
  </r>
  <r>
    <x v="125"/>
    <x v="4"/>
    <x v="1"/>
    <s v="United States"/>
    <x v="15"/>
    <x v="13"/>
    <x v="1"/>
    <n v="3"/>
    <n v="1785"/>
    <n v="93.17"/>
  </r>
  <r>
    <x v="824"/>
    <x v="6"/>
    <x v="1"/>
    <s v="United States"/>
    <x v="2"/>
    <x v="2"/>
    <x v="1"/>
    <n v="8"/>
    <n v="7728"/>
    <n v="1748.26"/>
  </r>
  <r>
    <x v="748"/>
    <x v="7"/>
    <x v="2"/>
    <s v="United States"/>
    <x v="37"/>
    <x v="20"/>
    <x v="2"/>
    <n v="6"/>
    <n v="4188"/>
    <n v="1231.1600000000001"/>
  </r>
  <r>
    <x v="1004"/>
    <x v="5"/>
    <x v="2"/>
    <s v="United States"/>
    <x v="38"/>
    <x v="21"/>
    <x v="0"/>
    <n v="8"/>
    <n v="3520"/>
    <n v="359.84"/>
  </r>
  <r>
    <x v="212"/>
    <x v="3"/>
    <x v="2"/>
    <s v="United States"/>
    <x v="39"/>
    <x v="17"/>
    <x v="3"/>
    <n v="3"/>
    <n v="2280"/>
    <n v="365.17"/>
  </r>
  <r>
    <x v="53"/>
    <x v="0"/>
    <x v="0"/>
    <s v="United States"/>
    <x v="13"/>
    <x v="7"/>
    <x v="2"/>
    <n v="9"/>
    <n v="2484"/>
    <n v="655.54"/>
  </r>
  <r>
    <x v="57"/>
    <x v="2"/>
    <x v="2"/>
    <s v="United States"/>
    <x v="25"/>
    <x v="17"/>
    <x v="3"/>
    <n v="3"/>
    <n v="1248"/>
    <n v="348.19"/>
  </r>
  <r>
    <x v="706"/>
    <x v="5"/>
    <x v="2"/>
    <s v="United States"/>
    <x v="25"/>
    <x v="17"/>
    <x v="3"/>
    <n v="2"/>
    <n v="850"/>
    <n v="59.92"/>
  </r>
  <r>
    <x v="804"/>
    <x v="0"/>
    <x v="0"/>
    <s v="United States"/>
    <x v="29"/>
    <x v="6"/>
    <x v="3"/>
    <n v="4"/>
    <n v="1412"/>
    <n v="150.13"/>
  </r>
  <r>
    <x v="56"/>
    <x v="4"/>
    <x v="1"/>
    <s v="United States"/>
    <x v="40"/>
    <x v="15"/>
    <x v="2"/>
    <n v="1"/>
    <n v="465"/>
    <n v="26.5"/>
  </r>
  <r>
    <x v="828"/>
    <x v="0"/>
    <x v="0"/>
    <s v="United States"/>
    <x v="41"/>
    <x v="2"/>
    <x v="1"/>
    <n v="1"/>
    <n v="293"/>
    <n v="29.58"/>
  </r>
  <r>
    <x v="105"/>
    <x v="2"/>
    <x v="2"/>
    <s v="United States"/>
    <x v="42"/>
    <x v="8"/>
    <x v="3"/>
    <n v="9"/>
    <n v="9234"/>
    <n v="2523.67"/>
  </r>
  <r>
    <x v="906"/>
    <x v="2"/>
    <x v="2"/>
    <s v="United States"/>
    <x v="43"/>
    <x v="22"/>
    <x v="1"/>
    <n v="2"/>
    <n v="1298"/>
    <n v="239.45"/>
  </r>
  <r>
    <x v="852"/>
    <x v="0"/>
    <x v="0"/>
    <s v="United States"/>
    <x v="43"/>
    <x v="22"/>
    <x v="1"/>
    <n v="9"/>
    <n v="9477"/>
    <n v="2443.62"/>
  </r>
  <r>
    <x v="1005"/>
    <x v="0"/>
    <x v="0"/>
    <s v="United States"/>
    <x v="44"/>
    <x v="8"/>
    <x v="3"/>
    <n v="7"/>
    <n v="6713"/>
    <n v="457.99"/>
  </r>
  <r>
    <x v="803"/>
    <x v="9"/>
    <x v="2"/>
    <s v="United States"/>
    <x v="45"/>
    <x v="5"/>
    <x v="3"/>
    <n v="5"/>
    <n v="5700"/>
    <n v="999.26"/>
  </r>
  <r>
    <x v="600"/>
    <x v="3"/>
    <x v="2"/>
    <s v="United States"/>
    <x v="28"/>
    <x v="2"/>
    <x v="1"/>
    <n v="6"/>
    <n v="4146"/>
    <n v="700.46"/>
  </r>
  <r>
    <x v="893"/>
    <x v="2"/>
    <x v="2"/>
    <s v="United States"/>
    <x v="8"/>
    <x v="7"/>
    <x v="2"/>
    <n v="8"/>
    <n v="6968"/>
    <n v="704.55"/>
  </r>
  <r>
    <x v="299"/>
    <x v="3"/>
    <x v="2"/>
    <s v="United States"/>
    <x v="2"/>
    <x v="2"/>
    <x v="1"/>
    <n v="2"/>
    <n v="1054"/>
    <n v="243.5"/>
  </r>
  <r>
    <x v="532"/>
    <x v="8"/>
    <x v="1"/>
    <s v="United States"/>
    <x v="10"/>
    <x v="9"/>
    <x v="0"/>
    <n v="3"/>
    <n v="1983"/>
    <n v="453.09"/>
  </r>
  <r>
    <x v="845"/>
    <x v="8"/>
    <x v="1"/>
    <s v="United States"/>
    <x v="46"/>
    <x v="2"/>
    <x v="1"/>
    <n v="5"/>
    <n v="875"/>
    <n v="70.72"/>
  </r>
  <r>
    <x v="889"/>
    <x v="0"/>
    <x v="0"/>
    <s v="United States"/>
    <x v="46"/>
    <x v="2"/>
    <x v="1"/>
    <n v="2"/>
    <n v="268"/>
    <n v="63.01"/>
  </r>
  <r>
    <x v="426"/>
    <x v="4"/>
    <x v="1"/>
    <s v="United States"/>
    <x v="46"/>
    <x v="2"/>
    <x v="1"/>
    <n v="6"/>
    <n v="5370"/>
    <n v="1045.0999999999999"/>
  </r>
  <r>
    <x v="433"/>
    <x v="6"/>
    <x v="1"/>
    <s v="United States"/>
    <x v="47"/>
    <x v="12"/>
    <x v="1"/>
    <n v="8"/>
    <n v="3624"/>
    <n v="1071.43"/>
  </r>
  <r>
    <x v="807"/>
    <x v="5"/>
    <x v="2"/>
    <s v="United States"/>
    <x v="48"/>
    <x v="23"/>
    <x v="3"/>
    <n v="4"/>
    <n v="1932"/>
    <n v="301.16000000000003"/>
  </r>
  <r>
    <x v="1006"/>
    <x v="7"/>
    <x v="2"/>
    <s v="United States"/>
    <x v="25"/>
    <x v="17"/>
    <x v="3"/>
    <n v="7"/>
    <n v="6020"/>
    <n v="384.74"/>
  </r>
  <r>
    <x v="348"/>
    <x v="4"/>
    <x v="1"/>
    <s v="United States"/>
    <x v="49"/>
    <x v="1"/>
    <x v="0"/>
    <n v="5"/>
    <n v="1775"/>
    <n v="234.67"/>
  </r>
  <r>
    <x v="1007"/>
    <x v="5"/>
    <x v="2"/>
    <s v="United States"/>
    <x v="49"/>
    <x v="1"/>
    <x v="0"/>
    <n v="3"/>
    <n v="1488"/>
    <n v="382.09"/>
  </r>
  <r>
    <x v="769"/>
    <x v="8"/>
    <x v="1"/>
    <s v="United States"/>
    <x v="2"/>
    <x v="2"/>
    <x v="1"/>
    <n v="6"/>
    <n v="6720"/>
    <n v="1113.56"/>
  </r>
  <r>
    <x v="78"/>
    <x v="1"/>
    <x v="1"/>
    <s v="United States"/>
    <x v="2"/>
    <x v="2"/>
    <x v="1"/>
    <n v="7"/>
    <n v="5047"/>
    <n v="1356.23"/>
  </r>
  <r>
    <x v="1008"/>
    <x v="2"/>
    <x v="2"/>
    <s v="United States"/>
    <x v="0"/>
    <x v="0"/>
    <x v="0"/>
    <n v="5"/>
    <n v="3735"/>
    <n v="957.13"/>
  </r>
  <r>
    <x v="999"/>
    <x v="8"/>
    <x v="1"/>
    <s v="United States"/>
    <x v="50"/>
    <x v="5"/>
    <x v="3"/>
    <n v="5"/>
    <n v="1250"/>
    <n v="120.74"/>
  </r>
  <r>
    <x v="182"/>
    <x v="2"/>
    <x v="2"/>
    <s v="United States"/>
    <x v="28"/>
    <x v="2"/>
    <x v="1"/>
    <n v="7"/>
    <n v="2751"/>
    <n v="548.04999999999995"/>
  </r>
  <r>
    <x v="63"/>
    <x v="9"/>
    <x v="2"/>
    <s v="United States"/>
    <x v="51"/>
    <x v="1"/>
    <x v="0"/>
    <n v="9"/>
    <n v="468"/>
    <n v="58.98"/>
  </r>
  <r>
    <x v="573"/>
    <x v="0"/>
    <x v="0"/>
    <s v="United States"/>
    <x v="2"/>
    <x v="2"/>
    <x v="1"/>
    <n v="4"/>
    <n v="632"/>
    <n v="114.82"/>
  </r>
  <r>
    <x v="481"/>
    <x v="8"/>
    <x v="1"/>
    <s v="United States"/>
    <x v="28"/>
    <x v="2"/>
    <x v="1"/>
    <n v="7"/>
    <n v="798"/>
    <n v="219.2"/>
  </r>
  <r>
    <x v="245"/>
    <x v="5"/>
    <x v="2"/>
    <s v="United States"/>
    <x v="26"/>
    <x v="1"/>
    <x v="0"/>
    <n v="5"/>
    <n v="1295"/>
    <n v="104.26"/>
  </r>
  <r>
    <x v="989"/>
    <x v="3"/>
    <x v="2"/>
    <s v="United States"/>
    <x v="15"/>
    <x v="13"/>
    <x v="1"/>
    <n v="4"/>
    <n v="3360"/>
    <n v="540.38"/>
  </r>
  <r>
    <x v="223"/>
    <x v="3"/>
    <x v="2"/>
    <s v="United States"/>
    <x v="9"/>
    <x v="8"/>
    <x v="3"/>
    <n v="5"/>
    <n v="995"/>
    <n v="206.95"/>
  </r>
  <r>
    <x v="888"/>
    <x v="5"/>
    <x v="2"/>
    <s v="United States"/>
    <x v="52"/>
    <x v="0"/>
    <x v="0"/>
    <n v="5"/>
    <n v="550"/>
    <n v="28.72"/>
  </r>
  <r>
    <x v="946"/>
    <x v="6"/>
    <x v="1"/>
    <s v="United States"/>
    <x v="53"/>
    <x v="2"/>
    <x v="1"/>
    <n v="8"/>
    <n v="5384"/>
    <n v="724.8"/>
  </r>
  <r>
    <x v="359"/>
    <x v="0"/>
    <x v="0"/>
    <s v="United States"/>
    <x v="26"/>
    <x v="1"/>
    <x v="0"/>
    <n v="3"/>
    <n v="3534"/>
    <n v="489.06"/>
  </r>
  <r>
    <x v="205"/>
    <x v="7"/>
    <x v="2"/>
    <s v="United States"/>
    <x v="13"/>
    <x v="7"/>
    <x v="2"/>
    <n v="9"/>
    <n v="6813"/>
    <n v="890.05"/>
  </r>
  <r>
    <x v="412"/>
    <x v="5"/>
    <x v="2"/>
    <s v="United States"/>
    <x v="13"/>
    <x v="7"/>
    <x v="2"/>
    <n v="6"/>
    <n v="5508"/>
    <n v="1632.37"/>
  </r>
  <r>
    <x v="45"/>
    <x v="4"/>
    <x v="1"/>
    <s v="United States"/>
    <x v="13"/>
    <x v="7"/>
    <x v="2"/>
    <n v="1"/>
    <n v="966"/>
    <n v="202.53"/>
  </r>
  <r>
    <x v="562"/>
    <x v="1"/>
    <x v="1"/>
    <s v="United States"/>
    <x v="54"/>
    <x v="17"/>
    <x v="3"/>
    <n v="4"/>
    <n v="460"/>
    <n v="92.24"/>
  </r>
  <r>
    <x v="334"/>
    <x v="7"/>
    <x v="2"/>
    <s v="United States"/>
    <x v="13"/>
    <x v="7"/>
    <x v="2"/>
    <n v="6"/>
    <n v="7026"/>
    <n v="459.4"/>
  </r>
  <r>
    <x v="342"/>
    <x v="7"/>
    <x v="2"/>
    <s v="United States"/>
    <x v="55"/>
    <x v="24"/>
    <x v="0"/>
    <n v="5"/>
    <n v="910"/>
    <n v="116.47"/>
  </r>
  <r>
    <x v="326"/>
    <x v="6"/>
    <x v="1"/>
    <s v="United States"/>
    <x v="56"/>
    <x v="2"/>
    <x v="1"/>
    <n v="9"/>
    <n v="5796"/>
    <n v="1729.18"/>
  </r>
  <r>
    <x v="711"/>
    <x v="6"/>
    <x v="1"/>
    <s v="United States"/>
    <x v="12"/>
    <x v="11"/>
    <x v="3"/>
    <n v="3"/>
    <n v="1050"/>
    <n v="292.64"/>
  </r>
  <r>
    <x v="828"/>
    <x v="1"/>
    <x v="1"/>
    <s v="United States"/>
    <x v="57"/>
    <x v="13"/>
    <x v="1"/>
    <n v="1"/>
    <n v="1043"/>
    <n v="151.13"/>
  </r>
  <r>
    <x v="727"/>
    <x v="0"/>
    <x v="0"/>
    <s v="United States"/>
    <x v="14"/>
    <x v="8"/>
    <x v="3"/>
    <n v="3"/>
    <n v="3330"/>
    <n v="503.85"/>
  </r>
  <r>
    <x v="260"/>
    <x v="1"/>
    <x v="1"/>
    <s v="United States"/>
    <x v="58"/>
    <x v="5"/>
    <x v="3"/>
    <n v="8"/>
    <n v="1896"/>
    <n v="448.53"/>
  </r>
  <r>
    <x v="964"/>
    <x v="3"/>
    <x v="2"/>
    <s v="United States"/>
    <x v="59"/>
    <x v="15"/>
    <x v="2"/>
    <n v="5"/>
    <n v="5170"/>
    <n v="1248.6600000000001"/>
  </r>
  <r>
    <x v="1009"/>
    <x v="0"/>
    <x v="0"/>
    <s v="United States"/>
    <x v="9"/>
    <x v="8"/>
    <x v="3"/>
    <n v="2"/>
    <n v="466"/>
    <n v="25.04"/>
  </r>
  <r>
    <x v="1010"/>
    <x v="1"/>
    <x v="1"/>
    <s v="United States"/>
    <x v="9"/>
    <x v="8"/>
    <x v="3"/>
    <n v="8"/>
    <n v="6032"/>
    <n v="1636.61"/>
  </r>
  <r>
    <x v="565"/>
    <x v="3"/>
    <x v="2"/>
    <s v="United States"/>
    <x v="60"/>
    <x v="5"/>
    <x v="3"/>
    <n v="1"/>
    <n v="1084"/>
    <n v="103.06"/>
  </r>
  <r>
    <x v="39"/>
    <x v="8"/>
    <x v="1"/>
    <s v="United States"/>
    <x v="13"/>
    <x v="7"/>
    <x v="2"/>
    <n v="2"/>
    <n v="490"/>
    <n v="45.34"/>
  </r>
  <r>
    <x v="718"/>
    <x v="6"/>
    <x v="1"/>
    <s v="United States"/>
    <x v="61"/>
    <x v="25"/>
    <x v="0"/>
    <n v="6"/>
    <n v="558"/>
    <n v="57.01"/>
  </r>
  <r>
    <x v="226"/>
    <x v="6"/>
    <x v="1"/>
    <s v="United States"/>
    <x v="59"/>
    <x v="15"/>
    <x v="2"/>
    <n v="4"/>
    <n v="4024"/>
    <n v="787.06"/>
  </r>
  <r>
    <x v="374"/>
    <x v="1"/>
    <x v="1"/>
    <s v="United States"/>
    <x v="15"/>
    <x v="13"/>
    <x v="1"/>
    <n v="4"/>
    <n v="1560"/>
    <n v="461.15"/>
  </r>
  <r>
    <x v="729"/>
    <x v="9"/>
    <x v="2"/>
    <s v="United States"/>
    <x v="62"/>
    <x v="2"/>
    <x v="1"/>
    <n v="1"/>
    <n v="126"/>
    <n v="26.62"/>
  </r>
  <r>
    <x v="370"/>
    <x v="1"/>
    <x v="1"/>
    <s v="United States"/>
    <x v="13"/>
    <x v="7"/>
    <x v="2"/>
    <n v="7"/>
    <n v="4921"/>
    <n v="827.87"/>
  </r>
  <r>
    <x v="14"/>
    <x v="4"/>
    <x v="1"/>
    <s v="United States"/>
    <x v="63"/>
    <x v="14"/>
    <x v="2"/>
    <n v="5"/>
    <n v="2665"/>
    <n v="532.76"/>
  </r>
  <r>
    <x v="246"/>
    <x v="4"/>
    <x v="1"/>
    <s v="United States"/>
    <x v="19"/>
    <x v="15"/>
    <x v="2"/>
    <n v="4"/>
    <n v="200"/>
    <n v="58.42"/>
  </r>
  <r>
    <x v="452"/>
    <x v="5"/>
    <x v="2"/>
    <s v="United States"/>
    <x v="4"/>
    <x v="4"/>
    <x v="1"/>
    <n v="2"/>
    <n v="186"/>
    <n v="32.479999999999997"/>
  </r>
  <r>
    <x v="100"/>
    <x v="6"/>
    <x v="1"/>
    <s v="United States"/>
    <x v="25"/>
    <x v="17"/>
    <x v="3"/>
    <n v="8"/>
    <n v="5456"/>
    <n v="898.06"/>
  </r>
  <r>
    <x v="559"/>
    <x v="5"/>
    <x v="2"/>
    <s v="United States"/>
    <x v="3"/>
    <x v="3"/>
    <x v="2"/>
    <n v="9"/>
    <n v="3321"/>
    <n v="540.66999999999996"/>
  </r>
  <r>
    <x v="792"/>
    <x v="4"/>
    <x v="1"/>
    <s v="United States"/>
    <x v="64"/>
    <x v="7"/>
    <x v="2"/>
    <n v="7"/>
    <n v="3766"/>
    <n v="914.49"/>
  </r>
  <r>
    <x v="829"/>
    <x v="8"/>
    <x v="1"/>
    <s v="United States"/>
    <x v="64"/>
    <x v="7"/>
    <x v="2"/>
    <n v="6"/>
    <n v="3150"/>
    <n v="498.63"/>
  </r>
  <r>
    <x v="913"/>
    <x v="9"/>
    <x v="2"/>
    <s v="United States"/>
    <x v="15"/>
    <x v="13"/>
    <x v="1"/>
    <n v="2"/>
    <n v="646"/>
    <n v="110.13"/>
  </r>
  <r>
    <x v="209"/>
    <x v="7"/>
    <x v="2"/>
    <s v="United States"/>
    <x v="53"/>
    <x v="2"/>
    <x v="1"/>
    <n v="5"/>
    <n v="2665"/>
    <n v="369.73"/>
  </r>
  <r>
    <x v="533"/>
    <x v="5"/>
    <x v="2"/>
    <s v="United States"/>
    <x v="65"/>
    <x v="17"/>
    <x v="3"/>
    <n v="9"/>
    <n v="1467"/>
    <n v="384.22"/>
  </r>
  <r>
    <x v="528"/>
    <x v="2"/>
    <x v="2"/>
    <s v="United States"/>
    <x v="2"/>
    <x v="2"/>
    <x v="1"/>
    <n v="7"/>
    <n v="4620"/>
    <n v="990.79"/>
  </r>
  <r>
    <x v="278"/>
    <x v="2"/>
    <x v="2"/>
    <s v="United States"/>
    <x v="51"/>
    <x v="1"/>
    <x v="0"/>
    <n v="8"/>
    <n v="1184"/>
    <n v="148.69"/>
  </r>
  <r>
    <x v="285"/>
    <x v="3"/>
    <x v="2"/>
    <s v="United States"/>
    <x v="66"/>
    <x v="1"/>
    <x v="0"/>
    <n v="1"/>
    <n v="113"/>
    <n v="20.07"/>
  </r>
  <r>
    <x v="710"/>
    <x v="0"/>
    <x v="0"/>
    <s v="United States"/>
    <x v="58"/>
    <x v="25"/>
    <x v="0"/>
    <n v="8"/>
    <n v="3336"/>
    <n v="492.76"/>
  </r>
  <r>
    <x v="32"/>
    <x v="7"/>
    <x v="2"/>
    <s v="United States"/>
    <x v="67"/>
    <x v="26"/>
    <x v="3"/>
    <n v="4"/>
    <n v="4224"/>
    <n v="477.33"/>
  </r>
  <r>
    <x v="24"/>
    <x v="4"/>
    <x v="1"/>
    <s v="United States"/>
    <x v="28"/>
    <x v="2"/>
    <x v="1"/>
    <n v="3"/>
    <n v="1098"/>
    <n v="144.24"/>
  </r>
  <r>
    <x v="951"/>
    <x v="3"/>
    <x v="2"/>
    <s v="United States"/>
    <x v="29"/>
    <x v="15"/>
    <x v="2"/>
    <n v="8"/>
    <n v="4400"/>
    <n v="351.82"/>
  </r>
  <r>
    <x v="176"/>
    <x v="0"/>
    <x v="0"/>
    <s v="United States"/>
    <x v="68"/>
    <x v="2"/>
    <x v="1"/>
    <n v="8"/>
    <n v="5616"/>
    <n v="723.42"/>
  </r>
  <r>
    <x v="578"/>
    <x v="0"/>
    <x v="0"/>
    <s v="United States"/>
    <x v="52"/>
    <x v="25"/>
    <x v="0"/>
    <n v="7"/>
    <n v="4676"/>
    <n v="520.38"/>
  </r>
  <r>
    <x v="1011"/>
    <x v="5"/>
    <x v="2"/>
    <s v="United States"/>
    <x v="69"/>
    <x v="2"/>
    <x v="1"/>
    <n v="2"/>
    <n v="2370"/>
    <n v="641.23"/>
  </r>
  <r>
    <x v="955"/>
    <x v="1"/>
    <x v="1"/>
    <s v="United States"/>
    <x v="53"/>
    <x v="2"/>
    <x v="1"/>
    <n v="7"/>
    <n v="4487"/>
    <n v="688.76"/>
  </r>
  <r>
    <x v="244"/>
    <x v="3"/>
    <x v="2"/>
    <s v="United States"/>
    <x v="28"/>
    <x v="2"/>
    <x v="1"/>
    <n v="6"/>
    <n v="6384"/>
    <n v="1754.15"/>
  </r>
  <r>
    <x v="367"/>
    <x v="8"/>
    <x v="1"/>
    <s v="United States"/>
    <x v="70"/>
    <x v="27"/>
    <x v="3"/>
    <n v="8"/>
    <n v="2960"/>
    <n v="878.11"/>
  </r>
  <r>
    <x v="1012"/>
    <x v="5"/>
    <x v="2"/>
    <s v="United States"/>
    <x v="71"/>
    <x v="13"/>
    <x v="1"/>
    <n v="1"/>
    <n v="897"/>
    <n v="250.78"/>
  </r>
  <r>
    <x v="1002"/>
    <x v="7"/>
    <x v="2"/>
    <s v="United States"/>
    <x v="72"/>
    <x v="2"/>
    <x v="1"/>
    <n v="2"/>
    <n v="1178"/>
    <n v="120.51"/>
  </r>
  <r>
    <x v="1013"/>
    <x v="5"/>
    <x v="2"/>
    <s v="United States"/>
    <x v="3"/>
    <x v="3"/>
    <x v="2"/>
    <n v="2"/>
    <n v="1026"/>
    <n v="64.510000000000005"/>
  </r>
  <r>
    <x v="371"/>
    <x v="0"/>
    <x v="0"/>
    <s v="United States"/>
    <x v="73"/>
    <x v="0"/>
    <x v="0"/>
    <n v="1"/>
    <n v="1148"/>
    <n v="89.04"/>
  </r>
  <r>
    <x v="831"/>
    <x v="0"/>
    <x v="0"/>
    <s v="United States"/>
    <x v="13"/>
    <x v="7"/>
    <x v="2"/>
    <n v="7"/>
    <n v="3185"/>
    <n v="765.41"/>
  </r>
  <r>
    <x v="204"/>
    <x v="7"/>
    <x v="2"/>
    <s v="United States"/>
    <x v="74"/>
    <x v="0"/>
    <x v="0"/>
    <n v="7"/>
    <n v="5180"/>
    <n v="463.35"/>
  </r>
  <r>
    <x v="592"/>
    <x v="4"/>
    <x v="1"/>
    <s v="United States"/>
    <x v="75"/>
    <x v="15"/>
    <x v="2"/>
    <n v="5"/>
    <n v="2025"/>
    <n v="295.13"/>
  </r>
  <r>
    <x v="413"/>
    <x v="2"/>
    <x v="2"/>
    <s v="United States"/>
    <x v="13"/>
    <x v="7"/>
    <x v="2"/>
    <n v="9"/>
    <n v="1359"/>
    <n v="187.72"/>
  </r>
  <r>
    <x v="367"/>
    <x v="3"/>
    <x v="2"/>
    <s v="United States"/>
    <x v="76"/>
    <x v="25"/>
    <x v="0"/>
    <n v="4"/>
    <n v="1836"/>
    <n v="462.52"/>
  </r>
  <r>
    <x v="553"/>
    <x v="2"/>
    <x v="2"/>
    <s v="United States"/>
    <x v="41"/>
    <x v="28"/>
    <x v="2"/>
    <n v="2"/>
    <n v="702"/>
    <n v="112.04"/>
  </r>
  <r>
    <x v="820"/>
    <x v="7"/>
    <x v="2"/>
    <s v="United States"/>
    <x v="13"/>
    <x v="7"/>
    <x v="2"/>
    <n v="8"/>
    <n v="6576"/>
    <n v="1337.38"/>
  </r>
  <r>
    <x v="588"/>
    <x v="5"/>
    <x v="2"/>
    <s v="United States"/>
    <x v="25"/>
    <x v="17"/>
    <x v="3"/>
    <n v="2"/>
    <n v="1428"/>
    <n v="398.24"/>
  </r>
  <r>
    <x v="690"/>
    <x v="3"/>
    <x v="2"/>
    <s v="United States"/>
    <x v="77"/>
    <x v="7"/>
    <x v="2"/>
    <n v="7"/>
    <n v="6853"/>
    <n v="1259.03"/>
  </r>
  <r>
    <x v="967"/>
    <x v="3"/>
    <x v="2"/>
    <s v="United States"/>
    <x v="13"/>
    <x v="7"/>
    <x v="2"/>
    <n v="2"/>
    <n v="1492"/>
    <n v="276.56"/>
  </r>
  <r>
    <x v="423"/>
    <x v="0"/>
    <x v="0"/>
    <s v="United States"/>
    <x v="78"/>
    <x v="19"/>
    <x v="2"/>
    <n v="6"/>
    <n v="1938"/>
    <n v="146.72999999999999"/>
  </r>
  <r>
    <x v="690"/>
    <x v="3"/>
    <x v="2"/>
    <s v="United States"/>
    <x v="79"/>
    <x v="16"/>
    <x v="3"/>
    <n v="5"/>
    <n v="905"/>
    <n v="70.91"/>
  </r>
  <r>
    <x v="543"/>
    <x v="0"/>
    <x v="0"/>
    <s v="United States"/>
    <x v="21"/>
    <x v="5"/>
    <x v="3"/>
    <n v="3"/>
    <n v="2571"/>
    <n v="510.01"/>
  </r>
  <r>
    <x v="497"/>
    <x v="2"/>
    <x v="2"/>
    <s v="United States"/>
    <x v="21"/>
    <x v="5"/>
    <x v="3"/>
    <n v="4"/>
    <n v="1500"/>
    <n v="127.81"/>
  </r>
  <r>
    <x v="278"/>
    <x v="5"/>
    <x v="2"/>
    <s v="United States"/>
    <x v="80"/>
    <x v="2"/>
    <x v="1"/>
    <n v="9"/>
    <n v="8712"/>
    <n v="1034.27"/>
  </r>
  <r>
    <x v="825"/>
    <x v="6"/>
    <x v="1"/>
    <s v="United States"/>
    <x v="81"/>
    <x v="22"/>
    <x v="1"/>
    <n v="4"/>
    <n v="1308"/>
    <n v="368.28"/>
  </r>
  <r>
    <x v="489"/>
    <x v="7"/>
    <x v="2"/>
    <s v="United States"/>
    <x v="3"/>
    <x v="3"/>
    <x v="2"/>
    <n v="4"/>
    <n v="2648"/>
    <n v="707.32"/>
  </r>
  <r>
    <x v="1014"/>
    <x v="3"/>
    <x v="2"/>
    <s v="United States"/>
    <x v="3"/>
    <x v="3"/>
    <x v="2"/>
    <n v="9"/>
    <n v="9810"/>
    <n v="1666.96"/>
  </r>
  <r>
    <x v="51"/>
    <x v="4"/>
    <x v="1"/>
    <s v="United States"/>
    <x v="3"/>
    <x v="3"/>
    <x v="2"/>
    <n v="3"/>
    <n v="3291"/>
    <n v="274.10000000000002"/>
  </r>
  <r>
    <x v="362"/>
    <x v="5"/>
    <x v="2"/>
    <s v="United States"/>
    <x v="3"/>
    <x v="3"/>
    <x v="2"/>
    <n v="1"/>
    <n v="758"/>
    <n v="96.44"/>
  </r>
  <r>
    <x v="464"/>
    <x v="8"/>
    <x v="1"/>
    <s v="United States"/>
    <x v="82"/>
    <x v="5"/>
    <x v="3"/>
    <n v="7"/>
    <n v="2436"/>
    <n v="715.14"/>
  </r>
  <r>
    <x v="1001"/>
    <x v="5"/>
    <x v="2"/>
    <s v="United States"/>
    <x v="64"/>
    <x v="2"/>
    <x v="1"/>
    <n v="7"/>
    <n v="560"/>
    <n v="163.16"/>
  </r>
  <r>
    <x v="199"/>
    <x v="7"/>
    <x v="2"/>
    <s v="United States"/>
    <x v="28"/>
    <x v="2"/>
    <x v="1"/>
    <n v="8"/>
    <n v="4240"/>
    <n v="519.72"/>
  </r>
  <r>
    <x v="640"/>
    <x v="6"/>
    <x v="1"/>
    <s v="United States"/>
    <x v="3"/>
    <x v="3"/>
    <x v="2"/>
    <n v="8"/>
    <n v="5416"/>
    <n v="403.52"/>
  </r>
  <r>
    <x v="940"/>
    <x v="7"/>
    <x v="2"/>
    <s v="United States"/>
    <x v="13"/>
    <x v="7"/>
    <x v="2"/>
    <n v="8"/>
    <n v="1728"/>
    <n v="477.7"/>
  </r>
  <r>
    <x v="160"/>
    <x v="8"/>
    <x v="1"/>
    <s v="United States"/>
    <x v="74"/>
    <x v="12"/>
    <x v="1"/>
    <n v="9"/>
    <n v="6309"/>
    <n v="801.15"/>
  </r>
  <r>
    <x v="259"/>
    <x v="8"/>
    <x v="1"/>
    <s v="United States"/>
    <x v="83"/>
    <x v="7"/>
    <x v="2"/>
    <n v="8"/>
    <n v="3400"/>
    <n v="758.57"/>
  </r>
  <r>
    <x v="754"/>
    <x v="9"/>
    <x v="2"/>
    <s v="United States"/>
    <x v="51"/>
    <x v="1"/>
    <x v="0"/>
    <n v="1"/>
    <n v="403"/>
    <n v="72.45"/>
  </r>
  <r>
    <x v="527"/>
    <x v="8"/>
    <x v="1"/>
    <s v="United States"/>
    <x v="0"/>
    <x v="0"/>
    <x v="0"/>
    <n v="4"/>
    <n v="2108"/>
    <n v="375.62"/>
  </r>
  <r>
    <x v="365"/>
    <x v="4"/>
    <x v="1"/>
    <s v="United States"/>
    <x v="0"/>
    <x v="0"/>
    <x v="0"/>
    <n v="2"/>
    <n v="1090"/>
    <n v="296.12"/>
  </r>
  <r>
    <x v="785"/>
    <x v="8"/>
    <x v="1"/>
    <s v="United States"/>
    <x v="13"/>
    <x v="7"/>
    <x v="2"/>
    <n v="7"/>
    <n v="1274"/>
    <n v="317.92"/>
  </r>
  <r>
    <x v="896"/>
    <x v="1"/>
    <x v="1"/>
    <s v="United States"/>
    <x v="53"/>
    <x v="2"/>
    <x v="1"/>
    <n v="3"/>
    <n v="1056"/>
    <n v="70.540000000000006"/>
  </r>
  <r>
    <x v="473"/>
    <x v="1"/>
    <x v="1"/>
    <s v="United States"/>
    <x v="84"/>
    <x v="13"/>
    <x v="1"/>
    <n v="9"/>
    <n v="5247"/>
    <n v="921.09"/>
  </r>
  <r>
    <x v="577"/>
    <x v="1"/>
    <x v="1"/>
    <s v="United States"/>
    <x v="15"/>
    <x v="13"/>
    <x v="1"/>
    <n v="7"/>
    <n v="6006"/>
    <n v="1595.22"/>
  </r>
  <r>
    <x v="927"/>
    <x v="6"/>
    <x v="1"/>
    <s v="United States"/>
    <x v="13"/>
    <x v="7"/>
    <x v="2"/>
    <n v="5"/>
    <n v="5415"/>
    <n v="1261.6500000000001"/>
  </r>
  <r>
    <x v="857"/>
    <x v="7"/>
    <x v="2"/>
    <s v="United States"/>
    <x v="13"/>
    <x v="7"/>
    <x v="2"/>
    <n v="1"/>
    <n v="632"/>
    <n v="81.540000000000006"/>
  </r>
  <r>
    <x v="76"/>
    <x v="0"/>
    <x v="0"/>
    <s v="United States"/>
    <x v="85"/>
    <x v="29"/>
    <x v="2"/>
    <n v="8"/>
    <n v="6160"/>
    <n v="947.96"/>
  </r>
  <r>
    <x v="251"/>
    <x v="0"/>
    <x v="0"/>
    <s v="United States"/>
    <x v="33"/>
    <x v="18"/>
    <x v="2"/>
    <n v="1"/>
    <n v="857"/>
    <n v="172.91"/>
  </r>
  <r>
    <x v="438"/>
    <x v="2"/>
    <x v="2"/>
    <s v="United States"/>
    <x v="33"/>
    <x v="18"/>
    <x v="2"/>
    <n v="1"/>
    <n v="169"/>
    <n v="22.99"/>
  </r>
  <r>
    <x v="487"/>
    <x v="2"/>
    <x v="2"/>
    <s v="United States"/>
    <x v="86"/>
    <x v="23"/>
    <x v="3"/>
    <n v="7"/>
    <n v="1463"/>
    <n v="175.13"/>
  </r>
  <r>
    <x v="675"/>
    <x v="3"/>
    <x v="2"/>
    <s v="United States"/>
    <x v="87"/>
    <x v="23"/>
    <x v="3"/>
    <n v="8"/>
    <n v="7528"/>
    <n v="1283.07"/>
  </r>
  <r>
    <x v="997"/>
    <x v="5"/>
    <x v="2"/>
    <s v="United States"/>
    <x v="13"/>
    <x v="7"/>
    <x v="2"/>
    <n v="2"/>
    <n v="1158"/>
    <n v="227.61"/>
  </r>
  <r>
    <x v="669"/>
    <x v="6"/>
    <x v="1"/>
    <s v="United States"/>
    <x v="88"/>
    <x v="8"/>
    <x v="3"/>
    <n v="4"/>
    <n v="200"/>
    <n v="20.25"/>
  </r>
  <r>
    <x v="313"/>
    <x v="7"/>
    <x v="2"/>
    <s v="United States"/>
    <x v="89"/>
    <x v="1"/>
    <x v="0"/>
    <n v="2"/>
    <n v="1514"/>
    <n v="180.67"/>
  </r>
  <r>
    <x v="109"/>
    <x v="5"/>
    <x v="2"/>
    <s v="United States"/>
    <x v="3"/>
    <x v="3"/>
    <x v="2"/>
    <n v="7"/>
    <n v="2632"/>
    <n v="738.93"/>
  </r>
  <r>
    <x v="462"/>
    <x v="8"/>
    <x v="1"/>
    <s v="United States"/>
    <x v="3"/>
    <x v="3"/>
    <x v="2"/>
    <n v="1"/>
    <n v="358"/>
    <n v="77.84"/>
  </r>
  <r>
    <x v="388"/>
    <x v="3"/>
    <x v="2"/>
    <s v="United States"/>
    <x v="13"/>
    <x v="7"/>
    <x v="2"/>
    <n v="8"/>
    <n v="2360"/>
    <n v="653.29999999999995"/>
  </r>
  <r>
    <x v="556"/>
    <x v="8"/>
    <x v="1"/>
    <s v="United States"/>
    <x v="6"/>
    <x v="5"/>
    <x v="3"/>
    <n v="5"/>
    <n v="5275"/>
    <n v="594.29"/>
  </r>
  <r>
    <x v="98"/>
    <x v="6"/>
    <x v="1"/>
    <s v="United States"/>
    <x v="28"/>
    <x v="2"/>
    <x v="1"/>
    <n v="9"/>
    <n v="1719"/>
    <n v="251.85"/>
  </r>
  <r>
    <x v="968"/>
    <x v="7"/>
    <x v="2"/>
    <s v="United States"/>
    <x v="25"/>
    <x v="17"/>
    <x v="3"/>
    <n v="6"/>
    <n v="1956"/>
    <n v="434.03"/>
  </r>
  <r>
    <x v="866"/>
    <x v="8"/>
    <x v="1"/>
    <s v="United States"/>
    <x v="90"/>
    <x v="7"/>
    <x v="2"/>
    <n v="3"/>
    <n v="1875"/>
    <n v="152.07"/>
  </r>
  <r>
    <x v="355"/>
    <x v="6"/>
    <x v="1"/>
    <s v="United States"/>
    <x v="91"/>
    <x v="30"/>
    <x v="0"/>
    <n v="4"/>
    <n v="984"/>
    <n v="157.72"/>
  </r>
  <r>
    <x v="500"/>
    <x v="3"/>
    <x v="2"/>
    <s v="United States"/>
    <x v="2"/>
    <x v="2"/>
    <x v="1"/>
    <n v="4"/>
    <n v="3616"/>
    <n v="789.63"/>
  </r>
  <r>
    <x v="941"/>
    <x v="2"/>
    <x v="2"/>
    <s v="United States"/>
    <x v="28"/>
    <x v="2"/>
    <x v="1"/>
    <n v="5"/>
    <n v="4560"/>
    <n v="1180.8"/>
  </r>
  <r>
    <x v="277"/>
    <x v="7"/>
    <x v="2"/>
    <s v="United States"/>
    <x v="6"/>
    <x v="5"/>
    <x v="3"/>
    <n v="8"/>
    <n v="7496"/>
    <n v="2019.32"/>
  </r>
  <r>
    <x v="653"/>
    <x v="3"/>
    <x v="2"/>
    <s v="United States"/>
    <x v="92"/>
    <x v="2"/>
    <x v="1"/>
    <n v="5"/>
    <n v="5070"/>
    <n v="889.97"/>
  </r>
  <r>
    <x v="915"/>
    <x v="5"/>
    <x v="2"/>
    <s v="United States"/>
    <x v="93"/>
    <x v="31"/>
    <x v="0"/>
    <n v="5"/>
    <n v="4505"/>
    <n v="1351.28"/>
  </r>
  <r>
    <x v="555"/>
    <x v="2"/>
    <x v="2"/>
    <s v="United States"/>
    <x v="93"/>
    <x v="31"/>
    <x v="0"/>
    <n v="2"/>
    <n v="1916"/>
    <n v="503.83"/>
  </r>
  <r>
    <x v="94"/>
    <x v="3"/>
    <x v="2"/>
    <s v="United States"/>
    <x v="76"/>
    <x v="25"/>
    <x v="0"/>
    <n v="7"/>
    <n v="8113"/>
    <n v="1103.57"/>
  </r>
  <r>
    <x v="581"/>
    <x v="9"/>
    <x v="2"/>
    <s v="United States"/>
    <x v="2"/>
    <x v="2"/>
    <x v="1"/>
    <n v="9"/>
    <n v="1809"/>
    <n v="392.44"/>
  </r>
  <r>
    <x v="300"/>
    <x v="9"/>
    <x v="2"/>
    <s v="United States"/>
    <x v="94"/>
    <x v="15"/>
    <x v="2"/>
    <n v="3"/>
    <n v="1227"/>
    <n v="229.75"/>
  </r>
  <r>
    <x v="50"/>
    <x v="9"/>
    <x v="2"/>
    <s v="United States"/>
    <x v="95"/>
    <x v="25"/>
    <x v="0"/>
    <n v="6"/>
    <n v="2040"/>
    <n v="124.65"/>
  </r>
  <r>
    <x v="733"/>
    <x v="2"/>
    <x v="2"/>
    <s v="United States"/>
    <x v="95"/>
    <x v="25"/>
    <x v="0"/>
    <n v="6"/>
    <n v="6324"/>
    <n v="629.20000000000005"/>
  </r>
  <r>
    <x v="1002"/>
    <x v="0"/>
    <x v="0"/>
    <s v="United States"/>
    <x v="2"/>
    <x v="2"/>
    <x v="1"/>
    <n v="3"/>
    <n v="2724"/>
    <n v="521.24"/>
  </r>
  <r>
    <x v="654"/>
    <x v="9"/>
    <x v="2"/>
    <s v="United States"/>
    <x v="13"/>
    <x v="7"/>
    <x v="2"/>
    <n v="1"/>
    <n v="1188"/>
    <n v="110.32"/>
  </r>
  <r>
    <x v="203"/>
    <x v="8"/>
    <x v="1"/>
    <s v="United States"/>
    <x v="96"/>
    <x v="32"/>
    <x v="2"/>
    <n v="8"/>
    <n v="8776"/>
    <n v="1561.07"/>
  </r>
  <r>
    <x v="1002"/>
    <x v="9"/>
    <x v="2"/>
    <s v="United States"/>
    <x v="2"/>
    <x v="2"/>
    <x v="1"/>
    <n v="9"/>
    <n v="5553"/>
    <n v="1432.76"/>
  </r>
  <r>
    <x v="866"/>
    <x v="7"/>
    <x v="2"/>
    <s v="United States"/>
    <x v="97"/>
    <x v="1"/>
    <x v="0"/>
    <n v="2"/>
    <n v="970"/>
    <n v="262.19"/>
  </r>
  <r>
    <x v="494"/>
    <x v="8"/>
    <x v="1"/>
    <s v="United States"/>
    <x v="97"/>
    <x v="1"/>
    <x v="0"/>
    <n v="5"/>
    <n v="940"/>
    <n v="56.7"/>
  </r>
  <r>
    <x v="1015"/>
    <x v="0"/>
    <x v="0"/>
    <s v="United States"/>
    <x v="6"/>
    <x v="5"/>
    <x v="3"/>
    <n v="1"/>
    <n v="1175"/>
    <n v="171.51"/>
  </r>
  <r>
    <x v="256"/>
    <x v="9"/>
    <x v="2"/>
    <s v="United States"/>
    <x v="22"/>
    <x v="12"/>
    <x v="1"/>
    <n v="9"/>
    <n v="4860"/>
    <n v="1425.54"/>
  </r>
  <r>
    <x v="264"/>
    <x v="4"/>
    <x v="1"/>
    <s v="United States"/>
    <x v="22"/>
    <x v="12"/>
    <x v="1"/>
    <n v="1"/>
    <n v="987"/>
    <n v="207.69"/>
  </r>
  <r>
    <x v="432"/>
    <x v="3"/>
    <x v="2"/>
    <s v="United States"/>
    <x v="13"/>
    <x v="7"/>
    <x v="2"/>
    <n v="7"/>
    <n v="2968"/>
    <n v="485.13"/>
  </r>
  <r>
    <x v="402"/>
    <x v="1"/>
    <x v="1"/>
    <s v="United States"/>
    <x v="3"/>
    <x v="3"/>
    <x v="2"/>
    <n v="3"/>
    <n v="2172"/>
    <n v="364.77"/>
  </r>
  <r>
    <x v="105"/>
    <x v="4"/>
    <x v="1"/>
    <s v="United States"/>
    <x v="3"/>
    <x v="3"/>
    <x v="2"/>
    <n v="7"/>
    <n v="3941"/>
    <n v="628.96"/>
  </r>
  <r>
    <x v="753"/>
    <x v="4"/>
    <x v="1"/>
    <s v="United States"/>
    <x v="13"/>
    <x v="7"/>
    <x v="2"/>
    <n v="7"/>
    <n v="2261"/>
    <n v="566.36"/>
  </r>
  <r>
    <x v="494"/>
    <x v="5"/>
    <x v="2"/>
    <s v="United States"/>
    <x v="2"/>
    <x v="2"/>
    <x v="1"/>
    <n v="9"/>
    <n v="8802"/>
    <n v="2519.9299999999998"/>
  </r>
  <r>
    <x v="745"/>
    <x v="0"/>
    <x v="0"/>
    <s v="United States"/>
    <x v="98"/>
    <x v="1"/>
    <x v="0"/>
    <n v="5"/>
    <n v="3025"/>
    <n v="172.43"/>
  </r>
  <r>
    <x v="714"/>
    <x v="0"/>
    <x v="0"/>
    <s v="United States"/>
    <x v="98"/>
    <x v="1"/>
    <x v="0"/>
    <n v="4"/>
    <n v="4428"/>
    <n v="600.54999999999995"/>
  </r>
  <r>
    <x v="166"/>
    <x v="1"/>
    <x v="1"/>
    <s v="United States"/>
    <x v="98"/>
    <x v="1"/>
    <x v="0"/>
    <n v="9"/>
    <n v="7344"/>
    <n v="1417.84"/>
  </r>
  <r>
    <x v="770"/>
    <x v="8"/>
    <x v="1"/>
    <s v="United States"/>
    <x v="15"/>
    <x v="13"/>
    <x v="1"/>
    <n v="4"/>
    <n v="2236"/>
    <n v="167.78"/>
  </r>
  <r>
    <x v="1016"/>
    <x v="7"/>
    <x v="2"/>
    <s v="United States"/>
    <x v="99"/>
    <x v="2"/>
    <x v="1"/>
    <n v="8"/>
    <n v="536"/>
    <n v="57.08"/>
  </r>
  <r>
    <x v="836"/>
    <x v="6"/>
    <x v="1"/>
    <s v="United States"/>
    <x v="99"/>
    <x v="2"/>
    <x v="1"/>
    <n v="5"/>
    <n v="1980"/>
    <n v="249.22"/>
  </r>
  <r>
    <x v="833"/>
    <x v="0"/>
    <x v="0"/>
    <s v="United States"/>
    <x v="99"/>
    <x v="2"/>
    <x v="1"/>
    <n v="6"/>
    <n v="2100"/>
    <n v="202.86"/>
  </r>
  <r>
    <x v="498"/>
    <x v="5"/>
    <x v="2"/>
    <s v="United States"/>
    <x v="13"/>
    <x v="7"/>
    <x v="2"/>
    <n v="3"/>
    <n v="1497"/>
    <n v="122.76"/>
  </r>
  <r>
    <x v="361"/>
    <x v="9"/>
    <x v="2"/>
    <s v="United States"/>
    <x v="100"/>
    <x v="3"/>
    <x v="2"/>
    <n v="6"/>
    <n v="4200"/>
    <n v="1013.7"/>
  </r>
  <r>
    <x v="853"/>
    <x v="4"/>
    <x v="1"/>
    <s v="United States"/>
    <x v="100"/>
    <x v="3"/>
    <x v="2"/>
    <n v="2"/>
    <n v="1242"/>
    <n v="191.82"/>
  </r>
  <r>
    <x v="1017"/>
    <x v="5"/>
    <x v="2"/>
    <s v="United States"/>
    <x v="101"/>
    <x v="6"/>
    <x v="3"/>
    <n v="5"/>
    <n v="1570"/>
    <n v="312.81"/>
  </r>
  <r>
    <x v="336"/>
    <x v="6"/>
    <x v="1"/>
    <s v="United States"/>
    <x v="2"/>
    <x v="2"/>
    <x v="1"/>
    <n v="4"/>
    <n v="428"/>
    <n v="86.62"/>
  </r>
  <r>
    <x v="374"/>
    <x v="0"/>
    <x v="0"/>
    <s v="United States"/>
    <x v="74"/>
    <x v="12"/>
    <x v="1"/>
    <n v="1"/>
    <n v="914"/>
    <n v="270.74"/>
  </r>
  <r>
    <x v="764"/>
    <x v="2"/>
    <x v="2"/>
    <s v="United States"/>
    <x v="50"/>
    <x v="5"/>
    <x v="3"/>
    <n v="3"/>
    <n v="465"/>
    <n v="98.93"/>
  </r>
  <r>
    <x v="866"/>
    <x v="5"/>
    <x v="2"/>
    <s v="United States"/>
    <x v="13"/>
    <x v="7"/>
    <x v="2"/>
    <n v="2"/>
    <n v="1062"/>
    <n v="83.49"/>
  </r>
  <r>
    <x v="1018"/>
    <x v="3"/>
    <x v="2"/>
    <s v="United States"/>
    <x v="76"/>
    <x v="25"/>
    <x v="0"/>
    <n v="8"/>
    <n v="8720"/>
    <n v="1984.11"/>
  </r>
  <r>
    <x v="649"/>
    <x v="1"/>
    <x v="1"/>
    <s v="United States"/>
    <x v="76"/>
    <x v="25"/>
    <x v="0"/>
    <n v="6"/>
    <n v="1308"/>
    <n v="343.61"/>
  </r>
  <r>
    <x v="1019"/>
    <x v="4"/>
    <x v="1"/>
    <s v="United States"/>
    <x v="58"/>
    <x v="25"/>
    <x v="0"/>
    <n v="9"/>
    <n v="8514"/>
    <n v="1291.97"/>
  </r>
  <r>
    <x v="33"/>
    <x v="2"/>
    <x v="2"/>
    <s v="United States"/>
    <x v="29"/>
    <x v="24"/>
    <x v="0"/>
    <n v="2"/>
    <n v="1212"/>
    <n v="151.07"/>
  </r>
  <r>
    <x v="1009"/>
    <x v="4"/>
    <x v="1"/>
    <s v="United States"/>
    <x v="102"/>
    <x v="2"/>
    <x v="1"/>
    <n v="4"/>
    <n v="2576"/>
    <n v="503.57"/>
  </r>
  <r>
    <x v="673"/>
    <x v="8"/>
    <x v="1"/>
    <s v="United States"/>
    <x v="29"/>
    <x v="15"/>
    <x v="2"/>
    <n v="8"/>
    <n v="4800"/>
    <n v="606.19000000000005"/>
  </r>
  <r>
    <x v="186"/>
    <x v="5"/>
    <x v="2"/>
    <s v="United States"/>
    <x v="2"/>
    <x v="2"/>
    <x v="1"/>
    <n v="5"/>
    <n v="1440"/>
    <n v="274.54000000000002"/>
  </r>
  <r>
    <x v="854"/>
    <x v="5"/>
    <x v="2"/>
    <s v="United States"/>
    <x v="3"/>
    <x v="3"/>
    <x v="2"/>
    <n v="9"/>
    <n v="10251"/>
    <n v="737.45"/>
  </r>
  <r>
    <x v="961"/>
    <x v="7"/>
    <x v="2"/>
    <s v="United States"/>
    <x v="28"/>
    <x v="2"/>
    <x v="1"/>
    <n v="7"/>
    <n v="3038"/>
    <n v="570.98"/>
  </r>
  <r>
    <x v="167"/>
    <x v="6"/>
    <x v="1"/>
    <s v="United States"/>
    <x v="2"/>
    <x v="2"/>
    <x v="1"/>
    <n v="9"/>
    <n v="6993"/>
    <n v="1945.56"/>
  </r>
  <r>
    <x v="588"/>
    <x v="6"/>
    <x v="1"/>
    <s v="United States"/>
    <x v="13"/>
    <x v="7"/>
    <x v="2"/>
    <n v="4"/>
    <n v="1632"/>
    <n v="247.88"/>
  </r>
  <r>
    <x v="943"/>
    <x v="8"/>
    <x v="1"/>
    <s v="United States"/>
    <x v="103"/>
    <x v="8"/>
    <x v="3"/>
    <n v="9"/>
    <n v="5706"/>
    <n v="1704.8"/>
  </r>
  <r>
    <x v="891"/>
    <x v="3"/>
    <x v="2"/>
    <s v="United States"/>
    <x v="28"/>
    <x v="2"/>
    <x v="1"/>
    <n v="9"/>
    <n v="9657"/>
    <n v="1187.22"/>
  </r>
  <r>
    <x v="429"/>
    <x v="5"/>
    <x v="2"/>
    <s v="United States"/>
    <x v="50"/>
    <x v="5"/>
    <x v="3"/>
    <n v="5"/>
    <n v="4405"/>
    <n v="450.83"/>
  </r>
  <r>
    <x v="1020"/>
    <x v="8"/>
    <x v="1"/>
    <s v="United States"/>
    <x v="2"/>
    <x v="2"/>
    <x v="1"/>
    <n v="4"/>
    <n v="1720"/>
    <n v="360.78"/>
  </r>
  <r>
    <x v="162"/>
    <x v="3"/>
    <x v="2"/>
    <s v="United States"/>
    <x v="104"/>
    <x v="22"/>
    <x v="1"/>
    <n v="7"/>
    <n v="4557"/>
    <n v="234.62"/>
  </r>
  <r>
    <x v="1019"/>
    <x v="4"/>
    <x v="1"/>
    <s v="United States"/>
    <x v="105"/>
    <x v="2"/>
    <x v="1"/>
    <n v="7"/>
    <n v="2380"/>
    <n v="431.43"/>
  </r>
  <r>
    <x v="691"/>
    <x v="4"/>
    <x v="1"/>
    <s v="United States"/>
    <x v="30"/>
    <x v="12"/>
    <x v="1"/>
    <n v="8"/>
    <n v="456"/>
    <n v="74.989999999999995"/>
  </r>
  <r>
    <x v="974"/>
    <x v="3"/>
    <x v="2"/>
    <s v="United States"/>
    <x v="106"/>
    <x v="4"/>
    <x v="1"/>
    <n v="6"/>
    <n v="6534"/>
    <n v="355.03"/>
  </r>
  <r>
    <x v="969"/>
    <x v="7"/>
    <x v="2"/>
    <s v="United States"/>
    <x v="14"/>
    <x v="8"/>
    <x v="3"/>
    <n v="6"/>
    <n v="3456"/>
    <n v="307.45999999999998"/>
  </r>
  <r>
    <x v="1021"/>
    <x v="8"/>
    <x v="1"/>
    <s v="United States"/>
    <x v="107"/>
    <x v="24"/>
    <x v="0"/>
    <n v="9"/>
    <n v="8163"/>
    <n v="2352.46"/>
  </r>
  <r>
    <x v="1022"/>
    <x v="4"/>
    <x v="1"/>
    <s v="United States"/>
    <x v="107"/>
    <x v="24"/>
    <x v="0"/>
    <n v="6"/>
    <n v="4656"/>
    <n v="601.71"/>
  </r>
  <r>
    <x v="615"/>
    <x v="7"/>
    <x v="2"/>
    <s v="United States"/>
    <x v="14"/>
    <x v="8"/>
    <x v="3"/>
    <n v="2"/>
    <n v="966"/>
    <n v="241.54"/>
  </r>
  <r>
    <x v="899"/>
    <x v="1"/>
    <x v="1"/>
    <s v="United States"/>
    <x v="14"/>
    <x v="8"/>
    <x v="3"/>
    <n v="4"/>
    <n v="2580"/>
    <n v="669.67"/>
  </r>
  <r>
    <x v="186"/>
    <x v="3"/>
    <x v="2"/>
    <s v="United States"/>
    <x v="29"/>
    <x v="15"/>
    <x v="2"/>
    <n v="9"/>
    <n v="8127"/>
    <n v="1906.5"/>
  </r>
  <r>
    <x v="913"/>
    <x v="5"/>
    <x v="2"/>
    <s v="United States"/>
    <x v="3"/>
    <x v="3"/>
    <x v="2"/>
    <n v="4"/>
    <n v="2128"/>
    <n v="614.04999999999995"/>
  </r>
  <r>
    <x v="918"/>
    <x v="7"/>
    <x v="2"/>
    <s v="United States"/>
    <x v="13"/>
    <x v="7"/>
    <x v="2"/>
    <n v="9"/>
    <n v="6417"/>
    <n v="1100.52"/>
  </r>
  <r>
    <x v="165"/>
    <x v="8"/>
    <x v="1"/>
    <s v="United States"/>
    <x v="43"/>
    <x v="22"/>
    <x v="1"/>
    <n v="7"/>
    <n v="3997"/>
    <n v="494.78"/>
  </r>
  <r>
    <x v="107"/>
    <x v="9"/>
    <x v="2"/>
    <s v="United States"/>
    <x v="13"/>
    <x v="7"/>
    <x v="2"/>
    <n v="1"/>
    <n v="879"/>
    <n v="149.52000000000001"/>
  </r>
  <r>
    <x v="319"/>
    <x v="9"/>
    <x v="2"/>
    <s v="United States"/>
    <x v="13"/>
    <x v="7"/>
    <x v="2"/>
    <n v="3"/>
    <n v="2415"/>
    <n v="538.39"/>
  </r>
  <r>
    <x v="352"/>
    <x v="3"/>
    <x v="2"/>
    <s v="United States"/>
    <x v="46"/>
    <x v="2"/>
    <x v="1"/>
    <n v="4"/>
    <n v="1064"/>
    <n v="314.83999999999997"/>
  </r>
  <r>
    <x v="958"/>
    <x v="1"/>
    <x v="1"/>
    <s v="United States"/>
    <x v="6"/>
    <x v="5"/>
    <x v="3"/>
    <n v="4"/>
    <n v="1156"/>
    <n v="326.92"/>
  </r>
  <r>
    <x v="381"/>
    <x v="7"/>
    <x v="2"/>
    <s v="United States"/>
    <x v="73"/>
    <x v="33"/>
    <x v="0"/>
    <n v="1"/>
    <n v="1184"/>
    <n v="218.27"/>
  </r>
  <r>
    <x v="272"/>
    <x v="8"/>
    <x v="1"/>
    <s v="United States"/>
    <x v="45"/>
    <x v="5"/>
    <x v="3"/>
    <n v="3"/>
    <n v="1950"/>
    <n v="211.16"/>
  </r>
  <r>
    <x v="891"/>
    <x v="9"/>
    <x v="2"/>
    <s v="United States"/>
    <x v="9"/>
    <x v="8"/>
    <x v="3"/>
    <n v="4"/>
    <n v="1088"/>
    <n v="295.08999999999997"/>
  </r>
  <r>
    <x v="10"/>
    <x v="0"/>
    <x v="0"/>
    <s v="United States"/>
    <x v="29"/>
    <x v="24"/>
    <x v="0"/>
    <n v="6"/>
    <n v="4380"/>
    <n v="522.29999999999995"/>
  </r>
  <r>
    <x v="341"/>
    <x v="3"/>
    <x v="2"/>
    <s v="United States"/>
    <x v="108"/>
    <x v="19"/>
    <x v="2"/>
    <n v="1"/>
    <n v="998"/>
    <n v="196.17"/>
  </r>
  <r>
    <x v="538"/>
    <x v="7"/>
    <x v="2"/>
    <s v="United States"/>
    <x v="109"/>
    <x v="18"/>
    <x v="2"/>
    <n v="6"/>
    <n v="5766"/>
    <n v="675.17"/>
  </r>
  <r>
    <x v="62"/>
    <x v="2"/>
    <x v="2"/>
    <s v="United States"/>
    <x v="102"/>
    <x v="5"/>
    <x v="3"/>
    <n v="6"/>
    <n v="3120"/>
    <n v="274.64999999999998"/>
  </r>
  <r>
    <x v="1008"/>
    <x v="0"/>
    <x v="0"/>
    <s v="United States"/>
    <x v="110"/>
    <x v="22"/>
    <x v="1"/>
    <n v="7"/>
    <n v="637"/>
    <n v="68.11"/>
  </r>
  <r>
    <x v="845"/>
    <x v="9"/>
    <x v="2"/>
    <s v="United States"/>
    <x v="25"/>
    <x v="17"/>
    <x v="3"/>
    <n v="6"/>
    <n v="3306"/>
    <n v="697.74"/>
  </r>
  <r>
    <x v="169"/>
    <x v="6"/>
    <x v="1"/>
    <s v="United States"/>
    <x v="6"/>
    <x v="5"/>
    <x v="3"/>
    <n v="6"/>
    <n v="7020"/>
    <n v="726.72"/>
  </r>
  <r>
    <x v="615"/>
    <x v="3"/>
    <x v="2"/>
    <s v="United States"/>
    <x v="2"/>
    <x v="2"/>
    <x v="1"/>
    <n v="7"/>
    <n v="5971"/>
    <n v="502.14"/>
  </r>
  <r>
    <x v="424"/>
    <x v="9"/>
    <x v="2"/>
    <s v="United States"/>
    <x v="13"/>
    <x v="7"/>
    <x v="2"/>
    <n v="2"/>
    <n v="750"/>
    <n v="77.680000000000007"/>
  </r>
  <r>
    <x v="395"/>
    <x v="2"/>
    <x v="2"/>
    <s v="United States"/>
    <x v="57"/>
    <x v="13"/>
    <x v="1"/>
    <n v="3"/>
    <n v="2379"/>
    <n v="523"/>
  </r>
  <r>
    <x v="116"/>
    <x v="3"/>
    <x v="2"/>
    <s v="United States"/>
    <x v="2"/>
    <x v="2"/>
    <x v="1"/>
    <n v="1"/>
    <n v="699"/>
    <n v="108.94"/>
  </r>
  <r>
    <x v="283"/>
    <x v="3"/>
    <x v="2"/>
    <s v="United States"/>
    <x v="2"/>
    <x v="2"/>
    <x v="1"/>
    <n v="9"/>
    <n v="6876"/>
    <n v="1895.24"/>
  </r>
  <r>
    <x v="914"/>
    <x v="6"/>
    <x v="1"/>
    <s v="United States"/>
    <x v="2"/>
    <x v="2"/>
    <x v="1"/>
    <n v="8"/>
    <n v="1800"/>
    <n v="494.02"/>
  </r>
  <r>
    <x v="325"/>
    <x v="2"/>
    <x v="2"/>
    <s v="United States"/>
    <x v="3"/>
    <x v="3"/>
    <x v="2"/>
    <n v="5"/>
    <n v="1255"/>
    <n v="236.25"/>
  </r>
  <r>
    <x v="824"/>
    <x v="5"/>
    <x v="2"/>
    <s v="United States"/>
    <x v="111"/>
    <x v="34"/>
    <x v="1"/>
    <n v="9"/>
    <n v="1998"/>
    <n v="343.58"/>
  </r>
  <r>
    <x v="818"/>
    <x v="4"/>
    <x v="1"/>
    <s v="United States"/>
    <x v="104"/>
    <x v="22"/>
    <x v="1"/>
    <n v="1"/>
    <n v="307"/>
    <n v="80.19"/>
  </r>
  <r>
    <x v="759"/>
    <x v="0"/>
    <x v="0"/>
    <s v="United States"/>
    <x v="112"/>
    <x v="3"/>
    <x v="2"/>
    <n v="1"/>
    <n v="235"/>
    <n v="54.87"/>
  </r>
  <r>
    <x v="285"/>
    <x v="6"/>
    <x v="1"/>
    <s v="United States"/>
    <x v="113"/>
    <x v="2"/>
    <x v="1"/>
    <n v="6"/>
    <n v="1506"/>
    <n v="407.73"/>
  </r>
  <r>
    <x v="756"/>
    <x v="2"/>
    <x v="2"/>
    <s v="United States"/>
    <x v="114"/>
    <x v="20"/>
    <x v="2"/>
    <n v="8"/>
    <n v="2464"/>
    <n v="216.51"/>
  </r>
  <r>
    <x v="193"/>
    <x v="5"/>
    <x v="2"/>
    <s v="United States"/>
    <x v="29"/>
    <x v="15"/>
    <x v="2"/>
    <n v="2"/>
    <n v="322"/>
    <n v="42.03"/>
  </r>
  <r>
    <x v="956"/>
    <x v="0"/>
    <x v="0"/>
    <s v="United States"/>
    <x v="115"/>
    <x v="7"/>
    <x v="2"/>
    <n v="4"/>
    <n v="1100"/>
    <n v="100.02"/>
  </r>
  <r>
    <x v="123"/>
    <x v="8"/>
    <x v="1"/>
    <s v="United States"/>
    <x v="15"/>
    <x v="13"/>
    <x v="1"/>
    <n v="4"/>
    <n v="2188"/>
    <n v="265.54000000000002"/>
  </r>
  <r>
    <x v="488"/>
    <x v="0"/>
    <x v="0"/>
    <s v="United States"/>
    <x v="13"/>
    <x v="7"/>
    <x v="2"/>
    <n v="9"/>
    <n v="2934"/>
    <n v="473.34"/>
  </r>
  <r>
    <x v="254"/>
    <x v="4"/>
    <x v="1"/>
    <s v="United States"/>
    <x v="2"/>
    <x v="2"/>
    <x v="1"/>
    <n v="8"/>
    <n v="9224"/>
    <n v="514.05999999999995"/>
  </r>
  <r>
    <x v="787"/>
    <x v="6"/>
    <x v="1"/>
    <s v="United States"/>
    <x v="2"/>
    <x v="2"/>
    <x v="1"/>
    <n v="4"/>
    <n v="2436"/>
    <n v="142.81"/>
  </r>
  <r>
    <x v="482"/>
    <x v="5"/>
    <x v="2"/>
    <s v="United States"/>
    <x v="116"/>
    <x v="5"/>
    <x v="3"/>
    <n v="4"/>
    <n v="972"/>
    <n v="97.55"/>
  </r>
  <r>
    <x v="141"/>
    <x v="9"/>
    <x v="2"/>
    <s v="United States"/>
    <x v="13"/>
    <x v="7"/>
    <x v="2"/>
    <n v="6"/>
    <n v="5484"/>
    <n v="540.4"/>
  </r>
  <r>
    <x v="892"/>
    <x v="3"/>
    <x v="2"/>
    <s v="United States"/>
    <x v="13"/>
    <x v="7"/>
    <x v="2"/>
    <n v="8"/>
    <n v="3152"/>
    <n v="337.36"/>
  </r>
  <r>
    <x v="122"/>
    <x v="8"/>
    <x v="1"/>
    <s v="United States"/>
    <x v="13"/>
    <x v="7"/>
    <x v="2"/>
    <n v="8"/>
    <n v="6032"/>
    <n v="870.17"/>
  </r>
  <r>
    <x v="434"/>
    <x v="3"/>
    <x v="2"/>
    <s v="United States"/>
    <x v="117"/>
    <x v="8"/>
    <x v="3"/>
    <n v="7"/>
    <n v="6384"/>
    <n v="1324.49"/>
  </r>
  <r>
    <x v="749"/>
    <x v="0"/>
    <x v="0"/>
    <s v="United States"/>
    <x v="29"/>
    <x v="15"/>
    <x v="2"/>
    <n v="5"/>
    <n v="3705"/>
    <n v="707.08"/>
  </r>
  <r>
    <x v="254"/>
    <x v="5"/>
    <x v="2"/>
    <s v="United States"/>
    <x v="13"/>
    <x v="7"/>
    <x v="2"/>
    <n v="6"/>
    <n v="5580"/>
    <n v="394.03"/>
  </r>
  <r>
    <x v="812"/>
    <x v="3"/>
    <x v="2"/>
    <s v="United States"/>
    <x v="118"/>
    <x v="5"/>
    <x v="3"/>
    <n v="2"/>
    <n v="1236"/>
    <n v="120.74"/>
  </r>
  <r>
    <x v="610"/>
    <x v="3"/>
    <x v="2"/>
    <s v="United States"/>
    <x v="63"/>
    <x v="14"/>
    <x v="2"/>
    <n v="8"/>
    <n v="7040"/>
    <n v="1969.93"/>
  </r>
  <r>
    <x v="525"/>
    <x v="3"/>
    <x v="2"/>
    <s v="United States"/>
    <x v="2"/>
    <x v="2"/>
    <x v="1"/>
    <n v="9"/>
    <n v="909"/>
    <n v="138.04"/>
  </r>
  <r>
    <x v="618"/>
    <x v="1"/>
    <x v="1"/>
    <s v="United States"/>
    <x v="119"/>
    <x v="13"/>
    <x v="1"/>
    <n v="1"/>
    <n v="106"/>
    <n v="7.24"/>
  </r>
  <r>
    <x v="916"/>
    <x v="5"/>
    <x v="2"/>
    <s v="United States"/>
    <x v="120"/>
    <x v="35"/>
    <x v="0"/>
    <n v="1"/>
    <n v="281"/>
    <n v="67.849999999999994"/>
  </r>
  <r>
    <x v="179"/>
    <x v="3"/>
    <x v="2"/>
    <s v="United States"/>
    <x v="59"/>
    <x v="15"/>
    <x v="2"/>
    <n v="6"/>
    <n v="6768"/>
    <n v="1851.01"/>
  </r>
  <r>
    <x v="401"/>
    <x v="9"/>
    <x v="2"/>
    <s v="United States"/>
    <x v="85"/>
    <x v="29"/>
    <x v="2"/>
    <n v="6"/>
    <n v="4302"/>
    <n v="276.35000000000002"/>
  </r>
  <r>
    <x v="511"/>
    <x v="7"/>
    <x v="2"/>
    <s v="United States"/>
    <x v="79"/>
    <x v="16"/>
    <x v="3"/>
    <n v="9"/>
    <n v="7146"/>
    <n v="2125.44"/>
  </r>
  <r>
    <x v="390"/>
    <x v="7"/>
    <x v="2"/>
    <s v="United States"/>
    <x v="13"/>
    <x v="7"/>
    <x v="2"/>
    <n v="3"/>
    <n v="582"/>
    <n v="48.08"/>
  </r>
  <r>
    <x v="452"/>
    <x v="4"/>
    <x v="1"/>
    <s v="United States"/>
    <x v="6"/>
    <x v="5"/>
    <x v="3"/>
    <n v="6"/>
    <n v="576"/>
    <n v="162.75"/>
  </r>
  <r>
    <x v="425"/>
    <x v="8"/>
    <x v="1"/>
    <s v="United States"/>
    <x v="3"/>
    <x v="3"/>
    <x v="2"/>
    <n v="5"/>
    <n v="4265"/>
    <n v="796.12"/>
  </r>
  <r>
    <x v="96"/>
    <x v="5"/>
    <x v="2"/>
    <s v="United States"/>
    <x v="28"/>
    <x v="2"/>
    <x v="1"/>
    <n v="8"/>
    <n v="5368"/>
    <n v="333.53"/>
  </r>
  <r>
    <x v="10"/>
    <x v="4"/>
    <x v="1"/>
    <s v="United States"/>
    <x v="3"/>
    <x v="3"/>
    <x v="2"/>
    <n v="1"/>
    <n v="314"/>
    <n v="66.23"/>
  </r>
  <r>
    <x v="413"/>
    <x v="2"/>
    <x v="2"/>
    <s v="United States"/>
    <x v="3"/>
    <x v="3"/>
    <x v="2"/>
    <n v="6"/>
    <n v="2676"/>
    <n v="646.70000000000005"/>
  </r>
  <r>
    <x v="516"/>
    <x v="9"/>
    <x v="2"/>
    <s v="United States"/>
    <x v="29"/>
    <x v="15"/>
    <x v="2"/>
    <n v="4"/>
    <n v="3384"/>
    <n v="947.52"/>
  </r>
  <r>
    <x v="50"/>
    <x v="1"/>
    <x v="1"/>
    <s v="United States"/>
    <x v="15"/>
    <x v="13"/>
    <x v="1"/>
    <n v="6"/>
    <n v="3186"/>
    <n v="794.94"/>
  </r>
  <r>
    <x v="888"/>
    <x v="5"/>
    <x v="2"/>
    <s v="United States"/>
    <x v="13"/>
    <x v="7"/>
    <x v="2"/>
    <n v="4"/>
    <n v="1832"/>
    <n v="528.69000000000005"/>
  </r>
  <r>
    <x v="795"/>
    <x v="0"/>
    <x v="0"/>
    <s v="United States"/>
    <x v="28"/>
    <x v="2"/>
    <x v="1"/>
    <n v="8"/>
    <n v="4784"/>
    <n v="769.91"/>
  </r>
  <r>
    <x v="959"/>
    <x v="2"/>
    <x v="2"/>
    <s v="United States"/>
    <x v="9"/>
    <x v="8"/>
    <x v="3"/>
    <n v="1"/>
    <n v="381"/>
    <n v="63.18"/>
  </r>
  <r>
    <x v="1017"/>
    <x v="7"/>
    <x v="2"/>
    <s v="United States"/>
    <x v="28"/>
    <x v="2"/>
    <x v="1"/>
    <n v="9"/>
    <n v="4527"/>
    <n v="677.34"/>
  </r>
  <r>
    <x v="779"/>
    <x v="0"/>
    <x v="0"/>
    <s v="United States"/>
    <x v="13"/>
    <x v="7"/>
    <x v="2"/>
    <n v="4"/>
    <n v="1612"/>
    <n v="240.42"/>
  </r>
  <r>
    <x v="707"/>
    <x v="0"/>
    <x v="0"/>
    <s v="United States"/>
    <x v="13"/>
    <x v="7"/>
    <x v="2"/>
    <n v="2"/>
    <n v="1918"/>
    <n v="435.56"/>
  </r>
  <r>
    <x v="990"/>
    <x v="3"/>
    <x v="2"/>
    <s v="United States"/>
    <x v="9"/>
    <x v="8"/>
    <x v="3"/>
    <n v="1"/>
    <n v="179"/>
    <n v="42.37"/>
  </r>
  <r>
    <x v="678"/>
    <x v="5"/>
    <x v="2"/>
    <s v="United States"/>
    <x v="24"/>
    <x v="15"/>
    <x v="2"/>
    <n v="3"/>
    <n v="3153"/>
    <n v="224.29"/>
  </r>
  <r>
    <x v="35"/>
    <x v="2"/>
    <x v="2"/>
    <s v="United States"/>
    <x v="3"/>
    <x v="3"/>
    <x v="2"/>
    <n v="8"/>
    <n v="3864"/>
    <n v="855.75"/>
  </r>
  <r>
    <x v="920"/>
    <x v="0"/>
    <x v="0"/>
    <s v="United States"/>
    <x v="21"/>
    <x v="5"/>
    <x v="3"/>
    <n v="5"/>
    <n v="2440"/>
    <n v="570.78"/>
  </r>
  <r>
    <x v="524"/>
    <x v="3"/>
    <x v="2"/>
    <s v="United States"/>
    <x v="121"/>
    <x v="2"/>
    <x v="1"/>
    <n v="6"/>
    <n v="3660"/>
    <n v="675.38"/>
  </r>
  <r>
    <x v="444"/>
    <x v="5"/>
    <x v="2"/>
    <s v="United States"/>
    <x v="53"/>
    <x v="2"/>
    <x v="1"/>
    <n v="3"/>
    <n v="318"/>
    <n v="49.93"/>
  </r>
  <r>
    <x v="309"/>
    <x v="1"/>
    <x v="1"/>
    <s v="United States"/>
    <x v="53"/>
    <x v="2"/>
    <x v="1"/>
    <n v="3"/>
    <n v="483"/>
    <n v="63.27"/>
  </r>
  <r>
    <x v="200"/>
    <x v="4"/>
    <x v="1"/>
    <s v="United States"/>
    <x v="122"/>
    <x v="25"/>
    <x v="0"/>
    <n v="6"/>
    <n v="6774"/>
    <n v="960.41"/>
  </r>
  <r>
    <x v="240"/>
    <x v="6"/>
    <x v="1"/>
    <s v="United States"/>
    <x v="123"/>
    <x v="16"/>
    <x v="3"/>
    <n v="5"/>
    <n v="5310"/>
    <n v="806.12"/>
  </r>
  <r>
    <x v="489"/>
    <x v="8"/>
    <x v="1"/>
    <s v="United States"/>
    <x v="124"/>
    <x v="2"/>
    <x v="1"/>
    <n v="6"/>
    <n v="5154"/>
    <n v="779.43"/>
  </r>
  <r>
    <x v="910"/>
    <x v="8"/>
    <x v="1"/>
    <s v="United States"/>
    <x v="83"/>
    <x v="13"/>
    <x v="1"/>
    <n v="9"/>
    <n v="6741"/>
    <n v="823.17"/>
  </r>
  <r>
    <x v="728"/>
    <x v="3"/>
    <x v="2"/>
    <s v="United States"/>
    <x v="9"/>
    <x v="8"/>
    <x v="3"/>
    <n v="2"/>
    <n v="520"/>
    <n v="61.33"/>
  </r>
  <r>
    <x v="534"/>
    <x v="2"/>
    <x v="2"/>
    <s v="United States"/>
    <x v="95"/>
    <x v="25"/>
    <x v="0"/>
    <n v="7"/>
    <n v="1120"/>
    <n v="111.79"/>
  </r>
  <r>
    <x v="535"/>
    <x v="8"/>
    <x v="1"/>
    <s v="United States"/>
    <x v="19"/>
    <x v="15"/>
    <x v="2"/>
    <n v="1"/>
    <n v="911"/>
    <n v="155.30000000000001"/>
  </r>
  <r>
    <x v="996"/>
    <x v="6"/>
    <x v="1"/>
    <s v="United States"/>
    <x v="19"/>
    <x v="15"/>
    <x v="2"/>
    <n v="8"/>
    <n v="1064"/>
    <n v="190.73"/>
  </r>
  <r>
    <x v="74"/>
    <x v="9"/>
    <x v="2"/>
    <s v="United States"/>
    <x v="2"/>
    <x v="2"/>
    <x v="1"/>
    <n v="7"/>
    <n v="1981"/>
    <n v="404.3"/>
  </r>
  <r>
    <x v="776"/>
    <x v="3"/>
    <x v="2"/>
    <s v="United States"/>
    <x v="9"/>
    <x v="8"/>
    <x v="3"/>
    <n v="5"/>
    <n v="4280"/>
    <n v="540.47"/>
  </r>
  <r>
    <x v="759"/>
    <x v="5"/>
    <x v="2"/>
    <s v="United States"/>
    <x v="9"/>
    <x v="8"/>
    <x v="3"/>
    <n v="5"/>
    <n v="5125"/>
    <n v="268.39"/>
  </r>
  <r>
    <x v="618"/>
    <x v="6"/>
    <x v="1"/>
    <s v="United States"/>
    <x v="125"/>
    <x v="36"/>
    <x v="1"/>
    <n v="7"/>
    <n v="1575"/>
    <n v="313.95999999999998"/>
  </r>
  <r>
    <x v="74"/>
    <x v="2"/>
    <x v="2"/>
    <s v="United States"/>
    <x v="125"/>
    <x v="36"/>
    <x v="1"/>
    <n v="9"/>
    <n v="9972"/>
    <n v="1868.64"/>
  </r>
  <r>
    <x v="430"/>
    <x v="7"/>
    <x v="2"/>
    <s v="United States"/>
    <x v="126"/>
    <x v="37"/>
    <x v="3"/>
    <n v="8"/>
    <n v="4576"/>
    <n v="900.04"/>
  </r>
  <r>
    <x v="1001"/>
    <x v="6"/>
    <x v="1"/>
    <s v="United States"/>
    <x v="91"/>
    <x v="30"/>
    <x v="0"/>
    <n v="7"/>
    <n v="6559"/>
    <n v="1141.32"/>
  </r>
  <r>
    <x v="50"/>
    <x v="2"/>
    <x v="2"/>
    <s v="United States"/>
    <x v="127"/>
    <x v="30"/>
    <x v="0"/>
    <n v="1"/>
    <n v="619"/>
    <n v="35.36"/>
  </r>
  <r>
    <x v="83"/>
    <x v="4"/>
    <x v="1"/>
    <s v="United States"/>
    <x v="128"/>
    <x v="0"/>
    <x v="0"/>
    <n v="8"/>
    <n v="2488"/>
    <n v="151.94999999999999"/>
  </r>
  <r>
    <x v="952"/>
    <x v="1"/>
    <x v="1"/>
    <s v="United States"/>
    <x v="21"/>
    <x v="5"/>
    <x v="3"/>
    <n v="4"/>
    <n v="2536"/>
    <n v="148.85"/>
  </r>
  <r>
    <x v="106"/>
    <x v="2"/>
    <x v="2"/>
    <s v="United States"/>
    <x v="85"/>
    <x v="29"/>
    <x v="2"/>
    <n v="8"/>
    <n v="5416"/>
    <n v="297.5"/>
  </r>
  <r>
    <x v="694"/>
    <x v="5"/>
    <x v="2"/>
    <s v="United States"/>
    <x v="2"/>
    <x v="2"/>
    <x v="1"/>
    <n v="2"/>
    <n v="2334"/>
    <n v="158.07"/>
  </r>
  <r>
    <x v="1023"/>
    <x v="3"/>
    <x v="2"/>
    <s v="United States"/>
    <x v="13"/>
    <x v="7"/>
    <x v="2"/>
    <n v="9"/>
    <n v="1080"/>
    <n v="183.42"/>
  </r>
  <r>
    <x v="111"/>
    <x v="2"/>
    <x v="2"/>
    <s v="United States"/>
    <x v="14"/>
    <x v="12"/>
    <x v="1"/>
    <n v="4"/>
    <n v="1324"/>
    <n v="127.07"/>
  </r>
  <r>
    <x v="940"/>
    <x v="3"/>
    <x v="2"/>
    <s v="United States"/>
    <x v="14"/>
    <x v="12"/>
    <x v="1"/>
    <n v="2"/>
    <n v="2304"/>
    <n v="444.08"/>
  </r>
  <r>
    <x v="819"/>
    <x v="7"/>
    <x v="2"/>
    <s v="United States"/>
    <x v="0"/>
    <x v="34"/>
    <x v="1"/>
    <n v="4"/>
    <n v="4736"/>
    <n v="1026.24"/>
  </r>
  <r>
    <x v="939"/>
    <x v="1"/>
    <x v="1"/>
    <s v="United States"/>
    <x v="28"/>
    <x v="2"/>
    <x v="1"/>
    <n v="9"/>
    <n v="2925"/>
    <n v="457.49"/>
  </r>
  <r>
    <x v="760"/>
    <x v="9"/>
    <x v="2"/>
    <s v="United States"/>
    <x v="28"/>
    <x v="2"/>
    <x v="1"/>
    <n v="9"/>
    <n v="6345"/>
    <n v="1627.26"/>
  </r>
  <r>
    <x v="355"/>
    <x v="4"/>
    <x v="1"/>
    <s v="United States"/>
    <x v="129"/>
    <x v="13"/>
    <x v="1"/>
    <n v="9"/>
    <n v="4221"/>
    <n v="912.84"/>
  </r>
  <r>
    <x v="521"/>
    <x v="4"/>
    <x v="1"/>
    <s v="United States"/>
    <x v="62"/>
    <x v="7"/>
    <x v="2"/>
    <n v="7"/>
    <n v="462"/>
    <n v="56.89"/>
  </r>
  <r>
    <x v="728"/>
    <x v="6"/>
    <x v="1"/>
    <s v="United States"/>
    <x v="2"/>
    <x v="2"/>
    <x v="1"/>
    <n v="7"/>
    <n v="7588"/>
    <n v="1625.55"/>
  </r>
  <r>
    <x v="36"/>
    <x v="8"/>
    <x v="1"/>
    <s v="United States"/>
    <x v="13"/>
    <x v="7"/>
    <x v="2"/>
    <n v="6"/>
    <n v="5232"/>
    <n v="1270.6400000000001"/>
  </r>
  <r>
    <x v="452"/>
    <x v="3"/>
    <x v="2"/>
    <s v="United States"/>
    <x v="28"/>
    <x v="2"/>
    <x v="1"/>
    <n v="8"/>
    <n v="1440"/>
    <n v="402.06"/>
  </r>
  <r>
    <x v="524"/>
    <x v="6"/>
    <x v="1"/>
    <s v="United States"/>
    <x v="130"/>
    <x v="15"/>
    <x v="2"/>
    <n v="2"/>
    <n v="1026"/>
    <n v="226.4"/>
  </r>
  <r>
    <x v="769"/>
    <x v="3"/>
    <x v="2"/>
    <s v="United States"/>
    <x v="89"/>
    <x v="1"/>
    <x v="0"/>
    <n v="7"/>
    <n v="7455"/>
    <n v="1008.42"/>
  </r>
  <r>
    <x v="639"/>
    <x v="0"/>
    <x v="0"/>
    <s v="United States"/>
    <x v="76"/>
    <x v="36"/>
    <x v="1"/>
    <n v="8"/>
    <n v="2456"/>
    <n v="404.35"/>
  </r>
  <r>
    <x v="506"/>
    <x v="3"/>
    <x v="2"/>
    <s v="United States"/>
    <x v="2"/>
    <x v="2"/>
    <x v="1"/>
    <n v="3"/>
    <n v="2859"/>
    <n v="404.56"/>
  </r>
  <r>
    <x v="288"/>
    <x v="8"/>
    <x v="1"/>
    <s v="United States"/>
    <x v="64"/>
    <x v="7"/>
    <x v="2"/>
    <n v="1"/>
    <n v="311"/>
    <n v="50.66"/>
  </r>
  <r>
    <x v="934"/>
    <x v="0"/>
    <x v="0"/>
    <s v="United States"/>
    <x v="115"/>
    <x v="7"/>
    <x v="2"/>
    <n v="9"/>
    <n v="1260"/>
    <n v="246.6"/>
  </r>
  <r>
    <x v="842"/>
    <x v="8"/>
    <x v="1"/>
    <s v="United States"/>
    <x v="120"/>
    <x v="35"/>
    <x v="0"/>
    <n v="1"/>
    <n v="466"/>
    <n v="102.48"/>
  </r>
  <r>
    <x v="1024"/>
    <x v="9"/>
    <x v="2"/>
    <s v="United States"/>
    <x v="120"/>
    <x v="35"/>
    <x v="0"/>
    <n v="3"/>
    <n v="867"/>
    <n v="58.2"/>
  </r>
  <r>
    <x v="144"/>
    <x v="6"/>
    <x v="1"/>
    <s v="United States"/>
    <x v="28"/>
    <x v="2"/>
    <x v="1"/>
    <n v="6"/>
    <n v="3888"/>
    <n v="275.72000000000003"/>
  </r>
  <r>
    <x v="294"/>
    <x v="2"/>
    <x v="2"/>
    <s v="United States"/>
    <x v="131"/>
    <x v="12"/>
    <x v="1"/>
    <n v="4"/>
    <n v="3032"/>
    <n v="347.2"/>
  </r>
  <r>
    <x v="488"/>
    <x v="2"/>
    <x v="2"/>
    <s v="United States"/>
    <x v="13"/>
    <x v="7"/>
    <x v="2"/>
    <n v="7"/>
    <n v="4704"/>
    <n v="978.81"/>
  </r>
  <r>
    <x v="930"/>
    <x v="0"/>
    <x v="0"/>
    <s v="United States"/>
    <x v="13"/>
    <x v="7"/>
    <x v="2"/>
    <n v="3"/>
    <n v="3186"/>
    <n v="527.75"/>
  </r>
  <r>
    <x v="1025"/>
    <x v="0"/>
    <x v="0"/>
    <s v="United States"/>
    <x v="13"/>
    <x v="7"/>
    <x v="2"/>
    <n v="9"/>
    <n v="6183"/>
    <n v="359.54"/>
  </r>
  <r>
    <x v="634"/>
    <x v="5"/>
    <x v="2"/>
    <s v="United States"/>
    <x v="132"/>
    <x v="33"/>
    <x v="0"/>
    <n v="1"/>
    <n v="243"/>
    <n v="21.75"/>
  </r>
  <r>
    <x v="657"/>
    <x v="7"/>
    <x v="2"/>
    <s v="United States"/>
    <x v="110"/>
    <x v="22"/>
    <x v="1"/>
    <n v="3"/>
    <n v="897"/>
    <n v="235.67"/>
  </r>
  <r>
    <x v="453"/>
    <x v="4"/>
    <x v="1"/>
    <s v="United States"/>
    <x v="133"/>
    <x v="2"/>
    <x v="1"/>
    <n v="9"/>
    <n v="4563"/>
    <n v="675.62"/>
  </r>
  <r>
    <x v="1026"/>
    <x v="9"/>
    <x v="2"/>
    <s v="United States"/>
    <x v="76"/>
    <x v="23"/>
    <x v="3"/>
    <n v="4"/>
    <n v="628"/>
    <n v="156.97999999999999"/>
  </r>
  <r>
    <x v="378"/>
    <x v="6"/>
    <x v="1"/>
    <s v="United States"/>
    <x v="6"/>
    <x v="5"/>
    <x v="3"/>
    <n v="6"/>
    <n v="1050"/>
    <n v="172.83"/>
  </r>
  <r>
    <x v="967"/>
    <x v="6"/>
    <x v="1"/>
    <s v="United States"/>
    <x v="74"/>
    <x v="0"/>
    <x v="0"/>
    <n v="8"/>
    <n v="3032"/>
    <n v="278.85000000000002"/>
  </r>
  <r>
    <x v="850"/>
    <x v="8"/>
    <x v="1"/>
    <s v="United States"/>
    <x v="9"/>
    <x v="8"/>
    <x v="3"/>
    <n v="1"/>
    <n v="920"/>
    <n v="118.24"/>
  </r>
  <r>
    <x v="578"/>
    <x v="9"/>
    <x v="2"/>
    <s v="United States"/>
    <x v="83"/>
    <x v="33"/>
    <x v="0"/>
    <n v="2"/>
    <n v="668"/>
    <n v="90.67"/>
  </r>
  <r>
    <x v="678"/>
    <x v="1"/>
    <x v="1"/>
    <s v="United States"/>
    <x v="134"/>
    <x v="38"/>
    <x v="2"/>
    <n v="5"/>
    <n v="5990"/>
    <n v="1403.53"/>
  </r>
  <r>
    <x v="117"/>
    <x v="2"/>
    <x v="2"/>
    <s v="United States"/>
    <x v="15"/>
    <x v="13"/>
    <x v="1"/>
    <n v="9"/>
    <n v="9324"/>
    <n v="1223.9000000000001"/>
  </r>
  <r>
    <x v="832"/>
    <x v="8"/>
    <x v="1"/>
    <s v="United States"/>
    <x v="77"/>
    <x v="11"/>
    <x v="3"/>
    <n v="8"/>
    <n v="5768"/>
    <n v="368.49"/>
  </r>
  <r>
    <x v="957"/>
    <x v="9"/>
    <x v="2"/>
    <s v="United States"/>
    <x v="117"/>
    <x v="22"/>
    <x v="1"/>
    <n v="1"/>
    <n v="1123"/>
    <n v="318.08999999999997"/>
  </r>
  <r>
    <x v="888"/>
    <x v="8"/>
    <x v="1"/>
    <s v="United States"/>
    <x v="3"/>
    <x v="3"/>
    <x v="2"/>
    <n v="4"/>
    <n v="2336"/>
    <n v="453.04"/>
  </r>
  <r>
    <x v="424"/>
    <x v="9"/>
    <x v="2"/>
    <s v="United States"/>
    <x v="3"/>
    <x v="3"/>
    <x v="2"/>
    <n v="6"/>
    <n v="438"/>
    <n v="26.03"/>
  </r>
  <r>
    <x v="717"/>
    <x v="2"/>
    <x v="2"/>
    <s v="United States"/>
    <x v="3"/>
    <x v="3"/>
    <x v="2"/>
    <n v="6"/>
    <n v="5940"/>
    <n v="318.72000000000003"/>
  </r>
  <r>
    <x v="753"/>
    <x v="3"/>
    <x v="2"/>
    <s v="United States"/>
    <x v="52"/>
    <x v="6"/>
    <x v="3"/>
    <n v="3"/>
    <n v="1848"/>
    <n v="549.34"/>
  </r>
  <r>
    <x v="278"/>
    <x v="8"/>
    <x v="1"/>
    <s v="United States"/>
    <x v="25"/>
    <x v="17"/>
    <x v="3"/>
    <n v="3"/>
    <n v="2118"/>
    <n v="321.05"/>
  </r>
  <r>
    <x v="714"/>
    <x v="7"/>
    <x v="2"/>
    <s v="United States"/>
    <x v="25"/>
    <x v="17"/>
    <x v="3"/>
    <n v="3"/>
    <n v="231"/>
    <n v="36.729999999999997"/>
  </r>
  <r>
    <x v="1027"/>
    <x v="4"/>
    <x v="1"/>
    <s v="United States"/>
    <x v="2"/>
    <x v="2"/>
    <x v="1"/>
    <n v="6"/>
    <n v="978"/>
    <n v="182.46"/>
  </r>
  <r>
    <x v="608"/>
    <x v="6"/>
    <x v="1"/>
    <s v="United States"/>
    <x v="135"/>
    <x v="2"/>
    <x v="1"/>
    <n v="5"/>
    <n v="4960"/>
    <n v="420.98"/>
  </r>
  <r>
    <x v="402"/>
    <x v="3"/>
    <x v="2"/>
    <s v="United States"/>
    <x v="136"/>
    <x v="2"/>
    <x v="1"/>
    <n v="3"/>
    <n v="1377"/>
    <n v="330.44"/>
  </r>
  <r>
    <x v="977"/>
    <x v="3"/>
    <x v="2"/>
    <s v="United States"/>
    <x v="28"/>
    <x v="2"/>
    <x v="1"/>
    <n v="2"/>
    <n v="1958"/>
    <n v="227.77"/>
  </r>
  <r>
    <x v="810"/>
    <x v="1"/>
    <x v="1"/>
    <s v="United States"/>
    <x v="43"/>
    <x v="22"/>
    <x v="1"/>
    <n v="7"/>
    <n v="5607"/>
    <n v="1288.04"/>
  </r>
  <r>
    <x v="167"/>
    <x v="5"/>
    <x v="2"/>
    <s v="United States"/>
    <x v="16"/>
    <x v="14"/>
    <x v="2"/>
    <n v="6"/>
    <n v="3504"/>
    <n v="980.7"/>
  </r>
  <r>
    <x v="546"/>
    <x v="1"/>
    <x v="1"/>
    <s v="United States"/>
    <x v="137"/>
    <x v="11"/>
    <x v="3"/>
    <n v="4"/>
    <n v="796"/>
    <n v="75.150000000000006"/>
  </r>
  <r>
    <x v="72"/>
    <x v="6"/>
    <x v="1"/>
    <s v="United States"/>
    <x v="104"/>
    <x v="22"/>
    <x v="1"/>
    <n v="1"/>
    <n v="342"/>
    <n v="37.64"/>
  </r>
  <r>
    <x v="72"/>
    <x v="6"/>
    <x v="1"/>
    <s v="United States"/>
    <x v="138"/>
    <x v="2"/>
    <x v="1"/>
    <n v="7"/>
    <n v="6769"/>
    <n v="1549.67"/>
  </r>
  <r>
    <x v="556"/>
    <x v="4"/>
    <x v="1"/>
    <s v="United States"/>
    <x v="138"/>
    <x v="2"/>
    <x v="1"/>
    <n v="9"/>
    <n v="10080"/>
    <n v="1794.73"/>
  </r>
  <r>
    <x v="953"/>
    <x v="5"/>
    <x v="2"/>
    <s v="United States"/>
    <x v="77"/>
    <x v="7"/>
    <x v="2"/>
    <n v="7"/>
    <n v="3948"/>
    <n v="758.36"/>
  </r>
  <r>
    <x v="128"/>
    <x v="4"/>
    <x v="1"/>
    <s v="United States"/>
    <x v="139"/>
    <x v="2"/>
    <x v="1"/>
    <n v="4"/>
    <n v="1488"/>
    <n v="74.52"/>
  </r>
  <r>
    <x v="607"/>
    <x v="1"/>
    <x v="1"/>
    <s v="United States"/>
    <x v="140"/>
    <x v="17"/>
    <x v="3"/>
    <n v="5"/>
    <n v="1200"/>
    <n v="201.8"/>
  </r>
  <r>
    <x v="537"/>
    <x v="5"/>
    <x v="2"/>
    <s v="United States"/>
    <x v="3"/>
    <x v="3"/>
    <x v="2"/>
    <n v="4"/>
    <n v="4476"/>
    <n v="977.6"/>
  </r>
  <r>
    <x v="598"/>
    <x v="6"/>
    <x v="1"/>
    <s v="United States"/>
    <x v="63"/>
    <x v="28"/>
    <x v="2"/>
    <n v="1"/>
    <n v="1178"/>
    <n v="292.14999999999998"/>
  </r>
  <r>
    <x v="618"/>
    <x v="5"/>
    <x v="2"/>
    <s v="United States"/>
    <x v="141"/>
    <x v="5"/>
    <x v="3"/>
    <n v="8"/>
    <n v="2888"/>
    <n v="149.91999999999999"/>
  </r>
  <r>
    <x v="764"/>
    <x v="7"/>
    <x v="2"/>
    <s v="United States"/>
    <x v="62"/>
    <x v="7"/>
    <x v="2"/>
    <n v="6"/>
    <n v="1704"/>
    <n v="193.18"/>
  </r>
  <r>
    <x v="461"/>
    <x v="0"/>
    <x v="0"/>
    <s v="United States"/>
    <x v="142"/>
    <x v="3"/>
    <x v="2"/>
    <n v="8"/>
    <n v="4200"/>
    <n v="1017.94"/>
  </r>
  <r>
    <x v="416"/>
    <x v="8"/>
    <x v="1"/>
    <s v="United States"/>
    <x v="41"/>
    <x v="2"/>
    <x v="1"/>
    <n v="7"/>
    <n v="4417"/>
    <n v="562.79"/>
  </r>
  <r>
    <x v="229"/>
    <x v="3"/>
    <x v="2"/>
    <s v="United States"/>
    <x v="143"/>
    <x v="5"/>
    <x v="3"/>
    <n v="4"/>
    <n v="764"/>
    <n v="178.83"/>
  </r>
  <r>
    <x v="168"/>
    <x v="4"/>
    <x v="1"/>
    <s v="United States"/>
    <x v="144"/>
    <x v="5"/>
    <x v="3"/>
    <n v="4"/>
    <n v="4000"/>
    <n v="964.43"/>
  </r>
  <r>
    <x v="257"/>
    <x v="6"/>
    <x v="1"/>
    <s v="United States"/>
    <x v="145"/>
    <x v="15"/>
    <x v="2"/>
    <n v="9"/>
    <n v="2331"/>
    <n v="558"/>
  </r>
  <r>
    <x v="171"/>
    <x v="1"/>
    <x v="1"/>
    <s v="United States"/>
    <x v="146"/>
    <x v="5"/>
    <x v="3"/>
    <n v="9"/>
    <n v="8172"/>
    <n v="1296.29"/>
  </r>
  <r>
    <x v="888"/>
    <x v="9"/>
    <x v="2"/>
    <s v="United States"/>
    <x v="147"/>
    <x v="5"/>
    <x v="3"/>
    <n v="1"/>
    <n v="761"/>
    <n v="61.15"/>
  </r>
  <r>
    <x v="574"/>
    <x v="3"/>
    <x v="2"/>
    <s v="United States"/>
    <x v="13"/>
    <x v="7"/>
    <x v="2"/>
    <n v="2"/>
    <n v="494"/>
    <n v="56.41"/>
  </r>
  <r>
    <x v="1028"/>
    <x v="4"/>
    <x v="1"/>
    <s v="United States"/>
    <x v="13"/>
    <x v="7"/>
    <x v="2"/>
    <n v="2"/>
    <n v="194"/>
    <n v="52.16"/>
  </r>
  <r>
    <x v="541"/>
    <x v="2"/>
    <x v="2"/>
    <s v="United States"/>
    <x v="29"/>
    <x v="6"/>
    <x v="3"/>
    <n v="6"/>
    <n v="5820"/>
    <n v="1423.67"/>
  </r>
  <r>
    <x v="721"/>
    <x v="3"/>
    <x v="2"/>
    <s v="United States"/>
    <x v="148"/>
    <x v="31"/>
    <x v="0"/>
    <n v="5"/>
    <n v="410"/>
    <n v="121.77"/>
  </r>
  <r>
    <x v="486"/>
    <x v="7"/>
    <x v="2"/>
    <s v="United States"/>
    <x v="15"/>
    <x v="13"/>
    <x v="1"/>
    <n v="6"/>
    <n v="1254"/>
    <n v="360.87"/>
  </r>
  <r>
    <x v="824"/>
    <x v="2"/>
    <x v="2"/>
    <s v="United States"/>
    <x v="68"/>
    <x v="3"/>
    <x v="2"/>
    <n v="6"/>
    <n v="3432"/>
    <n v="452.4"/>
  </r>
  <r>
    <x v="122"/>
    <x v="3"/>
    <x v="2"/>
    <s v="United States"/>
    <x v="13"/>
    <x v="7"/>
    <x v="2"/>
    <n v="4"/>
    <n v="3792"/>
    <n v="997.99"/>
  </r>
  <r>
    <x v="422"/>
    <x v="2"/>
    <x v="2"/>
    <s v="United States"/>
    <x v="98"/>
    <x v="1"/>
    <x v="0"/>
    <n v="7"/>
    <n v="546"/>
    <n v="117.9"/>
  </r>
  <r>
    <x v="857"/>
    <x v="5"/>
    <x v="2"/>
    <s v="United States"/>
    <x v="15"/>
    <x v="13"/>
    <x v="1"/>
    <n v="3"/>
    <n v="1452"/>
    <n v="217.06"/>
  </r>
  <r>
    <x v="137"/>
    <x v="8"/>
    <x v="1"/>
    <s v="United States"/>
    <x v="99"/>
    <x v="2"/>
    <x v="1"/>
    <n v="8"/>
    <n v="9296"/>
    <n v="1556.05"/>
  </r>
  <r>
    <x v="5"/>
    <x v="1"/>
    <x v="1"/>
    <s v="United States"/>
    <x v="99"/>
    <x v="2"/>
    <x v="1"/>
    <n v="1"/>
    <n v="1160"/>
    <n v="149.81"/>
  </r>
  <r>
    <x v="1029"/>
    <x v="9"/>
    <x v="2"/>
    <s v="United States"/>
    <x v="99"/>
    <x v="2"/>
    <x v="1"/>
    <n v="6"/>
    <n v="4728"/>
    <n v="682.01"/>
  </r>
  <r>
    <x v="1030"/>
    <x v="3"/>
    <x v="2"/>
    <s v="United States"/>
    <x v="13"/>
    <x v="7"/>
    <x v="2"/>
    <n v="6"/>
    <n v="1836"/>
    <n v="508.81"/>
  </r>
  <r>
    <x v="280"/>
    <x v="5"/>
    <x v="2"/>
    <s v="United States"/>
    <x v="100"/>
    <x v="3"/>
    <x v="2"/>
    <n v="7"/>
    <n v="6237"/>
    <n v="1784.89"/>
  </r>
  <r>
    <x v="207"/>
    <x v="9"/>
    <x v="2"/>
    <s v="United States"/>
    <x v="100"/>
    <x v="3"/>
    <x v="2"/>
    <n v="5"/>
    <n v="5845"/>
    <n v="941.79"/>
  </r>
  <r>
    <x v="18"/>
    <x v="6"/>
    <x v="1"/>
    <s v="United States"/>
    <x v="101"/>
    <x v="6"/>
    <x v="3"/>
    <n v="9"/>
    <n v="6138"/>
    <n v="851.14"/>
  </r>
  <r>
    <x v="510"/>
    <x v="3"/>
    <x v="2"/>
    <s v="United States"/>
    <x v="2"/>
    <x v="2"/>
    <x v="1"/>
    <n v="2"/>
    <n v="1416"/>
    <n v="136.75"/>
  </r>
  <r>
    <x v="874"/>
    <x v="8"/>
    <x v="1"/>
    <s v="United States"/>
    <x v="74"/>
    <x v="12"/>
    <x v="1"/>
    <n v="3"/>
    <n v="1851"/>
    <n v="348.9"/>
  </r>
  <r>
    <x v="771"/>
    <x v="0"/>
    <x v="0"/>
    <s v="United States"/>
    <x v="50"/>
    <x v="5"/>
    <x v="3"/>
    <n v="9"/>
    <n v="7452"/>
    <n v="1259.82"/>
  </r>
  <r>
    <x v="639"/>
    <x v="2"/>
    <x v="2"/>
    <s v="United States"/>
    <x v="13"/>
    <x v="7"/>
    <x v="2"/>
    <n v="5"/>
    <n v="1630"/>
    <n v="190.38"/>
  </r>
  <r>
    <x v="1031"/>
    <x v="3"/>
    <x v="2"/>
    <s v="United States"/>
    <x v="76"/>
    <x v="25"/>
    <x v="0"/>
    <n v="6"/>
    <n v="4800"/>
    <n v="930.44"/>
  </r>
  <r>
    <x v="962"/>
    <x v="5"/>
    <x v="2"/>
    <s v="United States"/>
    <x v="76"/>
    <x v="25"/>
    <x v="0"/>
    <n v="1"/>
    <n v="61"/>
    <n v="16.11"/>
  </r>
  <r>
    <x v="630"/>
    <x v="6"/>
    <x v="1"/>
    <s v="United States"/>
    <x v="58"/>
    <x v="25"/>
    <x v="0"/>
    <n v="6"/>
    <n v="942"/>
    <n v="80.27"/>
  </r>
  <r>
    <x v="924"/>
    <x v="7"/>
    <x v="2"/>
    <s v="United States"/>
    <x v="29"/>
    <x v="24"/>
    <x v="0"/>
    <n v="8"/>
    <n v="7640"/>
    <n v="1663.63"/>
  </r>
  <r>
    <x v="381"/>
    <x v="3"/>
    <x v="2"/>
    <s v="United States"/>
    <x v="102"/>
    <x v="2"/>
    <x v="1"/>
    <n v="5"/>
    <n v="4540"/>
    <n v="939.71"/>
  </r>
  <r>
    <x v="1"/>
    <x v="4"/>
    <x v="1"/>
    <s v="United States"/>
    <x v="29"/>
    <x v="15"/>
    <x v="2"/>
    <n v="1"/>
    <n v="1030"/>
    <n v="190.47"/>
  </r>
  <r>
    <x v="39"/>
    <x v="0"/>
    <x v="0"/>
    <s v="United States"/>
    <x v="2"/>
    <x v="2"/>
    <x v="1"/>
    <n v="2"/>
    <n v="384"/>
    <n v="30.84"/>
  </r>
  <r>
    <x v="1016"/>
    <x v="5"/>
    <x v="2"/>
    <s v="United States"/>
    <x v="3"/>
    <x v="3"/>
    <x v="2"/>
    <n v="8"/>
    <n v="8560"/>
    <n v="991.94"/>
  </r>
  <r>
    <x v="1032"/>
    <x v="3"/>
    <x v="2"/>
    <s v="United States"/>
    <x v="28"/>
    <x v="2"/>
    <x v="1"/>
    <n v="9"/>
    <n v="1557"/>
    <n v="117.36"/>
  </r>
  <r>
    <x v="34"/>
    <x v="2"/>
    <x v="2"/>
    <s v="United States"/>
    <x v="2"/>
    <x v="2"/>
    <x v="1"/>
    <n v="7"/>
    <n v="707"/>
    <n v="124.59"/>
  </r>
  <r>
    <x v="87"/>
    <x v="1"/>
    <x v="1"/>
    <s v="United States"/>
    <x v="13"/>
    <x v="7"/>
    <x v="2"/>
    <n v="5"/>
    <n v="3405"/>
    <n v="476.39"/>
  </r>
  <r>
    <x v="131"/>
    <x v="2"/>
    <x v="2"/>
    <s v="United States"/>
    <x v="103"/>
    <x v="8"/>
    <x v="3"/>
    <n v="6"/>
    <n v="4722"/>
    <n v="522.16"/>
  </r>
  <r>
    <x v="814"/>
    <x v="4"/>
    <x v="1"/>
    <s v="United States"/>
    <x v="28"/>
    <x v="2"/>
    <x v="1"/>
    <n v="2"/>
    <n v="2150"/>
    <n v="625.92999999999995"/>
  </r>
  <r>
    <x v="254"/>
    <x v="6"/>
    <x v="1"/>
    <s v="United States"/>
    <x v="50"/>
    <x v="5"/>
    <x v="3"/>
    <n v="7"/>
    <n v="3619"/>
    <n v="827.39"/>
  </r>
  <r>
    <x v="479"/>
    <x v="5"/>
    <x v="2"/>
    <s v="United States"/>
    <x v="2"/>
    <x v="2"/>
    <x v="1"/>
    <n v="4"/>
    <n v="3892"/>
    <n v="909.22"/>
  </r>
  <r>
    <x v="382"/>
    <x v="3"/>
    <x v="2"/>
    <s v="United States"/>
    <x v="104"/>
    <x v="22"/>
    <x v="1"/>
    <n v="1"/>
    <n v="54"/>
    <n v="13.29"/>
  </r>
  <r>
    <x v="10"/>
    <x v="8"/>
    <x v="1"/>
    <s v="United States"/>
    <x v="105"/>
    <x v="2"/>
    <x v="1"/>
    <n v="1"/>
    <n v="612"/>
    <n v="136.25"/>
  </r>
  <r>
    <x v="52"/>
    <x v="6"/>
    <x v="1"/>
    <s v="United States"/>
    <x v="30"/>
    <x v="12"/>
    <x v="1"/>
    <n v="5"/>
    <n v="3850"/>
    <n v="419.55"/>
  </r>
  <r>
    <x v="341"/>
    <x v="3"/>
    <x v="2"/>
    <s v="United States"/>
    <x v="106"/>
    <x v="4"/>
    <x v="1"/>
    <n v="5"/>
    <n v="3005"/>
    <n v="389.93"/>
  </r>
  <r>
    <x v="903"/>
    <x v="4"/>
    <x v="1"/>
    <s v="United States"/>
    <x v="14"/>
    <x v="8"/>
    <x v="3"/>
    <n v="9"/>
    <n v="5256"/>
    <n v="1296.6500000000001"/>
  </r>
  <r>
    <x v="420"/>
    <x v="0"/>
    <x v="0"/>
    <s v="United States"/>
    <x v="107"/>
    <x v="24"/>
    <x v="0"/>
    <n v="6"/>
    <n v="3576"/>
    <n v="1033.3"/>
  </r>
  <r>
    <x v="1033"/>
    <x v="2"/>
    <x v="2"/>
    <s v="United States"/>
    <x v="107"/>
    <x v="24"/>
    <x v="0"/>
    <n v="5"/>
    <n v="3415"/>
    <n v="496.48"/>
  </r>
  <r>
    <x v="616"/>
    <x v="3"/>
    <x v="2"/>
    <s v="United States"/>
    <x v="14"/>
    <x v="8"/>
    <x v="3"/>
    <n v="3"/>
    <n v="1722"/>
    <n v="203.04"/>
  </r>
  <r>
    <x v="406"/>
    <x v="1"/>
    <x v="1"/>
    <s v="United States"/>
    <x v="14"/>
    <x v="8"/>
    <x v="3"/>
    <n v="8"/>
    <n v="4088"/>
    <n v="853.36"/>
  </r>
  <r>
    <x v="703"/>
    <x v="4"/>
    <x v="1"/>
    <s v="United States"/>
    <x v="29"/>
    <x v="15"/>
    <x v="2"/>
    <n v="5"/>
    <n v="5320"/>
    <n v="882.84"/>
  </r>
  <r>
    <x v="1"/>
    <x v="1"/>
    <x v="1"/>
    <s v="United States"/>
    <x v="3"/>
    <x v="3"/>
    <x v="2"/>
    <n v="6"/>
    <n v="3660"/>
    <n v="1079"/>
  </r>
  <r>
    <x v="468"/>
    <x v="3"/>
    <x v="2"/>
    <s v="United States"/>
    <x v="13"/>
    <x v="7"/>
    <x v="2"/>
    <n v="6"/>
    <n v="5250"/>
    <n v="1228.49"/>
  </r>
  <r>
    <x v="118"/>
    <x v="9"/>
    <x v="2"/>
    <s v="United States"/>
    <x v="43"/>
    <x v="22"/>
    <x v="1"/>
    <n v="4"/>
    <n v="328"/>
    <n v="90.89"/>
  </r>
  <r>
    <x v="279"/>
    <x v="7"/>
    <x v="2"/>
    <s v="United States"/>
    <x v="13"/>
    <x v="7"/>
    <x v="2"/>
    <n v="7"/>
    <n v="1596"/>
    <n v="359.71"/>
  </r>
  <r>
    <x v="17"/>
    <x v="0"/>
    <x v="0"/>
    <s v="United States"/>
    <x v="13"/>
    <x v="7"/>
    <x v="2"/>
    <n v="7"/>
    <n v="2443"/>
    <n v="661.21"/>
  </r>
  <r>
    <x v="476"/>
    <x v="5"/>
    <x v="2"/>
    <s v="United States"/>
    <x v="46"/>
    <x v="2"/>
    <x v="1"/>
    <n v="7"/>
    <n v="5432"/>
    <n v="870.08"/>
  </r>
  <r>
    <x v="1034"/>
    <x v="0"/>
    <x v="0"/>
    <s v="United States"/>
    <x v="6"/>
    <x v="5"/>
    <x v="3"/>
    <n v="3"/>
    <n v="1254"/>
    <n v="221.19"/>
  </r>
  <r>
    <x v="273"/>
    <x v="2"/>
    <x v="2"/>
    <s v="United States"/>
    <x v="73"/>
    <x v="33"/>
    <x v="0"/>
    <n v="5"/>
    <n v="5495"/>
    <n v="1276.27"/>
  </r>
  <r>
    <x v="863"/>
    <x v="4"/>
    <x v="1"/>
    <s v="United States"/>
    <x v="45"/>
    <x v="5"/>
    <x v="3"/>
    <n v="4"/>
    <n v="596"/>
    <n v="72.650000000000006"/>
  </r>
  <r>
    <x v="941"/>
    <x v="0"/>
    <x v="0"/>
    <s v="United States"/>
    <x v="9"/>
    <x v="8"/>
    <x v="3"/>
    <n v="6"/>
    <n v="3696"/>
    <n v="597.66"/>
  </r>
  <r>
    <x v="1035"/>
    <x v="1"/>
    <x v="1"/>
    <s v="United States"/>
    <x v="29"/>
    <x v="24"/>
    <x v="0"/>
    <n v="6"/>
    <n v="4488"/>
    <n v="939.05"/>
  </r>
  <r>
    <x v="586"/>
    <x v="3"/>
    <x v="2"/>
    <s v="United States"/>
    <x v="108"/>
    <x v="19"/>
    <x v="2"/>
    <n v="6"/>
    <n v="6846"/>
    <n v="932.21"/>
  </r>
  <r>
    <x v="379"/>
    <x v="1"/>
    <x v="1"/>
    <s v="United States"/>
    <x v="109"/>
    <x v="18"/>
    <x v="2"/>
    <n v="8"/>
    <n v="2960"/>
    <n v="607.64"/>
  </r>
  <r>
    <x v="713"/>
    <x v="7"/>
    <x v="2"/>
    <s v="United States"/>
    <x v="102"/>
    <x v="5"/>
    <x v="3"/>
    <n v="1"/>
    <n v="419"/>
    <n v="99.5"/>
  </r>
  <r>
    <x v="465"/>
    <x v="9"/>
    <x v="2"/>
    <s v="United States"/>
    <x v="110"/>
    <x v="22"/>
    <x v="1"/>
    <n v="6"/>
    <n v="6246"/>
    <n v="327.14"/>
  </r>
  <r>
    <x v="854"/>
    <x v="2"/>
    <x v="2"/>
    <s v="United States"/>
    <x v="25"/>
    <x v="17"/>
    <x v="3"/>
    <n v="4"/>
    <n v="1900"/>
    <n v="372.18"/>
  </r>
  <r>
    <x v="682"/>
    <x v="6"/>
    <x v="1"/>
    <s v="United States"/>
    <x v="6"/>
    <x v="5"/>
    <x v="3"/>
    <n v="7"/>
    <n v="3451"/>
    <n v="397.29"/>
  </r>
  <r>
    <x v="1016"/>
    <x v="7"/>
    <x v="2"/>
    <s v="United States"/>
    <x v="2"/>
    <x v="2"/>
    <x v="1"/>
    <n v="2"/>
    <n v="1612"/>
    <n v="344.37"/>
  </r>
  <r>
    <x v="581"/>
    <x v="9"/>
    <x v="2"/>
    <s v="United States"/>
    <x v="13"/>
    <x v="7"/>
    <x v="2"/>
    <n v="5"/>
    <n v="4445"/>
    <n v="642.83000000000004"/>
  </r>
  <r>
    <x v="933"/>
    <x v="5"/>
    <x v="2"/>
    <s v="United States"/>
    <x v="57"/>
    <x v="13"/>
    <x v="1"/>
    <n v="5"/>
    <n v="720"/>
    <n v="63.84"/>
  </r>
  <r>
    <x v="397"/>
    <x v="1"/>
    <x v="1"/>
    <s v="United States"/>
    <x v="2"/>
    <x v="2"/>
    <x v="1"/>
    <n v="2"/>
    <n v="1428"/>
    <n v="234.49"/>
  </r>
  <r>
    <x v="874"/>
    <x v="2"/>
    <x v="2"/>
    <s v="United States"/>
    <x v="2"/>
    <x v="2"/>
    <x v="1"/>
    <n v="4"/>
    <n v="3532"/>
    <n v="665.2"/>
  </r>
  <r>
    <x v="303"/>
    <x v="3"/>
    <x v="2"/>
    <s v="United States"/>
    <x v="2"/>
    <x v="2"/>
    <x v="1"/>
    <n v="6"/>
    <n v="6528"/>
    <n v="549.62"/>
  </r>
  <r>
    <x v="339"/>
    <x v="6"/>
    <x v="1"/>
    <s v="United States"/>
    <x v="3"/>
    <x v="3"/>
    <x v="2"/>
    <n v="1"/>
    <n v="743"/>
    <n v="216.5"/>
  </r>
  <r>
    <x v="533"/>
    <x v="5"/>
    <x v="2"/>
    <s v="United States"/>
    <x v="111"/>
    <x v="34"/>
    <x v="1"/>
    <n v="6"/>
    <n v="1758"/>
    <n v="287.36"/>
  </r>
  <r>
    <x v="639"/>
    <x v="4"/>
    <x v="1"/>
    <s v="United States"/>
    <x v="104"/>
    <x v="22"/>
    <x v="1"/>
    <n v="8"/>
    <n v="1008"/>
    <n v="100.61"/>
  </r>
  <r>
    <x v="257"/>
    <x v="7"/>
    <x v="2"/>
    <s v="United States"/>
    <x v="112"/>
    <x v="3"/>
    <x v="2"/>
    <n v="1"/>
    <n v="995"/>
    <n v="149.86000000000001"/>
  </r>
  <r>
    <x v="220"/>
    <x v="8"/>
    <x v="1"/>
    <s v="United States"/>
    <x v="113"/>
    <x v="2"/>
    <x v="1"/>
    <n v="9"/>
    <n v="4032"/>
    <n v="876.91"/>
  </r>
  <r>
    <x v="952"/>
    <x v="7"/>
    <x v="2"/>
    <s v="United States"/>
    <x v="114"/>
    <x v="20"/>
    <x v="2"/>
    <n v="6"/>
    <n v="480"/>
    <n v="131.08000000000001"/>
  </r>
  <r>
    <x v="876"/>
    <x v="9"/>
    <x v="2"/>
    <s v="United States"/>
    <x v="29"/>
    <x v="15"/>
    <x v="2"/>
    <n v="1"/>
    <n v="989"/>
    <n v="149.99"/>
  </r>
  <r>
    <x v="823"/>
    <x v="7"/>
    <x v="2"/>
    <s v="United States"/>
    <x v="115"/>
    <x v="7"/>
    <x v="2"/>
    <n v="9"/>
    <n v="6606"/>
    <n v="759.55"/>
  </r>
  <r>
    <x v="895"/>
    <x v="5"/>
    <x v="2"/>
    <s v="United States"/>
    <x v="15"/>
    <x v="13"/>
    <x v="1"/>
    <n v="6"/>
    <n v="912"/>
    <n v="256.58"/>
  </r>
  <r>
    <x v="155"/>
    <x v="1"/>
    <x v="1"/>
    <s v="United States"/>
    <x v="13"/>
    <x v="7"/>
    <x v="2"/>
    <n v="4"/>
    <n v="2912"/>
    <n v="331.11"/>
  </r>
  <r>
    <x v="268"/>
    <x v="3"/>
    <x v="2"/>
    <s v="United States"/>
    <x v="2"/>
    <x v="2"/>
    <x v="1"/>
    <n v="5"/>
    <n v="845"/>
    <n v="69.349999999999994"/>
  </r>
  <r>
    <x v="966"/>
    <x v="6"/>
    <x v="1"/>
    <s v="United States"/>
    <x v="2"/>
    <x v="2"/>
    <x v="1"/>
    <n v="4"/>
    <n v="2804"/>
    <n v="382.82"/>
  </r>
  <r>
    <x v="66"/>
    <x v="9"/>
    <x v="2"/>
    <s v="United States"/>
    <x v="116"/>
    <x v="5"/>
    <x v="3"/>
    <n v="2"/>
    <n v="208"/>
    <n v="11.53"/>
  </r>
  <r>
    <x v="511"/>
    <x v="5"/>
    <x v="2"/>
    <s v="United States"/>
    <x v="13"/>
    <x v="7"/>
    <x v="2"/>
    <n v="1"/>
    <n v="379"/>
    <n v="42.24"/>
  </r>
  <r>
    <x v="463"/>
    <x v="1"/>
    <x v="1"/>
    <s v="United States"/>
    <x v="13"/>
    <x v="7"/>
    <x v="2"/>
    <n v="3"/>
    <n v="1227"/>
    <n v="113.38"/>
  </r>
  <r>
    <x v="871"/>
    <x v="4"/>
    <x v="1"/>
    <s v="United States"/>
    <x v="13"/>
    <x v="7"/>
    <x v="2"/>
    <n v="7"/>
    <n v="5551"/>
    <n v="392.37"/>
  </r>
  <r>
    <x v="67"/>
    <x v="4"/>
    <x v="1"/>
    <s v="United States"/>
    <x v="117"/>
    <x v="8"/>
    <x v="3"/>
    <n v="1"/>
    <n v="423"/>
    <n v="115.44"/>
  </r>
  <r>
    <x v="833"/>
    <x v="4"/>
    <x v="1"/>
    <s v="United States"/>
    <x v="29"/>
    <x v="15"/>
    <x v="2"/>
    <n v="6"/>
    <n v="5982"/>
    <n v="944.81"/>
  </r>
  <r>
    <x v="847"/>
    <x v="7"/>
    <x v="2"/>
    <s v="United States"/>
    <x v="13"/>
    <x v="7"/>
    <x v="2"/>
    <n v="4"/>
    <n v="3732"/>
    <n v="468.6"/>
  </r>
  <r>
    <x v="885"/>
    <x v="0"/>
    <x v="0"/>
    <s v="United States"/>
    <x v="118"/>
    <x v="5"/>
    <x v="3"/>
    <n v="9"/>
    <n v="5904"/>
    <n v="1152.23"/>
  </r>
  <r>
    <x v="69"/>
    <x v="4"/>
    <x v="1"/>
    <s v="United States"/>
    <x v="63"/>
    <x v="14"/>
    <x v="2"/>
    <n v="5"/>
    <n v="1810"/>
    <n v="171.47"/>
  </r>
  <r>
    <x v="894"/>
    <x v="7"/>
    <x v="2"/>
    <s v="United States"/>
    <x v="2"/>
    <x v="2"/>
    <x v="1"/>
    <n v="6"/>
    <n v="5604"/>
    <n v="615.07000000000005"/>
  </r>
  <r>
    <x v="503"/>
    <x v="9"/>
    <x v="2"/>
    <s v="United States"/>
    <x v="119"/>
    <x v="13"/>
    <x v="1"/>
    <n v="2"/>
    <n v="432"/>
    <n v="81.31"/>
  </r>
  <r>
    <x v="492"/>
    <x v="8"/>
    <x v="1"/>
    <s v="United States"/>
    <x v="120"/>
    <x v="35"/>
    <x v="0"/>
    <n v="2"/>
    <n v="416"/>
    <n v="68.58"/>
  </r>
  <r>
    <x v="566"/>
    <x v="6"/>
    <x v="1"/>
    <s v="United States"/>
    <x v="59"/>
    <x v="15"/>
    <x v="2"/>
    <n v="8"/>
    <n v="1224"/>
    <n v="281.43"/>
  </r>
  <r>
    <x v="655"/>
    <x v="0"/>
    <x v="0"/>
    <s v="United States"/>
    <x v="85"/>
    <x v="29"/>
    <x v="2"/>
    <n v="8"/>
    <n v="5168"/>
    <n v="672.6"/>
  </r>
  <r>
    <x v="771"/>
    <x v="6"/>
    <x v="1"/>
    <s v="United States"/>
    <x v="79"/>
    <x v="16"/>
    <x v="3"/>
    <n v="6"/>
    <n v="6522"/>
    <n v="502.98"/>
  </r>
  <r>
    <x v="52"/>
    <x v="8"/>
    <x v="1"/>
    <s v="United States"/>
    <x v="13"/>
    <x v="7"/>
    <x v="2"/>
    <n v="5"/>
    <n v="1090"/>
    <n v="140.69999999999999"/>
  </r>
  <r>
    <x v="58"/>
    <x v="9"/>
    <x v="2"/>
    <s v="United States"/>
    <x v="6"/>
    <x v="5"/>
    <x v="3"/>
    <n v="3"/>
    <n v="1737"/>
    <n v="353.17"/>
  </r>
  <r>
    <x v="729"/>
    <x v="0"/>
    <x v="0"/>
    <s v="United States"/>
    <x v="3"/>
    <x v="3"/>
    <x v="2"/>
    <n v="9"/>
    <n v="7281"/>
    <n v="1358.17"/>
  </r>
  <r>
    <x v="740"/>
    <x v="5"/>
    <x v="2"/>
    <s v="United States"/>
    <x v="28"/>
    <x v="2"/>
    <x v="1"/>
    <n v="9"/>
    <n v="5832"/>
    <n v="1007.54"/>
  </r>
  <r>
    <x v="1036"/>
    <x v="0"/>
    <x v="0"/>
    <s v="United States"/>
    <x v="3"/>
    <x v="3"/>
    <x v="2"/>
    <n v="9"/>
    <n v="7020"/>
    <n v="623.97"/>
  </r>
  <r>
    <x v="606"/>
    <x v="1"/>
    <x v="1"/>
    <s v="United States"/>
    <x v="3"/>
    <x v="3"/>
    <x v="2"/>
    <n v="3"/>
    <n v="2001"/>
    <n v="420.08"/>
  </r>
  <r>
    <x v="884"/>
    <x v="6"/>
    <x v="1"/>
    <s v="United States"/>
    <x v="29"/>
    <x v="15"/>
    <x v="2"/>
    <n v="2"/>
    <n v="1832"/>
    <n v="489.21"/>
  </r>
  <r>
    <x v="387"/>
    <x v="5"/>
    <x v="2"/>
    <s v="United States"/>
    <x v="15"/>
    <x v="13"/>
    <x v="1"/>
    <n v="6"/>
    <n v="3372"/>
    <n v="934.42"/>
  </r>
  <r>
    <x v="888"/>
    <x v="2"/>
    <x v="2"/>
    <s v="United States"/>
    <x v="13"/>
    <x v="7"/>
    <x v="2"/>
    <n v="6"/>
    <n v="3384"/>
    <n v="503.86"/>
  </r>
  <r>
    <x v="1037"/>
    <x v="6"/>
    <x v="1"/>
    <s v="United States"/>
    <x v="28"/>
    <x v="2"/>
    <x v="1"/>
    <n v="1"/>
    <n v="351"/>
    <n v="31.95"/>
  </r>
  <r>
    <x v="877"/>
    <x v="3"/>
    <x v="2"/>
    <s v="United States"/>
    <x v="9"/>
    <x v="8"/>
    <x v="3"/>
    <n v="2"/>
    <n v="2092"/>
    <n v="549.41999999999996"/>
  </r>
  <r>
    <x v="569"/>
    <x v="6"/>
    <x v="1"/>
    <s v="United States"/>
    <x v="28"/>
    <x v="2"/>
    <x v="1"/>
    <n v="7"/>
    <n v="1309"/>
    <n v="138.46"/>
  </r>
  <r>
    <x v="74"/>
    <x v="8"/>
    <x v="1"/>
    <s v="United States"/>
    <x v="13"/>
    <x v="7"/>
    <x v="2"/>
    <n v="9"/>
    <n v="6696"/>
    <n v="407.36"/>
  </r>
  <r>
    <x v="464"/>
    <x v="8"/>
    <x v="1"/>
    <s v="United States"/>
    <x v="13"/>
    <x v="7"/>
    <x v="2"/>
    <n v="5"/>
    <n v="1020"/>
    <n v="162.36000000000001"/>
  </r>
  <r>
    <x v="56"/>
    <x v="8"/>
    <x v="1"/>
    <s v="United States"/>
    <x v="9"/>
    <x v="8"/>
    <x v="3"/>
    <n v="8"/>
    <n v="8240"/>
    <n v="2006.72"/>
  </r>
  <r>
    <x v="1038"/>
    <x v="4"/>
    <x v="1"/>
    <s v="United States"/>
    <x v="24"/>
    <x v="15"/>
    <x v="2"/>
    <n v="9"/>
    <n v="9810"/>
    <n v="1008.6"/>
  </r>
  <r>
    <x v="616"/>
    <x v="2"/>
    <x v="2"/>
    <s v="United States"/>
    <x v="3"/>
    <x v="3"/>
    <x v="2"/>
    <n v="1"/>
    <n v="853"/>
    <n v="97.5"/>
  </r>
  <r>
    <x v="519"/>
    <x v="3"/>
    <x v="2"/>
    <s v="United States"/>
    <x v="21"/>
    <x v="5"/>
    <x v="3"/>
    <n v="4"/>
    <n v="4416"/>
    <n v="1081.53"/>
  </r>
  <r>
    <x v="351"/>
    <x v="4"/>
    <x v="1"/>
    <s v="United States"/>
    <x v="121"/>
    <x v="2"/>
    <x v="1"/>
    <n v="8"/>
    <n v="3832"/>
    <n v="741.44"/>
  </r>
  <r>
    <x v="877"/>
    <x v="6"/>
    <x v="1"/>
    <s v="United States"/>
    <x v="53"/>
    <x v="2"/>
    <x v="1"/>
    <n v="4"/>
    <n v="1876"/>
    <n v="221.18"/>
  </r>
  <r>
    <x v="685"/>
    <x v="9"/>
    <x v="2"/>
    <s v="United States"/>
    <x v="53"/>
    <x v="2"/>
    <x v="1"/>
    <n v="3"/>
    <n v="2634"/>
    <n v="392.21"/>
  </r>
  <r>
    <x v="1039"/>
    <x v="9"/>
    <x v="2"/>
    <s v="United States"/>
    <x v="122"/>
    <x v="25"/>
    <x v="0"/>
    <n v="1"/>
    <n v="1027"/>
    <n v="259.92"/>
  </r>
  <r>
    <x v="749"/>
    <x v="0"/>
    <x v="0"/>
    <s v="United States"/>
    <x v="123"/>
    <x v="16"/>
    <x v="3"/>
    <n v="5"/>
    <n v="3100"/>
    <n v="911.86"/>
  </r>
  <r>
    <x v="1014"/>
    <x v="1"/>
    <x v="1"/>
    <s v="United States"/>
    <x v="124"/>
    <x v="2"/>
    <x v="1"/>
    <n v="1"/>
    <n v="104"/>
    <n v="29.67"/>
  </r>
  <r>
    <x v="113"/>
    <x v="1"/>
    <x v="1"/>
    <s v="United States"/>
    <x v="83"/>
    <x v="13"/>
    <x v="1"/>
    <n v="2"/>
    <n v="1590"/>
    <n v="147.19999999999999"/>
  </r>
  <r>
    <x v="671"/>
    <x v="3"/>
    <x v="2"/>
    <s v="United States"/>
    <x v="9"/>
    <x v="8"/>
    <x v="3"/>
    <n v="4"/>
    <n v="1104"/>
    <n v="63.57"/>
  </r>
  <r>
    <x v="314"/>
    <x v="7"/>
    <x v="2"/>
    <s v="United States"/>
    <x v="95"/>
    <x v="25"/>
    <x v="0"/>
    <n v="3"/>
    <n v="1851"/>
    <n v="198.71"/>
  </r>
  <r>
    <x v="177"/>
    <x v="7"/>
    <x v="2"/>
    <s v="United States"/>
    <x v="19"/>
    <x v="15"/>
    <x v="2"/>
    <n v="2"/>
    <n v="1408"/>
    <n v="193.09"/>
  </r>
  <r>
    <x v="82"/>
    <x v="9"/>
    <x v="2"/>
    <s v="United States"/>
    <x v="19"/>
    <x v="15"/>
    <x v="2"/>
    <n v="7"/>
    <n v="4641"/>
    <n v="1341.98"/>
  </r>
  <r>
    <x v="430"/>
    <x v="2"/>
    <x v="2"/>
    <s v="United States"/>
    <x v="2"/>
    <x v="2"/>
    <x v="1"/>
    <n v="7"/>
    <n v="2611"/>
    <n v="539.37"/>
  </r>
  <r>
    <x v="64"/>
    <x v="9"/>
    <x v="2"/>
    <s v="United States"/>
    <x v="9"/>
    <x v="8"/>
    <x v="3"/>
    <n v="4"/>
    <n v="3824"/>
    <n v="711.92"/>
  </r>
  <r>
    <x v="971"/>
    <x v="7"/>
    <x v="2"/>
    <s v="United States"/>
    <x v="9"/>
    <x v="8"/>
    <x v="3"/>
    <n v="2"/>
    <n v="2042"/>
    <n v="501.34"/>
  </r>
  <r>
    <x v="924"/>
    <x v="2"/>
    <x v="2"/>
    <s v="United States"/>
    <x v="125"/>
    <x v="36"/>
    <x v="1"/>
    <n v="6"/>
    <n v="6378"/>
    <n v="1408.28"/>
  </r>
  <r>
    <x v="107"/>
    <x v="3"/>
    <x v="2"/>
    <s v="United States"/>
    <x v="125"/>
    <x v="36"/>
    <x v="1"/>
    <n v="4"/>
    <n v="4692"/>
    <n v="409.07"/>
  </r>
  <r>
    <x v="561"/>
    <x v="9"/>
    <x v="2"/>
    <s v="United States"/>
    <x v="126"/>
    <x v="37"/>
    <x v="3"/>
    <n v="6"/>
    <n v="6234"/>
    <n v="1829.07"/>
  </r>
  <r>
    <x v="407"/>
    <x v="7"/>
    <x v="2"/>
    <s v="United States"/>
    <x v="91"/>
    <x v="30"/>
    <x v="0"/>
    <n v="4"/>
    <n v="1852"/>
    <n v="535.07000000000005"/>
  </r>
  <r>
    <x v="272"/>
    <x v="6"/>
    <x v="1"/>
    <s v="United States"/>
    <x v="127"/>
    <x v="30"/>
    <x v="0"/>
    <n v="3"/>
    <n v="3075"/>
    <n v="804.06"/>
  </r>
  <r>
    <x v="126"/>
    <x v="0"/>
    <x v="0"/>
    <s v="United States"/>
    <x v="128"/>
    <x v="0"/>
    <x v="0"/>
    <n v="5"/>
    <n v="370"/>
    <n v="92.45"/>
  </r>
  <r>
    <x v="731"/>
    <x v="8"/>
    <x v="1"/>
    <s v="United States"/>
    <x v="21"/>
    <x v="5"/>
    <x v="3"/>
    <n v="6"/>
    <n v="624"/>
    <n v="66.989999999999995"/>
  </r>
  <r>
    <x v="442"/>
    <x v="5"/>
    <x v="2"/>
    <s v="United States"/>
    <x v="85"/>
    <x v="29"/>
    <x v="2"/>
    <n v="2"/>
    <n v="1734"/>
    <n v="310.76"/>
  </r>
  <r>
    <x v="345"/>
    <x v="0"/>
    <x v="0"/>
    <s v="United States"/>
    <x v="2"/>
    <x v="2"/>
    <x v="1"/>
    <n v="9"/>
    <n v="2268"/>
    <n v="361.62"/>
  </r>
  <r>
    <x v="1040"/>
    <x v="3"/>
    <x v="2"/>
    <s v="United States"/>
    <x v="13"/>
    <x v="7"/>
    <x v="2"/>
    <n v="5"/>
    <n v="3670"/>
    <n v="924.95"/>
  </r>
  <r>
    <x v="797"/>
    <x v="5"/>
    <x v="2"/>
    <s v="United States"/>
    <x v="14"/>
    <x v="12"/>
    <x v="1"/>
    <n v="7"/>
    <n v="4634"/>
    <n v="1358.44"/>
  </r>
  <r>
    <x v="44"/>
    <x v="4"/>
    <x v="1"/>
    <s v="United States"/>
    <x v="14"/>
    <x v="12"/>
    <x v="1"/>
    <n v="9"/>
    <n v="1440"/>
    <n v="94.41"/>
  </r>
  <r>
    <x v="832"/>
    <x v="9"/>
    <x v="2"/>
    <s v="United States"/>
    <x v="0"/>
    <x v="34"/>
    <x v="1"/>
    <n v="6"/>
    <n v="5136"/>
    <n v="1225.4000000000001"/>
  </r>
  <r>
    <x v="775"/>
    <x v="7"/>
    <x v="2"/>
    <s v="United States"/>
    <x v="28"/>
    <x v="2"/>
    <x v="1"/>
    <n v="1"/>
    <n v="166"/>
    <n v="31.72"/>
  </r>
  <r>
    <x v="106"/>
    <x v="8"/>
    <x v="1"/>
    <s v="United States"/>
    <x v="28"/>
    <x v="2"/>
    <x v="1"/>
    <n v="3"/>
    <n v="1422"/>
    <n v="328.98"/>
  </r>
  <r>
    <x v="513"/>
    <x v="4"/>
    <x v="1"/>
    <s v="United States"/>
    <x v="129"/>
    <x v="13"/>
    <x v="1"/>
    <n v="8"/>
    <n v="1832"/>
    <n v="532.97"/>
  </r>
  <r>
    <x v="952"/>
    <x v="0"/>
    <x v="0"/>
    <s v="United States"/>
    <x v="62"/>
    <x v="7"/>
    <x v="2"/>
    <n v="1"/>
    <n v="668"/>
    <n v="94.08"/>
  </r>
  <r>
    <x v="302"/>
    <x v="3"/>
    <x v="2"/>
    <s v="United States"/>
    <x v="2"/>
    <x v="2"/>
    <x v="1"/>
    <n v="6"/>
    <n v="1272"/>
    <n v="336.3"/>
  </r>
  <r>
    <x v="334"/>
    <x v="8"/>
    <x v="1"/>
    <s v="United States"/>
    <x v="13"/>
    <x v="7"/>
    <x v="2"/>
    <n v="8"/>
    <n v="984"/>
    <n v="72.540000000000006"/>
  </r>
  <r>
    <x v="619"/>
    <x v="0"/>
    <x v="0"/>
    <s v="United States"/>
    <x v="28"/>
    <x v="2"/>
    <x v="1"/>
    <n v="7"/>
    <n v="7896"/>
    <n v="484.76"/>
  </r>
  <r>
    <x v="900"/>
    <x v="7"/>
    <x v="2"/>
    <s v="United States"/>
    <x v="130"/>
    <x v="15"/>
    <x v="2"/>
    <n v="1"/>
    <n v="636"/>
    <n v="42.4"/>
  </r>
  <r>
    <x v="613"/>
    <x v="9"/>
    <x v="2"/>
    <s v="United States"/>
    <x v="89"/>
    <x v="1"/>
    <x v="0"/>
    <n v="3"/>
    <n v="2031"/>
    <n v="450.23"/>
  </r>
  <r>
    <x v="484"/>
    <x v="1"/>
    <x v="1"/>
    <s v="United States"/>
    <x v="76"/>
    <x v="36"/>
    <x v="1"/>
    <n v="9"/>
    <n v="3186"/>
    <n v="483.22"/>
  </r>
  <r>
    <x v="114"/>
    <x v="4"/>
    <x v="1"/>
    <s v="United States"/>
    <x v="2"/>
    <x v="2"/>
    <x v="1"/>
    <n v="1"/>
    <n v="134"/>
    <n v="33.119999999999997"/>
  </r>
  <r>
    <x v="448"/>
    <x v="2"/>
    <x v="2"/>
    <s v="United States"/>
    <x v="64"/>
    <x v="7"/>
    <x v="2"/>
    <n v="5"/>
    <n v="1765"/>
    <n v="347.42"/>
  </r>
  <r>
    <x v="846"/>
    <x v="8"/>
    <x v="1"/>
    <s v="United States"/>
    <x v="115"/>
    <x v="7"/>
    <x v="2"/>
    <n v="4"/>
    <n v="3628"/>
    <n v="717.81"/>
  </r>
  <r>
    <x v="486"/>
    <x v="6"/>
    <x v="1"/>
    <s v="United States"/>
    <x v="120"/>
    <x v="35"/>
    <x v="0"/>
    <n v="4"/>
    <n v="1000"/>
    <n v="198.92"/>
  </r>
  <r>
    <x v="971"/>
    <x v="3"/>
    <x v="2"/>
    <s v="United States"/>
    <x v="120"/>
    <x v="35"/>
    <x v="0"/>
    <n v="2"/>
    <n v="2134"/>
    <n v="119.89"/>
  </r>
  <r>
    <x v="40"/>
    <x v="5"/>
    <x v="2"/>
    <s v="United States"/>
    <x v="28"/>
    <x v="2"/>
    <x v="1"/>
    <n v="7"/>
    <n v="6706"/>
    <n v="1687.22"/>
  </r>
  <r>
    <x v="327"/>
    <x v="9"/>
    <x v="2"/>
    <s v="United States"/>
    <x v="131"/>
    <x v="12"/>
    <x v="1"/>
    <n v="3"/>
    <n v="321"/>
    <n v="72.13"/>
  </r>
  <r>
    <x v="817"/>
    <x v="3"/>
    <x v="2"/>
    <s v="United States"/>
    <x v="13"/>
    <x v="7"/>
    <x v="2"/>
    <n v="3"/>
    <n v="3126"/>
    <n v="710.14"/>
  </r>
  <r>
    <x v="572"/>
    <x v="6"/>
    <x v="1"/>
    <s v="United States"/>
    <x v="13"/>
    <x v="7"/>
    <x v="2"/>
    <n v="7"/>
    <n v="5446"/>
    <n v="697.21"/>
  </r>
  <r>
    <x v="772"/>
    <x v="2"/>
    <x v="2"/>
    <s v="United States"/>
    <x v="13"/>
    <x v="7"/>
    <x v="2"/>
    <n v="1"/>
    <n v="1131"/>
    <n v="140.55000000000001"/>
  </r>
  <r>
    <x v="684"/>
    <x v="0"/>
    <x v="0"/>
    <s v="United States"/>
    <x v="132"/>
    <x v="33"/>
    <x v="0"/>
    <n v="2"/>
    <n v="1946"/>
    <n v="141.75"/>
  </r>
  <r>
    <x v="991"/>
    <x v="9"/>
    <x v="2"/>
    <s v="United States"/>
    <x v="110"/>
    <x v="22"/>
    <x v="1"/>
    <n v="7"/>
    <n v="6818"/>
    <n v="1348.26"/>
  </r>
  <r>
    <x v="46"/>
    <x v="7"/>
    <x v="2"/>
    <s v="United States"/>
    <x v="133"/>
    <x v="2"/>
    <x v="1"/>
    <n v="7"/>
    <n v="2317"/>
    <n v="677.61"/>
  </r>
  <r>
    <x v="760"/>
    <x v="5"/>
    <x v="2"/>
    <s v="United States"/>
    <x v="76"/>
    <x v="23"/>
    <x v="3"/>
    <n v="6"/>
    <n v="396"/>
    <n v="89.51"/>
  </r>
  <r>
    <x v="974"/>
    <x v="7"/>
    <x v="2"/>
    <s v="United States"/>
    <x v="6"/>
    <x v="5"/>
    <x v="3"/>
    <n v="1"/>
    <n v="558"/>
    <n v="49.81"/>
  </r>
  <r>
    <x v="88"/>
    <x v="7"/>
    <x v="2"/>
    <s v="United States"/>
    <x v="74"/>
    <x v="0"/>
    <x v="0"/>
    <n v="9"/>
    <n v="2034"/>
    <n v="593.13"/>
  </r>
  <r>
    <x v="1041"/>
    <x v="1"/>
    <x v="1"/>
    <s v="United States"/>
    <x v="9"/>
    <x v="8"/>
    <x v="3"/>
    <n v="8"/>
    <n v="6080"/>
    <n v="1171.93"/>
  </r>
  <r>
    <x v="968"/>
    <x v="5"/>
    <x v="2"/>
    <s v="United States"/>
    <x v="83"/>
    <x v="33"/>
    <x v="0"/>
    <n v="2"/>
    <n v="1378"/>
    <n v="183.1"/>
  </r>
  <r>
    <x v="117"/>
    <x v="6"/>
    <x v="1"/>
    <s v="United States"/>
    <x v="134"/>
    <x v="38"/>
    <x v="2"/>
    <n v="3"/>
    <n v="483"/>
    <n v="120.11"/>
  </r>
  <r>
    <x v="834"/>
    <x v="8"/>
    <x v="1"/>
    <s v="United States"/>
    <x v="15"/>
    <x v="13"/>
    <x v="1"/>
    <n v="8"/>
    <n v="7864"/>
    <n v="1615.58"/>
  </r>
  <r>
    <x v="45"/>
    <x v="0"/>
    <x v="0"/>
    <s v="United States"/>
    <x v="77"/>
    <x v="11"/>
    <x v="3"/>
    <n v="2"/>
    <n v="1268"/>
    <n v="141.76"/>
  </r>
  <r>
    <x v="789"/>
    <x v="0"/>
    <x v="0"/>
    <s v="United States"/>
    <x v="117"/>
    <x v="22"/>
    <x v="1"/>
    <n v="6"/>
    <n v="3774"/>
    <n v="606.94000000000005"/>
  </r>
  <r>
    <x v="991"/>
    <x v="5"/>
    <x v="2"/>
    <s v="United States"/>
    <x v="3"/>
    <x v="3"/>
    <x v="2"/>
    <n v="9"/>
    <n v="9090"/>
    <n v="727.64"/>
  </r>
  <r>
    <x v="433"/>
    <x v="3"/>
    <x v="2"/>
    <s v="United States"/>
    <x v="3"/>
    <x v="3"/>
    <x v="2"/>
    <n v="5"/>
    <n v="3720"/>
    <n v="1077.21"/>
  </r>
  <r>
    <x v="1042"/>
    <x v="7"/>
    <x v="2"/>
    <s v="United States"/>
    <x v="3"/>
    <x v="3"/>
    <x v="2"/>
    <n v="8"/>
    <n v="8896"/>
    <n v="1825.26"/>
  </r>
  <r>
    <x v="244"/>
    <x v="1"/>
    <x v="1"/>
    <s v="United States"/>
    <x v="52"/>
    <x v="6"/>
    <x v="3"/>
    <n v="4"/>
    <n v="3264"/>
    <n v="639.79999999999995"/>
  </r>
  <r>
    <x v="956"/>
    <x v="0"/>
    <x v="0"/>
    <s v="United States"/>
    <x v="25"/>
    <x v="17"/>
    <x v="3"/>
    <n v="2"/>
    <n v="146"/>
    <n v="15.48"/>
  </r>
  <r>
    <x v="603"/>
    <x v="4"/>
    <x v="1"/>
    <s v="United States"/>
    <x v="25"/>
    <x v="17"/>
    <x v="3"/>
    <n v="3"/>
    <n v="1683"/>
    <n v="129.63999999999999"/>
  </r>
  <r>
    <x v="135"/>
    <x v="3"/>
    <x v="2"/>
    <s v="United States"/>
    <x v="2"/>
    <x v="2"/>
    <x v="1"/>
    <n v="7"/>
    <n v="6076"/>
    <n v="788.14"/>
  </r>
  <r>
    <x v="431"/>
    <x v="5"/>
    <x v="2"/>
    <s v="United States"/>
    <x v="135"/>
    <x v="2"/>
    <x v="1"/>
    <n v="2"/>
    <n v="2388"/>
    <n v="492.54"/>
  </r>
  <r>
    <x v="398"/>
    <x v="7"/>
    <x v="2"/>
    <s v="United States"/>
    <x v="136"/>
    <x v="2"/>
    <x v="1"/>
    <n v="6"/>
    <n v="882"/>
    <n v="180.63"/>
  </r>
  <r>
    <x v="918"/>
    <x v="9"/>
    <x v="2"/>
    <s v="United States"/>
    <x v="28"/>
    <x v="2"/>
    <x v="1"/>
    <n v="3"/>
    <n v="3561"/>
    <n v="206.87"/>
  </r>
  <r>
    <x v="836"/>
    <x v="2"/>
    <x v="2"/>
    <s v="United States"/>
    <x v="43"/>
    <x v="22"/>
    <x v="1"/>
    <n v="7"/>
    <n v="3395"/>
    <n v="350.26"/>
  </r>
  <r>
    <x v="429"/>
    <x v="7"/>
    <x v="2"/>
    <s v="United States"/>
    <x v="16"/>
    <x v="14"/>
    <x v="2"/>
    <n v="6"/>
    <n v="3366"/>
    <n v="460.75"/>
  </r>
  <r>
    <x v="860"/>
    <x v="1"/>
    <x v="1"/>
    <s v="United States"/>
    <x v="137"/>
    <x v="11"/>
    <x v="3"/>
    <n v="2"/>
    <n v="630"/>
    <n v="144.13999999999999"/>
  </r>
  <r>
    <x v="63"/>
    <x v="3"/>
    <x v="2"/>
    <s v="United States"/>
    <x v="104"/>
    <x v="22"/>
    <x v="1"/>
    <n v="1"/>
    <n v="440"/>
    <n v="34.74"/>
  </r>
  <r>
    <x v="807"/>
    <x v="5"/>
    <x v="2"/>
    <s v="United States"/>
    <x v="138"/>
    <x v="2"/>
    <x v="1"/>
    <n v="6"/>
    <n v="6462"/>
    <n v="1466.15"/>
  </r>
  <r>
    <x v="343"/>
    <x v="6"/>
    <x v="1"/>
    <s v="United States"/>
    <x v="138"/>
    <x v="2"/>
    <x v="1"/>
    <n v="6"/>
    <n v="5004"/>
    <n v="1197.3599999999999"/>
  </r>
  <r>
    <x v="93"/>
    <x v="9"/>
    <x v="2"/>
    <s v="United States"/>
    <x v="77"/>
    <x v="7"/>
    <x v="2"/>
    <n v="8"/>
    <n v="1840"/>
    <n v="461.21"/>
  </r>
  <r>
    <x v="785"/>
    <x v="2"/>
    <x v="2"/>
    <s v="United States"/>
    <x v="139"/>
    <x v="2"/>
    <x v="1"/>
    <n v="7"/>
    <n v="4466"/>
    <n v="763.14"/>
  </r>
  <r>
    <x v="289"/>
    <x v="2"/>
    <x v="2"/>
    <s v="United States"/>
    <x v="140"/>
    <x v="17"/>
    <x v="3"/>
    <n v="6"/>
    <n v="3048"/>
    <n v="823.36"/>
  </r>
  <r>
    <x v="202"/>
    <x v="1"/>
    <x v="1"/>
    <s v="United States"/>
    <x v="3"/>
    <x v="3"/>
    <x v="2"/>
    <n v="7"/>
    <n v="4977"/>
    <n v="516.70000000000005"/>
  </r>
  <r>
    <x v="595"/>
    <x v="8"/>
    <x v="1"/>
    <s v="United States"/>
    <x v="63"/>
    <x v="28"/>
    <x v="2"/>
    <n v="3"/>
    <n v="2010"/>
    <n v="387.31"/>
  </r>
  <r>
    <x v="1043"/>
    <x v="3"/>
    <x v="2"/>
    <s v="United States"/>
    <x v="141"/>
    <x v="5"/>
    <x v="3"/>
    <n v="8"/>
    <n v="5352"/>
    <n v="1133.57"/>
  </r>
  <r>
    <x v="737"/>
    <x v="3"/>
    <x v="2"/>
    <s v="United States"/>
    <x v="62"/>
    <x v="7"/>
    <x v="2"/>
    <n v="4"/>
    <n v="4136"/>
    <n v="294.20999999999998"/>
  </r>
  <r>
    <x v="881"/>
    <x v="3"/>
    <x v="2"/>
    <s v="United States"/>
    <x v="142"/>
    <x v="3"/>
    <x v="2"/>
    <n v="8"/>
    <n v="6336"/>
    <n v="439.42"/>
  </r>
  <r>
    <x v="687"/>
    <x v="9"/>
    <x v="2"/>
    <s v="United States"/>
    <x v="41"/>
    <x v="2"/>
    <x v="1"/>
    <n v="9"/>
    <n v="5481"/>
    <n v="1540.75"/>
  </r>
  <r>
    <x v="478"/>
    <x v="3"/>
    <x v="2"/>
    <s v="United States"/>
    <x v="143"/>
    <x v="5"/>
    <x v="3"/>
    <n v="6"/>
    <n v="6366"/>
    <n v="318.97000000000003"/>
  </r>
  <r>
    <x v="39"/>
    <x v="0"/>
    <x v="0"/>
    <s v="United States"/>
    <x v="144"/>
    <x v="5"/>
    <x v="3"/>
    <n v="1"/>
    <n v="623"/>
    <n v="81.239999999999995"/>
  </r>
  <r>
    <x v="888"/>
    <x v="1"/>
    <x v="1"/>
    <s v="United States"/>
    <x v="145"/>
    <x v="15"/>
    <x v="2"/>
    <n v="3"/>
    <n v="237"/>
    <n v="49.94"/>
  </r>
  <r>
    <x v="1014"/>
    <x v="8"/>
    <x v="1"/>
    <s v="United States"/>
    <x v="146"/>
    <x v="5"/>
    <x v="3"/>
    <n v="9"/>
    <n v="8370"/>
    <n v="1525.8"/>
  </r>
  <r>
    <x v="832"/>
    <x v="4"/>
    <x v="1"/>
    <s v="United States"/>
    <x v="147"/>
    <x v="5"/>
    <x v="3"/>
    <n v="5"/>
    <n v="4965"/>
    <n v="774.74"/>
  </r>
  <r>
    <x v="218"/>
    <x v="3"/>
    <x v="2"/>
    <s v="United States"/>
    <x v="13"/>
    <x v="7"/>
    <x v="2"/>
    <n v="7"/>
    <n v="7791"/>
    <n v="1844.69"/>
  </r>
  <r>
    <x v="158"/>
    <x v="7"/>
    <x v="2"/>
    <s v="United States"/>
    <x v="13"/>
    <x v="7"/>
    <x v="2"/>
    <n v="1"/>
    <n v="158"/>
    <n v="32.89"/>
  </r>
  <r>
    <x v="604"/>
    <x v="8"/>
    <x v="1"/>
    <s v="United States"/>
    <x v="29"/>
    <x v="6"/>
    <x v="3"/>
    <n v="7"/>
    <n v="4347"/>
    <n v="712.79"/>
  </r>
  <r>
    <x v="922"/>
    <x v="7"/>
    <x v="2"/>
    <s v="United States"/>
    <x v="148"/>
    <x v="31"/>
    <x v="0"/>
    <n v="4"/>
    <n v="3364"/>
    <n v="527.28"/>
  </r>
  <r>
    <x v="587"/>
    <x v="3"/>
    <x v="2"/>
    <s v="United States"/>
    <x v="15"/>
    <x v="13"/>
    <x v="1"/>
    <n v="3"/>
    <n v="1098"/>
    <n v="77.81"/>
  </r>
  <r>
    <x v="92"/>
    <x v="4"/>
    <x v="1"/>
    <s v="United States"/>
    <x v="68"/>
    <x v="3"/>
    <x v="2"/>
    <n v="3"/>
    <n v="1083"/>
    <n v="257.44"/>
  </r>
  <r>
    <x v="693"/>
    <x v="9"/>
    <x v="2"/>
    <s v="United States"/>
    <x v="13"/>
    <x v="7"/>
    <x v="2"/>
    <n v="4"/>
    <n v="1628"/>
    <n v="314.95999999999998"/>
  </r>
  <r>
    <x v="422"/>
    <x v="8"/>
    <x v="1"/>
    <s v="United States"/>
    <x v="41"/>
    <x v="2"/>
    <x v="1"/>
    <n v="4"/>
    <n v="1472"/>
    <n v="387.27"/>
  </r>
  <r>
    <x v="49"/>
    <x v="0"/>
    <x v="0"/>
    <s v="United States"/>
    <x v="261"/>
    <x v="2"/>
    <x v="1"/>
    <n v="9"/>
    <n v="3753"/>
    <n v="1114.8699999999999"/>
  </r>
  <r>
    <x v="237"/>
    <x v="6"/>
    <x v="1"/>
    <s v="United States"/>
    <x v="261"/>
    <x v="2"/>
    <x v="1"/>
    <n v="6"/>
    <n v="6402"/>
    <n v="1602.79"/>
  </r>
  <r>
    <x v="57"/>
    <x v="6"/>
    <x v="1"/>
    <s v="United States"/>
    <x v="127"/>
    <x v="30"/>
    <x v="0"/>
    <n v="3"/>
    <n v="2565"/>
    <n v="510.73"/>
  </r>
  <r>
    <x v="941"/>
    <x v="1"/>
    <x v="1"/>
    <s v="United States"/>
    <x v="19"/>
    <x v="15"/>
    <x v="2"/>
    <n v="3"/>
    <n v="2214"/>
    <n v="127.34"/>
  </r>
  <r>
    <x v="821"/>
    <x v="6"/>
    <x v="1"/>
    <s v="United States"/>
    <x v="19"/>
    <x v="15"/>
    <x v="2"/>
    <n v="3"/>
    <n v="975"/>
    <n v="291.81"/>
  </r>
  <r>
    <x v="662"/>
    <x v="0"/>
    <x v="0"/>
    <s v="United States"/>
    <x v="0"/>
    <x v="34"/>
    <x v="1"/>
    <n v="8"/>
    <n v="3312"/>
    <n v="854.12"/>
  </r>
  <r>
    <x v="305"/>
    <x v="0"/>
    <x v="0"/>
    <s v="United States"/>
    <x v="15"/>
    <x v="13"/>
    <x v="1"/>
    <n v="1"/>
    <n v="267"/>
    <n v="41.85"/>
  </r>
  <r>
    <x v="721"/>
    <x v="7"/>
    <x v="2"/>
    <s v="United States"/>
    <x v="13"/>
    <x v="7"/>
    <x v="2"/>
    <n v="9"/>
    <n v="8145"/>
    <n v="2384.42"/>
  </r>
  <r>
    <x v="1044"/>
    <x v="0"/>
    <x v="0"/>
    <s v="United States"/>
    <x v="19"/>
    <x v="14"/>
    <x v="2"/>
    <n v="1"/>
    <n v="232"/>
    <n v="34.26"/>
  </r>
  <r>
    <x v="258"/>
    <x v="7"/>
    <x v="2"/>
    <s v="United States"/>
    <x v="52"/>
    <x v="6"/>
    <x v="3"/>
    <n v="3"/>
    <n v="300"/>
    <n v="38.44"/>
  </r>
  <r>
    <x v="1045"/>
    <x v="6"/>
    <x v="1"/>
    <s v="United States"/>
    <x v="52"/>
    <x v="6"/>
    <x v="3"/>
    <n v="2"/>
    <n v="2248"/>
    <n v="473.21"/>
  </r>
  <r>
    <x v="14"/>
    <x v="6"/>
    <x v="1"/>
    <s v="United States"/>
    <x v="52"/>
    <x v="6"/>
    <x v="3"/>
    <n v="6"/>
    <n v="1614"/>
    <n v="166.62"/>
  </r>
  <r>
    <x v="806"/>
    <x v="6"/>
    <x v="1"/>
    <s v="United States"/>
    <x v="89"/>
    <x v="1"/>
    <x v="0"/>
    <n v="2"/>
    <n v="1476"/>
    <n v="195.74"/>
  </r>
  <r>
    <x v="1046"/>
    <x v="0"/>
    <x v="0"/>
    <s v="United States"/>
    <x v="317"/>
    <x v="23"/>
    <x v="3"/>
    <n v="5"/>
    <n v="4375"/>
    <n v="347.43"/>
  </r>
  <r>
    <x v="465"/>
    <x v="5"/>
    <x v="2"/>
    <s v="United States"/>
    <x v="304"/>
    <x v="25"/>
    <x v="0"/>
    <n v="4"/>
    <n v="1064"/>
    <n v="263.48"/>
  </r>
  <r>
    <x v="394"/>
    <x v="4"/>
    <x v="1"/>
    <s v="United States"/>
    <x v="3"/>
    <x v="3"/>
    <x v="2"/>
    <n v="6"/>
    <n v="1068"/>
    <n v="190.77"/>
  </r>
  <r>
    <x v="232"/>
    <x v="8"/>
    <x v="1"/>
    <s v="United States"/>
    <x v="318"/>
    <x v="33"/>
    <x v="0"/>
    <n v="1"/>
    <n v="190"/>
    <n v="27.43"/>
  </r>
  <r>
    <x v="777"/>
    <x v="0"/>
    <x v="0"/>
    <s v="United States"/>
    <x v="81"/>
    <x v="22"/>
    <x v="1"/>
    <n v="7"/>
    <n v="7868"/>
    <n v="862.38"/>
  </r>
  <r>
    <x v="353"/>
    <x v="8"/>
    <x v="1"/>
    <s v="United States"/>
    <x v="29"/>
    <x v="24"/>
    <x v="0"/>
    <n v="3"/>
    <n v="1239"/>
    <n v="143.35"/>
  </r>
  <r>
    <x v="593"/>
    <x v="6"/>
    <x v="1"/>
    <s v="United States"/>
    <x v="28"/>
    <x v="2"/>
    <x v="1"/>
    <n v="2"/>
    <n v="1394"/>
    <n v="408.32"/>
  </r>
  <r>
    <x v="725"/>
    <x v="7"/>
    <x v="2"/>
    <s v="United States"/>
    <x v="28"/>
    <x v="2"/>
    <x v="1"/>
    <n v="5"/>
    <n v="2060"/>
    <n v="403.19"/>
  </r>
  <r>
    <x v="636"/>
    <x v="9"/>
    <x v="2"/>
    <s v="United States"/>
    <x v="13"/>
    <x v="7"/>
    <x v="2"/>
    <n v="1"/>
    <n v="1060"/>
    <n v="57.26"/>
  </r>
  <r>
    <x v="1047"/>
    <x v="6"/>
    <x v="1"/>
    <s v="United States"/>
    <x v="237"/>
    <x v="32"/>
    <x v="2"/>
    <n v="7"/>
    <n v="7812"/>
    <n v="1478.43"/>
  </r>
  <r>
    <x v="373"/>
    <x v="3"/>
    <x v="2"/>
    <s v="United States"/>
    <x v="6"/>
    <x v="5"/>
    <x v="3"/>
    <n v="7"/>
    <n v="7077"/>
    <n v="804.15"/>
  </r>
  <r>
    <x v="174"/>
    <x v="7"/>
    <x v="2"/>
    <s v="United States"/>
    <x v="6"/>
    <x v="5"/>
    <x v="3"/>
    <n v="7"/>
    <n v="5712"/>
    <n v="929.42"/>
  </r>
  <r>
    <x v="357"/>
    <x v="0"/>
    <x v="0"/>
    <s v="United States"/>
    <x v="53"/>
    <x v="2"/>
    <x v="1"/>
    <n v="6"/>
    <n v="4146"/>
    <n v="966.79"/>
  </r>
  <r>
    <x v="113"/>
    <x v="2"/>
    <x v="2"/>
    <s v="United States"/>
    <x v="15"/>
    <x v="13"/>
    <x v="1"/>
    <n v="2"/>
    <n v="992"/>
    <n v="238.18"/>
  </r>
  <r>
    <x v="110"/>
    <x v="5"/>
    <x v="2"/>
    <s v="United States"/>
    <x v="1"/>
    <x v="1"/>
    <x v="0"/>
    <n v="2"/>
    <n v="1756"/>
    <n v="165.6"/>
  </r>
  <r>
    <x v="32"/>
    <x v="6"/>
    <x v="1"/>
    <s v="United States"/>
    <x v="77"/>
    <x v="7"/>
    <x v="2"/>
    <n v="4"/>
    <n v="3632"/>
    <n v="566.80999999999995"/>
  </r>
  <r>
    <x v="515"/>
    <x v="4"/>
    <x v="1"/>
    <s v="United States"/>
    <x v="317"/>
    <x v="8"/>
    <x v="3"/>
    <n v="4"/>
    <n v="3912"/>
    <n v="550.09"/>
  </r>
  <r>
    <x v="130"/>
    <x v="0"/>
    <x v="0"/>
    <s v="United States"/>
    <x v="28"/>
    <x v="2"/>
    <x v="1"/>
    <n v="9"/>
    <n v="3123"/>
    <n v="741.23"/>
  </r>
  <r>
    <x v="1048"/>
    <x v="0"/>
    <x v="0"/>
    <s v="United States"/>
    <x v="28"/>
    <x v="2"/>
    <x v="1"/>
    <n v="4"/>
    <n v="700"/>
    <n v="120.19"/>
  </r>
  <r>
    <x v="592"/>
    <x v="2"/>
    <x v="2"/>
    <s v="United States"/>
    <x v="13"/>
    <x v="7"/>
    <x v="2"/>
    <n v="8"/>
    <n v="408"/>
    <n v="83.16"/>
  </r>
  <r>
    <x v="675"/>
    <x v="7"/>
    <x v="2"/>
    <s v="United States"/>
    <x v="124"/>
    <x v="2"/>
    <x v="1"/>
    <n v="4"/>
    <n v="4056"/>
    <n v="768.81"/>
  </r>
  <r>
    <x v="517"/>
    <x v="9"/>
    <x v="2"/>
    <s v="United States"/>
    <x v="102"/>
    <x v="2"/>
    <x v="1"/>
    <n v="1"/>
    <n v="770"/>
    <n v="121.75"/>
  </r>
  <r>
    <x v="736"/>
    <x v="5"/>
    <x v="2"/>
    <s v="United States"/>
    <x v="102"/>
    <x v="2"/>
    <x v="1"/>
    <n v="3"/>
    <n v="531"/>
    <n v="73.349999999999994"/>
  </r>
  <r>
    <x v="937"/>
    <x v="6"/>
    <x v="1"/>
    <s v="United States"/>
    <x v="3"/>
    <x v="3"/>
    <x v="2"/>
    <n v="5"/>
    <n v="280"/>
    <n v="79.77"/>
  </r>
  <r>
    <x v="330"/>
    <x v="9"/>
    <x v="2"/>
    <s v="United States"/>
    <x v="29"/>
    <x v="15"/>
    <x v="2"/>
    <n v="7"/>
    <n v="4550"/>
    <n v="892.73"/>
  </r>
  <r>
    <x v="529"/>
    <x v="5"/>
    <x v="2"/>
    <s v="United States"/>
    <x v="319"/>
    <x v="16"/>
    <x v="3"/>
    <n v="5"/>
    <n v="2480"/>
    <n v="601.66"/>
  </r>
  <r>
    <x v="531"/>
    <x v="0"/>
    <x v="0"/>
    <s v="United States"/>
    <x v="6"/>
    <x v="5"/>
    <x v="3"/>
    <n v="6"/>
    <n v="2604"/>
    <n v="305.73"/>
  </r>
  <r>
    <x v="543"/>
    <x v="8"/>
    <x v="1"/>
    <s v="United States"/>
    <x v="41"/>
    <x v="30"/>
    <x v="0"/>
    <n v="7"/>
    <n v="1351"/>
    <n v="310.02999999999997"/>
  </r>
  <r>
    <x v="647"/>
    <x v="6"/>
    <x v="1"/>
    <s v="United States"/>
    <x v="124"/>
    <x v="2"/>
    <x v="1"/>
    <n v="5"/>
    <n v="4615"/>
    <n v="251"/>
  </r>
  <r>
    <x v="122"/>
    <x v="1"/>
    <x v="1"/>
    <s v="United States"/>
    <x v="320"/>
    <x v="46"/>
    <x v="1"/>
    <n v="1"/>
    <n v="829"/>
    <n v="165.05"/>
  </r>
  <r>
    <x v="878"/>
    <x v="3"/>
    <x v="2"/>
    <s v="United States"/>
    <x v="59"/>
    <x v="15"/>
    <x v="2"/>
    <n v="3"/>
    <n v="177"/>
    <n v="43.41"/>
  </r>
  <r>
    <x v="717"/>
    <x v="4"/>
    <x v="1"/>
    <s v="United States"/>
    <x v="199"/>
    <x v="1"/>
    <x v="0"/>
    <n v="1"/>
    <n v="1086"/>
    <n v="161.05000000000001"/>
  </r>
  <r>
    <x v="621"/>
    <x v="9"/>
    <x v="2"/>
    <s v="United States"/>
    <x v="9"/>
    <x v="8"/>
    <x v="3"/>
    <n v="5"/>
    <n v="275"/>
    <n v="64.900000000000006"/>
  </r>
  <r>
    <x v="787"/>
    <x v="1"/>
    <x v="1"/>
    <s v="United States"/>
    <x v="200"/>
    <x v="12"/>
    <x v="1"/>
    <n v="1"/>
    <n v="564"/>
    <n v="164.5"/>
  </r>
  <r>
    <x v="884"/>
    <x v="8"/>
    <x v="1"/>
    <s v="United States"/>
    <x v="13"/>
    <x v="7"/>
    <x v="2"/>
    <n v="2"/>
    <n v="684"/>
    <n v="71.39"/>
  </r>
  <r>
    <x v="85"/>
    <x v="9"/>
    <x v="2"/>
    <s v="United States"/>
    <x v="13"/>
    <x v="7"/>
    <x v="2"/>
    <n v="4"/>
    <n v="2656"/>
    <n v="687.63"/>
  </r>
  <r>
    <x v="681"/>
    <x v="9"/>
    <x v="2"/>
    <s v="United States"/>
    <x v="40"/>
    <x v="15"/>
    <x v="2"/>
    <n v="5"/>
    <n v="1190"/>
    <n v="346.79"/>
  </r>
  <r>
    <x v="84"/>
    <x v="0"/>
    <x v="0"/>
    <s v="United States"/>
    <x v="53"/>
    <x v="2"/>
    <x v="1"/>
    <n v="6"/>
    <n v="4854"/>
    <n v="510.88"/>
  </r>
  <r>
    <x v="921"/>
    <x v="0"/>
    <x v="0"/>
    <s v="United States"/>
    <x v="53"/>
    <x v="2"/>
    <x v="1"/>
    <n v="5"/>
    <n v="1060"/>
    <n v="217.96"/>
  </r>
  <r>
    <x v="557"/>
    <x v="9"/>
    <x v="2"/>
    <s v="United States"/>
    <x v="13"/>
    <x v="7"/>
    <x v="2"/>
    <n v="3"/>
    <n v="1527"/>
    <n v="364.05"/>
  </r>
  <r>
    <x v="668"/>
    <x v="1"/>
    <x v="1"/>
    <s v="United States"/>
    <x v="130"/>
    <x v="19"/>
    <x v="2"/>
    <n v="4"/>
    <n v="1168"/>
    <n v="177.54"/>
  </r>
  <r>
    <x v="498"/>
    <x v="2"/>
    <x v="2"/>
    <s v="United States"/>
    <x v="6"/>
    <x v="5"/>
    <x v="3"/>
    <n v="8"/>
    <n v="6328"/>
    <n v="1257.81"/>
  </r>
  <r>
    <x v="373"/>
    <x v="7"/>
    <x v="2"/>
    <s v="United States"/>
    <x v="6"/>
    <x v="5"/>
    <x v="3"/>
    <n v="3"/>
    <n v="2193"/>
    <n v="477.95"/>
  </r>
  <r>
    <x v="869"/>
    <x v="5"/>
    <x v="2"/>
    <s v="United States"/>
    <x v="141"/>
    <x v="5"/>
    <x v="3"/>
    <n v="8"/>
    <n v="7600"/>
    <n v="1099.8800000000001"/>
  </r>
  <r>
    <x v="745"/>
    <x v="0"/>
    <x v="0"/>
    <s v="United States"/>
    <x v="15"/>
    <x v="13"/>
    <x v="1"/>
    <n v="9"/>
    <n v="1764"/>
    <n v="322.11"/>
  </r>
  <r>
    <x v="696"/>
    <x v="8"/>
    <x v="1"/>
    <s v="United States"/>
    <x v="3"/>
    <x v="3"/>
    <x v="2"/>
    <n v="2"/>
    <n v="1270"/>
    <n v="84.29"/>
  </r>
  <r>
    <x v="304"/>
    <x v="2"/>
    <x v="2"/>
    <s v="United States"/>
    <x v="20"/>
    <x v="9"/>
    <x v="0"/>
    <n v="1"/>
    <n v="607"/>
    <n v="33.770000000000003"/>
  </r>
  <r>
    <x v="580"/>
    <x v="1"/>
    <x v="1"/>
    <s v="United States"/>
    <x v="2"/>
    <x v="2"/>
    <x v="1"/>
    <n v="2"/>
    <n v="1672"/>
    <n v="469.64"/>
  </r>
  <r>
    <x v="360"/>
    <x v="8"/>
    <x v="1"/>
    <s v="United States"/>
    <x v="13"/>
    <x v="7"/>
    <x v="2"/>
    <n v="6"/>
    <n v="5718"/>
    <n v="1358.26"/>
  </r>
  <r>
    <x v="881"/>
    <x v="4"/>
    <x v="1"/>
    <s v="United States"/>
    <x v="53"/>
    <x v="2"/>
    <x v="1"/>
    <n v="8"/>
    <n v="584"/>
    <n v="107.27"/>
  </r>
  <r>
    <x v="650"/>
    <x v="3"/>
    <x v="2"/>
    <s v="United States"/>
    <x v="3"/>
    <x v="3"/>
    <x v="2"/>
    <n v="7"/>
    <n v="7455"/>
    <n v="966.64"/>
  </r>
  <r>
    <x v="219"/>
    <x v="8"/>
    <x v="1"/>
    <s v="United States"/>
    <x v="201"/>
    <x v="21"/>
    <x v="0"/>
    <n v="7"/>
    <n v="7679"/>
    <n v="2270.08"/>
  </r>
  <r>
    <x v="928"/>
    <x v="2"/>
    <x v="2"/>
    <s v="United States"/>
    <x v="53"/>
    <x v="2"/>
    <x v="1"/>
    <n v="7"/>
    <n v="847"/>
    <n v="154.05000000000001"/>
  </r>
  <r>
    <x v="462"/>
    <x v="1"/>
    <x v="1"/>
    <s v="United States"/>
    <x v="64"/>
    <x v="7"/>
    <x v="2"/>
    <n v="3"/>
    <n v="1278"/>
    <n v="178.78"/>
  </r>
  <r>
    <x v="184"/>
    <x v="8"/>
    <x v="1"/>
    <s v="United States"/>
    <x v="82"/>
    <x v="5"/>
    <x v="3"/>
    <n v="8"/>
    <n v="6592"/>
    <n v="1024.82"/>
  </r>
  <r>
    <x v="280"/>
    <x v="6"/>
    <x v="1"/>
    <s v="United States"/>
    <x v="11"/>
    <x v="9"/>
    <x v="0"/>
    <n v="8"/>
    <n v="3544"/>
    <n v="454.14"/>
  </r>
  <r>
    <x v="453"/>
    <x v="3"/>
    <x v="2"/>
    <s v="United States"/>
    <x v="13"/>
    <x v="7"/>
    <x v="2"/>
    <n v="3"/>
    <n v="1959"/>
    <n v="274.27"/>
  </r>
  <r>
    <x v="382"/>
    <x v="1"/>
    <x v="1"/>
    <s v="United States"/>
    <x v="9"/>
    <x v="8"/>
    <x v="3"/>
    <n v="6"/>
    <n v="3384"/>
    <n v="924.03"/>
  </r>
  <r>
    <x v="574"/>
    <x v="7"/>
    <x v="2"/>
    <s v="United States"/>
    <x v="121"/>
    <x v="2"/>
    <x v="1"/>
    <n v="1"/>
    <n v="307"/>
    <n v="50.2"/>
  </r>
  <r>
    <x v="559"/>
    <x v="3"/>
    <x v="2"/>
    <s v="United States"/>
    <x v="121"/>
    <x v="2"/>
    <x v="1"/>
    <n v="9"/>
    <n v="10017"/>
    <n v="1468.72"/>
  </r>
  <r>
    <x v="143"/>
    <x v="2"/>
    <x v="2"/>
    <s v="United States"/>
    <x v="202"/>
    <x v="20"/>
    <x v="2"/>
    <n v="7"/>
    <n v="7931"/>
    <n v="504.39"/>
  </r>
  <r>
    <x v="836"/>
    <x v="9"/>
    <x v="2"/>
    <s v="United States"/>
    <x v="53"/>
    <x v="2"/>
    <x v="1"/>
    <n v="2"/>
    <n v="1168"/>
    <n v="198.4"/>
  </r>
  <r>
    <x v="740"/>
    <x v="7"/>
    <x v="2"/>
    <s v="United States"/>
    <x v="203"/>
    <x v="19"/>
    <x v="2"/>
    <n v="9"/>
    <n v="9765"/>
    <n v="909.99"/>
  </r>
  <r>
    <x v="630"/>
    <x v="2"/>
    <x v="2"/>
    <s v="United States"/>
    <x v="13"/>
    <x v="7"/>
    <x v="2"/>
    <n v="8"/>
    <n v="1456"/>
    <n v="271.26"/>
  </r>
  <r>
    <x v="815"/>
    <x v="7"/>
    <x v="2"/>
    <s v="United States"/>
    <x v="6"/>
    <x v="5"/>
    <x v="3"/>
    <n v="5"/>
    <n v="950"/>
    <n v="61.9"/>
  </r>
  <r>
    <x v="839"/>
    <x v="5"/>
    <x v="2"/>
    <s v="United States"/>
    <x v="204"/>
    <x v="2"/>
    <x v="1"/>
    <n v="2"/>
    <n v="2314"/>
    <n v="600.76"/>
  </r>
  <r>
    <x v="1049"/>
    <x v="5"/>
    <x v="2"/>
    <s v="United States"/>
    <x v="205"/>
    <x v="34"/>
    <x v="1"/>
    <n v="1"/>
    <n v="915"/>
    <n v="264.3"/>
  </r>
  <r>
    <x v="521"/>
    <x v="9"/>
    <x v="2"/>
    <s v="United States"/>
    <x v="206"/>
    <x v="7"/>
    <x v="2"/>
    <n v="1"/>
    <n v="290"/>
    <n v="61.14"/>
  </r>
  <r>
    <x v="147"/>
    <x v="2"/>
    <x v="2"/>
    <s v="United States"/>
    <x v="206"/>
    <x v="7"/>
    <x v="2"/>
    <n v="7"/>
    <n v="3584"/>
    <n v="940.88"/>
  </r>
  <r>
    <x v="117"/>
    <x v="1"/>
    <x v="1"/>
    <s v="United States"/>
    <x v="206"/>
    <x v="7"/>
    <x v="2"/>
    <n v="6"/>
    <n v="1254"/>
    <n v="205.57"/>
  </r>
  <r>
    <x v="955"/>
    <x v="9"/>
    <x v="2"/>
    <s v="United States"/>
    <x v="3"/>
    <x v="3"/>
    <x v="2"/>
    <n v="5"/>
    <n v="2410"/>
    <n v="636.83000000000004"/>
  </r>
  <r>
    <x v="487"/>
    <x v="0"/>
    <x v="0"/>
    <s v="United States"/>
    <x v="13"/>
    <x v="7"/>
    <x v="2"/>
    <n v="2"/>
    <n v="800"/>
    <n v="118.68"/>
  </r>
  <r>
    <x v="620"/>
    <x v="5"/>
    <x v="2"/>
    <s v="United States"/>
    <x v="127"/>
    <x v="30"/>
    <x v="0"/>
    <n v="5"/>
    <n v="990"/>
    <n v="87.61"/>
  </r>
  <r>
    <x v="654"/>
    <x v="9"/>
    <x v="2"/>
    <s v="United States"/>
    <x v="207"/>
    <x v="8"/>
    <x v="3"/>
    <n v="9"/>
    <n v="9702"/>
    <n v="2771.49"/>
  </r>
  <r>
    <x v="339"/>
    <x v="8"/>
    <x v="1"/>
    <s v="United States"/>
    <x v="6"/>
    <x v="5"/>
    <x v="3"/>
    <n v="8"/>
    <n v="5888"/>
    <n v="354.27"/>
  </r>
  <r>
    <x v="39"/>
    <x v="2"/>
    <x v="2"/>
    <s v="United States"/>
    <x v="29"/>
    <x v="15"/>
    <x v="2"/>
    <n v="4"/>
    <n v="1768"/>
    <n v="345.33"/>
  </r>
  <r>
    <x v="1041"/>
    <x v="4"/>
    <x v="1"/>
    <s v="United States"/>
    <x v="29"/>
    <x v="15"/>
    <x v="2"/>
    <n v="2"/>
    <n v="1022"/>
    <n v="76.040000000000006"/>
  </r>
  <r>
    <x v="963"/>
    <x v="2"/>
    <x v="2"/>
    <s v="United States"/>
    <x v="29"/>
    <x v="15"/>
    <x v="2"/>
    <n v="3"/>
    <n v="2883"/>
    <n v="671.91"/>
  </r>
  <r>
    <x v="831"/>
    <x v="6"/>
    <x v="1"/>
    <s v="United States"/>
    <x v="13"/>
    <x v="7"/>
    <x v="2"/>
    <n v="4"/>
    <n v="4064"/>
    <n v="771.16"/>
  </r>
  <r>
    <x v="1026"/>
    <x v="6"/>
    <x v="1"/>
    <s v="United States"/>
    <x v="208"/>
    <x v="26"/>
    <x v="3"/>
    <n v="1"/>
    <n v="1117"/>
    <n v="119.89"/>
  </r>
  <r>
    <x v="1050"/>
    <x v="9"/>
    <x v="2"/>
    <s v="United States"/>
    <x v="68"/>
    <x v="15"/>
    <x v="2"/>
    <n v="4"/>
    <n v="260"/>
    <n v="66.02"/>
  </r>
  <r>
    <x v="842"/>
    <x v="0"/>
    <x v="0"/>
    <s v="United States"/>
    <x v="209"/>
    <x v="2"/>
    <x v="1"/>
    <n v="3"/>
    <n v="222"/>
    <n v="50.28"/>
  </r>
  <r>
    <x v="252"/>
    <x v="5"/>
    <x v="2"/>
    <s v="United States"/>
    <x v="9"/>
    <x v="8"/>
    <x v="3"/>
    <n v="9"/>
    <n v="10530"/>
    <n v="1777.3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7"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location ref="I34:J40" firstHeaderRow="1" firstDataRow="1" firstDataCol="1"/>
  <pivotFields count="12">
    <pivotField numFmtId="14" showAll="0">
      <items count="15">
        <item x="0"/>
        <item x="1"/>
        <item x="2"/>
        <item x="3"/>
        <item x="4"/>
        <item x="5"/>
        <item x="6"/>
        <item x="7"/>
        <item x="8"/>
        <item x="9"/>
        <item x="10"/>
        <item x="11"/>
        <item x="12"/>
        <item x="13"/>
        <item t="default"/>
      </items>
    </pivotField>
    <pivotField axis="axisRow" showAll="0" measureFilter="1">
      <items count="11">
        <item x="3"/>
        <item x="4"/>
        <item x="8"/>
        <item x="9"/>
        <item x="6"/>
        <item x="1"/>
        <item x="0"/>
        <item x="7"/>
        <item x="5"/>
        <item x="2"/>
        <item t="default"/>
      </items>
    </pivotField>
    <pivotField showAll="0">
      <items count="4">
        <item x="1"/>
        <item x="2"/>
        <item x="0"/>
        <item t="default"/>
      </items>
    </pivotField>
    <pivotField showAll="0"/>
    <pivotField showAll="0" measureFilter="1">
      <items count="372">
        <item x="40"/>
        <item x="166"/>
        <item x="188"/>
        <item x="112"/>
        <item x="45"/>
        <item x="261"/>
        <item x="341"/>
        <item x="281"/>
        <item x="278"/>
        <item x="58"/>
        <item x="32"/>
        <item x="342"/>
        <item x="182"/>
        <item x="83"/>
        <item x="14"/>
        <item x="198"/>
        <item x="175"/>
        <item x="237"/>
        <item x="151"/>
        <item x="365"/>
        <item x="31"/>
        <item x="321"/>
        <item x="165"/>
        <item x="268"/>
        <item x="17"/>
        <item x="235"/>
        <item x="331"/>
        <item x="128"/>
        <item x="98"/>
        <item x="133"/>
        <item x="203"/>
        <item x="364"/>
        <item x="131"/>
        <item x="193"/>
        <item x="368"/>
        <item x="252"/>
        <item x="283"/>
        <item x="240"/>
        <item x="323"/>
        <item x="259"/>
        <item x="290"/>
        <item x="324"/>
        <item x="335"/>
        <item x="39"/>
        <item x="213"/>
        <item x="118"/>
        <item x="225"/>
        <item x="262"/>
        <item x="127"/>
        <item x="305"/>
        <item x="196"/>
        <item x="180"/>
        <item x="100"/>
        <item x="287"/>
        <item x="9"/>
        <item x="297"/>
        <item x="223"/>
        <item x="145"/>
        <item x="239"/>
        <item x="345"/>
        <item x="59"/>
        <item x="334"/>
        <item x="218"/>
        <item x="143"/>
        <item x="30"/>
        <item x="11"/>
        <item x="29"/>
        <item x="41"/>
        <item x="285"/>
        <item x="355"/>
        <item x="97"/>
        <item x="177"/>
        <item x="46"/>
        <item x="326"/>
        <item x="236"/>
        <item x="94"/>
        <item x="144"/>
        <item x="343"/>
        <item x="250"/>
        <item x="340"/>
        <item x="54"/>
        <item x="211"/>
        <item x="42"/>
        <item x="260"/>
        <item x="22"/>
        <item x="67"/>
        <item x="322"/>
        <item x="25"/>
        <item x="63"/>
        <item x="275"/>
        <item x="24"/>
        <item x="208"/>
        <item x="339"/>
        <item x="336"/>
        <item x="360"/>
        <item x="71"/>
        <item x="311"/>
        <item x="116"/>
        <item x="302"/>
        <item x="92"/>
        <item x="298"/>
        <item x="103"/>
        <item x="114"/>
        <item x="130"/>
        <item x="158"/>
        <item x="160"/>
        <item x="73"/>
        <item x="200"/>
        <item x="1"/>
        <item x="50"/>
        <item x="20"/>
        <item x="234"/>
        <item x="233"/>
        <item x="99"/>
        <item x="346"/>
        <item x="257"/>
        <item x="269"/>
        <item x="292"/>
        <item x="171"/>
        <item x="48"/>
        <item x="110"/>
        <item x="141"/>
        <item x="349"/>
        <item x="356"/>
        <item x="224"/>
        <item x="329"/>
        <item x="227"/>
        <item x="195"/>
        <item x="201"/>
        <item x="33"/>
        <item x="243"/>
        <item x="247"/>
        <item x="226"/>
        <item x="95"/>
        <item x="289"/>
        <item x="320"/>
        <item x="206"/>
        <item x="0"/>
        <item x="296"/>
        <item x="170"/>
        <item x="173"/>
        <item x="185"/>
        <item x="351"/>
        <item x="358"/>
        <item x="157"/>
        <item x="308"/>
        <item x="6"/>
        <item x="156"/>
        <item x="370"/>
        <item x="209"/>
        <item x="38"/>
        <item x="51"/>
        <item x="86"/>
        <item x="93"/>
        <item x="230"/>
        <item x="119"/>
        <item x="263"/>
        <item x="270"/>
        <item x="276"/>
        <item x="101"/>
        <item x="120"/>
        <item x="113"/>
        <item x="184"/>
        <item x="69"/>
        <item x="284"/>
        <item x="49"/>
        <item x="27"/>
        <item x="174"/>
        <item x="68"/>
        <item x="140"/>
        <item x="146"/>
        <item x="179"/>
        <item x="205"/>
        <item x="359"/>
        <item x="37"/>
        <item x="246"/>
        <item x="256"/>
        <item x="194"/>
        <item x="148"/>
        <item x="150"/>
        <item x="62"/>
        <item x="328"/>
        <item x="314"/>
        <item x="75"/>
        <item x="2"/>
        <item x="74"/>
        <item x="172"/>
        <item x="294"/>
        <item x="216"/>
        <item x="123"/>
        <item x="164"/>
        <item x="35"/>
        <item x="350"/>
        <item x="249"/>
        <item x="254"/>
        <item x="149"/>
        <item x="357"/>
        <item x="366"/>
        <item x="362"/>
        <item x="23"/>
        <item x="10"/>
        <item x="245"/>
        <item x="286"/>
        <item x="197"/>
        <item x="81"/>
        <item x="220"/>
        <item x="89"/>
        <item x="108"/>
        <item x="265"/>
        <item x="282"/>
        <item x="79"/>
        <item x="12"/>
        <item x="232"/>
        <item x="161"/>
        <item x="204"/>
        <item x="212"/>
        <item x="337"/>
        <item x="91"/>
        <item x="132"/>
        <item x="137"/>
        <item x="363"/>
        <item x="333"/>
        <item x="277"/>
        <item x="189"/>
        <item x="34"/>
        <item x="190"/>
        <item x="126"/>
        <item x="312"/>
        <item x="291"/>
        <item x="228"/>
        <item x="7"/>
        <item x="241"/>
        <item x="13"/>
        <item x="19"/>
        <item x="330"/>
        <item x="344"/>
        <item x="315"/>
        <item x="313"/>
        <item x="111"/>
        <item x="78"/>
        <item x="272"/>
        <item x="121"/>
        <item x="64"/>
        <item x="221"/>
        <item x="258"/>
        <item x="274"/>
        <item x="84"/>
        <item x="70"/>
        <item x="136"/>
        <item x="4"/>
        <item x="301"/>
        <item x="299"/>
        <item x="273"/>
        <item x="44"/>
        <item x="47"/>
        <item x="255"/>
        <item x="102"/>
        <item x="253"/>
        <item x="159"/>
        <item x="309"/>
        <item x="36"/>
        <item x="117"/>
        <item x="361"/>
        <item x="191"/>
        <item x="3"/>
        <item x="43"/>
        <item x="105"/>
        <item x="215"/>
        <item x="217"/>
        <item x="280"/>
        <item x="135"/>
        <item x="176"/>
        <item x="238"/>
        <item x="231"/>
        <item x="295"/>
        <item x="134"/>
        <item x="106"/>
        <item x="202"/>
        <item x="168"/>
        <item x="338"/>
        <item x="288"/>
        <item x="138"/>
        <item x="125"/>
        <item x="178"/>
        <item x="210"/>
        <item x="5"/>
        <item x="52"/>
        <item x="307"/>
        <item x="77"/>
        <item x="88"/>
        <item x="96"/>
        <item x="248"/>
        <item x="18"/>
        <item x="153"/>
        <item x="82"/>
        <item x="155"/>
        <item x="186"/>
        <item x="317"/>
        <item x="214"/>
        <item x="87"/>
        <item x="66"/>
        <item x="279"/>
        <item x="316"/>
        <item x="147"/>
        <item x="21"/>
        <item x="369"/>
        <item x="53"/>
        <item x="28"/>
        <item x="242"/>
        <item x="124"/>
        <item x="348"/>
        <item x="244"/>
        <item x="347"/>
        <item x="72"/>
        <item x="367"/>
        <item x="163"/>
        <item x="15"/>
        <item x="293"/>
        <item x="154"/>
        <item x="187"/>
        <item x="107"/>
        <item x="152"/>
        <item x="129"/>
        <item x="76"/>
        <item x="354"/>
        <item x="122"/>
        <item x="139"/>
        <item x="319"/>
        <item x="199"/>
        <item x="26"/>
        <item x="264"/>
        <item x="183"/>
        <item x="267"/>
        <item x="303"/>
        <item x="332"/>
        <item x="310"/>
        <item x="325"/>
        <item x="207"/>
        <item x="219"/>
        <item x="80"/>
        <item x="65"/>
        <item x="8"/>
        <item x="104"/>
        <item x="169"/>
        <item x="318"/>
        <item x="352"/>
        <item x="60"/>
        <item x="353"/>
        <item x="56"/>
        <item x="57"/>
        <item x="109"/>
        <item x="304"/>
        <item x="266"/>
        <item x="55"/>
        <item x="85"/>
        <item x="251"/>
        <item x="115"/>
        <item x="61"/>
        <item x="222"/>
        <item x="192"/>
        <item x="162"/>
        <item x="300"/>
        <item x="327"/>
        <item x="167"/>
        <item x="271"/>
        <item x="16"/>
        <item x="306"/>
        <item x="181"/>
        <item x="229"/>
        <item x="90"/>
        <item x="142"/>
        <item t="default"/>
      </items>
    </pivotField>
    <pivotField showAll="0"/>
    <pivotField showAll="0">
      <items count="5">
        <item x="3"/>
        <item x="2"/>
        <item x="0"/>
        <item x="1"/>
        <item t="default"/>
      </items>
    </pivotField>
    <pivotField showAll="0"/>
    <pivotField dataField="1" showAll="0"/>
    <pivotField showAll="0"/>
    <pivotField showAll="0" defaultSubtotal="0">
      <items count="6">
        <item sd="0" x="0"/>
        <item sd="0" x="1"/>
        <item sd="0" x="2"/>
        <item sd="0" x="3"/>
        <item sd="0" x="4"/>
        <item sd="0" x="5"/>
      </items>
    </pivotField>
    <pivotField showAll="0" defaultSubtotal="0">
      <items count="6">
        <item sd="0" x="0"/>
        <item sd="0" x="1"/>
        <item sd="0" x="2"/>
        <item sd="0" x="3"/>
        <item sd="0" x="4"/>
        <item sd="0" x="5"/>
      </items>
    </pivotField>
  </pivotFields>
  <rowFields count="1">
    <field x="1"/>
  </rowFields>
  <rowItems count="6">
    <i>
      <x/>
    </i>
    <i>
      <x v="4"/>
    </i>
    <i>
      <x v="5"/>
    </i>
    <i>
      <x v="6"/>
    </i>
    <i>
      <x v="7"/>
    </i>
    <i t="grand">
      <x/>
    </i>
  </rowItems>
  <colItems count="1">
    <i/>
  </colItems>
  <dataFields count="1">
    <dataField name="Sum of Sales" fld="8" baseField="0" baseItem="0" numFmtId="168"/>
  </dataFields>
  <formats count="3">
    <format dxfId="56">
      <pivotArea field="11" grandRow="1" outline="0" collapsedLevelsAreSubtotals="1">
        <references count="1">
          <reference field="4294967294" count="1" selected="0">
            <x v="0"/>
          </reference>
        </references>
      </pivotArea>
    </format>
    <format dxfId="55">
      <pivotArea collapsedLevelsAreSubtotals="1" fieldPosition="0">
        <references count="1">
          <reference field="1" count="5">
            <x v="0"/>
            <x v="4"/>
            <x v="5"/>
            <x v="6"/>
            <x v="7"/>
          </reference>
        </references>
      </pivotArea>
    </format>
    <format dxfId="54">
      <pivotArea outline="0" collapsedLevelsAreSubtotals="1" fieldPosition="0"/>
    </format>
  </formats>
  <chartFormats count="1">
    <chartFormat chart="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4" type="count" evalOrder="-1" id="1" iMeasureFld="0">
      <autoFilter ref="A1">
        <filterColumn colId="0">
          <top10 val="5" filterVal="5"/>
        </filterColumn>
      </autoFilter>
    </filter>
    <filter fld="1"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5000000}" name="PivotTable3"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3">
  <location ref="B16:C29" firstHeaderRow="1" firstDataRow="1" firstDataCol="1"/>
  <pivotFields count="12">
    <pivotField axis="axisRow" numFmtId="14" showAll="0">
      <items count="15">
        <item x="0"/>
        <item x="1"/>
        <item x="2"/>
        <item x="3"/>
        <item x="4"/>
        <item x="5"/>
        <item x="6"/>
        <item x="7"/>
        <item x="8"/>
        <item x="9"/>
        <item x="10"/>
        <item x="11"/>
        <item x="12"/>
        <item x="13"/>
        <item t="default"/>
      </items>
    </pivotField>
    <pivotField showAll="0"/>
    <pivotField showAll="0">
      <items count="4">
        <item x="1"/>
        <item x="2"/>
        <item x="0"/>
        <item t="default"/>
      </items>
    </pivotField>
    <pivotField showAll="0"/>
    <pivotField showAll="0"/>
    <pivotField showAll="0"/>
    <pivotField showAll="0">
      <items count="5">
        <item x="3"/>
        <item x="2"/>
        <item x="0"/>
        <item x="1"/>
        <item t="default"/>
      </items>
    </pivotField>
    <pivotField showAll="0"/>
    <pivotField dataField="1" showAll="0"/>
    <pivotField showAll="0"/>
    <pivotField showAll="0" defaultSubtotal="0">
      <items count="6">
        <item sd="0" x="0"/>
        <item sd="0" x="1"/>
        <item sd="0" x="2"/>
        <item sd="0" x="3"/>
        <item sd="0" x="4"/>
        <item sd="0" x="5"/>
      </items>
    </pivotField>
    <pivotField showAll="0" defaultSubtotal="0">
      <items count="6">
        <item sd="0" x="0"/>
        <item sd="0" x="1"/>
        <item sd="0" x="2"/>
        <item sd="0" x="3"/>
        <item sd="0" x="4"/>
        <item sd="0" x="5"/>
      </items>
    </pivotField>
  </pivotFields>
  <rowFields count="1">
    <field x="0"/>
  </rowFields>
  <rowItems count="13">
    <i>
      <x v="1"/>
    </i>
    <i>
      <x v="2"/>
    </i>
    <i>
      <x v="3"/>
    </i>
    <i>
      <x v="4"/>
    </i>
    <i>
      <x v="5"/>
    </i>
    <i>
      <x v="6"/>
    </i>
    <i>
      <x v="7"/>
    </i>
    <i>
      <x v="8"/>
    </i>
    <i>
      <x v="9"/>
    </i>
    <i>
      <x v="10"/>
    </i>
    <i>
      <x v="11"/>
    </i>
    <i>
      <x v="12"/>
    </i>
    <i t="grand">
      <x/>
    </i>
  </rowItems>
  <colItems count="1">
    <i/>
  </colItems>
  <dataFields count="1">
    <dataField name="Sum of Sales" fld="8" baseField="0" baseItem="0"/>
  </dataFields>
  <formats count="3">
    <format dxfId="59">
      <pivotArea field="11" grandRow="1" outline="0" collapsedLevelsAreSubtotals="1">
        <references count="1">
          <reference field="4294967294" count="1" selected="0">
            <x v="0"/>
          </reference>
        </references>
      </pivotArea>
    </format>
    <format dxfId="58">
      <pivotArea collapsedLevelsAreSubtotals="1" fieldPosition="0">
        <references count="1">
          <reference field="0" count="12">
            <x v="1"/>
            <x v="2"/>
            <x v="3"/>
            <x v="4"/>
            <x v="5"/>
            <x v="6"/>
            <x v="7"/>
            <x v="8"/>
            <x v="9"/>
            <x v="10"/>
            <x v="11"/>
            <x v="12"/>
          </reference>
        </references>
      </pivotArea>
    </format>
    <format dxfId="57">
      <pivotArea collapsedLevelsAreSubtotals="1" fieldPosition="0">
        <references count="1">
          <reference field="0" count="12">
            <x v="1"/>
            <x v="2"/>
            <x v="3"/>
            <x v="4"/>
            <x v="5"/>
            <x v="6"/>
            <x v="7"/>
            <x v="8"/>
            <x v="9"/>
            <x v="10"/>
            <x v="11"/>
            <x v="12"/>
          </reference>
        </references>
      </pivotArea>
    </format>
  </formats>
  <chartFormats count="1">
    <chartFormat chart="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100-000003000000}" name="PivotTable2"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8:E12" firstHeaderRow="0" firstDataRow="1" firstDataCol="1"/>
  <pivotFields count="12">
    <pivotField numFmtId="14" showAll="0">
      <items count="15">
        <item x="0"/>
        <item x="1"/>
        <item x="2"/>
        <item x="3"/>
        <item x="4"/>
        <item x="5"/>
        <item x="6"/>
        <item x="7"/>
        <item x="8"/>
        <item x="9"/>
        <item x="10"/>
        <item x="11"/>
        <item x="12"/>
        <item x="13"/>
        <item t="default"/>
      </items>
    </pivotField>
    <pivotField showAll="0"/>
    <pivotField showAll="0">
      <items count="4">
        <item x="1"/>
        <item x="2"/>
        <item x="0"/>
        <item t="default"/>
      </items>
    </pivotField>
    <pivotField showAll="0"/>
    <pivotField showAll="0"/>
    <pivotField showAll="0"/>
    <pivotField showAll="0">
      <items count="5">
        <item x="3"/>
        <item x="2"/>
        <item x="0"/>
        <item x="1"/>
        <item t="default"/>
      </items>
    </pivotField>
    <pivotField dataField="1" showAll="0"/>
    <pivotField dataField="1" showAll="0"/>
    <pivotField dataField="1" showAll="0"/>
    <pivotField showAll="0" defaultSubtotal="0">
      <items count="6">
        <item sd="0" x="0"/>
        <item sd="0" x="1"/>
        <item sd="0" x="2"/>
        <item sd="0" x="3"/>
        <item sd="0" x="4"/>
        <item sd="0" x="5"/>
      </items>
    </pivotField>
    <pivotField axis="axisRow" showAll="0" defaultSubtotal="0">
      <items count="6">
        <item sd="0" x="0"/>
        <item sd="0" x="1"/>
        <item sd="0" x="2"/>
        <item sd="0" x="3"/>
        <item sd="0" x="4"/>
        <item sd="0" x="5"/>
      </items>
    </pivotField>
  </pivotFields>
  <rowFields count="1">
    <field x="11"/>
  </rowFields>
  <rowItems count="4">
    <i>
      <x v="1"/>
    </i>
    <i>
      <x v="2"/>
    </i>
    <i>
      <x v="3"/>
    </i>
    <i t="grand">
      <x/>
    </i>
  </rowItems>
  <colFields count="1">
    <field x="-2"/>
  </colFields>
  <colItems count="3">
    <i>
      <x/>
    </i>
    <i i="1">
      <x v="1"/>
    </i>
    <i i="2">
      <x v="2"/>
    </i>
  </colItems>
  <dataFields count="3">
    <dataField name="Sum of Sales" fld="8" baseField="0" baseItem="0"/>
    <dataField name="Sum of Quantity" fld="7" baseField="0" baseItem="0" numFmtId="165"/>
    <dataField name="Sum of Profit" fld="9" baseField="0" baseItem="0" numFmtId="164"/>
  </dataFields>
  <formats count="6">
    <format dxfId="65">
      <pivotArea collapsedLevelsAreSubtotals="1" fieldPosition="0">
        <references count="2">
          <reference field="4294967294" count="1" selected="0">
            <x v="0"/>
          </reference>
          <reference field="11" count="1">
            <x v="1"/>
          </reference>
        </references>
      </pivotArea>
    </format>
    <format dxfId="64">
      <pivotArea collapsedLevelsAreSubtotals="1" fieldPosition="0">
        <references count="2">
          <reference field="4294967294" count="1" selected="0">
            <x v="0"/>
          </reference>
          <reference field="11" count="1">
            <x v="2"/>
          </reference>
        </references>
      </pivotArea>
    </format>
    <format dxfId="63">
      <pivotArea collapsedLevelsAreSubtotals="1" fieldPosition="0">
        <references count="2">
          <reference field="4294967294" count="1" selected="0">
            <x v="0"/>
          </reference>
          <reference field="11" count="1">
            <x v="3"/>
          </reference>
        </references>
      </pivotArea>
    </format>
    <format dxfId="62">
      <pivotArea field="11" grandRow="1" outline="0" collapsedLevelsAreSubtotals="1" axis="axisRow" fieldPosition="0">
        <references count="1">
          <reference field="4294967294" count="1" selected="0">
            <x v="0"/>
          </reference>
        </references>
      </pivotArea>
    </format>
    <format dxfId="61">
      <pivotArea outline="0" collapsedLevelsAreSubtotals="1" fieldPosition="0">
        <references count="1">
          <reference field="4294967294" count="1" selected="0">
            <x v="2"/>
          </reference>
        </references>
      </pivotArea>
    </format>
    <format dxfId="60">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ivotTable4"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I16:J22" firstHeaderRow="1" firstDataRow="1" firstDataCol="1"/>
  <pivotFields count="12">
    <pivotField numFmtId="14" showAll="0">
      <items count="15">
        <item x="0"/>
        <item x="1"/>
        <item x="2"/>
        <item x="3"/>
        <item x="4"/>
        <item x="5"/>
        <item x="6"/>
        <item x="7"/>
        <item x="8"/>
        <item x="9"/>
        <item x="10"/>
        <item x="11"/>
        <item x="12"/>
        <item x="13"/>
        <item t="default"/>
      </items>
    </pivotField>
    <pivotField showAll="0"/>
    <pivotField showAll="0">
      <items count="4">
        <item x="1"/>
        <item x="2"/>
        <item x="0"/>
        <item t="default"/>
      </items>
    </pivotField>
    <pivotField showAll="0"/>
    <pivotField axis="axisRow" showAll="0" measureFilter="1">
      <items count="372">
        <item x="40"/>
        <item x="166"/>
        <item x="188"/>
        <item x="112"/>
        <item x="45"/>
        <item x="261"/>
        <item x="341"/>
        <item x="281"/>
        <item x="278"/>
        <item x="58"/>
        <item x="32"/>
        <item x="342"/>
        <item x="182"/>
        <item x="83"/>
        <item x="14"/>
        <item x="198"/>
        <item x="175"/>
        <item x="237"/>
        <item x="151"/>
        <item x="365"/>
        <item x="31"/>
        <item x="321"/>
        <item x="165"/>
        <item x="268"/>
        <item x="17"/>
        <item x="235"/>
        <item x="331"/>
        <item x="128"/>
        <item x="98"/>
        <item x="133"/>
        <item x="203"/>
        <item x="364"/>
        <item x="131"/>
        <item x="193"/>
        <item x="368"/>
        <item x="252"/>
        <item x="283"/>
        <item x="240"/>
        <item x="323"/>
        <item x="259"/>
        <item x="290"/>
        <item x="324"/>
        <item x="335"/>
        <item x="39"/>
        <item x="213"/>
        <item x="118"/>
        <item x="225"/>
        <item x="262"/>
        <item x="127"/>
        <item x="305"/>
        <item x="196"/>
        <item x="180"/>
        <item x="100"/>
        <item x="287"/>
        <item x="9"/>
        <item x="297"/>
        <item x="223"/>
        <item x="145"/>
        <item x="239"/>
        <item x="345"/>
        <item x="59"/>
        <item x="334"/>
        <item x="218"/>
        <item x="143"/>
        <item x="30"/>
        <item x="11"/>
        <item x="29"/>
        <item x="41"/>
        <item x="285"/>
        <item x="355"/>
        <item x="97"/>
        <item x="177"/>
        <item x="46"/>
        <item x="326"/>
        <item x="236"/>
        <item x="94"/>
        <item x="144"/>
        <item x="343"/>
        <item x="250"/>
        <item x="340"/>
        <item x="54"/>
        <item x="211"/>
        <item x="42"/>
        <item x="260"/>
        <item x="22"/>
        <item x="67"/>
        <item x="322"/>
        <item x="25"/>
        <item x="63"/>
        <item x="275"/>
        <item x="24"/>
        <item x="208"/>
        <item x="339"/>
        <item x="336"/>
        <item x="360"/>
        <item x="71"/>
        <item x="311"/>
        <item x="116"/>
        <item x="302"/>
        <item x="92"/>
        <item x="298"/>
        <item x="103"/>
        <item x="114"/>
        <item x="130"/>
        <item x="158"/>
        <item x="160"/>
        <item x="73"/>
        <item x="200"/>
        <item x="1"/>
        <item x="50"/>
        <item x="20"/>
        <item x="234"/>
        <item x="233"/>
        <item x="99"/>
        <item x="346"/>
        <item x="257"/>
        <item x="269"/>
        <item x="292"/>
        <item x="171"/>
        <item x="48"/>
        <item x="110"/>
        <item x="141"/>
        <item x="349"/>
        <item x="356"/>
        <item x="224"/>
        <item x="329"/>
        <item x="227"/>
        <item x="195"/>
        <item x="201"/>
        <item x="33"/>
        <item x="243"/>
        <item x="247"/>
        <item x="226"/>
        <item x="95"/>
        <item x="289"/>
        <item x="320"/>
        <item x="206"/>
        <item x="0"/>
        <item x="296"/>
        <item x="170"/>
        <item x="173"/>
        <item x="185"/>
        <item x="351"/>
        <item x="358"/>
        <item x="157"/>
        <item x="308"/>
        <item x="6"/>
        <item x="156"/>
        <item x="370"/>
        <item x="209"/>
        <item x="38"/>
        <item x="51"/>
        <item x="86"/>
        <item x="93"/>
        <item x="230"/>
        <item x="119"/>
        <item x="263"/>
        <item x="270"/>
        <item x="276"/>
        <item x="101"/>
        <item x="120"/>
        <item x="113"/>
        <item x="184"/>
        <item x="69"/>
        <item x="284"/>
        <item x="49"/>
        <item x="27"/>
        <item x="174"/>
        <item x="68"/>
        <item x="140"/>
        <item x="146"/>
        <item x="179"/>
        <item x="205"/>
        <item x="359"/>
        <item x="37"/>
        <item x="246"/>
        <item x="256"/>
        <item x="194"/>
        <item x="148"/>
        <item x="150"/>
        <item x="62"/>
        <item x="328"/>
        <item x="314"/>
        <item x="75"/>
        <item x="2"/>
        <item x="74"/>
        <item x="172"/>
        <item x="294"/>
        <item x="216"/>
        <item x="123"/>
        <item x="164"/>
        <item x="35"/>
        <item x="350"/>
        <item x="249"/>
        <item x="254"/>
        <item x="149"/>
        <item x="357"/>
        <item x="366"/>
        <item x="362"/>
        <item x="23"/>
        <item x="10"/>
        <item x="245"/>
        <item x="286"/>
        <item x="197"/>
        <item x="81"/>
        <item x="220"/>
        <item x="89"/>
        <item x="108"/>
        <item x="265"/>
        <item x="282"/>
        <item x="79"/>
        <item x="12"/>
        <item x="232"/>
        <item x="161"/>
        <item x="204"/>
        <item x="212"/>
        <item x="337"/>
        <item x="91"/>
        <item x="132"/>
        <item x="137"/>
        <item x="363"/>
        <item x="333"/>
        <item x="277"/>
        <item x="189"/>
        <item x="34"/>
        <item x="190"/>
        <item x="126"/>
        <item x="312"/>
        <item x="291"/>
        <item x="228"/>
        <item x="7"/>
        <item x="241"/>
        <item x="13"/>
        <item x="19"/>
        <item x="330"/>
        <item x="344"/>
        <item x="315"/>
        <item x="313"/>
        <item x="111"/>
        <item x="78"/>
        <item x="272"/>
        <item x="121"/>
        <item x="64"/>
        <item x="221"/>
        <item x="258"/>
        <item x="274"/>
        <item x="84"/>
        <item x="70"/>
        <item x="136"/>
        <item x="4"/>
        <item x="301"/>
        <item x="299"/>
        <item x="273"/>
        <item x="44"/>
        <item x="47"/>
        <item x="255"/>
        <item x="102"/>
        <item x="253"/>
        <item x="159"/>
        <item x="309"/>
        <item x="36"/>
        <item x="117"/>
        <item x="361"/>
        <item x="191"/>
        <item x="3"/>
        <item x="43"/>
        <item x="105"/>
        <item x="215"/>
        <item x="217"/>
        <item x="280"/>
        <item x="135"/>
        <item x="176"/>
        <item x="238"/>
        <item x="231"/>
        <item x="295"/>
        <item x="134"/>
        <item x="106"/>
        <item x="202"/>
        <item x="168"/>
        <item x="338"/>
        <item x="288"/>
        <item x="138"/>
        <item x="125"/>
        <item x="178"/>
        <item x="210"/>
        <item x="5"/>
        <item x="52"/>
        <item x="307"/>
        <item x="77"/>
        <item x="88"/>
        <item x="96"/>
        <item x="248"/>
        <item x="18"/>
        <item x="153"/>
        <item x="82"/>
        <item x="155"/>
        <item x="186"/>
        <item x="317"/>
        <item x="214"/>
        <item x="87"/>
        <item x="66"/>
        <item x="279"/>
        <item x="316"/>
        <item x="147"/>
        <item x="21"/>
        <item x="369"/>
        <item x="53"/>
        <item x="28"/>
        <item x="242"/>
        <item x="124"/>
        <item x="348"/>
        <item x="244"/>
        <item x="347"/>
        <item x="72"/>
        <item x="367"/>
        <item x="163"/>
        <item x="15"/>
        <item x="293"/>
        <item x="154"/>
        <item x="187"/>
        <item x="107"/>
        <item x="152"/>
        <item x="129"/>
        <item x="76"/>
        <item x="354"/>
        <item x="122"/>
        <item x="139"/>
        <item x="319"/>
        <item x="199"/>
        <item x="26"/>
        <item x="264"/>
        <item x="183"/>
        <item x="267"/>
        <item x="303"/>
        <item x="332"/>
        <item x="310"/>
        <item x="325"/>
        <item x="207"/>
        <item x="219"/>
        <item x="80"/>
        <item x="65"/>
        <item x="8"/>
        <item x="104"/>
        <item x="169"/>
        <item x="318"/>
        <item x="352"/>
        <item x="60"/>
        <item x="353"/>
        <item x="56"/>
        <item x="57"/>
        <item x="109"/>
        <item x="304"/>
        <item x="266"/>
        <item x="55"/>
        <item x="85"/>
        <item x="251"/>
        <item x="115"/>
        <item x="61"/>
        <item x="222"/>
        <item x="192"/>
        <item x="162"/>
        <item x="300"/>
        <item x="327"/>
        <item x="167"/>
        <item x="271"/>
        <item x="16"/>
        <item x="306"/>
        <item x="181"/>
        <item x="229"/>
        <item x="90"/>
        <item x="142"/>
        <item t="default"/>
      </items>
    </pivotField>
    <pivotField showAll="0"/>
    <pivotField showAll="0">
      <items count="5">
        <item x="3"/>
        <item x="2"/>
        <item x="0"/>
        <item x="1"/>
        <item t="default"/>
      </items>
    </pivotField>
    <pivotField showAll="0"/>
    <pivotField dataField="1" showAll="0"/>
    <pivotField showAll="0"/>
    <pivotField showAll="0" defaultSubtotal="0">
      <items count="6">
        <item sd="0" x="0"/>
        <item sd="0" x="1"/>
        <item sd="0" x="2"/>
        <item sd="0" x="3"/>
        <item sd="0" x="4"/>
        <item sd="0" x="5"/>
      </items>
    </pivotField>
    <pivotField showAll="0" defaultSubtotal="0">
      <items count="6">
        <item sd="0" x="0"/>
        <item sd="0" x="1"/>
        <item sd="0" x="2"/>
        <item sd="0" x="3"/>
        <item sd="0" x="4"/>
        <item sd="0" x="5"/>
      </items>
    </pivotField>
  </pivotFields>
  <rowFields count="1">
    <field x="4"/>
  </rowFields>
  <rowItems count="6">
    <i>
      <x v="184"/>
    </i>
    <i>
      <x v="232"/>
    </i>
    <i>
      <x v="264"/>
    </i>
    <i>
      <x v="307"/>
    </i>
    <i>
      <x v="316"/>
    </i>
    <i t="grand">
      <x/>
    </i>
  </rowItems>
  <colItems count="1">
    <i/>
  </colItems>
  <dataFields count="1">
    <dataField name="Sum of Sales" fld="8" baseField="0" baseItem="0"/>
  </dataFields>
  <formats count="2">
    <format dxfId="67">
      <pivotArea field="11" grandRow="1" outline="0" collapsedLevelsAreSubtotals="1">
        <references count="1">
          <reference field="4294967294" count="1" selected="0">
            <x v="0"/>
          </reference>
        </references>
      </pivotArea>
    </format>
    <format dxfId="66">
      <pivotArea collapsedLevelsAreSubtotals="1" fieldPosition="0">
        <references count="1">
          <reference field="4" count="5">
            <x v="184"/>
            <x v="232"/>
            <x v="264"/>
            <x v="307"/>
            <x v="316"/>
          </reference>
        </references>
      </pivotArea>
    </format>
  </formats>
  <pivotTableStyleInfo name="PivotStyleLight16" showRowHeaders="1" showColHeaders="1" showRowStripes="0" showColStripes="0" showLastColumn="1"/>
  <filters count="1">
    <filter fld="4"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category"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5">
  <location ref="I26:J30" firstHeaderRow="1" firstDataRow="1" firstDataCol="1"/>
  <pivotFields count="12">
    <pivotField numFmtId="14" showAll="0">
      <items count="15">
        <item x="0"/>
        <item x="1"/>
        <item x="2"/>
        <item x="3"/>
        <item x="4"/>
        <item x="5"/>
        <item x="6"/>
        <item x="7"/>
        <item x="8"/>
        <item x="9"/>
        <item x="10"/>
        <item x="11"/>
        <item x="12"/>
        <item x="13"/>
        <item t="default"/>
      </items>
    </pivotField>
    <pivotField showAll="0"/>
    <pivotField axis="axisRow" showAll="0">
      <items count="4">
        <item x="1"/>
        <item x="2"/>
        <item x="0"/>
        <item t="default"/>
      </items>
    </pivotField>
    <pivotField showAll="0"/>
    <pivotField showAll="0" measureFilter="1">
      <items count="372">
        <item x="40"/>
        <item x="166"/>
        <item x="188"/>
        <item x="112"/>
        <item x="45"/>
        <item x="261"/>
        <item x="341"/>
        <item x="281"/>
        <item x="278"/>
        <item x="58"/>
        <item x="32"/>
        <item x="342"/>
        <item x="182"/>
        <item x="83"/>
        <item x="14"/>
        <item x="198"/>
        <item x="175"/>
        <item x="237"/>
        <item x="151"/>
        <item x="365"/>
        <item x="31"/>
        <item x="321"/>
        <item x="165"/>
        <item x="268"/>
        <item x="17"/>
        <item x="235"/>
        <item x="331"/>
        <item x="128"/>
        <item x="98"/>
        <item x="133"/>
        <item x="203"/>
        <item x="364"/>
        <item x="131"/>
        <item x="193"/>
        <item x="368"/>
        <item x="252"/>
        <item x="283"/>
        <item x="240"/>
        <item x="323"/>
        <item x="259"/>
        <item x="290"/>
        <item x="324"/>
        <item x="335"/>
        <item x="39"/>
        <item x="213"/>
        <item x="118"/>
        <item x="225"/>
        <item x="262"/>
        <item x="127"/>
        <item x="305"/>
        <item x="196"/>
        <item x="180"/>
        <item x="100"/>
        <item x="287"/>
        <item x="9"/>
        <item x="297"/>
        <item x="223"/>
        <item x="145"/>
        <item x="239"/>
        <item x="345"/>
        <item x="59"/>
        <item x="334"/>
        <item x="218"/>
        <item x="143"/>
        <item x="30"/>
        <item x="11"/>
        <item x="29"/>
        <item x="41"/>
        <item x="285"/>
        <item x="355"/>
        <item x="97"/>
        <item x="177"/>
        <item x="46"/>
        <item x="326"/>
        <item x="236"/>
        <item x="94"/>
        <item x="144"/>
        <item x="343"/>
        <item x="250"/>
        <item x="340"/>
        <item x="54"/>
        <item x="211"/>
        <item x="42"/>
        <item x="260"/>
        <item x="22"/>
        <item x="67"/>
        <item x="322"/>
        <item x="25"/>
        <item x="63"/>
        <item x="275"/>
        <item x="24"/>
        <item x="208"/>
        <item x="339"/>
        <item x="336"/>
        <item x="360"/>
        <item x="71"/>
        <item x="311"/>
        <item x="116"/>
        <item x="302"/>
        <item x="92"/>
        <item x="298"/>
        <item x="103"/>
        <item x="114"/>
        <item x="130"/>
        <item x="158"/>
        <item x="160"/>
        <item x="73"/>
        <item x="200"/>
        <item x="1"/>
        <item x="50"/>
        <item x="20"/>
        <item x="234"/>
        <item x="233"/>
        <item x="99"/>
        <item x="346"/>
        <item x="257"/>
        <item x="269"/>
        <item x="292"/>
        <item x="171"/>
        <item x="48"/>
        <item x="110"/>
        <item x="141"/>
        <item x="349"/>
        <item x="356"/>
        <item x="224"/>
        <item x="329"/>
        <item x="227"/>
        <item x="195"/>
        <item x="201"/>
        <item x="33"/>
        <item x="243"/>
        <item x="247"/>
        <item x="226"/>
        <item x="95"/>
        <item x="289"/>
        <item x="320"/>
        <item x="206"/>
        <item x="0"/>
        <item x="296"/>
        <item x="170"/>
        <item x="173"/>
        <item x="185"/>
        <item x="351"/>
        <item x="358"/>
        <item x="157"/>
        <item x="308"/>
        <item x="6"/>
        <item x="156"/>
        <item x="370"/>
        <item x="209"/>
        <item x="38"/>
        <item x="51"/>
        <item x="86"/>
        <item x="93"/>
        <item x="230"/>
        <item x="119"/>
        <item x="263"/>
        <item x="270"/>
        <item x="276"/>
        <item x="101"/>
        <item x="120"/>
        <item x="113"/>
        <item x="184"/>
        <item x="69"/>
        <item x="284"/>
        <item x="49"/>
        <item x="27"/>
        <item x="174"/>
        <item x="68"/>
        <item x="140"/>
        <item x="146"/>
        <item x="179"/>
        <item x="205"/>
        <item x="359"/>
        <item x="37"/>
        <item x="246"/>
        <item x="256"/>
        <item x="194"/>
        <item x="148"/>
        <item x="150"/>
        <item x="62"/>
        <item x="328"/>
        <item x="314"/>
        <item x="75"/>
        <item x="2"/>
        <item x="74"/>
        <item x="172"/>
        <item x="294"/>
        <item x="216"/>
        <item x="123"/>
        <item x="164"/>
        <item x="35"/>
        <item x="350"/>
        <item x="249"/>
        <item x="254"/>
        <item x="149"/>
        <item x="357"/>
        <item x="366"/>
        <item x="362"/>
        <item x="23"/>
        <item x="10"/>
        <item x="245"/>
        <item x="286"/>
        <item x="197"/>
        <item x="81"/>
        <item x="220"/>
        <item x="89"/>
        <item x="108"/>
        <item x="265"/>
        <item x="282"/>
        <item x="79"/>
        <item x="12"/>
        <item x="232"/>
        <item x="161"/>
        <item x="204"/>
        <item x="212"/>
        <item x="337"/>
        <item x="91"/>
        <item x="132"/>
        <item x="137"/>
        <item x="363"/>
        <item x="333"/>
        <item x="277"/>
        <item x="189"/>
        <item x="34"/>
        <item x="190"/>
        <item x="126"/>
        <item x="312"/>
        <item x="291"/>
        <item x="228"/>
        <item x="7"/>
        <item x="241"/>
        <item x="13"/>
        <item x="19"/>
        <item x="330"/>
        <item x="344"/>
        <item x="315"/>
        <item x="313"/>
        <item x="111"/>
        <item x="78"/>
        <item x="272"/>
        <item x="121"/>
        <item x="64"/>
        <item x="221"/>
        <item x="258"/>
        <item x="274"/>
        <item x="84"/>
        <item x="70"/>
        <item x="136"/>
        <item x="4"/>
        <item x="301"/>
        <item x="299"/>
        <item x="273"/>
        <item x="44"/>
        <item x="47"/>
        <item x="255"/>
        <item x="102"/>
        <item x="253"/>
        <item x="159"/>
        <item x="309"/>
        <item x="36"/>
        <item x="117"/>
        <item x="361"/>
        <item x="191"/>
        <item x="3"/>
        <item x="43"/>
        <item x="105"/>
        <item x="215"/>
        <item x="217"/>
        <item x="280"/>
        <item x="135"/>
        <item x="176"/>
        <item x="238"/>
        <item x="231"/>
        <item x="295"/>
        <item x="134"/>
        <item x="106"/>
        <item x="202"/>
        <item x="168"/>
        <item x="338"/>
        <item x="288"/>
        <item x="138"/>
        <item x="125"/>
        <item x="178"/>
        <item x="210"/>
        <item x="5"/>
        <item x="52"/>
        <item x="307"/>
        <item x="77"/>
        <item x="88"/>
        <item x="96"/>
        <item x="248"/>
        <item x="18"/>
        <item x="153"/>
        <item x="82"/>
        <item x="155"/>
        <item x="186"/>
        <item x="317"/>
        <item x="214"/>
        <item x="87"/>
        <item x="66"/>
        <item x="279"/>
        <item x="316"/>
        <item x="147"/>
        <item x="21"/>
        <item x="369"/>
        <item x="53"/>
        <item x="28"/>
        <item x="242"/>
        <item x="124"/>
        <item x="348"/>
        <item x="244"/>
        <item x="347"/>
        <item x="72"/>
        <item x="367"/>
        <item x="163"/>
        <item x="15"/>
        <item x="293"/>
        <item x="154"/>
        <item x="187"/>
        <item x="107"/>
        <item x="152"/>
        <item x="129"/>
        <item x="76"/>
        <item x="354"/>
        <item x="122"/>
        <item x="139"/>
        <item x="319"/>
        <item x="199"/>
        <item x="26"/>
        <item x="264"/>
        <item x="183"/>
        <item x="267"/>
        <item x="303"/>
        <item x="332"/>
        <item x="310"/>
        <item x="325"/>
        <item x="207"/>
        <item x="219"/>
        <item x="80"/>
        <item x="65"/>
        <item x="8"/>
        <item x="104"/>
        <item x="169"/>
        <item x="318"/>
        <item x="352"/>
        <item x="60"/>
        <item x="353"/>
        <item x="56"/>
        <item x="57"/>
        <item x="109"/>
        <item x="304"/>
        <item x="266"/>
        <item x="55"/>
        <item x="85"/>
        <item x="251"/>
        <item x="115"/>
        <item x="61"/>
        <item x="222"/>
        <item x="192"/>
        <item x="162"/>
        <item x="300"/>
        <item x="327"/>
        <item x="167"/>
        <item x="271"/>
        <item x="16"/>
        <item x="306"/>
        <item x="181"/>
        <item x="229"/>
        <item x="90"/>
        <item x="142"/>
        <item t="default"/>
      </items>
    </pivotField>
    <pivotField showAll="0"/>
    <pivotField showAll="0">
      <items count="5">
        <item x="3"/>
        <item x="2"/>
        <item x="0"/>
        <item x="1"/>
        <item t="default"/>
      </items>
    </pivotField>
    <pivotField showAll="0"/>
    <pivotField dataField="1" showAll="0"/>
    <pivotField showAll="0"/>
    <pivotField showAll="0" defaultSubtotal="0">
      <items count="6">
        <item sd="0" x="0"/>
        <item sd="0" x="1"/>
        <item sd="0" x="2"/>
        <item sd="0" x="3"/>
        <item sd="0" x="4"/>
        <item sd="0" x="5"/>
      </items>
    </pivotField>
    <pivotField showAll="0" defaultSubtotal="0">
      <items count="6">
        <item sd="0" x="0"/>
        <item sd="0" x="1"/>
        <item sd="0" x="2"/>
        <item sd="0" x="3"/>
        <item sd="0" x="4"/>
        <item sd="0" x="5"/>
      </items>
    </pivotField>
  </pivotFields>
  <rowFields count="1">
    <field x="2"/>
  </rowFields>
  <rowItems count="4">
    <i>
      <x/>
    </i>
    <i>
      <x v="1"/>
    </i>
    <i>
      <x v="2"/>
    </i>
    <i t="grand">
      <x/>
    </i>
  </rowItems>
  <colItems count="1">
    <i/>
  </colItems>
  <dataFields count="1">
    <dataField name="Sum of Sales" fld="8" baseField="0" baseItem="0"/>
  </dataFields>
  <formats count="2">
    <format dxfId="69">
      <pivotArea field="11" grandRow="1" outline="0" collapsedLevelsAreSubtotals="1">
        <references count="1">
          <reference field="4294967294" count="1" selected="0">
            <x v="0"/>
          </reference>
        </references>
      </pivotArea>
    </format>
    <format dxfId="68">
      <pivotArea collapsedLevelsAreSubtotals="1" fieldPosition="0">
        <references count="1">
          <reference field="2" count="0"/>
        </references>
      </pivotArea>
    </format>
  </formats>
  <chartFormats count="8">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2" count="1" selected="0">
            <x v="0"/>
          </reference>
        </references>
      </pivotArea>
    </chartFormat>
    <chartFormat chart="2" format="2">
      <pivotArea type="data" outline="0" fieldPosition="0">
        <references count="2">
          <reference field="4294967294" count="1" selected="0">
            <x v="0"/>
          </reference>
          <reference field="2" count="1" selected="0">
            <x v="1"/>
          </reference>
        </references>
      </pivotArea>
    </chartFormat>
    <chartFormat chart="2" format="3">
      <pivotArea type="data" outline="0" fieldPosition="0">
        <references count="2">
          <reference field="4294967294" count="1" selected="0">
            <x v="0"/>
          </reference>
          <reference field="2" count="1" selected="0">
            <x v="2"/>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2" count="1" selected="0">
            <x v="0"/>
          </reference>
        </references>
      </pivotArea>
    </chartFormat>
    <chartFormat chart="4" format="10">
      <pivotArea type="data" outline="0" fieldPosition="0">
        <references count="2">
          <reference field="4294967294" count="1" selected="0">
            <x v="0"/>
          </reference>
          <reference field="2" count="1" selected="0">
            <x v="1"/>
          </reference>
        </references>
      </pivotArea>
    </chartFormat>
    <chartFormat chart="4" format="1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100-000007000000}" name="PivotTable1"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4:D5" firstHeaderRow="0" firstDataRow="1" firstDataCol="0"/>
  <pivotFields count="12">
    <pivotField numFmtId="14" showAll="0">
      <items count="15">
        <item x="0"/>
        <item x="1"/>
        <item x="2"/>
        <item x="3"/>
        <item x="4"/>
        <item x="5"/>
        <item x="6"/>
        <item x="7"/>
        <item x="8"/>
        <item x="9"/>
        <item x="10"/>
        <item x="11"/>
        <item x="12"/>
        <item x="13"/>
        <item t="default"/>
      </items>
    </pivotField>
    <pivotField showAll="0"/>
    <pivotField showAll="0">
      <items count="4">
        <item x="1"/>
        <item x="2"/>
        <item x="0"/>
        <item t="default"/>
      </items>
    </pivotField>
    <pivotField showAll="0"/>
    <pivotField showAll="0"/>
    <pivotField showAll="0"/>
    <pivotField showAll="0">
      <items count="5">
        <item x="3"/>
        <item x="2"/>
        <item x="0"/>
        <item x="1"/>
        <item t="default"/>
      </items>
    </pivotField>
    <pivotField dataField="1" showAll="0"/>
    <pivotField dataField="1" showAll="0"/>
    <pivotField dataField="1" showAll="0"/>
    <pivotField showAll="0" defaultSubtotal="0">
      <items count="6">
        <item x="0"/>
        <item x="1"/>
        <item x="2"/>
        <item x="3"/>
        <item x="4"/>
        <item x="5"/>
      </items>
    </pivotField>
    <pivotField showAll="0" defaultSubtotal="0">
      <items count="6">
        <item x="0"/>
        <item x="1"/>
        <item x="2"/>
        <item x="3"/>
        <item x="4"/>
        <item x="5"/>
      </items>
    </pivotField>
  </pivotFields>
  <rowItems count="1">
    <i/>
  </rowItems>
  <colFields count="1">
    <field x="-2"/>
  </colFields>
  <colItems count="3">
    <i>
      <x/>
    </i>
    <i i="1">
      <x v="1"/>
    </i>
    <i i="2">
      <x v="2"/>
    </i>
  </colItems>
  <dataFields count="3">
    <dataField name="Sum of Sales" fld="8" baseField="0" baseItem="0"/>
    <dataField name="Sum of Quantity" fld="7" baseField="0" baseItem="0"/>
    <dataField name="Sum of Profit"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100-000004000000}" name="PivotTable5"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33:C82" firstHeaderRow="1" firstDataRow="1" firstDataCol="1"/>
  <pivotFields count="12">
    <pivotField numFmtId="14" showAll="0">
      <items count="15">
        <item x="0"/>
        <item x="1"/>
        <item x="2"/>
        <item x="3"/>
        <item x="4"/>
        <item x="5"/>
        <item x="6"/>
        <item x="7"/>
        <item x="8"/>
        <item x="9"/>
        <item x="10"/>
        <item x="11"/>
        <item x="12"/>
        <item x="13"/>
        <item t="default"/>
      </items>
    </pivotField>
    <pivotField showAll="0"/>
    <pivotField showAll="0">
      <items count="4">
        <item x="1"/>
        <item x="2"/>
        <item x="0"/>
        <item t="default"/>
      </items>
    </pivotField>
    <pivotField showAll="0"/>
    <pivotField showAll="0" measureFilter="1">
      <items count="372">
        <item x="40"/>
        <item x="166"/>
        <item x="188"/>
        <item x="112"/>
        <item x="45"/>
        <item x="261"/>
        <item x="341"/>
        <item x="281"/>
        <item x="278"/>
        <item x="58"/>
        <item x="32"/>
        <item x="342"/>
        <item x="182"/>
        <item x="83"/>
        <item x="14"/>
        <item x="198"/>
        <item x="175"/>
        <item x="237"/>
        <item x="151"/>
        <item x="365"/>
        <item x="31"/>
        <item x="321"/>
        <item x="165"/>
        <item x="268"/>
        <item x="17"/>
        <item x="235"/>
        <item x="331"/>
        <item x="128"/>
        <item x="98"/>
        <item x="133"/>
        <item x="203"/>
        <item x="364"/>
        <item x="131"/>
        <item x="193"/>
        <item x="368"/>
        <item x="252"/>
        <item x="283"/>
        <item x="240"/>
        <item x="323"/>
        <item x="259"/>
        <item x="290"/>
        <item x="324"/>
        <item x="335"/>
        <item x="39"/>
        <item x="213"/>
        <item x="118"/>
        <item x="225"/>
        <item x="262"/>
        <item x="127"/>
        <item x="305"/>
        <item x="196"/>
        <item x="180"/>
        <item x="100"/>
        <item x="287"/>
        <item x="9"/>
        <item x="297"/>
        <item x="223"/>
        <item x="145"/>
        <item x="239"/>
        <item x="345"/>
        <item x="59"/>
        <item x="334"/>
        <item x="218"/>
        <item x="143"/>
        <item x="30"/>
        <item x="11"/>
        <item x="29"/>
        <item x="41"/>
        <item x="285"/>
        <item x="355"/>
        <item x="97"/>
        <item x="177"/>
        <item x="46"/>
        <item x="326"/>
        <item x="236"/>
        <item x="94"/>
        <item x="144"/>
        <item x="343"/>
        <item x="250"/>
        <item x="340"/>
        <item x="54"/>
        <item x="211"/>
        <item x="42"/>
        <item x="260"/>
        <item x="22"/>
        <item x="67"/>
        <item x="322"/>
        <item x="25"/>
        <item x="63"/>
        <item x="275"/>
        <item x="24"/>
        <item x="208"/>
        <item x="339"/>
        <item x="336"/>
        <item x="360"/>
        <item x="71"/>
        <item x="311"/>
        <item x="116"/>
        <item x="302"/>
        <item x="92"/>
        <item x="298"/>
        <item x="103"/>
        <item x="114"/>
        <item x="130"/>
        <item x="158"/>
        <item x="160"/>
        <item x="73"/>
        <item x="200"/>
        <item x="1"/>
        <item x="50"/>
        <item x="20"/>
        <item x="234"/>
        <item x="233"/>
        <item x="99"/>
        <item x="346"/>
        <item x="257"/>
        <item x="269"/>
        <item x="292"/>
        <item x="171"/>
        <item x="48"/>
        <item x="110"/>
        <item x="141"/>
        <item x="349"/>
        <item x="356"/>
        <item x="224"/>
        <item x="329"/>
        <item x="227"/>
        <item x="195"/>
        <item x="201"/>
        <item x="33"/>
        <item x="243"/>
        <item x="247"/>
        <item x="226"/>
        <item x="95"/>
        <item x="289"/>
        <item x="320"/>
        <item x="206"/>
        <item x="0"/>
        <item x="296"/>
        <item x="170"/>
        <item x="173"/>
        <item x="185"/>
        <item x="351"/>
        <item x="358"/>
        <item x="157"/>
        <item x="308"/>
        <item x="6"/>
        <item x="156"/>
        <item x="370"/>
        <item x="209"/>
        <item x="38"/>
        <item x="51"/>
        <item x="86"/>
        <item x="93"/>
        <item x="230"/>
        <item x="119"/>
        <item x="263"/>
        <item x="270"/>
        <item x="276"/>
        <item x="101"/>
        <item x="120"/>
        <item x="113"/>
        <item x="184"/>
        <item x="69"/>
        <item x="284"/>
        <item x="49"/>
        <item x="27"/>
        <item x="174"/>
        <item x="68"/>
        <item x="140"/>
        <item x="146"/>
        <item x="179"/>
        <item x="205"/>
        <item x="359"/>
        <item x="37"/>
        <item x="246"/>
        <item x="256"/>
        <item x="194"/>
        <item x="148"/>
        <item x="150"/>
        <item x="62"/>
        <item x="328"/>
        <item x="314"/>
        <item x="75"/>
        <item x="2"/>
        <item x="74"/>
        <item x="172"/>
        <item x="294"/>
        <item x="216"/>
        <item x="123"/>
        <item x="164"/>
        <item x="35"/>
        <item x="350"/>
        <item x="249"/>
        <item x="254"/>
        <item x="149"/>
        <item x="357"/>
        <item x="366"/>
        <item x="362"/>
        <item x="23"/>
        <item x="10"/>
        <item x="245"/>
        <item x="286"/>
        <item x="197"/>
        <item x="81"/>
        <item x="220"/>
        <item x="89"/>
        <item x="108"/>
        <item x="265"/>
        <item x="282"/>
        <item x="79"/>
        <item x="12"/>
        <item x="232"/>
        <item x="161"/>
        <item x="204"/>
        <item x="212"/>
        <item x="337"/>
        <item x="91"/>
        <item x="132"/>
        <item x="137"/>
        <item x="363"/>
        <item x="333"/>
        <item x="277"/>
        <item x="189"/>
        <item x="34"/>
        <item x="190"/>
        <item x="126"/>
        <item x="312"/>
        <item x="291"/>
        <item x="228"/>
        <item x="7"/>
        <item x="241"/>
        <item x="13"/>
        <item x="19"/>
        <item x="330"/>
        <item x="344"/>
        <item x="315"/>
        <item x="313"/>
        <item x="111"/>
        <item x="78"/>
        <item x="272"/>
        <item x="121"/>
        <item x="64"/>
        <item x="221"/>
        <item x="258"/>
        <item x="274"/>
        <item x="84"/>
        <item x="70"/>
        <item x="136"/>
        <item x="4"/>
        <item x="301"/>
        <item x="299"/>
        <item x="273"/>
        <item x="44"/>
        <item x="47"/>
        <item x="255"/>
        <item x="102"/>
        <item x="253"/>
        <item x="159"/>
        <item x="309"/>
        <item x="36"/>
        <item x="117"/>
        <item x="361"/>
        <item x="191"/>
        <item x="3"/>
        <item x="43"/>
        <item x="105"/>
        <item x="215"/>
        <item x="217"/>
        <item x="280"/>
        <item x="135"/>
        <item x="176"/>
        <item x="238"/>
        <item x="231"/>
        <item x="295"/>
        <item x="134"/>
        <item x="106"/>
        <item x="202"/>
        <item x="168"/>
        <item x="338"/>
        <item x="288"/>
        <item x="138"/>
        <item x="125"/>
        <item x="178"/>
        <item x="210"/>
        <item x="5"/>
        <item x="52"/>
        <item x="307"/>
        <item x="77"/>
        <item x="88"/>
        <item x="96"/>
        <item x="248"/>
        <item x="18"/>
        <item x="153"/>
        <item x="82"/>
        <item x="155"/>
        <item x="186"/>
        <item x="317"/>
        <item x="214"/>
        <item x="87"/>
        <item x="66"/>
        <item x="279"/>
        <item x="316"/>
        <item x="147"/>
        <item x="21"/>
        <item x="369"/>
        <item x="53"/>
        <item x="28"/>
        <item x="242"/>
        <item x="124"/>
        <item x="348"/>
        <item x="244"/>
        <item x="347"/>
        <item x="72"/>
        <item x="367"/>
        <item x="163"/>
        <item x="15"/>
        <item x="293"/>
        <item x="154"/>
        <item x="187"/>
        <item x="107"/>
        <item x="152"/>
        <item x="129"/>
        <item x="76"/>
        <item x="354"/>
        <item x="122"/>
        <item x="139"/>
        <item x="319"/>
        <item x="199"/>
        <item x="26"/>
        <item x="264"/>
        <item x="183"/>
        <item x="267"/>
        <item x="303"/>
        <item x="332"/>
        <item x="310"/>
        <item x="325"/>
        <item x="207"/>
        <item x="219"/>
        <item x="80"/>
        <item x="65"/>
        <item x="8"/>
        <item x="104"/>
        <item x="169"/>
        <item x="318"/>
        <item x="352"/>
        <item x="60"/>
        <item x="353"/>
        <item x="56"/>
        <item x="57"/>
        <item x="109"/>
        <item x="304"/>
        <item x="266"/>
        <item x="55"/>
        <item x="85"/>
        <item x="251"/>
        <item x="115"/>
        <item x="61"/>
        <item x="222"/>
        <item x="192"/>
        <item x="162"/>
        <item x="300"/>
        <item x="327"/>
        <item x="167"/>
        <item x="271"/>
        <item x="16"/>
        <item x="306"/>
        <item x="181"/>
        <item x="229"/>
        <item x="90"/>
        <item x="142"/>
        <item t="default"/>
      </items>
    </pivotField>
    <pivotField axis="axisRow" showAll="0">
      <items count="49">
        <item x="33"/>
        <item x="22"/>
        <item x="31"/>
        <item x="2"/>
        <item x="12"/>
        <item x="19"/>
        <item x="14"/>
        <item x="29"/>
        <item x="1"/>
        <item x="24"/>
        <item x="42"/>
        <item x="8"/>
        <item x="6"/>
        <item x="26"/>
        <item x="44"/>
        <item x="0"/>
        <item x="35"/>
        <item x="39"/>
        <item x="32"/>
        <item x="20"/>
        <item x="17"/>
        <item x="11"/>
        <item x="21"/>
        <item x="23"/>
        <item x="46"/>
        <item x="27"/>
        <item x="34"/>
        <item x="28"/>
        <item x="18"/>
        <item x="41"/>
        <item x="7"/>
        <item x="30"/>
        <item x="15"/>
        <item x="37"/>
        <item x="36"/>
        <item x="3"/>
        <item x="38"/>
        <item x="10"/>
        <item x="40"/>
        <item x="9"/>
        <item x="5"/>
        <item x="4"/>
        <item x="43"/>
        <item x="25"/>
        <item x="13"/>
        <item x="47"/>
        <item x="16"/>
        <item x="45"/>
        <item t="default"/>
      </items>
    </pivotField>
    <pivotField showAll="0">
      <items count="5">
        <item x="3"/>
        <item x="2"/>
        <item x="0"/>
        <item x="1"/>
        <item t="default"/>
      </items>
    </pivotField>
    <pivotField showAll="0"/>
    <pivotField dataField="1" showAll="0"/>
    <pivotField showAll="0"/>
    <pivotField showAll="0" defaultSubtotal="0">
      <items count="6">
        <item sd="0" x="0"/>
        <item sd="0" x="1"/>
        <item sd="0" x="2"/>
        <item sd="0" x="3"/>
        <item sd="0" x="4"/>
        <item sd="0" x="5"/>
      </items>
    </pivotField>
    <pivotField showAll="0" defaultSubtotal="0">
      <items count="6">
        <item sd="0" x="0"/>
        <item sd="0" x="1"/>
        <item sd="0" x="2"/>
        <item sd="0" x="3"/>
        <item sd="0" x="4"/>
        <item sd="0" x="5"/>
      </items>
    </pivotField>
  </pivotFields>
  <rowFields count="1">
    <field x="5"/>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Sum of Sales" fld="8" baseField="0" baseItem="0"/>
  </dataFields>
  <formats count="2">
    <format dxfId="71">
      <pivotArea field="11" grandRow="1" outline="0" collapsedLevelsAreSubtotals="1">
        <references count="1">
          <reference field="4294967294" count="1" selected="0">
            <x v="0"/>
          </reference>
        </references>
      </pivotArea>
    </format>
    <format dxfId="70">
      <pivotArea collapsedLevelsAreSubtotals="1" fieldPosition="0">
        <references count="1">
          <reference field="5" count="0"/>
        </references>
      </pivotArea>
    </format>
  </formats>
  <pivotTableStyleInfo name="PivotStyleLight16" showRowHeaders="1" showColHeaders="1" showRowStripes="0" showColStripes="0" showLastColumn="1"/>
  <filters count="1">
    <filter fld="4"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100-000006000000}" name="region"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6">
  <location ref="I44:J49" firstHeaderRow="1" firstDataRow="1" firstDataCol="1"/>
  <pivotFields count="12">
    <pivotField numFmtId="14" showAll="0">
      <items count="15">
        <item x="0"/>
        <item x="1"/>
        <item x="2"/>
        <item x="3"/>
        <item x="4"/>
        <item x="5"/>
        <item x="6"/>
        <item x="7"/>
        <item x="8"/>
        <item x="9"/>
        <item x="10"/>
        <item x="11"/>
        <item x="12"/>
        <item x="13"/>
        <item t="default"/>
      </items>
    </pivotField>
    <pivotField showAll="0" measureFilter="1">
      <items count="11">
        <item x="3"/>
        <item x="4"/>
        <item x="8"/>
        <item x="9"/>
        <item x="6"/>
        <item x="1"/>
        <item x="0"/>
        <item x="7"/>
        <item x="5"/>
        <item x="2"/>
        <item t="default"/>
      </items>
    </pivotField>
    <pivotField showAll="0">
      <items count="4">
        <item x="1"/>
        <item x="2"/>
        <item x="0"/>
        <item t="default"/>
      </items>
    </pivotField>
    <pivotField showAll="0"/>
    <pivotField showAll="0" measureFilter="1">
      <items count="372">
        <item x="40"/>
        <item x="166"/>
        <item x="188"/>
        <item x="112"/>
        <item x="45"/>
        <item x="261"/>
        <item x="341"/>
        <item x="281"/>
        <item x="278"/>
        <item x="58"/>
        <item x="32"/>
        <item x="342"/>
        <item x="182"/>
        <item x="83"/>
        <item x="14"/>
        <item x="198"/>
        <item x="175"/>
        <item x="237"/>
        <item x="151"/>
        <item x="365"/>
        <item x="31"/>
        <item x="321"/>
        <item x="165"/>
        <item x="268"/>
        <item x="17"/>
        <item x="235"/>
        <item x="331"/>
        <item x="128"/>
        <item x="98"/>
        <item x="133"/>
        <item x="203"/>
        <item x="364"/>
        <item x="131"/>
        <item x="193"/>
        <item x="368"/>
        <item x="252"/>
        <item x="283"/>
        <item x="240"/>
        <item x="323"/>
        <item x="259"/>
        <item x="290"/>
        <item x="324"/>
        <item x="335"/>
        <item x="39"/>
        <item x="213"/>
        <item x="118"/>
        <item x="225"/>
        <item x="262"/>
        <item x="127"/>
        <item x="305"/>
        <item x="196"/>
        <item x="180"/>
        <item x="100"/>
        <item x="287"/>
        <item x="9"/>
        <item x="297"/>
        <item x="223"/>
        <item x="145"/>
        <item x="239"/>
        <item x="345"/>
        <item x="59"/>
        <item x="334"/>
        <item x="218"/>
        <item x="143"/>
        <item x="30"/>
        <item x="11"/>
        <item x="29"/>
        <item x="41"/>
        <item x="285"/>
        <item x="355"/>
        <item x="97"/>
        <item x="177"/>
        <item x="46"/>
        <item x="326"/>
        <item x="236"/>
        <item x="94"/>
        <item x="144"/>
        <item x="343"/>
        <item x="250"/>
        <item x="340"/>
        <item x="54"/>
        <item x="211"/>
        <item x="42"/>
        <item x="260"/>
        <item x="22"/>
        <item x="67"/>
        <item x="322"/>
        <item x="25"/>
        <item x="63"/>
        <item x="275"/>
        <item x="24"/>
        <item x="208"/>
        <item x="339"/>
        <item x="336"/>
        <item x="360"/>
        <item x="71"/>
        <item x="311"/>
        <item x="116"/>
        <item x="302"/>
        <item x="92"/>
        <item x="298"/>
        <item x="103"/>
        <item x="114"/>
        <item x="130"/>
        <item x="158"/>
        <item x="160"/>
        <item x="73"/>
        <item x="200"/>
        <item x="1"/>
        <item x="50"/>
        <item x="20"/>
        <item x="234"/>
        <item x="233"/>
        <item x="99"/>
        <item x="346"/>
        <item x="257"/>
        <item x="269"/>
        <item x="292"/>
        <item x="171"/>
        <item x="48"/>
        <item x="110"/>
        <item x="141"/>
        <item x="349"/>
        <item x="356"/>
        <item x="224"/>
        <item x="329"/>
        <item x="227"/>
        <item x="195"/>
        <item x="201"/>
        <item x="33"/>
        <item x="243"/>
        <item x="247"/>
        <item x="226"/>
        <item x="95"/>
        <item x="289"/>
        <item x="320"/>
        <item x="206"/>
        <item x="0"/>
        <item x="296"/>
        <item x="170"/>
        <item x="173"/>
        <item x="185"/>
        <item x="351"/>
        <item x="358"/>
        <item x="157"/>
        <item x="308"/>
        <item x="6"/>
        <item x="156"/>
        <item x="370"/>
        <item x="209"/>
        <item x="38"/>
        <item x="51"/>
        <item x="86"/>
        <item x="93"/>
        <item x="230"/>
        <item x="119"/>
        <item x="263"/>
        <item x="270"/>
        <item x="276"/>
        <item x="101"/>
        <item x="120"/>
        <item x="113"/>
        <item x="184"/>
        <item x="69"/>
        <item x="284"/>
        <item x="49"/>
        <item x="27"/>
        <item x="174"/>
        <item x="68"/>
        <item x="140"/>
        <item x="146"/>
        <item x="179"/>
        <item x="205"/>
        <item x="359"/>
        <item x="37"/>
        <item x="246"/>
        <item x="256"/>
        <item x="194"/>
        <item x="148"/>
        <item x="150"/>
        <item x="62"/>
        <item x="328"/>
        <item x="314"/>
        <item x="75"/>
        <item x="2"/>
        <item x="74"/>
        <item x="172"/>
        <item x="294"/>
        <item x="216"/>
        <item x="123"/>
        <item x="164"/>
        <item x="35"/>
        <item x="350"/>
        <item x="249"/>
        <item x="254"/>
        <item x="149"/>
        <item x="357"/>
        <item x="366"/>
        <item x="362"/>
        <item x="23"/>
        <item x="10"/>
        <item x="245"/>
        <item x="286"/>
        <item x="197"/>
        <item x="81"/>
        <item x="220"/>
        <item x="89"/>
        <item x="108"/>
        <item x="265"/>
        <item x="282"/>
        <item x="79"/>
        <item x="12"/>
        <item x="232"/>
        <item x="161"/>
        <item x="204"/>
        <item x="212"/>
        <item x="337"/>
        <item x="91"/>
        <item x="132"/>
        <item x="137"/>
        <item x="363"/>
        <item x="333"/>
        <item x="277"/>
        <item x="189"/>
        <item x="34"/>
        <item x="190"/>
        <item x="126"/>
        <item x="312"/>
        <item x="291"/>
        <item x="228"/>
        <item x="7"/>
        <item x="241"/>
        <item x="13"/>
        <item x="19"/>
        <item x="330"/>
        <item x="344"/>
        <item x="315"/>
        <item x="313"/>
        <item x="111"/>
        <item x="78"/>
        <item x="272"/>
        <item x="121"/>
        <item x="64"/>
        <item x="221"/>
        <item x="258"/>
        <item x="274"/>
        <item x="84"/>
        <item x="70"/>
        <item x="136"/>
        <item x="4"/>
        <item x="301"/>
        <item x="299"/>
        <item x="273"/>
        <item x="44"/>
        <item x="47"/>
        <item x="255"/>
        <item x="102"/>
        <item x="253"/>
        <item x="159"/>
        <item x="309"/>
        <item x="36"/>
        <item x="117"/>
        <item x="361"/>
        <item x="191"/>
        <item x="3"/>
        <item x="43"/>
        <item x="105"/>
        <item x="215"/>
        <item x="217"/>
        <item x="280"/>
        <item x="135"/>
        <item x="176"/>
        <item x="238"/>
        <item x="231"/>
        <item x="295"/>
        <item x="134"/>
        <item x="106"/>
        <item x="202"/>
        <item x="168"/>
        <item x="338"/>
        <item x="288"/>
        <item x="138"/>
        <item x="125"/>
        <item x="178"/>
        <item x="210"/>
        <item x="5"/>
        <item x="52"/>
        <item x="307"/>
        <item x="77"/>
        <item x="88"/>
        <item x="96"/>
        <item x="248"/>
        <item x="18"/>
        <item x="153"/>
        <item x="82"/>
        <item x="155"/>
        <item x="186"/>
        <item x="317"/>
        <item x="214"/>
        <item x="87"/>
        <item x="66"/>
        <item x="279"/>
        <item x="316"/>
        <item x="147"/>
        <item x="21"/>
        <item x="369"/>
        <item x="53"/>
        <item x="28"/>
        <item x="242"/>
        <item x="124"/>
        <item x="348"/>
        <item x="244"/>
        <item x="347"/>
        <item x="72"/>
        <item x="367"/>
        <item x="163"/>
        <item x="15"/>
        <item x="293"/>
        <item x="154"/>
        <item x="187"/>
        <item x="107"/>
        <item x="152"/>
        <item x="129"/>
        <item x="76"/>
        <item x="354"/>
        <item x="122"/>
        <item x="139"/>
        <item x="319"/>
        <item x="199"/>
        <item x="26"/>
        <item x="264"/>
        <item x="183"/>
        <item x="267"/>
        <item x="303"/>
        <item x="332"/>
        <item x="310"/>
        <item x="325"/>
        <item x="207"/>
        <item x="219"/>
        <item x="80"/>
        <item x="65"/>
        <item x="8"/>
        <item x="104"/>
        <item x="169"/>
        <item x="318"/>
        <item x="352"/>
        <item x="60"/>
        <item x="353"/>
        <item x="56"/>
        <item x="57"/>
        <item x="109"/>
        <item x="304"/>
        <item x="266"/>
        <item x="55"/>
        <item x="85"/>
        <item x="251"/>
        <item x="115"/>
        <item x="61"/>
        <item x="222"/>
        <item x="192"/>
        <item x="162"/>
        <item x="300"/>
        <item x="327"/>
        <item x="167"/>
        <item x="271"/>
        <item x="16"/>
        <item x="306"/>
        <item x="181"/>
        <item x="229"/>
        <item x="90"/>
        <item x="142"/>
        <item t="default"/>
      </items>
    </pivotField>
    <pivotField showAll="0"/>
    <pivotField axis="axisRow" showAll="0">
      <items count="5">
        <item x="3"/>
        <item x="2"/>
        <item x="0"/>
        <item x="1"/>
        <item t="default"/>
      </items>
    </pivotField>
    <pivotField showAll="0"/>
    <pivotField dataField="1" showAll="0"/>
    <pivotField showAll="0"/>
    <pivotField showAll="0" defaultSubtotal="0">
      <items count="6">
        <item sd="0" x="0"/>
        <item sd="0" x="1"/>
        <item sd="0" x="2"/>
        <item sd="0" x="3"/>
        <item sd="0" x="4"/>
        <item sd="0" x="5"/>
      </items>
    </pivotField>
    <pivotField showAll="0" defaultSubtotal="0">
      <items count="6">
        <item sd="0" x="0"/>
        <item sd="0" x="1"/>
        <item sd="0" x="2"/>
        <item sd="0" x="3"/>
        <item sd="0" x="4"/>
        <item sd="0" x="5"/>
      </items>
    </pivotField>
  </pivotFields>
  <rowFields count="1">
    <field x="6"/>
  </rowFields>
  <rowItems count="5">
    <i>
      <x/>
    </i>
    <i>
      <x v="1"/>
    </i>
    <i>
      <x v="2"/>
    </i>
    <i>
      <x v="3"/>
    </i>
    <i t="grand">
      <x/>
    </i>
  </rowItems>
  <colItems count="1">
    <i/>
  </colItems>
  <dataFields count="1">
    <dataField name="Sum of Sales" fld="8" baseField="0" baseItem="0" numFmtId="168"/>
  </dataFields>
  <formats count="2">
    <format dxfId="73">
      <pivotArea field="11" grandRow="1" outline="0" collapsedLevelsAreSubtotals="1">
        <references count="1">
          <reference field="4294967294" count="1" selected="0">
            <x v="0"/>
          </reference>
        </references>
      </pivotArea>
    </format>
    <format dxfId="72">
      <pivotArea outline="0" collapsedLevelsAreSubtotals="1" fieldPosition="0"/>
    </format>
  </formats>
  <chartFormats count="2">
    <chartFormat chart="2" format="3"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4" type="count" evalOrder="-1" id="1" iMeasureFld="0">
      <autoFilter ref="A1">
        <filterColumn colId="0">
          <top10 val="5" filterVal="5"/>
        </filterColumn>
      </autoFilter>
    </filter>
    <filter fld="1"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0000000-0016-0000-0000-000000000000}" autoFormatId="0" applyNumberFormats="0" applyBorderFormats="0" applyFontFormats="1" applyPatternFormats="1" applyAlignmentFormats="0" applyWidthHeightFormats="0">
  <queryTableRefresh preserveSortFilterLayout="0" nextId="11">
    <queryTableFields count="10">
      <queryTableField id="1" name="Order Date" tableColumnId="21"/>
      <queryTableField id="2" name="Product Name" tableColumnId="22"/>
      <queryTableField id="3" name="Category" tableColumnId="23"/>
      <queryTableField id="4" name="Country" tableColumnId="24"/>
      <queryTableField id="5" name="City" tableColumnId="25"/>
      <queryTableField id="6" name="State" tableColumnId="26"/>
      <queryTableField id="7" name="Region" tableColumnId="27"/>
      <queryTableField id="8" name="Quantity" tableColumnId="28"/>
      <queryTableField id="9" name="Sales" tableColumnId="29"/>
      <queryTableField id="10" name="Profit" tableColumnId="3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4BA02119-350B-4A78-BAFA-0FD38306AACB}" sourceName="Category">
  <pivotTables>
    <pivotTable tabId="3" name="PivotTable1"/>
    <pivotTable tabId="3" name="PivotTable2"/>
    <pivotTable tabId="3" name="PivotTable3"/>
    <pivotTable tabId="3" name="PivotTable4"/>
    <pivotTable tabId="3" name="PivotTable5"/>
    <pivotTable tabId="3" name="PivotTable7"/>
    <pivotTable tabId="3" name="region"/>
  </pivotTables>
  <data>
    <tabular pivotCacheId="2041816860">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C723E87-8E43-4B41-8199-04803EDF4570}" sourceName="Region">
  <pivotTables>
    <pivotTable tabId="3" name="category"/>
    <pivotTable tabId="3" name="PivotTable1"/>
    <pivotTable tabId="3" name="PivotTable2"/>
    <pivotTable tabId="3" name="PivotTable3"/>
    <pivotTable tabId="3" name="PivotTable4"/>
    <pivotTable tabId="3" name="PivotTable5"/>
    <pivotTable tabId="3" name="PivotTable7"/>
  </pivotTables>
  <data>
    <tabular pivotCacheId="2041816860">
      <items count="4">
        <i x="3" s="1"/>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D6BBB0DD-97F6-4F30-80FB-24170565C81B}" cache="Slicer_Category" caption="Category" columnCount="3" showCaption="0" style="Slicer Style 1" rowHeight="241300"/>
  <slicer name="Region" xr10:uid="{E080331D-020F-4674-A3D3-03F0E3C3D305}" cache="Slicer_Region" caption="Region" columnCount="4" showCaption="0" style="Slicer Style 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commerce_sales_data__2" displayName="ecommerce_sales_data__2" ref="A1:J3501" tableType="queryTable" totalsRowShown="0">
  <autoFilter ref="A1:J3501" xr:uid="{00000000-0009-0000-0100-000001000000}"/>
  <tableColumns count="10">
    <tableColumn id="21" xr3:uid="{00000000-0010-0000-0000-000015000000}" uniqueName="21" name="Order Date" queryTableFieldId="1" dataDxfId="74"/>
    <tableColumn id="22" xr3:uid="{00000000-0010-0000-0000-000016000000}" uniqueName="22" name="Product Name" queryTableFieldId="2"/>
    <tableColumn id="23" xr3:uid="{00000000-0010-0000-0000-000017000000}" uniqueName="23" name="Category" queryTableFieldId="3"/>
    <tableColumn id="24" xr3:uid="{00000000-0010-0000-0000-000018000000}" uniqueName="24" name="Country" queryTableFieldId="4"/>
    <tableColumn id="25" xr3:uid="{00000000-0010-0000-0000-000019000000}" uniqueName="25" name="City" queryTableFieldId="5"/>
    <tableColumn id="26" xr3:uid="{00000000-0010-0000-0000-00001A000000}" uniqueName="26" name="State" queryTableFieldId="6"/>
    <tableColumn id="27" xr3:uid="{00000000-0010-0000-0000-00001B000000}" uniqueName="27" name="Region" queryTableFieldId="7"/>
    <tableColumn id="28" xr3:uid="{00000000-0010-0000-0000-00001C000000}" uniqueName="28" name="Quantity" queryTableFieldId="8"/>
    <tableColumn id="29" xr3:uid="{00000000-0010-0000-0000-00001D000000}" uniqueName="29" name="Sales" queryTableFieldId="9"/>
    <tableColumn id="30" xr3:uid="{00000000-0010-0000-0000-00001E000000}" uniqueName="30" name="Profit" queryTableFieldId="1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501"/>
  <sheetViews>
    <sheetView workbookViewId="0"/>
  </sheetViews>
  <sheetFormatPr defaultRowHeight="15" x14ac:dyDescent="0.25"/>
  <cols>
    <col min="1" max="1" width="12.42578125" bestFit="1" customWidth="1"/>
    <col min="2" max="2" width="15.140625" bestFit="1" customWidth="1"/>
    <col min="3" max="3" width="10.5703125" bestFit="1" customWidth="1"/>
    <col min="4" max="4" width="11.85546875" bestFit="1" customWidth="1"/>
    <col min="5" max="5" width="15.5703125" bestFit="1" customWidth="1"/>
    <col min="6" max="6" width="17.42578125" bestFit="1" customWidth="1"/>
    <col min="8" max="8" width="10.42578125" bestFit="1" customWidth="1"/>
    <col min="9" max="9" width="7.28515625" bestFit="1" customWidth="1"/>
    <col min="10" max="10" width="7.85546875" bestFit="1" customWidth="1"/>
  </cols>
  <sheetData>
    <row r="1" spans="1:10" x14ac:dyDescent="0.25">
      <c r="A1" t="s">
        <v>0</v>
      </c>
      <c r="B1" t="s">
        <v>1</v>
      </c>
      <c r="C1" t="s">
        <v>2</v>
      </c>
      <c r="D1" t="s">
        <v>3</v>
      </c>
      <c r="E1" t="s">
        <v>4</v>
      </c>
      <c r="F1" t="s">
        <v>5</v>
      </c>
      <c r="G1" t="s">
        <v>6</v>
      </c>
      <c r="H1" t="s">
        <v>7</v>
      </c>
      <c r="I1" t="s">
        <v>8</v>
      </c>
      <c r="J1" t="s">
        <v>9</v>
      </c>
    </row>
    <row r="2" spans="1:10" x14ac:dyDescent="0.25">
      <c r="A2" s="1">
        <v>45657</v>
      </c>
      <c r="B2" t="s">
        <v>10</v>
      </c>
      <c r="C2" t="s">
        <v>11</v>
      </c>
      <c r="D2" t="s">
        <v>12</v>
      </c>
      <c r="E2" t="s">
        <v>13</v>
      </c>
      <c r="F2" t="s">
        <v>14</v>
      </c>
      <c r="G2" t="s">
        <v>15</v>
      </c>
      <c r="H2">
        <v>4</v>
      </c>
      <c r="I2">
        <v>3640</v>
      </c>
      <c r="J2">
        <v>348.93</v>
      </c>
    </row>
    <row r="3" spans="1:10" x14ac:dyDescent="0.25">
      <c r="A3" s="1">
        <v>44892</v>
      </c>
      <c r="B3" t="s">
        <v>16</v>
      </c>
      <c r="C3" t="s">
        <v>17</v>
      </c>
      <c r="D3" t="s">
        <v>12</v>
      </c>
      <c r="E3" t="s">
        <v>13</v>
      </c>
      <c r="F3" t="s">
        <v>14</v>
      </c>
      <c r="G3" t="s">
        <v>15</v>
      </c>
      <c r="H3">
        <v>7</v>
      </c>
      <c r="I3">
        <v>1197</v>
      </c>
      <c r="J3">
        <v>106.53</v>
      </c>
    </row>
    <row r="4" spans="1:10" x14ac:dyDescent="0.25">
      <c r="A4" s="1">
        <v>44692</v>
      </c>
      <c r="B4" t="s">
        <v>18</v>
      </c>
      <c r="C4" t="s">
        <v>19</v>
      </c>
      <c r="D4" t="s">
        <v>12</v>
      </c>
      <c r="E4" t="s">
        <v>20</v>
      </c>
      <c r="F4" t="s">
        <v>21</v>
      </c>
      <c r="G4" t="s">
        <v>15</v>
      </c>
      <c r="H4">
        <v>5</v>
      </c>
      <c r="I4">
        <v>5865</v>
      </c>
      <c r="J4">
        <v>502.73</v>
      </c>
    </row>
    <row r="5" spans="1:10" x14ac:dyDescent="0.25">
      <c r="A5" s="1">
        <v>45367</v>
      </c>
      <c r="B5" t="s">
        <v>16</v>
      </c>
      <c r="C5" t="s">
        <v>17</v>
      </c>
      <c r="D5" t="s">
        <v>12</v>
      </c>
      <c r="E5" t="s">
        <v>22</v>
      </c>
      <c r="F5" t="s">
        <v>23</v>
      </c>
      <c r="G5" t="s">
        <v>24</v>
      </c>
      <c r="H5">
        <v>2</v>
      </c>
      <c r="I5">
        <v>786</v>
      </c>
      <c r="J5">
        <v>202.87</v>
      </c>
    </row>
    <row r="6" spans="1:10" x14ac:dyDescent="0.25">
      <c r="A6" s="1">
        <v>44814</v>
      </c>
      <c r="B6" t="s">
        <v>16</v>
      </c>
      <c r="C6" t="s">
        <v>17</v>
      </c>
      <c r="D6" t="s">
        <v>12</v>
      </c>
      <c r="E6" t="s">
        <v>22</v>
      </c>
      <c r="F6" t="s">
        <v>23</v>
      </c>
      <c r="G6" t="s">
        <v>24</v>
      </c>
      <c r="H6">
        <v>1</v>
      </c>
      <c r="I6">
        <v>509</v>
      </c>
      <c r="J6">
        <v>103.28</v>
      </c>
    </row>
    <row r="7" spans="1:10" x14ac:dyDescent="0.25">
      <c r="A7" s="1">
        <v>45261</v>
      </c>
      <c r="B7" t="s">
        <v>25</v>
      </c>
      <c r="C7" t="s">
        <v>19</v>
      </c>
      <c r="D7" t="s">
        <v>12</v>
      </c>
      <c r="E7" t="s">
        <v>26</v>
      </c>
      <c r="F7" t="s">
        <v>27</v>
      </c>
      <c r="G7" t="s">
        <v>28</v>
      </c>
      <c r="H7">
        <v>1</v>
      </c>
      <c r="I7">
        <v>524</v>
      </c>
      <c r="J7">
        <v>106.35</v>
      </c>
    </row>
    <row r="8" spans="1:10" x14ac:dyDescent="0.25">
      <c r="A8" s="1">
        <v>45208</v>
      </c>
      <c r="B8" t="s">
        <v>29</v>
      </c>
      <c r="C8" t="s">
        <v>17</v>
      </c>
      <c r="D8" t="s">
        <v>12</v>
      </c>
      <c r="E8" t="s">
        <v>30</v>
      </c>
      <c r="F8" t="s">
        <v>31</v>
      </c>
      <c r="G8" t="s">
        <v>24</v>
      </c>
      <c r="H8">
        <v>7</v>
      </c>
      <c r="I8">
        <v>6167</v>
      </c>
      <c r="J8">
        <v>1027.98</v>
      </c>
    </row>
    <row r="9" spans="1:10" x14ac:dyDescent="0.25">
      <c r="A9" s="1">
        <v>44575</v>
      </c>
      <c r="B9" t="s">
        <v>25</v>
      </c>
      <c r="C9" t="s">
        <v>19</v>
      </c>
      <c r="D9" t="s">
        <v>12</v>
      </c>
      <c r="E9" t="s">
        <v>26</v>
      </c>
      <c r="F9" t="s">
        <v>27</v>
      </c>
      <c r="G9" t="s">
        <v>28</v>
      </c>
      <c r="H9">
        <v>7</v>
      </c>
      <c r="I9">
        <v>3059</v>
      </c>
      <c r="J9">
        <v>873.5</v>
      </c>
    </row>
    <row r="10" spans="1:10" x14ac:dyDescent="0.25">
      <c r="A10" s="1">
        <v>44653</v>
      </c>
      <c r="B10" t="s">
        <v>32</v>
      </c>
      <c r="C10" t="s">
        <v>19</v>
      </c>
      <c r="D10" t="s">
        <v>12</v>
      </c>
      <c r="E10" t="s">
        <v>26</v>
      </c>
      <c r="F10" t="s">
        <v>27</v>
      </c>
      <c r="G10" t="s">
        <v>28</v>
      </c>
      <c r="H10">
        <v>9</v>
      </c>
      <c r="I10">
        <v>5526</v>
      </c>
      <c r="J10">
        <v>595.28</v>
      </c>
    </row>
    <row r="11" spans="1:10" x14ac:dyDescent="0.25">
      <c r="A11" s="1">
        <v>45587</v>
      </c>
      <c r="B11" t="s">
        <v>10</v>
      </c>
      <c r="C11" t="s">
        <v>11</v>
      </c>
      <c r="D11" t="s">
        <v>12</v>
      </c>
      <c r="E11" t="s">
        <v>33</v>
      </c>
      <c r="F11" t="s">
        <v>34</v>
      </c>
      <c r="G11" t="s">
        <v>35</v>
      </c>
      <c r="H11">
        <v>8</v>
      </c>
      <c r="I11">
        <v>672</v>
      </c>
      <c r="J11">
        <v>186.37</v>
      </c>
    </row>
    <row r="12" spans="1:10" x14ac:dyDescent="0.25">
      <c r="A12" s="1">
        <v>45264</v>
      </c>
      <c r="B12" t="s">
        <v>36</v>
      </c>
      <c r="C12" t="s">
        <v>17</v>
      </c>
      <c r="D12" t="s">
        <v>12</v>
      </c>
      <c r="E12" t="s">
        <v>37</v>
      </c>
      <c r="F12" t="s">
        <v>34</v>
      </c>
      <c r="G12" t="s">
        <v>35</v>
      </c>
      <c r="H12">
        <v>6</v>
      </c>
      <c r="I12">
        <v>7074</v>
      </c>
      <c r="J12">
        <v>1357.68</v>
      </c>
    </row>
    <row r="13" spans="1:10" x14ac:dyDescent="0.25">
      <c r="A13" s="1">
        <v>44831</v>
      </c>
      <c r="B13" t="s">
        <v>32</v>
      </c>
      <c r="C13" t="s">
        <v>19</v>
      </c>
      <c r="D13" t="s">
        <v>12</v>
      </c>
      <c r="E13" t="s">
        <v>37</v>
      </c>
      <c r="F13" t="s">
        <v>34</v>
      </c>
      <c r="G13" t="s">
        <v>35</v>
      </c>
      <c r="H13">
        <v>2</v>
      </c>
      <c r="I13">
        <v>502</v>
      </c>
      <c r="J13">
        <v>137.4</v>
      </c>
    </row>
    <row r="14" spans="1:10" x14ac:dyDescent="0.25">
      <c r="A14" s="1">
        <v>45281</v>
      </c>
      <c r="B14" t="s">
        <v>18</v>
      </c>
      <c r="C14" t="s">
        <v>19</v>
      </c>
      <c r="D14" t="s">
        <v>12</v>
      </c>
      <c r="E14" t="s">
        <v>38</v>
      </c>
      <c r="F14" t="s">
        <v>39</v>
      </c>
      <c r="G14" t="s">
        <v>35</v>
      </c>
      <c r="H14">
        <v>7</v>
      </c>
      <c r="I14">
        <v>7462</v>
      </c>
      <c r="J14">
        <v>2166.17</v>
      </c>
    </row>
    <row r="15" spans="1:10" x14ac:dyDescent="0.25">
      <c r="A15" s="1">
        <v>45325</v>
      </c>
      <c r="B15" t="s">
        <v>40</v>
      </c>
      <c r="C15" t="s">
        <v>19</v>
      </c>
      <c r="D15" t="s">
        <v>12</v>
      </c>
      <c r="E15" t="s">
        <v>38</v>
      </c>
      <c r="F15" t="s">
        <v>39</v>
      </c>
      <c r="G15" t="s">
        <v>35</v>
      </c>
      <c r="H15">
        <v>5</v>
      </c>
      <c r="I15">
        <v>4205</v>
      </c>
      <c r="J15">
        <v>585.29</v>
      </c>
    </row>
    <row r="16" spans="1:10" x14ac:dyDescent="0.25">
      <c r="A16" s="1">
        <v>45209</v>
      </c>
      <c r="B16" t="s">
        <v>25</v>
      </c>
      <c r="C16" t="s">
        <v>19</v>
      </c>
      <c r="D16" t="s">
        <v>12</v>
      </c>
      <c r="E16" t="s">
        <v>41</v>
      </c>
      <c r="F16" t="s">
        <v>42</v>
      </c>
      <c r="G16" t="s">
        <v>28</v>
      </c>
      <c r="H16">
        <v>1</v>
      </c>
      <c r="I16">
        <v>570</v>
      </c>
      <c r="J16">
        <v>138.54</v>
      </c>
    </row>
    <row r="17" spans="1:10" x14ac:dyDescent="0.25">
      <c r="A17" s="1">
        <v>44850</v>
      </c>
      <c r="B17" t="s">
        <v>29</v>
      </c>
      <c r="C17" t="s">
        <v>17</v>
      </c>
      <c r="D17" t="s">
        <v>12</v>
      </c>
      <c r="E17" t="s">
        <v>22</v>
      </c>
      <c r="F17" t="s">
        <v>23</v>
      </c>
      <c r="G17" t="s">
        <v>24</v>
      </c>
      <c r="H17">
        <v>1</v>
      </c>
      <c r="I17">
        <v>441</v>
      </c>
      <c r="J17">
        <v>102.42</v>
      </c>
    </row>
    <row r="18" spans="1:10" x14ac:dyDescent="0.25">
      <c r="A18" s="1">
        <v>44696</v>
      </c>
      <c r="B18" t="s">
        <v>16</v>
      </c>
      <c r="C18" t="s">
        <v>17</v>
      </c>
      <c r="D18" t="s">
        <v>12</v>
      </c>
      <c r="E18" t="s">
        <v>43</v>
      </c>
      <c r="F18" t="s">
        <v>44</v>
      </c>
      <c r="G18" t="s">
        <v>35</v>
      </c>
      <c r="H18">
        <v>7</v>
      </c>
      <c r="I18">
        <v>7469</v>
      </c>
      <c r="J18">
        <v>589.80999999999995</v>
      </c>
    </row>
    <row r="19" spans="1:10" x14ac:dyDescent="0.25">
      <c r="A19" s="1">
        <v>44968</v>
      </c>
      <c r="B19" t="s">
        <v>18</v>
      </c>
      <c r="C19" t="s">
        <v>19</v>
      </c>
      <c r="D19" t="s">
        <v>12</v>
      </c>
      <c r="E19" t="s">
        <v>45</v>
      </c>
      <c r="F19" t="s">
        <v>46</v>
      </c>
      <c r="G19" t="s">
        <v>15</v>
      </c>
      <c r="H19">
        <v>2</v>
      </c>
      <c r="I19">
        <v>2212</v>
      </c>
      <c r="J19">
        <v>145.75</v>
      </c>
    </row>
    <row r="20" spans="1:10" x14ac:dyDescent="0.25">
      <c r="A20" s="1">
        <v>45287</v>
      </c>
      <c r="B20" t="s">
        <v>18</v>
      </c>
      <c r="C20" t="s">
        <v>19</v>
      </c>
      <c r="D20" t="s">
        <v>12</v>
      </c>
      <c r="E20" t="s">
        <v>45</v>
      </c>
      <c r="F20" t="s">
        <v>46</v>
      </c>
      <c r="G20" t="s">
        <v>15</v>
      </c>
      <c r="H20">
        <v>5</v>
      </c>
      <c r="I20">
        <v>740</v>
      </c>
      <c r="J20">
        <v>146.38999999999999</v>
      </c>
    </row>
    <row r="21" spans="1:10" x14ac:dyDescent="0.25">
      <c r="A21" s="1">
        <v>45204</v>
      </c>
      <c r="B21" t="s">
        <v>29</v>
      </c>
      <c r="C21" t="s">
        <v>17</v>
      </c>
      <c r="D21" t="s">
        <v>12</v>
      </c>
      <c r="E21" t="s">
        <v>37</v>
      </c>
      <c r="F21" t="s">
        <v>34</v>
      </c>
      <c r="G21" t="s">
        <v>35</v>
      </c>
      <c r="H21">
        <v>1</v>
      </c>
      <c r="I21">
        <v>662</v>
      </c>
      <c r="J21">
        <v>193.92</v>
      </c>
    </row>
    <row r="22" spans="1:10" x14ac:dyDescent="0.25">
      <c r="A22" s="1">
        <v>45356</v>
      </c>
      <c r="B22" t="s">
        <v>16</v>
      </c>
      <c r="C22" t="s">
        <v>17</v>
      </c>
      <c r="D22" t="s">
        <v>12</v>
      </c>
      <c r="E22" t="s">
        <v>37</v>
      </c>
      <c r="F22" t="s">
        <v>34</v>
      </c>
      <c r="G22" t="s">
        <v>35</v>
      </c>
      <c r="H22">
        <v>7</v>
      </c>
      <c r="I22">
        <v>5712</v>
      </c>
      <c r="J22">
        <v>651.27</v>
      </c>
    </row>
    <row r="23" spans="1:10" x14ac:dyDescent="0.25">
      <c r="A23" s="1">
        <v>45125</v>
      </c>
      <c r="B23" t="s">
        <v>32</v>
      </c>
      <c r="C23" t="s">
        <v>19</v>
      </c>
      <c r="D23" t="s">
        <v>12</v>
      </c>
      <c r="E23" t="s">
        <v>47</v>
      </c>
      <c r="F23" t="s">
        <v>48</v>
      </c>
      <c r="G23" t="s">
        <v>15</v>
      </c>
      <c r="H23">
        <v>3</v>
      </c>
      <c r="I23">
        <v>2739</v>
      </c>
      <c r="J23">
        <v>572.73</v>
      </c>
    </row>
    <row r="24" spans="1:10" x14ac:dyDescent="0.25">
      <c r="A24" s="1">
        <v>45102</v>
      </c>
      <c r="B24" t="s">
        <v>49</v>
      </c>
      <c r="C24" t="s">
        <v>17</v>
      </c>
      <c r="D24" t="s">
        <v>12</v>
      </c>
      <c r="E24" t="s">
        <v>50</v>
      </c>
      <c r="F24" t="s">
        <v>51</v>
      </c>
      <c r="G24" t="s">
        <v>35</v>
      </c>
      <c r="H24">
        <v>5</v>
      </c>
      <c r="I24">
        <v>1400</v>
      </c>
      <c r="J24">
        <v>213.63</v>
      </c>
    </row>
    <row r="25" spans="1:10" x14ac:dyDescent="0.25">
      <c r="A25" s="1">
        <v>45243</v>
      </c>
      <c r="B25" t="s">
        <v>10</v>
      </c>
      <c r="C25" t="s">
        <v>11</v>
      </c>
      <c r="D25" t="s">
        <v>12</v>
      </c>
      <c r="E25" t="s">
        <v>52</v>
      </c>
      <c r="F25" t="s">
        <v>42</v>
      </c>
      <c r="G25" t="s">
        <v>28</v>
      </c>
      <c r="H25">
        <v>3</v>
      </c>
      <c r="I25">
        <v>3477</v>
      </c>
      <c r="J25">
        <v>939.2</v>
      </c>
    </row>
    <row r="26" spans="1:10" x14ac:dyDescent="0.25">
      <c r="A26" s="1">
        <v>44751</v>
      </c>
      <c r="B26" t="s">
        <v>25</v>
      </c>
      <c r="C26" t="s">
        <v>19</v>
      </c>
      <c r="D26" t="s">
        <v>12</v>
      </c>
      <c r="E26" t="s">
        <v>53</v>
      </c>
      <c r="F26" t="s">
        <v>54</v>
      </c>
      <c r="G26" t="s">
        <v>24</v>
      </c>
      <c r="H26">
        <v>5</v>
      </c>
      <c r="I26">
        <v>3475</v>
      </c>
      <c r="J26">
        <v>570.36</v>
      </c>
    </row>
    <row r="27" spans="1:10" x14ac:dyDescent="0.25">
      <c r="A27" s="1">
        <v>45271</v>
      </c>
      <c r="B27" t="s">
        <v>55</v>
      </c>
      <c r="C27" t="s">
        <v>19</v>
      </c>
      <c r="D27" t="s">
        <v>12</v>
      </c>
      <c r="E27" t="s">
        <v>52</v>
      </c>
      <c r="F27" t="s">
        <v>42</v>
      </c>
      <c r="G27" t="s">
        <v>28</v>
      </c>
      <c r="H27">
        <v>9</v>
      </c>
      <c r="I27">
        <v>6138</v>
      </c>
      <c r="J27">
        <v>1562.14</v>
      </c>
    </row>
    <row r="28" spans="1:10" x14ac:dyDescent="0.25">
      <c r="A28" s="1">
        <v>45003</v>
      </c>
      <c r="B28" t="s">
        <v>25</v>
      </c>
      <c r="C28" t="s">
        <v>19</v>
      </c>
      <c r="D28" t="s">
        <v>12</v>
      </c>
      <c r="E28" t="s">
        <v>56</v>
      </c>
      <c r="F28" t="s">
        <v>57</v>
      </c>
      <c r="G28" t="s">
        <v>24</v>
      </c>
      <c r="H28">
        <v>5</v>
      </c>
      <c r="I28">
        <v>3665</v>
      </c>
      <c r="J28">
        <v>406.93</v>
      </c>
    </row>
    <row r="29" spans="1:10" x14ac:dyDescent="0.25">
      <c r="A29" s="1">
        <v>45513</v>
      </c>
      <c r="B29" t="s">
        <v>10</v>
      </c>
      <c r="C29" t="s">
        <v>11</v>
      </c>
      <c r="D29" t="s">
        <v>12</v>
      </c>
      <c r="E29" t="s">
        <v>58</v>
      </c>
      <c r="F29" t="s">
        <v>59</v>
      </c>
      <c r="G29" t="s">
        <v>28</v>
      </c>
      <c r="H29">
        <v>2</v>
      </c>
      <c r="I29">
        <v>2372</v>
      </c>
      <c r="J29">
        <v>206.42</v>
      </c>
    </row>
    <row r="30" spans="1:10" x14ac:dyDescent="0.25">
      <c r="A30" s="1">
        <v>45416</v>
      </c>
      <c r="B30" t="s">
        <v>55</v>
      </c>
      <c r="C30" t="s">
        <v>19</v>
      </c>
      <c r="D30" t="s">
        <v>12</v>
      </c>
      <c r="E30" t="s">
        <v>37</v>
      </c>
      <c r="F30" t="s">
        <v>34</v>
      </c>
      <c r="G30" t="s">
        <v>35</v>
      </c>
      <c r="H30">
        <v>2</v>
      </c>
      <c r="I30">
        <v>1382</v>
      </c>
      <c r="J30">
        <v>211.11</v>
      </c>
    </row>
    <row r="31" spans="1:10" x14ac:dyDescent="0.25">
      <c r="A31" s="1">
        <v>44808</v>
      </c>
      <c r="B31" t="s">
        <v>55</v>
      </c>
      <c r="C31" t="s">
        <v>19</v>
      </c>
      <c r="D31" t="s">
        <v>12</v>
      </c>
      <c r="E31" t="s">
        <v>60</v>
      </c>
      <c r="F31" t="s">
        <v>44</v>
      </c>
      <c r="G31" t="s">
        <v>35</v>
      </c>
      <c r="H31">
        <v>1</v>
      </c>
      <c r="I31">
        <v>1126</v>
      </c>
      <c r="J31">
        <v>194.08</v>
      </c>
    </row>
    <row r="32" spans="1:10" x14ac:dyDescent="0.25">
      <c r="A32" s="1">
        <v>44855</v>
      </c>
      <c r="B32" t="s">
        <v>10</v>
      </c>
      <c r="C32" t="s">
        <v>11</v>
      </c>
      <c r="D32" t="s">
        <v>12</v>
      </c>
      <c r="E32" t="s">
        <v>22</v>
      </c>
      <c r="F32" t="s">
        <v>23</v>
      </c>
      <c r="G32" t="s">
        <v>24</v>
      </c>
      <c r="H32">
        <v>8</v>
      </c>
      <c r="I32">
        <v>1376</v>
      </c>
      <c r="J32">
        <v>152.1</v>
      </c>
    </row>
    <row r="33" spans="1:10" x14ac:dyDescent="0.25">
      <c r="A33" s="1">
        <v>45313</v>
      </c>
      <c r="B33" t="s">
        <v>16</v>
      </c>
      <c r="C33" t="s">
        <v>17</v>
      </c>
      <c r="D33" t="s">
        <v>12</v>
      </c>
      <c r="E33" t="s">
        <v>22</v>
      </c>
      <c r="F33" t="s">
        <v>23</v>
      </c>
      <c r="G33" t="s">
        <v>24</v>
      </c>
      <c r="H33">
        <v>4</v>
      </c>
      <c r="I33">
        <v>988</v>
      </c>
      <c r="J33">
        <v>147.91</v>
      </c>
    </row>
    <row r="34" spans="1:10" x14ac:dyDescent="0.25">
      <c r="A34" s="1">
        <v>45025</v>
      </c>
      <c r="B34" t="s">
        <v>55</v>
      </c>
      <c r="C34" t="s">
        <v>19</v>
      </c>
      <c r="D34" t="s">
        <v>12</v>
      </c>
      <c r="E34" t="s">
        <v>61</v>
      </c>
      <c r="F34" t="s">
        <v>23</v>
      </c>
      <c r="G34" t="s">
        <v>24</v>
      </c>
      <c r="H34">
        <v>9</v>
      </c>
      <c r="I34">
        <v>10773</v>
      </c>
      <c r="J34">
        <v>1907.36</v>
      </c>
    </row>
    <row r="35" spans="1:10" x14ac:dyDescent="0.25">
      <c r="A35" s="1">
        <v>44964</v>
      </c>
      <c r="B35" t="s">
        <v>29</v>
      </c>
      <c r="C35" t="s">
        <v>17</v>
      </c>
      <c r="D35" t="s">
        <v>12</v>
      </c>
      <c r="E35" t="s">
        <v>26</v>
      </c>
      <c r="F35" t="s">
        <v>27</v>
      </c>
      <c r="G35" t="s">
        <v>28</v>
      </c>
      <c r="H35">
        <v>4</v>
      </c>
      <c r="I35">
        <v>3252</v>
      </c>
      <c r="J35">
        <v>713.46</v>
      </c>
    </row>
    <row r="36" spans="1:10" x14ac:dyDescent="0.25">
      <c r="A36" s="1">
        <v>45050</v>
      </c>
      <c r="B36" t="s">
        <v>29</v>
      </c>
      <c r="C36" t="s">
        <v>17</v>
      </c>
      <c r="D36" t="s">
        <v>12</v>
      </c>
      <c r="E36" t="s">
        <v>62</v>
      </c>
      <c r="F36" t="s">
        <v>63</v>
      </c>
      <c r="G36" t="s">
        <v>28</v>
      </c>
      <c r="H36">
        <v>3</v>
      </c>
      <c r="I36">
        <v>2739</v>
      </c>
      <c r="J36">
        <v>202.81</v>
      </c>
    </row>
    <row r="37" spans="1:10" x14ac:dyDescent="0.25">
      <c r="A37" s="1">
        <v>45034</v>
      </c>
      <c r="B37" t="s">
        <v>18</v>
      </c>
      <c r="C37" t="s">
        <v>19</v>
      </c>
      <c r="D37" t="s">
        <v>12</v>
      </c>
      <c r="E37" t="s">
        <v>64</v>
      </c>
      <c r="F37" t="s">
        <v>65</v>
      </c>
      <c r="G37" t="s">
        <v>35</v>
      </c>
      <c r="H37">
        <v>7</v>
      </c>
      <c r="I37">
        <v>2709</v>
      </c>
      <c r="J37">
        <v>702.79</v>
      </c>
    </row>
    <row r="38" spans="1:10" x14ac:dyDescent="0.25">
      <c r="A38" s="1">
        <v>44907</v>
      </c>
      <c r="B38" t="s">
        <v>10</v>
      </c>
      <c r="C38" t="s">
        <v>11</v>
      </c>
      <c r="D38" t="s">
        <v>12</v>
      </c>
      <c r="E38" t="s">
        <v>56</v>
      </c>
      <c r="F38" t="s">
        <v>57</v>
      </c>
      <c r="G38" t="s">
        <v>24</v>
      </c>
      <c r="H38">
        <v>3</v>
      </c>
      <c r="I38">
        <v>936</v>
      </c>
      <c r="J38">
        <v>201.24</v>
      </c>
    </row>
    <row r="39" spans="1:10" x14ac:dyDescent="0.25">
      <c r="A39" s="1">
        <v>44815</v>
      </c>
      <c r="B39" t="s">
        <v>25</v>
      </c>
      <c r="C39" t="s">
        <v>19</v>
      </c>
      <c r="D39" t="s">
        <v>12</v>
      </c>
      <c r="E39" t="s">
        <v>66</v>
      </c>
      <c r="F39" t="s">
        <v>34</v>
      </c>
      <c r="G39" t="s">
        <v>35</v>
      </c>
      <c r="H39">
        <v>4</v>
      </c>
      <c r="I39">
        <v>3720</v>
      </c>
      <c r="J39">
        <v>410.92</v>
      </c>
    </row>
    <row r="40" spans="1:10" x14ac:dyDescent="0.25">
      <c r="A40" s="1">
        <v>45377</v>
      </c>
      <c r="B40" t="s">
        <v>16</v>
      </c>
      <c r="C40" t="s">
        <v>17</v>
      </c>
      <c r="D40" t="s">
        <v>12</v>
      </c>
      <c r="E40" t="s">
        <v>22</v>
      </c>
      <c r="F40" t="s">
        <v>23</v>
      </c>
      <c r="G40" t="s">
        <v>24</v>
      </c>
      <c r="H40">
        <v>5</v>
      </c>
      <c r="I40">
        <v>5320</v>
      </c>
      <c r="J40">
        <v>716.91</v>
      </c>
    </row>
    <row r="41" spans="1:10" x14ac:dyDescent="0.25">
      <c r="A41" s="1">
        <v>45189</v>
      </c>
      <c r="B41" t="s">
        <v>29</v>
      </c>
      <c r="C41" t="s">
        <v>17</v>
      </c>
      <c r="D41" t="s">
        <v>12</v>
      </c>
      <c r="E41" t="s">
        <v>62</v>
      </c>
      <c r="F41" t="s">
        <v>63</v>
      </c>
      <c r="G41" t="s">
        <v>28</v>
      </c>
      <c r="H41">
        <v>4</v>
      </c>
      <c r="I41">
        <v>804</v>
      </c>
      <c r="J41">
        <v>121.51</v>
      </c>
    </row>
    <row r="42" spans="1:10" x14ac:dyDescent="0.25">
      <c r="A42" s="1">
        <v>45071</v>
      </c>
      <c r="B42" t="s">
        <v>55</v>
      </c>
      <c r="C42" t="s">
        <v>19</v>
      </c>
      <c r="D42" t="s">
        <v>12</v>
      </c>
      <c r="E42" t="s">
        <v>52</v>
      </c>
      <c r="F42" t="s">
        <v>42</v>
      </c>
      <c r="G42" t="s">
        <v>28</v>
      </c>
      <c r="H42">
        <v>8</v>
      </c>
      <c r="I42">
        <v>1224</v>
      </c>
      <c r="J42">
        <v>246.77</v>
      </c>
    </row>
    <row r="43" spans="1:10" x14ac:dyDescent="0.25">
      <c r="A43" s="1">
        <v>44899</v>
      </c>
      <c r="B43" t="s">
        <v>29</v>
      </c>
      <c r="C43" t="s">
        <v>17</v>
      </c>
      <c r="D43" t="s">
        <v>12</v>
      </c>
      <c r="E43" t="s">
        <v>52</v>
      </c>
      <c r="F43" t="s">
        <v>42</v>
      </c>
      <c r="G43" t="s">
        <v>28</v>
      </c>
      <c r="H43">
        <v>9</v>
      </c>
      <c r="I43">
        <v>8667</v>
      </c>
      <c r="J43">
        <v>781.78</v>
      </c>
    </row>
    <row r="44" spans="1:10" x14ac:dyDescent="0.25">
      <c r="A44" s="1">
        <v>44722</v>
      </c>
      <c r="B44" t="s">
        <v>36</v>
      </c>
      <c r="C44" t="s">
        <v>17</v>
      </c>
      <c r="D44" t="s">
        <v>12</v>
      </c>
      <c r="E44" t="s">
        <v>67</v>
      </c>
      <c r="F44" t="s">
        <v>54</v>
      </c>
      <c r="G44" t="s">
        <v>24</v>
      </c>
      <c r="H44">
        <v>3</v>
      </c>
      <c r="I44">
        <v>3018</v>
      </c>
      <c r="J44">
        <v>320.11</v>
      </c>
    </row>
    <row r="45" spans="1:10" x14ac:dyDescent="0.25">
      <c r="A45" s="1">
        <v>44962</v>
      </c>
      <c r="B45" t="s">
        <v>55</v>
      </c>
      <c r="C45" t="s">
        <v>19</v>
      </c>
      <c r="D45" t="s">
        <v>12</v>
      </c>
      <c r="E45" t="s">
        <v>64</v>
      </c>
      <c r="F45" t="s">
        <v>46</v>
      </c>
      <c r="G45" t="s">
        <v>15</v>
      </c>
      <c r="H45">
        <v>5</v>
      </c>
      <c r="I45">
        <v>4325</v>
      </c>
      <c r="J45">
        <v>1023.39</v>
      </c>
    </row>
    <row r="46" spans="1:10" x14ac:dyDescent="0.25">
      <c r="A46" s="1">
        <v>45311</v>
      </c>
      <c r="B46" t="s">
        <v>55</v>
      </c>
      <c r="C46" t="s">
        <v>19</v>
      </c>
      <c r="D46" t="s">
        <v>12</v>
      </c>
      <c r="E46" t="s">
        <v>68</v>
      </c>
      <c r="F46" t="s">
        <v>63</v>
      </c>
      <c r="G46" t="s">
        <v>28</v>
      </c>
      <c r="H46">
        <v>3</v>
      </c>
      <c r="I46">
        <v>1557</v>
      </c>
      <c r="J46">
        <v>181.08</v>
      </c>
    </row>
    <row r="47" spans="1:10" x14ac:dyDescent="0.25">
      <c r="A47" s="1">
        <v>44588</v>
      </c>
      <c r="B47" t="s">
        <v>36</v>
      </c>
      <c r="C47" t="s">
        <v>17</v>
      </c>
      <c r="D47" t="s">
        <v>12</v>
      </c>
      <c r="E47" t="s">
        <v>69</v>
      </c>
      <c r="F47" t="s">
        <v>63</v>
      </c>
      <c r="G47" t="s">
        <v>28</v>
      </c>
      <c r="H47">
        <v>6</v>
      </c>
      <c r="I47">
        <v>3672</v>
      </c>
      <c r="J47">
        <v>1002.5</v>
      </c>
    </row>
    <row r="48" spans="1:10" x14ac:dyDescent="0.25">
      <c r="A48" s="1">
        <v>45014</v>
      </c>
      <c r="B48" t="s">
        <v>16</v>
      </c>
      <c r="C48" t="s">
        <v>17</v>
      </c>
      <c r="D48" t="s">
        <v>12</v>
      </c>
      <c r="E48" t="s">
        <v>70</v>
      </c>
      <c r="F48" t="s">
        <v>71</v>
      </c>
      <c r="G48" t="s">
        <v>35</v>
      </c>
      <c r="H48">
        <v>1</v>
      </c>
      <c r="I48">
        <v>333</v>
      </c>
      <c r="J48">
        <v>72.34</v>
      </c>
    </row>
    <row r="49" spans="1:10" x14ac:dyDescent="0.25">
      <c r="A49" s="1">
        <v>44578</v>
      </c>
      <c r="B49" t="s">
        <v>29</v>
      </c>
      <c r="C49" t="s">
        <v>17</v>
      </c>
      <c r="D49" t="s">
        <v>12</v>
      </c>
      <c r="E49" t="s">
        <v>47</v>
      </c>
      <c r="F49" t="s">
        <v>46</v>
      </c>
      <c r="G49" t="s">
        <v>15</v>
      </c>
      <c r="H49">
        <v>4</v>
      </c>
      <c r="I49">
        <v>2384</v>
      </c>
      <c r="J49">
        <v>577.26</v>
      </c>
    </row>
    <row r="50" spans="1:10" x14ac:dyDescent="0.25">
      <c r="A50" s="1">
        <v>45622</v>
      </c>
      <c r="B50" t="s">
        <v>16</v>
      </c>
      <c r="C50" t="s">
        <v>17</v>
      </c>
      <c r="D50" t="s">
        <v>12</v>
      </c>
      <c r="E50" t="s">
        <v>47</v>
      </c>
      <c r="F50" t="s">
        <v>46</v>
      </c>
      <c r="G50" t="s">
        <v>15</v>
      </c>
      <c r="H50">
        <v>6</v>
      </c>
      <c r="I50">
        <v>888</v>
      </c>
      <c r="J50">
        <v>210.39</v>
      </c>
    </row>
    <row r="51" spans="1:10" x14ac:dyDescent="0.25">
      <c r="A51" s="1">
        <v>45554</v>
      </c>
      <c r="B51" t="s">
        <v>55</v>
      </c>
      <c r="C51" t="s">
        <v>19</v>
      </c>
      <c r="D51" t="s">
        <v>12</v>
      </c>
      <c r="E51" t="s">
        <v>72</v>
      </c>
      <c r="F51" t="s">
        <v>21</v>
      </c>
      <c r="G51" t="s">
        <v>15</v>
      </c>
      <c r="H51">
        <v>5</v>
      </c>
      <c r="I51">
        <v>3280</v>
      </c>
      <c r="J51">
        <v>954.17</v>
      </c>
    </row>
    <row r="52" spans="1:10" x14ac:dyDescent="0.25">
      <c r="A52" s="1">
        <v>45127</v>
      </c>
      <c r="B52" t="s">
        <v>16</v>
      </c>
      <c r="C52" t="s">
        <v>17</v>
      </c>
      <c r="D52" t="s">
        <v>12</v>
      </c>
      <c r="E52" t="s">
        <v>72</v>
      </c>
      <c r="F52" t="s">
        <v>21</v>
      </c>
      <c r="G52" t="s">
        <v>15</v>
      </c>
      <c r="H52">
        <v>7</v>
      </c>
      <c r="I52">
        <v>1239</v>
      </c>
      <c r="J52">
        <v>177.39</v>
      </c>
    </row>
    <row r="53" spans="1:10" x14ac:dyDescent="0.25">
      <c r="A53" s="1">
        <v>45415</v>
      </c>
      <c r="B53" t="s">
        <v>29</v>
      </c>
      <c r="C53" t="s">
        <v>17</v>
      </c>
      <c r="D53" t="s">
        <v>12</v>
      </c>
      <c r="E53" t="s">
        <v>72</v>
      </c>
      <c r="F53" t="s">
        <v>21</v>
      </c>
      <c r="G53" t="s">
        <v>15</v>
      </c>
      <c r="H53">
        <v>8</v>
      </c>
      <c r="I53">
        <v>5880</v>
      </c>
      <c r="J53">
        <v>436.85</v>
      </c>
    </row>
    <row r="54" spans="1:10" x14ac:dyDescent="0.25">
      <c r="A54" s="1">
        <v>44807</v>
      </c>
      <c r="B54" t="s">
        <v>40</v>
      </c>
      <c r="C54" t="s">
        <v>19</v>
      </c>
      <c r="D54" t="s">
        <v>12</v>
      </c>
      <c r="E54" t="s">
        <v>43</v>
      </c>
      <c r="F54" t="s">
        <v>44</v>
      </c>
      <c r="G54" t="s">
        <v>35</v>
      </c>
      <c r="H54">
        <v>2</v>
      </c>
      <c r="I54">
        <v>1668</v>
      </c>
      <c r="J54">
        <v>437.3</v>
      </c>
    </row>
    <row r="55" spans="1:10" x14ac:dyDescent="0.25">
      <c r="A55" s="1">
        <v>45482</v>
      </c>
      <c r="B55" t="s">
        <v>10</v>
      </c>
      <c r="C55" t="s">
        <v>11</v>
      </c>
      <c r="D55" t="s">
        <v>12</v>
      </c>
      <c r="E55" t="s">
        <v>43</v>
      </c>
      <c r="F55" t="s">
        <v>44</v>
      </c>
      <c r="G55" t="s">
        <v>35</v>
      </c>
      <c r="H55">
        <v>7</v>
      </c>
      <c r="I55">
        <v>4109</v>
      </c>
      <c r="J55">
        <v>1037.6400000000001</v>
      </c>
    </row>
    <row r="56" spans="1:10" x14ac:dyDescent="0.25">
      <c r="A56" s="1">
        <v>44882</v>
      </c>
      <c r="B56" t="s">
        <v>32</v>
      </c>
      <c r="C56" t="s">
        <v>19</v>
      </c>
      <c r="D56" t="s">
        <v>12</v>
      </c>
      <c r="E56" t="s">
        <v>43</v>
      </c>
      <c r="F56" t="s">
        <v>44</v>
      </c>
      <c r="G56" t="s">
        <v>35</v>
      </c>
      <c r="H56">
        <v>7</v>
      </c>
      <c r="I56">
        <v>595</v>
      </c>
      <c r="J56">
        <v>148.5</v>
      </c>
    </row>
    <row r="57" spans="1:10" x14ac:dyDescent="0.25">
      <c r="A57" s="1">
        <v>45288</v>
      </c>
      <c r="B57" t="s">
        <v>29</v>
      </c>
      <c r="C57" t="s">
        <v>17</v>
      </c>
      <c r="D57" t="s">
        <v>12</v>
      </c>
      <c r="E57" t="s">
        <v>43</v>
      </c>
      <c r="F57" t="s">
        <v>44</v>
      </c>
      <c r="G57" t="s">
        <v>35</v>
      </c>
      <c r="H57">
        <v>7</v>
      </c>
      <c r="I57">
        <v>8155</v>
      </c>
      <c r="J57">
        <v>1587.91</v>
      </c>
    </row>
    <row r="58" spans="1:10" x14ac:dyDescent="0.25">
      <c r="A58" s="1">
        <v>44711</v>
      </c>
      <c r="B58" t="s">
        <v>36</v>
      </c>
      <c r="C58" t="s">
        <v>17</v>
      </c>
      <c r="D58" t="s">
        <v>12</v>
      </c>
      <c r="E58" t="s">
        <v>73</v>
      </c>
      <c r="F58" t="s">
        <v>51</v>
      </c>
      <c r="G58" t="s">
        <v>35</v>
      </c>
      <c r="H58">
        <v>3</v>
      </c>
      <c r="I58">
        <v>1872</v>
      </c>
      <c r="J58">
        <v>553.1</v>
      </c>
    </row>
    <row r="59" spans="1:10" x14ac:dyDescent="0.25">
      <c r="A59" s="1">
        <v>45399</v>
      </c>
      <c r="B59" t="s">
        <v>32</v>
      </c>
      <c r="C59" t="s">
        <v>19</v>
      </c>
      <c r="D59" t="s">
        <v>12</v>
      </c>
      <c r="E59" t="s">
        <v>74</v>
      </c>
      <c r="F59" t="s">
        <v>23</v>
      </c>
      <c r="G59" t="s">
        <v>24</v>
      </c>
      <c r="H59">
        <v>6</v>
      </c>
      <c r="I59">
        <v>2124</v>
      </c>
      <c r="J59">
        <v>126.03</v>
      </c>
    </row>
    <row r="60" spans="1:10" x14ac:dyDescent="0.25">
      <c r="A60" s="1">
        <v>45565</v>
      </c>
      <c r="B60" t="s">
        <v>36</v>
      </c>
      <c r="C60" t="s">
        <v>17</v>
      </c>
      <c r="D60" t="s">
        <v>12</v>
      </c>
      <c r="E60" t="s">
        <v>43</v>
      </c>
      <c r="F60" t="s">
        <v>44</v>
      </c>
      <c r="G60" t="s">
        <v>35</v>
      </c>
      <c r="H60">
        <v>5</v>
      </c>
      <c r="I60">
        <v>5210</v>
      </c>
      <c r="J60">
        <v>1338.8</v>
      </c>
    </row>
    <row r="61" spans="1:10" x14ac:dyDescent="0.25">
      <c r="A61" s="1">
        <v>45445</v>
      </c>
      <c r="B61" t="s">
        <v>16</v>
      </c>
      <c r="C61" t="s">
        <v>17</v>
      </c>
      <c r="D61" t="s">
        <v>12</v>
      </c>
      <c r="E61" t="s">
        <v>74</v>
      </c>
      <c r="F61" t="s">
        <v>23</v>
      </c>
      <c r="G61" t="s">
        <v>24</v>
      </c>
      <c r="H61">
        <v>7</v>
      </c>
      <c r="I61">
        <v>5761</v>
      </c>
      <c r="J61">
        <v>362.48</v>
      </c>
    </row>
    <row r="62" spans="1:10" x14ac:dyDescent="0.25">
      <c r="A62" s="1">
        <v>44830</v>
      </c>
      <c r="B62" t="s">
        <v>29</v>
      </c>
      <c r="C62" t="s">
        <v>17</v>
      </c>
      <c r="D62" t="s">
        <v>12</v>
      </c>
      <c r="E62" t="s">
        <v>22</v>
      </c>
      <c r="F62" t="s">
        <v>23</v>
      </c>
      <c r="G62" t="s">
        <v>24</v>
      </c>
      <c r="H62">
        <v>7</v>
      </c>
      <c r="I62">
        <v>6895</v>
      </c>
      <c r="J62">
        <v>1596.35</v>
      </c>
    </row>
    <row r="63" spans="1:10" x14ac:dyDescent="0.25">
      <c r="A63" s="1">
        <v>45643</v>
      </c>
      <c r="B63" t="s">
        <v>32</v>
      </c>
      <c r="C63" t="s">
        <v>19</v>
      </c>
      <c r="D63" t="s">
        <v>12</v>
      </c>
      <c r="E63" t="s">
        <v>75</v>
      </c>
      <c r="F63" t="s">
        <v>63</v>
      </c>
      <c r="G63" t="s">
        <v>28</v>
      </c>
      <c r="H63">
        <v>3</v>
      </c>
      <c r="I63">
        <v>2118</v>
      </c>
      <c r="J63">
        <v>317.08</v>
      </c>
    </row>
    <row r="64" spans="1:10" x14ac:dyDescent="0.25">
      <c r="A64" s="1">
        <v>45574</v>
      </c>
      <c r="B64" t="s">
        <v>32</v>
      </c>
      <c r="C64" t="s">
        <v>19</v>
      </c>
      <c r="D64" t="s">
        <v>12</v>
      </c>
      <c r="E64" t="s">
        <v>76</v>
      </c>
      <c r="F64" t="s">
        <v>54</v>
      </c>
      <c r="G64" t="s">
        <v>24</v>
      </c>
      <c r="H64">
        <v>5</v>
      </c>
      <c r="I64">
        <v>830</v>
      </c>
      <c r="J64">
        <v>58.28</v>
      </c>
    </row>
    <row r="65" spans="1:10" x14ac:dyDescent="0.25">
      <c r="A65" s="1">
        <v>45121</v>
      </c>
      <c r="B65" t="s">
        <v>32</v>
      </c>
      <c r="C65" t="s">
        <v>19</v>
      </c>
      <c r="D65" t="s">
        <v>12</v>
      </c>
      <c r="E65" t="s">
        <v>76</v>
      </c>
      <c r="F65" t="s">
        <v>54</v>
      </c>
      <c r="G65" t="s">
        <v>24</v>
      </c>
      <c r="H65">
        <v>1</v>
      </c>
      <c r="I65">
        <v>851</v>
      </c>
      <c r="J65">
        <v>93.56</v>
      </c>
    </row>
    <row r="66" spans="1:10" x14ac:dyDescent="0.25">
      <c r="A66" s="1">
        <v>45265</v>
      </c>
      <c r="B66" t="s">
        <v>18</v>
      </c>
      <c r="C66" t="s">
        <v>19</v>
      </c>
      <c r="D66" t="s">
        <v>12</v>
      </c>
      <c r="E66" t="s">
        <v>76</v>
      </c>
      <c r="F66" t="s">
        <v>54</v>
      </c>
      <c r="G66" t="s">
        <v>24</v>
      </c>
      <c r="H66">
        <v>5</v>
      </c>
      <c r="I66">
        <v>4730</v>
      </c>
      <c r="J66">
        <v>1365.63</v>
      </c>
    </row>
    <row r="67" spans="1:10" x14ac:dyDescent="0.25">
      <c r="A67" s="1">
        <v>44715</v>
      </c>
      <c r="B67" t="s">
        <v>16</v>
      </c>
      <c r="C67" t="s">
        <v>17</v>
      </c>
      <c r="D67" t="s">
        <v>12</v>
      </c>
      <c r="E67" t="s">
        <v>77</v>
      </c>
      <c r="F67" t="s">
        <v>78</v>
      </c>
      <c r="G67" t="s">
        <v>28</v>
      </c>
      <c r="H67">
        <v>6</v>
      </c>
      <c r="I67">
        <v>5460</v>
      </c>
      <c r="J67">
        <v>845.75</v>
      </c>
    </row>
    <row r="68" spans="1:10" x14ac:dyDescent="0.25">
      <c r="A68" s="1">
        <v>45654</v>
      </c>
      <c r="B68" t="s">
        <v>29</v>
      </c>
      <c r="C68" t="s">
        <v>17</v>
      </c>
      <c r="D68" t="s">
        <v>12</v>
      </c>
      <c r="E68" t="s">
        <v>43</v>
      </c>
      <c r="F68" t="s">
        <v>44</v>
      </c>
      <c r="G68" t="s">
        <v>35</v>
      </c>
      <c r="H68">
        <v>5</v>
      </c>
      <c r="I68">
        <v>5795</v>
      </c>
      <c r="J68">
        <v>310.60000000000002</v>
      </c>
    </row>
    <row r="69" spans="1:10" x14ac:dyDescent="0.25">
      <c r="A69" s="1">
        <v>44779</v>
      </c>
      <c r="B69" t="s">
        <v>55</v>
      </c>
      <c r="C69" t="s">
        <v>19</v>
      </c>
      <c r="D69" t="s">
        <v>12</v>
      </c>
      <c r="E69" t="s">
        <v>52</v>
      </c>
      <c r="F69" t="s">
        <v>42</v>
      </c>
      <c r="G69" t="s">
        <v>28</v>
      </c>
      <c r="H69">
        <v>4</v>
      </c>
      <c r="I69">
        <v>2008</v>
      </c>
      <c r="J69">
        <v>338.44</v>
      </c>
    </row>
    <row r="70" spans="1:10" x14ac:dyDescent="0.25">
      <c r="A70" s="1">
        <v>45083</v>
      </c>
      <c r="B70" t="s">
        <v>16</v>
      </c>
      <c r="C70" t="s">
        <v>17</v>
      </c>
      <c r="D70" t="s">
        <v>12</v>
      </c>
      <c r="E70" t="s">
        <v>79</v>
      </c>
      <c r="F70" t="s">
        <v>54</v>
      </c>
      <c r="G70" t="s">
        <v>24</v>
      </c>
      <c r="H70">
        <v>7</v>
      </c>
      <c r="I70">
        <v>2842</v>
      </c>
      <c r="J70">
        <v>425.24</v>
      </c>
    </row>
    <row r="71" spans="1:10" x14ac:dyDescent="0.25">
      <c r="A71" s="1">
        <v>45323</v>
      </c>
      <c r="B71" t="s">
        <v>16</v>
      </c>
      <c r="C71" t="s">
        <v>17</v>
      </c>
      <c r="D71" t="s">
        <v>12</v>
      </c>
      <c r="E71" t="s">
        <v>79</v>
      </c>
      <c r="F71" t="s">
        <v>54</v>
      </c>
      <c r="G71" t="s">
        <v>24</v>
      </c>
      <c r="H71">
        <v>4</v>
      </c>
      <c r="I71">
        <v>3404</v>
      </c>
      <c r="J71">
        <v>392.22</v>
      </c>
    </row>
    <row r="72" spans="1:10" x14ac:dyDescent="0.25">
      <c r="A72" s="1">
        <v>45077</v>
      </c>
      <c r="B72" t="s">
        <v>32</v>
      </c>
      <c r="C72" t="s">
        <v>19</v>
      </c>
      <c r="D72" t="s">
        <v>12</v>
      </c>
      <c r="E72" t="s">
        <v>79</v>
      </c>
      <c r="F72" t="s">
        <v>54</v>
      </c>
      <c r="G72" t="s">
        <v>24</v>
      </c>
      <c r="H72">
        <v>1</v>
      </c>
      <c r="I72">
        <v>1065</v>
      </c>
      <c r="J72">
        <v>228.63</v>
      </c>
    </row>
    <row r="73" spans="1:10" x14ac:dyDescent="0.25">
      <c r="A73" s="1">
        <v>45457</v>
      </c>
      <c r="B73" t="s">
        <v>18</v>
      </c>
      <c r="C73" t="s">
        <v>19</v>
      </c>
      <c r="D73" t="s">
        <v>12</v>
      </c>
      <c r="E73" t="s">
        <v>80</v>
      </c>
      <c r="F73" t="s">
        <v>78</v>
      </c>
      <c r="G73" t="s">
        <v>28</v>
      </c>
      <c r="H73">
        <v>7</v>
      </c>
      <c r="I73">
        <v>2149</v>
      </c>
      <c r="J73">
        <v>121.69</v>
      </c>
    </row>
    <row r="74" spans="1:10" x14ac:dyDescent="0.25">
      <c r="A74" s="1">
        <v>45518</v>
      </c>
      <c r="B74" t="s">
        <v>49</v>
      </c>
      <c r="C74" t="s">
        <v>17</v>
      </c>
      <c r="D74" t="s">
        <v>12</v>
      </c>
      <c r="E74" t="s">
        <v>52</v>
      </c>
      <c r="F74" t="s">
        <v>42</v>
      </c>
      <c r="G74" t="s">
        <v>28</v>
      </c>
      <c r="H74">
        <v>8</v>
      </c>
      <c r="I74">
        <v>5912</v>
      </c>
      <c r="J74">
        <v>1143.04</v>
      </c>
    </row>
    <row r="75" spans="1:10" x14ac:dyDescent="0.25">
      <c r="A75" s="1">
        <v>44958</v>
      </c>
      <c r="B75" t="s">
        <v>16</v>
      </c>
      <c r="C75" t="s">
        <v>17</v>
      </c>
      <c r="D75" t="s">
        <v>12</v>
      </c>
      <c r="E75" t="s">
        <v>81</v>
      </c>
      <c r="F75" t="s">
        <v>46</v>
      </c>
      <c r="G75" t="s">
        <v>15</v>
      </c>
      <c r="H75">
        <v>3</v>
      </c>
      <c r="I75">
        <v>3348</v>
      </c>
      <c r="J75">
        <v>331.28</v>
      </c>
    </row>
    <row r="76" spans="1:10" x14ac:dyDescent="0.25">
      <c r="A76" s="1">
        <v>45410</v>
      </c>
      <c r="B76" t="s">
        <v>40</v>
      </c>
      <c r="C76" t="s">
        <v>19</v>
      </c>
      <c r="D76" t="s">
        <v>12</v>
      </c>
      <c r="E76" t="s">
        <v>26</v>
      </c>
      <c r="F76" t="s">
        <v>27</v>
      </c>
      <c r="G76" t="s">
        <v>28</v>
      </c>
      <c r="H76">
        <v>3</v>
      </c>
      <c r="I76">
        <v>2409</v>
      </c>
      <c r="J76">
        <v>531.79</v>
      </c>
    </row>
    <row r="77" spans="1:10" x14ac:dyDescent="0.25">
      <c r="A77" s="1">
        <v>45387</v>
      </c>
      <c r="B77" t="s">
        <v>18</v>
      </c>
      <c r="C77" t="s">
        <v>19</v>
      </c>
      <c r="D77" t="s">
        <v>12</v>
      </c>
      <c r="E77" t="s">
        <v>74</v>
      </c>
      <c r="F77" t="s">
        <v>23</v>
      </c>
      <c r="G77" t="s">
        <v>24</v>
      </c>
      <c r="H77">
        <v>2</v>
      </c>
      <c r="I77">
        <v>328</v>
      </c>
      <c r="J77">
        <v>39.51</v>
      </c>
    </row>
    <row r="78" spans="1:10" x14ac:dyDescent="0.25">
      <c r="A78" s="1">
        <v>45322</v>
      </c>
      <c r="B78" t="s">
        <v>40</v>
      </c>
      <c r="C78" t="s">
        <v>19</v>
      </c>
      <c r="D78" t="s">
        <v>12</v>
      </c>
      <c r="E78" t="s">
        <v>52</v>
      </c>
      <c r="F78" t="s">
        <v>42</v>
      </c>
      <c r="G78" t="s">
        <v>28</v>
      </c>
      <c r="H78">
        <v>8</v>
      </c>
      <c r="I78">
        <v>6224</v>
      </c>
      <c r="J78">
        <v>1561.42</v>
      </c>
    </row>
    <row r="79" spans="1:10" x14ac:dyDescent="0.25">
      <c r="A79" s="1">
        <v>45300</v>
      </c>
      <c r="B79" t="s">
        <v>32</v>
      </c>
      <c r="C79" t="s">
        <v>19</v>
      </c>
      <c r="D79" t="s">
        <v>12</v>
      </c>
      <c r="E79" t="s">
        <v>52</v>
      </c>
      <c r="F79" t="s">
        <v>42</v>
      </c>
      <c r="G79" t="s">
        <v>28</v>
      </c>
      <c r="H79">
        <v>5</v>
      </c>
      <c r="I79">
        <v>2530</v>
      </c>
      <c r="J79">
        <v>486.09</v>
      </c>
    </row>
    <row r="80" spans="1:10" x14ac:dyDescent="0.25">
      <c r="A80" s="1">
        <v>44657</v>
      </c>
      <c r="B80" t="s">
        <v>29</v>
      </c>
      <c r="C80" t="s">
        <v>17</v>
      </c>
      <c r="D80" t="s">
        <v>12</v>
      </c>
      <c r="E80" t="s">
        <v>52</v>
      </c>
      <c r="F80" t="s">
        <v>42</v>
      </c>
      <c r="G80" t="s">
        <v>28</v>
      </c>
      <c r="H80">
        <v>4</v>
      </c>
      <c r="I80">
        <v>4108</v>
      </c>
      <c r="J80">
        <v>462.17</v>
      </c>
    </row>
    <row r="81" spans="1:10" x14ac:dyDescent="0.25">
      <c r="A81" s="1">
        <v>45434</v>
      </c>
      <c r="B81" t="s">
        <v>10</v>
      </c>
      <c r="C81" t="s">
        <v>11</v>
      </c>
      <c r="D81" t="s">
        <v>12</v>
      </c>
      <c r="E81" t="s">
        <v>82</v>
      </c>
      <c r="F81" t="s">
        <v>83</v>
      </c>
      <c r="G81" t="s">
        <v>28</v>
      </c>
      <c r="H81">
        <v>5</v>
      </c>
      <c r="I81">
        <v>1640</v>
      </c>
      <c r="J81">
        <v>391.36</v>
      </c>
    </row>
    <row r="82" spans="1:10" x14ac:dyDescent="0.25">
      <c r="A82" s="1">
        <v>45290</v>
      </c>
      <c r="B82" t="s">
        <v>55</v>
      </c>
      <c r="C82" t="s">
        <v>19</v>
      </c>
      <c r="D82" t="s">
        <v>12</v>
      </c>
      <c r="E82" t="s">
        <v>64</v>
      </c>
      <c r="F82" t="s">
        <v>84</v>
      </c>
      <c r="G82" t="s">
        <v>28</v>
      </c>
      <c r="H82">
        <v>1</v>
      </c>
      <c r="I82">
        <v>111</v>
      </c>
      <c r="J82">
        <v>19.329999999999998</v>
      </c>
    </row>
    <row r="83" spans="1:10" x14ac:dyDescent="0.25">
      <c r="A83" s="1">
        <v>44637</v>
      </c>
      <c r="B83" t="s">
        <v>29</v>
      </c>
      <c r="C83" t="s">
        <v>17</v>
      </c>
      <c r="D83" t="s">
        <v>12</v>
      </c>
      <c r="E83" t="s">
        <v>85</v>
      </c>
      <c r="F83" t="s">
        <v>21</v>
      </c>
      <c r="G83" t="s">
        <v>15</v>
      </c>
      <c r="H83">
        <v>1</v>
      </c>
      <c r="I83">
        <v>445</v>
      </c>
      <c r="J83">
        <v>128.88999999999999</v>
      </c>
    </row>
    <row r="84" spans="1:10" x14ac:dyDescent="0.25">
      <c r="A84" s="1">
        <v>44705</v>
      </c>
      <c r="B84" t="s">
        <v>10</v>
      </c>
      <c r="C84" t="s">
        <v>11</v>
      </c>
      <c r="D84" t="s">
        <v>12</v>
      </c>
      <c r="E84" t="s">
        <v>26</v>
      </c>
      <c r="F84" t="s">
        <v>27</v>
      </c>
      <c r="G84" t="s">
        <v>28</v>
      </c>
      <c r="H84">
        <v>4</v>
      </c>
      <c r="I84">
        <v>3600</v>
      </c>
      <c r="J84">
        <v>623.72</v>
      </c>
    </row>
    <row r="85" spans="1:10" x14ac:dyDescent="0.25">
      <c r="A85" s="1">
        <v>45452</v>
      </c>
      <c r="B85" t="s">
        <v>16</v>
      </c>
      <c r="C85" t="s">
        <v>17</v>
      </c>
      <c r="D85" t="s">
        <v>12</v>
      </c>
      <c r="E85" t="s">
        <v>37</v>
      </c>
      <c r="F85" t="s">
        <v>34</v>
      </c>
      <c r="G85" t="s">
        <v>35</v>
      </c>
      <c r="H85">
        <v>3</v>
      </c>
      <c r="I85">
        <v>1335</v>
      </c>
      <c r="J85">
        <v>176.44</v>
      </c>
    </row>
    <row r="86" spans="1:10" x14ac:dyDescent="0.25">
      <c r="A86" s="1">
        <v>45627</v>
      </c>
      <c r="B86" t="s">
        <v>49</v>
      </c>
      <c r="C86" t="s">
        <v>17</v>
      </c>
      <c r="D86" t="s">
        <v>12</v>
      </c>
      <c r="E86" t="s">
        <v>74</v>
      </c>
      <c r="F86" t="s">
        <v>23</v>
      </c>
      <c r="G86" t="s">
        <v>24</v>
      </c>
      <c r="H86">
        <v>5</v>
      </c>
      <c r="I86">
        <v>3090</v>
      </c>
      <c r="J86">
        <v>242.15</v>
      </c>
    </row>
    <row r="87" spans="1:10" x14ac:dyDescent="0.25">
      <c r="A87" s="1">
        <v>45219</v>
      </c>
      <c r="B87" t="s">
        <v>10</v>
      </c>
      <c r="C87" t="s">
        <v>11</v>
      </c>
      <c r="D87" t="s">
        <v>12</v>
      </c>
      <c r="E87" t="s">
        <v>74</v>
      </c>
      <c r="F87" t="s">
        <v>23</v>
      </c>
      <c r="G87" t="s">
        <v>24</v>
      </c>
      <c r="H87">
        <v>5</v>
      </c>
      <c r="I87">
        <v>3910</v>
      </c>
      <c r="J87">
        <v>538.52</v>
      </c>
    </row>
    <row r="88" spans="1:10" x14ac:dyDescent="0.25">
      <c r="A88" s="1">
        <v>45356</v>
      </c>
      <c r="B88" t="s">
        <v>25</v>
      </c>
      <c r="C88" t="s">
        <v>19</v>
      </c>
      <c r="D88" t="s">
        <v>12</v>
      </c>
      <c r="E88" t="s">
        <v>74</v>
      </c>
      <c r="F88" t="s">
        <v>23</v>
      </c>
      <c r="G88" t="s">
        <v>24</v>
      </c>
      <c r="H88">
        <v>1</v>
      </c>
      <c r="I88">
        <v>219</v>
      </c>
      <c r="J88">
        <v>32.67</v>
      </c>
    </row>
    <row r="89" spans="1:10" x14ac:dyDescent="0.25">
      <c r="A89" s="1">
        <v>44900</v>
      </c>
      <c r="B89" t="s">
        <v>40</v>
      </c>
      <c r="C89" t="s">
        <v>19</v>
      </c>
      <c r="D89" t="s">
        <v>12</v>
      </c>
      <c r="E89" t="s">
        <v>56</v>
      </c>
      <c r="F89" t="s">
        <v>57</v>
      </c>
      <c r="G89" t="s">
        <v>24</v>
      </c>
      <c r="H89">
        <v>5</v>
      </c>
      <c r="I89">
        <v>390</v>
      </c>
      <c r="J89">
        <v>27.77</v>
      </c>
    </row>
    <row r="90" spans="1:10" x14ac:dyDescent="0.25">
      <c r="A90" s="1">
        <v>44778</v>
      </c>
      <c r="B90" t="s">
        <v>55</v>
      </c>
      <c r="C90" t="s">
        <v>19</v>
      </c>
      <c r="D90" t="s">
        <v>12</v>
      </c>
      <c r="E90" t="s">
        <v>22</v>
      </c>
      <c r="F90" t="s">
        <v>23</v>
      </c>
      <c r="G90" t="s">
        <v>24</v>
      </c>
      <c r="H90">
        <v>6</v>
      </c>
      <c r="I90">
        <v>3294</v>
      </c>
      <c r="J90">
        <v>359.61</v>
      </c>
    </row>
    <row r="91" spans="1:10" x14ac:dyDescent="0.25">
      <c r="A91" s="1">
        <v>45006</v>
      </c>
      <c r="B91" t="s">
        <v>49</v>
      </c>
      <c r="C91" t="s">
        <v>17</v>
      </c>
      <c r="D91" t="s">
        <v>12</v>
      </c>
      <c r="E91" t="s">
        <v>86</v>
      </c>
      <c r="F91" t="s">
        <v>84</v>
      </c>
      <c r="G91" t="s">
        <v>28</v>
      </c>
      <c r="H91">
        <v>4</v>
      </c>
      <c r="I91">
        <v>4572</v>
      </c>
      <c r="J91">
        <v>1038.05</v>
      </c>
    </row>
    <row r="92" spans="1:10" x14ac:dyDescent="0.25">
      <c r="A92" s="1">
        <v>44600</v>
      </c>
      <c r="B92" t="s">
        <v>36</v>
      </c>
      <c r="C92" t="s">
        <v>17</v>
      </c>
      <c r="D92" t="s">
        <v>12</v>
      </c>
      <c r="E92" t="s">
        <v>87</v>
      </c>
      <c r="F92" t="s">
        <v>88</v>
      </c>
      <c r="G92" t="s">
        <v>15</v>
      </c>
      <c r="H92">
        <v>7</v>
      </c>
      <c r="I92">
        <v>980</v>
      </c>
      <c r="J92">
        <v>109.94</v>
      </c>
    </row>
    <row r="93" spans="1:10" x14ac:dyDescent="0.25">
      <c r="A93" s="1">
        <v>45017</v>
      </c>
      <c r="B93" t="s">
        <v>29</v>
      </c>
      <c r="C93" t="s">
        <v>17</v>
      </c>
      <c r="D93" t="s">
        <v>12</v>
      </c>
      <c r="E93" t="s">
        <v>89</v>
      </c>
      <c r="F93" t="s">
        <v>71</v>
      </c>
      <c r="G93" t="s">
        <v>35</v>
      </c>
      <c r="H93">
        <v>2</v>
      </c>
      <c r="I93">
        <v>2262</v>
      </c>
      <c r="J93">
        <v>532.12</v>
      </c>
    </row>
    <row r="94" spans="1:10" x14ac:dyDescent="0.25">
      <c r="A94" s="1">
        <v>44909</v>
      </c>
      <c r="B94" t="s">
        <v>25</v>
      </c>
      <c r="C94" t="s">
        <v>19</v>
      </c>
      <c r="D94" t="s">
        <v>12</v>
      </c>
      <c r="E94" t="s">
        <v>52</v>
      </c>
      <c r="F94" t="s">
        <v>42</v>
      </c>
      <c r="G94" t="s">
        <v>28</v>
      </c>
      <c r="H94">
        <v>7</v>
      </c>
      <c r="I94">
        <v>7518</v>
      </c>
      <c r="J94">
        <v>1655.91</v>
      </c>
    </row>
    <row r="95" spans="1:10" x14ac:dyDescent="0.25">
      <c r="A95" s="1">
        <v>44695</v>
      </c>
      <c r="B95" t="s">
        <v>25</v>
      </c>
      <c r="C95" t="s">
        <v>19</v>
      </c>
      <c r="D95" t="s">
        <v>12</v>
      </c>
      <c r="E95" t="s">
        <v>70</v>
      </c>
      <c r="F95" t="s">
        <v>71</v>
      </c>
      <c r="G95" t="s">
        <v>35</v>
      </c>
      <c r="H95">
        <v>1</v>
      </c>
      <c r="I95">
        <v>873</v>
      </c>
      <c r="J95">
        <v>158.97</v>
      </c>
    </row>
    <row r="96" spans="1:10" x14ac:dyDescent="0.25">
      <c r="A96" s="1">
        <v>44608</v>
      </c>
      <c r="B96" t="s">
        <v>16</v>
      </c>
      <c r="C96" t="s">
        <v>17</v>
      </c>
      <c r="D96" t="s">
        <v>12</v>
      </c>
      <c r="E96" t="s">
        <v>70</v>
      </c>
      <c r="F96" t="s">
        <v>71</v>
      </c>
      <c r="G96" t="s">
        <v>35</v>
      </c>
      <c r="H96">
        <v>6</v>
      </c>
      <c r="I96">
        <v>1512</v>
      </c>
      <c r="J96">
        <v>423.03</v>
      </c>
    </row>
    <row r="97" spans="1:10" x14ac:dyDescent="0.25">
      <c r="A97" s="1">
        <v>45532</v>
      </c>
      <c r="B97" t="s">
        <v>55</v>
      </c>
      <c r="C97" t="s">
        <v>19</v>
      </c>
      <c r="D97" t="s">
        <v>12</v>
      </c>
      <c r="E97" t="s">
        <v>75</v>
      </c>
      <c r="F97" t="s">
        <v>39</v>
      </c>
      <c r="G97" t="s">
        <v>35</v>
      </c>
      <c r="H97">
        <v>1</v>
      </c>
      <c r="I97">
        <v>705</v>
      </c>
      <c r="J97">
        <v>165.16</v>
      </c>
    </row>
    <row r="98" spans="1:10" x14ac:dyDescent="0.25">
      <c r="A98" s="1">
        <v>45229</v>
      </c>
      <c r="B98" t="s">
        <v>32</v>
      </c>
      <c r="C98" t="s">
        <v>19</v>
      </c>
      <c r="D98" t="s">
        <v>12</v>
      </c>
      <c r="E98" t="s">
        <v>90</v>
      </c>
      <c r="F98" t="s">
        <v>63</v>
      </c>
      <c r="G98" t="s">
        <v>28</v>
      </c>
      <c r="H98">
        <v>8</v>
      </c>
      <c r="I98">
        <v>3256</v>
      </c>
      <c r="J98">
        <v>533.70000000000005</v>
      </c>
    </row>
    <row r="99" spans="1:10" x14ac:dyDescent="0.25">
      <c r="A99" s="1">
        <v>45101</v>
      </c>
      <c r="B99" t="s">
        <v>18</v>
      </c>
      <c r="C99" t="s">
        <v>19</v>
      </c>
      <c r="D99" t="s">
        <v>12</v>
      </c>
      <c r="E99" t="s">
        <v>91</v>
      </c>
      <c r="F99" t="s">
        <v>23</v>
      </c>
      <c r="G99" t="s">
        <v>24</v>
      </c>
      <c r="H99">
        <v>4</v>
      </c>
      <c r="I99">
        <v>556</v>
      </c>
      <c r="J99">
        <v>81.77</v>
      </c>
    </row>
    <row r="100" spans="1:10" x14ac:dyDescent="0.25">
      <c r="A100" s="1">
        <v>45063</v>
      </c>
      <c r="B100" t="s">
        <v>16</v>
      </c>
      <c r="C100" t="s">
        <v>17</v>
      </c>
      <c r="D100" t="s">
        <v>12</v>
      </c>
      <c r="E100" t="s">
        <v>92</v>
      </c>
      <c r="F100" t="s">
        <v>44</v>
      </c>
      <c r="G100" t="s">
        <v>35</v>
      </c>
      <c r="H100">
        <v>9</v>
      </c>
      <c r="I100">
        <v>7101</v>
      </c>
      <c r="J100">
        <v>2105.8200000000002</v>
      </c>
    </row>
    <row r="101" spans="1:10" x14ac:dyDescent="0.25">
      <c r="A101" s="1">
        <v>45022</v>
      </c>
      <c r="B101" t="s">
        <v>55</v>
      </c>
      <c r="C101" t="s">
        <v>19</v>
      </c>
      <c r="D101" t="s">
        <v>12</v>
      </c>
      <c r="E101" t="s">
        <v>93</v>
      </c>
      <c r="F101" t="s">
        <v>94</v>
      </c>
      <c r="G101" t="s">
        <v>24</v>
      </c>
      <c r="H101">
        <v>9</v>
      </c>
      <c r="I101">
        <v>8802</v>
      </c>
      <c r="J101">
        <v>1344.96</v>
      </c>
    </row>
    <row r="102" spans="1:10" x14ac:dyDescent="0.25">
      <c r="A102" s="1">
        <v>45011</v>
      </c>
      <c r="B102" t="s">
        <v>29</v>
      </c>
      <c r="C102" t="s">
        <v>17</v>
      </c>
      <c r="D102" t="s">
        <v>12</v>
      </c>
      <c r="E102" t="s">
        <v>93</v>
      </c>
      <c r="F102" t="s">
        <v>94</v>
      </c>
      <c r="G102" t="s">
        <v>24</v>
      </c>
      <c r="H102">
        <v>6</v>
      </c>
      <c r="I102">
        <v>5592</v>
      </c>
      <c r="J102">
        <v>1294.1600000000001</v>
      </c>
    </row>
    <row r="103" spans="1:10" x14ac:dyDescent="0.25">
      <c r="A103" s="1">
        <v>45577</v>
      </c>
      <c r="B103" t="s">
        <v>18</v>
      </c>
      <c r="C103" t="s">
        <v>19</v>
      </c>
      <c r="D103" t="s">
        <v>12</v>
      </c>
      <c r="E103" t="s">
        <v>95</v>
      </c>
      <c r="F103" t="s">
        <v>44</v>
      </c>
      <c r="G103" t="s">
        <v>35</v>
      </c>
      <c r="H103">
        <v>2</v>
      </c>
      <c r="I103">
        <v>1852</v>
      </c>
      <c r="J103">
        <v>168.92</v>
      </c>
    </row>
    <row r="104" spans="1:10" x14ac:dyDescent="0.25">
      <c r="A104" s="1">
        <v>44738</v>
      </c>
      <c r="B104" t="s">
        <v>36</v>
      </c>
      <c r="C104" t="s">
        <v>17</v>
      </c>
      <c r="D104" t="s">
        <v>12</v>
      </c>
      <c r="E104" t="s">
        <v>96</v>
      </c>
      <c r="F104" t="s">
        <v>34</v>
      </c>
      <c r="G104" t="s">
        <v>35</v>
      </c>
      <c r="H104">
        <v>1</v>
      </c>
      <c r="I104">
        <v>195</v>
      </c>
      <c r="J104">
        <v>57.88</v>
      </c>
    </row>
    <row r="105" spans="1:10" x14ac:dyDescent="0.25">
      <c r="A105" s="1">
        <v>44666</v>
      </c>
      <c r="B105" t="s">
        <v>16</v>
      </c>
      <c r="C105" t="s">
        <v>17</v>
      </c>
      <c r="D105" t="s">
        <v>12</v>
      </c>
      <c r="E105" t="s">
        <v>74</v>
      </c>
      <c r="F105" t="s">
        <v>23</v>
      </c>
      <c r="G105" t="s">
        <v>24</v>
      </c>
      <c r="H105">
        <v>9</v>
      </c>
      <c r="I105">
        <v>7884</v>
      </c>
      <c r="J105">
        <v>2054.02</v>
      </c>
    </row>
    <row r="106" spans="1:10" x14ac:dyDescent="0.25">
      <c r="A106" s="1">
        <v>45270</v>
      </c>
      <c r="B106" t="s">
        <v>55</v>
      </c>
      <c r="C106" t="s">
        <v>19</v>
      </c>
      <c r="D106" t="s">
        <v>12</v>
      </c>
      <c r="E106" t="s">
        <v>41</v>
      </c>
      <c r="F106" t="s">
        <v>42</v>
      </c>
      <c r="G106" t="s">
        <v>28</v>
      </c>
      <c r="H106">
        <v>5</v>
      </c>
      <c r="I106">
        <v>4360</v>
      </c>
      <c r="J106">
        <v>1160.55</v>
      </c>
    </row>
    <row r="107" spans="1:10" x14ac:dyDescent="0.25">
      <c r="A107" s="1">
        <v>45558</v>
      </c>
      <c r="B107" t="s">
        <v>16</v>
      </c>
      <c r="C107" t="s">
        <v>17</v>
      </c>
      <c r="D107" t="s">
        <v>12</v>
      </c>
      <c r="E107" t="s">
        <v>22</v>
      </c>
      <c r="F107" t="s">
        <v>23</v>
      </c>
      <c r="G107" t="s">
        <v>24</v>
      </c>
      <c r="H107">
        <v>6</v>
      </c>
      <c r="I107">
        <v>4920</v>
      </c>
      <c r="J107">
        <v>929.18</v>
      </c>
    </row>
    <row r="108" spans="1:10" x14ac:dyDescent="0.25">
      <c r="A108" s="1">
        <v>44562</v>
      </c>
      <c r="B108" t="s">
        <v>16</v>
      </c>
      <c r="C108" t="s">
        <v>17</v>
      </c>
      <c r="D108" t="s">
        <v>12</v>
      </c>
      <c r="E108" t="s">
        <v>45</v>
      </c>
      <c r="F108" t="s">
        <v>46</v>
      </c>
      <c r="G108" t="s">
        <v>15</v>
      </c>
      <c r="H108">
        <v>3</v>
      </c>
      <c r="I108">
        <v>3474</v>
      </c>
      <c r="J108">
        <v>565</v>
      </c>
    </row>
    <row r="109" spans="1:10" x14ac:dyDescent="0.25">
      <c r="A109" s="1">
        <v>44595</v>
      </c>
      <c r="B109" t="s">
        <v>49</v>
      </c>
      <c r="C109" t="s">
        <v>17</v>
      </c>
      <c r="D109" t="s">
        <v>12</v>
      </c>
      <c r="E109" t="s">
        <v>97</v>
      </c>
      <c r="F109" t="s">
        <v>23</v>
      </c>
      <c r="G109" t="s">
        <v>24</v>
      </c>
      <c r="H109">
        <v>1</v>
      </c>
      <c r="I109">
        <v>930</v>
      </c>
      <c r="J109">
        <v>222.5</v>
      </c>
    </row>
    <row r="110" spans="1:10" x14ac:dyDescent="0.25">
      <c r="A110" s="1">
        <v>44999</v>
      </c>
      <c r="B110" t="s">
        <v>18</v>
      </c>
      <c r="C110" t="s">
        <v>19</v>
      </c>
      <c r="D110" t="s">
        <v>12</v>
      </c>
      <c r="E110" t="s">
        <v>97</v>
      </c>
      <c r="F110" t="s">
        <v>23</v>
      </c>
      <c r="G110" t="s">
        <v>24</v>
      </c>
      <c r="H110">
        <v>7</v>
      </c>
      <c r="I110">
        <v>1421</v>
      </c>
      <c r="J110">
        <v>248.02</v>
      </c>
    </row>
    <row r="111" spans="1:10" x14ac:dyDescent="0.25">
      <c r="A111" s="1">
        <v>44797</v>
      </c>
      <c r="B111" t="s">
        <v>29</v>
      </c>
      <c r="C111" t="s">
        <v>17</v>
      </c>
      <c r="D111" t="s">
        <v>12</v>
      </c>
      <c r="E111" t="s">
        <v>97</v>
      </c>
      <c r="F111" t="s">
        <v>23</v>
      </c>
      <c r="G111" t="s">
        <v>24</v>
      </c>
      <c r="H111">
        <v>2</v>
      </c>
      <c r="I111">
        <v>634</v>
      </c>
      <c r="J111">
        <v>161.1</v>
      </c>
    </row>
    <row r="112" spans="1:10" x14ac:dyDescent="0.25">
      <c r="A112" s="1">
        <v>45480</v>
      </c>
      <c r="B112" t="s">
        <v>25</v>
      </c>
      <c r="C112" t="s">
        <v>19</v>
      </c>
      <c r="D112" t="s">
        <v>12</v>
      </c>
      <c r="E112" t="s">
        <v>98</v>
      </c>
      <c r="F112" t="s">
        <v>54</v>
      </c>
      <c r="G112" t="s">
        <v>24</v>
      </c>
      <c r="H112">
        <v>1</v>
      </c>
      <c r="I112">
        <v>673</v>
      </c>
      <c r="J112">
        <v>114.42</v>
      </c>
    </row>
    <row r="113" spans="1:10" x14ac:dyDescent="0.25">
      <c r="A113" s="1">
        <v>44664</v>
      </c>
      <c r="B113" t="s">
        <v>16</v>
      </c>
      <c r="C113" t="s">
        <v>17</v>
      </c>
      <c r="D113" t="s">
        <v>12</v>
      </c>
      <c r="E113" t="s">
        <v>99</v>
      </c>
      <c r="F113" t="s">
        <v>100</v>
      </c>
      <c r="G113" t="s">
        <v>35</v>
      </c>
      <c r="H113">
        <v>5</v>
      </c>
      <c r="I113">
        <v>3135</v>
      </c>
      <c r="J113">
        <v>787.7</v>
      </c>
    </row>
    <row r="114" spans="1:10" x14ac:dyDescent="0.25">
      <c r="A114" s="1">
        <v>45420</v>
      </c>
      <c r="B114" t="s">
        <v>40</v>
      </c>
      <c r="C114" t="s">
        <v>19</v>
      </c>
      <c r="D114" t="s">
        <v>12</v>
      </c>
      <c r="E114" t="s">
        <v>70</v>
      </c>
      <c r="F114" t="s">
        <v>71</v>
      </c>
      <c r="G114" t="s">
        <v>35</v>
      </c>
      <c r="H114">
        <v>6</v>
      </c>
      <c r="I114">
        <v>882</v>
      </c>
      <c r="J114">
        <v>184.48</v>
      </c>
    </row>
    <row r="115" spans="1:10" x14ac:dyDescent="0.25">
      <c r="A115" s="1">
        <v>45545</v>
      </c>
      <c r="B115" t="s">
        <v>40</v>
      </c>
      <c r="C115" t="s">
        <v>19</v>
      </c>
      <c r="D115" t="s">
        <v>12</v>
      </c>
      <c r="E115" t="s">
        <v>101</v>
      </c>
      <c r="F115" t="s">
        <v>21</v>
      </c>
      <c r="G115" t="s">
        <v>15</v>
      </c>
      <c r="H115">
        <v>4</v>
      </c>
      <c r="I115">
        <v>1192</v>
      </c>
      <c r="J115">
        <v>212.77</v>
      </c>
    </row>
    <row r="116" spans="1:10" x14ac:dyDescent="0.25">
      <c r="A116" s="1">
        <v>45461</v>
      </c>
      <c r="B116" t="s">
        <v>10</v>
      </c>
      <c r="C116" t="s">
        <v>11</v>
      </c>
      <c r="D116" t="s">
        <v>12</v>
      </c>
      <c r="E116" t="s">
        <v>101</v>
      </c>
      <c r="F116" t="s">
        <v>21</v>
      </c>
      <c r="G116" t="s">
        <v>15</v>
      </c>
      <c r="H116">
        <v>3</v>
      </c>
      <c r="I116">
        <v>390</v>
      </c>
      <c r="J116">
        <v>112.08</v>
      </c>
    </row>
    <row r="117" spans="1:10" x14ac:dyDescent="0.25">
      <c r="A117" s="1">
        <v>45545</v>
      </c>
      <c r="B117" t="s">
        <v>18</v>
      </c>
      <c r="C117" t="s">
        <v>19</v>
      </c>
      <c r="D117" t="s">
        <v>12</v>
      </c>
      <c r="E117" t="s">
        <v>22</v>
      </c>
      <c r="F117" t="s">
        <v>23</v>
      </c>
      <c r="G117" t="s">
        <v>24</v>
      </c>
      <c r="H117">
        <v>1</v>
      </c>
      <c r="I117">
        <v>834</v>
      </c>
      <c r="J117">
        <v>95.54</v>
      </c>
    </row>
    <row r="118" spans="1:10" x14ac:dyDescent="0.25">
      <c r="A118" s="1">
        <v>44687</v>
      </c>
      <c r="B118" t="s">
        <v>40</v>
      </c>
      <c r="C118" t="s">
        <v>19</v>
      </c>
      <c r="D118" t="s">
        <v>12</v>
      </c>
      <c r="E118" t="s">
        <v>22</v>
      </c>
      <c r="F118" t="s">
        <v>23</v>
      </c>
      <c r="G118" t="s">
        <v>24</v>
      </c>
      <c r="H118">
        <v>6</v>
      </c>
      <c r="I118">
        <v>612</v>
      </c>
      <c r="J118">
        <v>83.75</v>
      </c>
    </row>
    <row r="119" spans="1:10" x14ac:dyDescent="0.25">
      <c r="A119" s="1">
        <v>45461</v>
      </c>
      <c r="B119" t="s">
        <v>29</v>
      </c>
      <c r="C119" t="s">
        <v>17</v>
      </c>
      <c r="D119" t="s">
        <v>12</v>
      </c>
      <c r="E119" t="s">
        <v>13</v>
      </c>
      <c r="F119" t="s">
        <v>14</v>
      </c>
      <c r="G119" t="s">
        <v>15</v>
      </c>
      <c r="H119">
        <v>9</v>
      </c>
      <c r="I119">
        <v>8073</v>
      </c>
      <c r="J119">
        <v>710.23</v>
      </c>
    </row>
    <row r="120" spans="1:10" x14ac:dyDescent="0.25">
      <c r="A120" s="1">
        <v>45228</v>
      </c>
      <c r="B120" t="s">
        <v>49</v>
      </c>
      <c r="C120" t="s">
        <v>17</v>
      </c>
      <c r="D120" t="s">
        <v>12</v>
      </c>
      <c r="E120" t="s">
        <v>102</v>
      </c>
      <c r="F120" t="s">
        <v>34</v>
      </c>
      <c r="G120" t="s">
        <v>35</v>
      </c>
      <c r="H120">
        <v>8</v>
      </c>
      <c r="I120">
        <v>2640</v>
      </c>
      <c r="J120">
        <v>723.88</v>
      </c>
    </row>
    <row r="121" spans="1:10" x14ac:dyDescent="0.25">
      <c r="A121" s="1">
        <v>45243</v>
      </c>
      <c r="B121" t="s">
        <v>40</v>
      </c>
      <c r="C121" t="s">
        <v>19</v>
      </c>
      <c r="D121" t="s">
        <v>12</v>
      </c>
      <c r="E121" t="s">
        <v>74</v>
      </c>
      <c r="F121" t="s">
        <v>23</v>
      </c>
      <c r="G121" t="s">
        <v>24</v>
      </c>
      <c r="H121">
        <v>3</v>
      </c>
      <c r="I121">
        <v>3234</v>
      </c>
      <c r="J121">
        <v>440.7</v>
      </c>
    </row>
    <row r="122" spans="1:10" x14ac:dyDescent="0.25">
      <c r="A122" s="1">
        <v>44794</v>
      </c>
      <c r="B122" t="s">
        <v>36</v>
      </c>
      <c r="C122" t="s">
        <v>17</v>
      </c>
      <c r="D122" t="s">
        <v>12</v>
      </c>
      <c r="E122" t="s">
        <v>103</v>
      </c>
      <c r="F122" t="s">
        <v>21</v>
      </c>
      <c r="G122" t="s">
        <v>15</v>
      </c>
      <c r="H122">
        <v>5</v>
      </c>
      <c r="I122">
        <v>4435</v>
      </c>
      <c r="J122">
        <v>355.51</v>
      </c>
    </row>
    <row r="123" spans="1:10" x14ac:dyDescent="0.25">
      <c r="A123" s="1">
        <v>45355</v>
      </c>
      <c r="B123" t="s">
        <v>32</v>
      </c>
      <c r="C123" t="s">
        <v>19</v>
      </c>
      <c r="D123" t="s">
        <v>12</v>
      </c>
      <c r="E123" t="s">
        <v>22</v>
      </c>
      <c r="F123" t="s">
        <v>23</v>
      </c>
      <c r="G123" t="s">
        <v>24</v>
      </c>
      <c r="H123">
        <v>2</v>
      </c>
      <c r="I123">
        <v>2302</v>
      </c>
      <c r="J123">
        <v>305.07</v>
      </c>
    </row>
    <row r="124" spans="1:10" x14ac:dyDescent="0.25">
      <c r="A124" s="1">
        <v>44668</v>
      </c>
      <c r="B124" t="s">
        <v>25</v>
      </c>
      <c r="C124" t="s">
        <v>19</v>
      </c>
      <c r="D124" t="s">
        <v>12</v>
      </c>
      <c r="E124" t="s">
        <v>74</v>
      </c>
      <c r="F124" t="s">
        <v>23</v>
      </c>
      <c r="G124" t="s">
        <v>24</v>
      </c>
      <c r="H124">
        <v>6</v>
      </c>
      <c r="I124">
        <v>1728</v>
      </c>
      <c r="J124">
        <v>307.44</v>
      </c>
    </row>
    <row r="125" spans="1:10" x14ac:dyDescent="0.25">
      <c r="A125" s="1">
        <v>45280</v>
      </c>
      <c r="B125" t="s">
        <v>55</v>
      </c>
      <c r="C125" t="s">
        <v>19</v>
      </c>
      <c r="D125" t="s">
        <v>12</v>
      </c>
      <c r="E125" t="s">
        <v>72</v>
      </c>
      <c r="F125" t="s">
        <v>21</v>
      </c>
      <c r="G125" t="s">
        <v>15</v>
      </c>
      <c r="H125">
        <v>4</v>
      </c>
      <c r="I125">
        <v>228</v>
      </c>
      <c r="J125">
        <v>54.05</v>
      </c>
    </row>
    <row r="126" spans="1:10" x14ac:dyDescent="0.25">
      <c r="A126" s="1">
        <v>44639</v>
      </c>
      <c r="B126" t="s">
        <v>18</v>
      </c>
      <c r="C126" t="s">
        <v>19</v>
      </c>
      <c r="D126" t="s">
        <v>12</v>
      </c>
      <c r="E126" t="s">
        <v>56</v>
      </c>
      <c r="F126" t="s">
        <v>57</v>
      </c>
      <c r="G126" t="s">
        <v>24</v>
      </c>
      <c r="H126">
        <v>6</v>
      </c>
      <c r="I126">
        <v>3450</v>
      </c>
      <c r="J126">
        <v>705.74</v>
      </c>
    </row>
    <row r="127" spans="1:10" x14ac:dyDescent="0.25">
      <c r="A127" s="1">
        <v>45480</v>
      </c>
      <c r="B127" t="s">
        <v>40</v>
      </c>
      <c r="C127" t="s">
        <v>19</v>
      </c>
      <c r="D127" t="s">
        <v>12</v>
      </c>
      <c r="E127" t="s">
        <v>43</v>
      </c>
      <c r="F127" t="s">
        <v>44</v>
      </c>
      <c r="G127" t="s">
        <v>35</v>
      </c>
      <c r="H127">
        <v>8</v>
      </c>
      <c r="I127">
        <v>7456</v>
      </c>
      <c r="J127">
        <v>1702.48</v>
      </c>
    </row>
    <row r="128" spans="1:10" x14ac:dyDescent="0.25">
      <c r="A128" s="1">
        <v>45046</v>
      </c>
      <c r="B128" t="s">
        <v>40</v>
      </c>
      <c r="C128" t="s">
        <v>19</v>
      </c>
      <c r="D128" t="s">
        <v>12</v>
      </c>
      <c r="E128" t="s">
        <v>104</v>
      </c>
      <c r="F128" t="s">
        <v>14</v>
      </c>
      <c r="G128" t="s">
        <v>15</v>
      </c>
      <c r="H128">
        <v>6</v>
      </c>
      <c r="I128">
        <v>4728</v>
      </c>
      <c r="J128">
        <v>705.85</v>
      </c>
    </row>
    <row r="129" spans="1:10" x14ac:dyDescent="0.25">
      <c r="A129" s="1">
        <v>45373</v>
      </c>
      <c r="B129" t="s">
        <v>32</v>
      </c>
      <c r="C129" t="s">
        <v>19</v>
      </c>
      <c r="D129" t="s">
        <v>12</v>
      </c>
      <c r="E129" t="s">
        <v>105</v>
      </c>
      <c r="F129" t="s">
        <v>23</v>
      </c>
      <c r="G129" t="s">
        <v>24</v>
      </c>
      <c r="H129">
        <v>7</v>
      </c>
      <c r="I129">
        <v>945</v>
      </c>
      <c r="J129">
        <v>124.62</v>
      </c>
    </row>
    <row r="130" spans="1:10" x14ac:dyDescent="0.25">
      <c r="A130" s="1">
        <v>44628</v>
      </c>
      <c r="B130" t="s">
        <v>55</v>
      </c>
      <c r="C130" t="s">
        <v>19</v>
      </c>
      <c r="D130" t="s">
        <v>12</v>
      </c>
      <c r="E130" t="s">
        <v>72</v>
      </c>
      <c r="F130" t="s">
        <v>21</v>
      </c>
      <c r="G130" t="s">
        <v>15</v>
      </c>
      <c r="H130">
        <v>4</v>
      </c>
      <c r="I130">
        <v>296</v>
      </c>
      <c r="J130">
        <v>65.05</v>
      </c>
    </row>
    <row r="131" spans="1:10" x14ac:dyDescent="0.25">
      <c r="A131" s="1">
        <v>45184</v>
      </c>
      <c r="B131" t="s">
        <v>40</v>
      </c>
      <c r="C131" t="s">
        <v>19</v>
      </c>
      <c r="D131" t="s">
        <v>12</v>
      </c>
      <c r="E131" t="s">
        <v>52</v>
      </c>
      <c r="F131" t="s">
        <v>42</v>
      </c>
      <c r="G131" t="s">
        <v>28</v>
      </c>
      <c r="H131">
        <v>4</v>
      </c>
      <c r="I131">
        <v>640</v>
      </c>
      <c r="J131">
        <v>149.88999999999999</v>
      </c>
    </row>
    <row r="132" spans="1:10" x14ac:dyDescent="0.25">
      <c r="A132" s="1">
        <v>44986</v>
      </c>
      <c r="B132" t="s">
        <v>18</v>
      </c>
      <c r="C132" t="s">
        <v>19</v>
      </c>
      <c r="D132" t="s">
        <v>12</v>
      </c>
      <c r="E132" t="s">
        <v>52</v>
      </c>
      <c r="F132" t="s">
        <v>42</v>
      </c>
      <c r="G132" t="s">
        <v>28</v>
      </c>
      <c r="H132">
        <v>1</v>
      </c>
      <c r="I132">
        <v>797</v>
      </c>
      <c r="J132">
        <v>65.27</v>
      </c>
    </row>
    <row r="133" spans="1:10" x14ac:dyDescent="0.25">
      <c r="A133" s="1">
        <v>45223</v>
      </c>
      <c r="B133" t="s">
        <v>36</v>
      </c>
      <c r="C133" t="s">
        <v>17</v>
      </c>
      <c r="D133" t="s">
        <v>12</v>
      </c>
      <c r="E133" t="s">
        <v>52</v>
      </c>
      <c r="F133" t="s">
        <v>42</v>
      </c>
      <c r="G133" t="s">
        <v>28</v>
      </c>
      <c r="H133">
        <v>4</v>
      </c>
      <c r="I133">
        <v>1456</v>
      </c>
      <c r="J133">
        <v>431.89</v>
      </c>
    </row>
    <row r="134" spans="1:10" x14ac:dyDescent="0.25">
      <c r="A134" s="1">
        <v>45404</v>
      </c>
      <c r="B134" t="s">
        <v>36</v>
      </c>
      <c r="C134" t="s">
        <v>17</v>
      </c>
      <c r="D134" t="s">
        <v>12</v>
      </c>
      <c r="E134" t="s">
        <v>106</v>
      </c>
      <c r="F134" t="s">
        <v>71</v>
      </c>
      <c r="G134" t="s">
        <v>35</v>
      </c>
      <c r="H134">
        <v>6</v>
      </c>
      <c r="I134">
        <v>4038</v>
      </c>
      <c r="J134">
        <v>364.11</v>
      </c>
    </row>
    <row r="135" spans="1:10" x14ac:dyDescent="0.25">
      <c r="A135" s="1">
        <v>45104</v>
      </c>
      <c r="B135" t="s">
        <v>18</v>
      </c>
      <c r="C135" t="s">
        <v>19</v>
      </c>
      <c r="D135" t="s">
        <v>12</v>
      </c>
      <c r="E135" t="s">
        <v>52</v>
      </c>
      <c r="F135" t="s">
        <v>42</v>
      </c>
      <c r="G135" t="s">
        <v>28</v>
      </c>
      <c r="H135">
        <v>7</v>
      </c>
      <c r="I135">
        <v>5656</v>
      </c>
      <c r="J135">
        <v>355.81</v>
      </c>
    </row>
    <row r="136" spans="1:10" x14ac:dyDescent="0.25">
      <c r="A136" s="1">
        <v>45029</v>
      </c>
      <c r="B136" t="s">
        <v>16</v>
      </c>
      <c r="C136" t="s">
        <v>17</v>
      </c>
      <c r="D136" t="s">
        <v>12</v>
      </c>
      <c r="E136" t="s">
        <v>107</v>
      </c>
      <c r="F136" t="s">
        <v>108</v>
      </c>
      <c r="G136" t="s">
        <v>15</v>
      </c>
      <c r="H136">
        <v>4</v>
      </c>
      <c r="I136">
        <v>3876</v>
      </c>
      <c r="J136">
        <v>302.37</v>
      </c>
    </row>
    <row r="137" spans="1:10" x14ac:dyDescent="0.25">
      <c r="A137" s="1">
        <v>45065</v>
      </c>
      <c r="B137" t="s">
        <v>49</v>
      </c>
      <c r="C137" t="s">
        <v>17</v>
      </c>
      <c r="D137" t="s">
        <v>12</v>
      </c>
      <c r="E137" t="s">
        <v>109</v>
      </c>
      <c r="F137" t="s">
        <v>23</v>
      </c>
      <c r="G137" t="s">
        <v>24</v>
      </c>
      <c r="H137">
        <v>6</v>
      </c>
      <c r="I137">
        <v>1002</v>
      </c>
      <c r="J137">
        <v>114.7</v>
      </c>
    </row>
    <row r="138" spans="1:10" x14ac:dyDescent="0.25">
      <c r="A138" s="1">
        <v>45611</v>
      </c>
      <c r="B138" t="s">
        <v>29</v>
      </c>
      <c r="C138" t="s">
        <v>17</v>
      </c>
      <c r="D138" t="s">
        <v>12</v>
      </c>
      <c r="E138" t="s">
        <v>50</v>
      </c>
      <c r="F138" t="s">
        <v>51</v>
      </c>
      <c r="G138" t="s">
        <v>35</v>
      </c>
      <c r="H138">
        <v>9</v>
      </c>
      <c r="I138">
        <v>2187</v>
      </c>
      <c r="J138">
        <v>413.76</v>
      </c>
    </row>
    <row r="139" spans="1:10" x14ac:dyDescent="0.25">
      <c r="A139" s="1">
        <v>45285</v>
      </c>
      <c r="B139" t="s">
        <v>16</v>
      </c>
      <c r="C139" t="s">
        <v>17</v>
      </c>
      <c r="D139" t="s">
        <v>12</v>
      </c>
      <c r="E139" t="s">
        <v>110</v>
      </c>
      <c r="F139" t="s">
        <v>57</v>
      </c>
      <c r="G139" t="s">
        <v>24</v>
      </c>
      <c r="H139">
        <v>6</v>
      </c>
      <c r="I139">
        <v>7146</v>
      </c>
      <c r="J139">
        <v>1627.42</v>
      </c>
    </row>
    <row r="140" spans="1:10" x14ac:dyDescent="0.25">
      <c r="A140" s="1">
        <v>44651</v>
      </c>
      <c r="B140" t="s">
        <v>49</v>
      </c>
      <c r="C140" t="s">
        <v>17</v>
      </c>
      <c r="D140" t="s">
        <v>12</v>
      </c>
      <c r="E140" t="s">
        <v>53</v>
      </c>
      <c r="F140" t="s">
        <v>44</v>
      </c>
      <c r="G140" t="s">
        <v>35</v>
      </c>
      <c r="H140">
        <v>1</v>
      </c>
      <c r="I140">
        <v>189</v>
      </c>
      <c r="J140">
        <v>14.88</v>
      </c>
    </row>
    <row r="141" spans="1:10" x14ac:dyDescent="0.25">
      <c r="A141" s="1">
        <v>45406</v>
      </c>
      <c r="B141" t="s">
        <v>36</v>
      </c>
      <c r="C141" t="s">
        <v>17</v>
      </c>
      <c r="D141" t="s">
        <v>12</v>
      </c>
      <c r="E141" t="s">
        <v>111</v>
      </c>
      <c r="F141" t="s">
        <v>34</v>
      </c>
      <c r="G141" t="s">
        <v>35</v>
      </c>
      <c r="H141">
        <v>5</v>
      </c>
      <c r="I141">
        <v>940</v>
      </c>
      <c r="J141">
        <v>266.02</v>
      </c>
    </row>
    <row r="142" spans="1:10" x14ac:dyDescent="0.25">
      <c r="A142" s="1">
        <v>44571</v>
      </c>
      <c r="B142" t="s">
        <v>29</v>
      </c>
      <c r="C142" t="s">
        <v>17</v>
      </c>
      <c r="D142" t="s">
        <v>12</v>
      </c>
      <c r="E142" t="s">
        <v>112</v>
      </c>
      <c r="F142" t="s">
        <v>63</v>
      </c>
      <c r="G142" t="s">
        <v>28</v>
      </c>
      <c r="H142">
        <v>1</v>
      </c>
      <c r="I142">
        <v>951</v>
      </c>
      <c r="J142">
        <v>127.58</v>
      </c>
    </row>
    <row r="143" spans="1:10" x14ac:dyDescent="0.25">
      <c r="A143" s="1">
        <v>44882</v>
      </c>
      <c r="B143" t="s">
        <v>10</v>
      </c>
      <c r="C143" t="s">
        <v>11</v>
      </c>
      <c r="D143" t="s">
        <v>12</v>
      </c>
      <c r="E143" t="s">
        <v>43</v>
      </c>
      <c r="F143" t="s">
        <v>44</v>
      </c>
      <c r="G143" t="s">
        <v>35</v>
      </c>
      <c r="H143">
        <v>2</v>
      </c>
      <c r="I143">
        <v>124</v>
      </c>
      <c r="J143">
        <v>27.42</v>
      </c>
    </row>
    <row r="144" spans="1:10" x14ac:dyDescent="0.25">
      <c r="A144" s="1">
        <v>45472</v>
      </c>
      <c r="B144" t="s">
        <v>16</v>
      </c>
      <c r="C144" t="s">
        <v>17</v>
      </c>
      <c r="D144" t="s">
        <v>12</v>
      </c>
      <c r="E144" t="s">
        <v>43</v>
      </c>
      <c r="F144" t="s">
        <v>44</v>
      </c>
      <c r="G144" t="s">
        <v>35</v>
      </c>
      <c r="H144">
        <v>9</v>
      </c>
      <c r="I144">
        <v>7506</v>
      </c>
      <c r="J144">
        <v>594.28</v>
      </c>
    </row>
    <row r="145" spans="1:10" x14ac:dyDescent="0.25">
      <c r="A145" s="1">
        <v>44879</v>
      </c>
      <c r="B145" t="s">
        <v>36</v>
      </c>
      <c r="C145" t="s">
        <v>17</v>
      </c>
      <c r="D145" t="s">
        <v>12</v>
      </c>
      <c r="E145" t="s">
        <v>113</v>
      </c>
      <c r="F145" t="s">
        <v>34</v>
      </c>
      <c r="G145" t="s">
        <v>35</v>
      </c>
      <c r="H145">
        <v>7</v>
      </c>
      <c r="I145">
        <v>8176</v>
      </c>
      <c r="J145">
        <v>2308.7600000000002</v>
      </c>
    </row>
    <row r="146" spans="1:10" x14ac:dyDescent="0.25">
      <c r="A146" s="1">
        <v>45149</v>
      </c>
      <c r="B146" t="s">
        <v>40</v>
      </c>
      <c r="C146" t="s">
        <v>19</v>
      </c>
      <c r="D146" t="s">
        <v>12</v>
      </c>
      <c r="E146" t="s">
        <v>52</v>
      </c>
      <c r="F146" t="s">
        <v>42</v>
      </c>
      <c r="G146" t="s">
        <v>28</v>
      </c>
      <c r="H146">
        <v>5</v>
      </c>
      <c r="I146">
        <v>2125</v>
      </c>
      <c r="J146">
        <v>632.67999999999995</v>
      </c>
    </row>
    <row r="147" spans="1:10" x14ac:dyDescent="0.25">
      <c r="A147" s="1">
        <v>45434</v>
      </c>
      <c r="B147" t="s">
        <v>29</v>
      </c>
      <c r="C147" t="s">
        <v>17</v>
      </c>
      <c r="D147" t="s">
        <v>12</v>
      </c>
      <c r="E147" t="s">
        <v>114</v>
      </c>
      <c r="F147" t="s">
        <v>115</v>
      </c>
      <c r="G147" t="s">
        <v>15</v>
      </c>
      <c r="H147">
        <v>1</v>
      </c>
      <c r="I147">
        <v>967</v>
      </c>
      <c r="J147">
        <v>59.98</v>
      </c>
    </row>
    <row r="148" spans="1:10" x14ac:dyDescent="0.25">
      <c r="A148" s="1">
        <v>44639</v>
      </c>
      <c r="B148" t="s">
        <v>29</v>
      </c>
      <c r="C148" t="s">
        <v>17</v>
      </c>
      <c r="D148" t="s">
        <v>12</v>
      </c>
      <c r="E148" t="s">
        <v>112</v>
      </c>
      <c r="F148" t="s">
        <v>63</v>
      </c>
      <c r="G148" t="s">
        <v>28</v>
      </c>
      <c r="H148">
        <v>5</v>
      </c>
      <c r="I148">
        <v>270</v>
      </c>
      <c r="J148">
        <v>29.41</v>
      </c>
    </row>
    <row r="149" spans="1:10" x14ac:dyDescent="0.25">
      <c r="A149" s="1">
        <v>44857</v>
      </c>
      <c r="B149" t="s">
        <v>49</v>
      </c>
      <c r="C149" t="s">
        <v>17</v>
      </c>
      <c r="D149" t="s">
        <v>12</v>
      </c>
      <c r="E149" t="s">
        <v>56</v>
      </c>
      <c r="F149" t="s">
        <v>57</v>
      </c>
      <c r="G149" t="s">
        <v>24</v>
      </c>
      <c r="H149">
        <v>9</v>
      </c>
      <c r="I149">
        <v>10035</v>
      </c>
      <c r="J149">
        <v>1486.3</v>
      </c>
    </row>
    <row r="150" spans="1:10" x14ac:dyDescent="0.25">
      <c r="A150" s="1">
        <v>44983</v>
      </c>
      <c r="B150" t="s">
        <v>10</v>
      </c>
      <c r="C150" t="s">
        <v>11</v>
      </c>
      <c r="D150" t="s">
        <v>12</v>
      </c>
      <c r="E150" t="s">
        <v>116</v>
      </c>
      <c r="F150" t="s">
        <v>23</v>
      </c>
      <c r="G150" t="s">
        <v>24</v>
      </c>
      <c r="H150">
        <v>8</v>
      </c>
      <c r="I150">
        <v>6792</v>
      </c>
      <c r="J150">
        <v>1125.23</v>
      </c>
    </row>
    <row r="151" spans="1:10" x14ac:dyDescent="0.25">
      <c r="A151" s="1">
        <v>45568</v>
      </c>
      <c r="B151" t="s">
        <v>10</v>
      </c>
      <c r="C151" t="s">
        <v>11</v>
      </c>
      <c r="D151" t="s">
        <v>12</v>
      </c>
      <c r="E151" t="s">
        <v>52</v>
      </c>
      <c r="F151" t="s">
        <v>42</v>
      </c>
      <c r="G151" t="s">
        <v>28</v>
      </c>
      <c r="H151">
        <v>1</v>
      </c>
      <c r="I151">
        <v>714</v>
      </c>
      <c r="J151">
        <v>99.13</v>
      </c>
    </row>
    <row r="152" spans="1:10" x14ac:dyDescent="0.25">
      <c r="A152" s="1">
        <v>44759</v>
      </c>
      <c r="B152" t="s">
        <v>40</v>
      </c>
      <c r="C152" t="s">
        <v>19</v>
      </c>
      <c r="D152" t="s">
        <v>12</v>
      </c>
      <c r="E152" t="s">
        <v>117</v>
      </c>
      <c r="F152" t="s">
        <v>59</v>
      </c>
      <c r="G152" t="s">
        <v>28</v>
      </c>
      <c r="H152">
        <v>5</v>
      </c>
      <c r="I152">
        <v>765</v>
      </c>
      <c r="J152">
        <v>157.63999999999999</v>
      </c>
    </row>
    <row r="153" spans="1:10" x14ac:dyDescent="0.25">
      <c r="A153" s="1">
        <v>45600</v>
      </c>
      <c r="B153" t="s">
        <v>29</v>
      </c>
      <c r="C153" t="s">
        <v>17</v>
      </c>
      <c r="D153" t="s">
        <v>12</v>
      </c>
      <c r="E153" t="s">
        <v>62</v>
      </c>
      <c r="F153" t="s">
        <v>63</v>
      </c>
      <c r="G153" t="s">
        <v>28</v>
      </c>
      <c r="H153">
        <v>7</v>
      </c>
      <c r="I153">
        <v>4221</v>
      </c>
      <c r="J153">
        <v>358.02</v>
      </c>
    </row>
    <row r="154" spans="1:10" x14ac:dyDescent="0.25">
      <c r="A154" s="1">
        <v>44981</v>
      </c>
      <c r="B154" t="s">
        <v>55</v>
      </c>
      <c r="C154" t="s">
        <v>19</v>
      </c>
      <c r="D154" t="s">
        <v>12</v>
      </c>
      <c r="E154" t="s">
        <v>30</v>
      </c>
      <c r="F154" t="s">
        <v>31</v>
      </c>
      <c r="G154" t="s">
        <v>24</v>
      </c>
      <c r="H154">
        <v>4</v>
      </c>
      <c r="I154">
        <v>2108</v>
      </c>
      <c r="J154">
        <v>576.48</v>
      </c>
    </row>
    <row r="155" spans="1:10" x14ac:dyDescent="0.25">
      <c r="A155" s="1">
        <v>45512</v>
      </c>
      <c r="B155" t="s">
        <v>36</v>
      </c>
      <c r="C155" t="s">
        <v>17</v>
      </c>
      <c r="D155" t="s">
        <v>12</v>
      </c>
      <c r="E155" t="s">
        <v>70</v>
      </c>
      <c r="F155" t="s">
        <v>71</v>
      </c>
      <c r="G155" t="s">
        <v>35</v>
      </c>
      <c r="H155">
        <v>9</v>
      </c>
      <c r="I155">
        <v>10530</v>
      </c>
      <c r="J155">
        <v>2387.63</v>
      </c>
    </row>
    <row r="156" spans="1:10" x14ac:dyDescent="0.25">
      <c r="A156" s="1">
        <v>45426</v>
      </c>
      <c r="B156" t="s">
        <v>49</v>
      </c>
      <c r="C156" t="s">
        <v>17</v>
      </c>
      <c r="D156" t="s">
        <v>12</v>
      </c>
      <c r="E156" t="s">
        <v>26</v>
      </c>
      <c r="F156" t="s">
        <v>27</v>
      </c>
      <c r="G156" t="s">
        <v>28</v>
      </c>
      <c r="H156">
        <v>6</v>
      </c>
      <c r="I156">
        <v>3396</v>
      </c>
      <c r="J156">
        <v>914.17</v>
      </c>
    </row>
    <row r="157" spans="1:10" x14ac:dyDescent="0.25">
      <c r="A157" s="1">
        <v>44576</v>
      </c>
      <c r="B157" t="s">
        <v>36</v>
      </c>
      <c r="C157" t="s">
        <v>17</v>
      </c>
      <c r="D157" t="s">
        <v>12</v>
      </c>
      <c r="E157" t="s">
        <v>118</v>
      </c>
      <c r="F157" t="s">
        <v>42</v>
      </c>
      <c r="G157" t="s">
        <v>28</v>
      </c>
      <c r="H157">
        <v>4</v>
      </c>
      <c r="I157">
        <v>1060</v>
      </c>
      <c r="J157">
        <v>213.05</v>
      </c>
    </row>
    <row r="158" spans="1:10" x14ac:dyDescent="0.25">
      <c r="A158" s="1">
        <v>44691</v>
      </c>
      <c r="B158" t="s">
        <v>18</v>
      </c>
      <c r="C158" t="s">
        <v>19</v>
      </c>
      <c r="D158" t="s">
        <v>12</v>
      </c>
      <c r="E158" t="s">
        <v>118</v>
      </c>
      <c r="F158" t="s">
        <v>42</v>
      </c>
      <c r="G158" t="s">
        <v>28</v>
      </c>
      <c r="H158">
        <v>5</v>
      </c>
      <c r="I158">
        <v>480</v>
      </c>
      <c r="J158">
        <v>73.069999999999993</v>
      </c>
    </row>
    <row r="159" spans="1:10" x14ac:dyDescent="0.25">
      <c r="A159" s="1">
        <v>44630</v>
      </c>
      <c r="B159" t="s">
        <v>29</v>
      </c>
      <c r="C159" t="s">
        <v>17</v>
      </c>
      <c r="D159" t="s">
        <v>12</v>
      </c>
      <c r="E159" t="s">
        <v>56</v>
      </c>
      <c r="F159" t="s">
        <v>57</v>
      </c>
      <c r="G159" t="s">
        <v>24</v>
      </c>
      <c r="H159">
        <v>3</v>
      </c>
      <c r="I159">
        <v>2529</v>
      </c>
      <c r="J159">
        <v>285.64999999999998</v>
      </c>
    </row>
    <row r="160" spans="1:10" x14ac:dyDescent="0.25">
      <c r="A160" s="1">
        <v>44584</v>
      </c>
      <c r="B160" t="s">
        <v>32</v>
      </c>
      <c r="C160" t="s">
        <v>19</v>
      </c>
      <c r="D160" t="s">
        <v>12</v>
      </c>
      <c r="E160" t="s">
        <v>105</v>
      </c>
      <c r="F160" t="s">
        <v>23</v>
      </c>
      <c r="G160" t="s">
        <v>24</v>
      </c>
      <c r="H160">
        <v>8</v>
      </c>
      <c r="I160">
        <v>4792</v>
      </c>
      <c r="J160">
        <v>511.97</v>
      </c>
    </row>
    <row r="161" spans="1:10" x14ac:dyDescent="0.25">
      <c r="A161" s="1">
        <v>45554</v>
      </c>
      <c r="B161" t="s">
        <v>32</v>
      </c>
      <c r="C161" t="s">
        <v>19</v>
      </c>
      <c r="D161" t="s">
        <v>12</v>
      </c>
      <c r="E161" t="s">
        <v>119</v>
      </c>
      <c r="F161" t="s">
        <v>71</v>
      </c>
      <c r="G161" t="s">
        <v>35</v>
      </c>
      <c r="H161">
        <v>8</v>
      </c>
      <c r="I161">
        <v>8056</v>
      </c>
      <c r="J161">
        <v>605.79999999999995</v>
      </c>
    </row>
    <row r="162" spans="1:10" x14ac:dyDescent="0.25">
      <c r="A162" s="1">
        <v>45449</v>
      </c>
      <c r="B162" t="s">
        <v>18</v>
      </c>
      <c r="C162" t="s">
        <v>19</v>
      </c>
      <c r="D162" t="s">
        <v>12</v>
      </c>
      <c r="E162" t="s">
        <v>22</v>
      </c>
      <c r="F162" t="s">
        <v>23</v>
      </c>
      <c r="G162" t="s">
        <v>24</v>
      </c>
      <c r="H162">
        <v>4</v>
      </c>
      <c r="I162">
        <v>4228</v>
      </c>
      <c r="J162">
        <v>947.76</v>
      </c>
    </row>
    <row r="163" spans="1:10" x14ac:dyDescent="0.25">
      <c r="A163" s="1">
        <v>45575</v>
      </c>
      <c r="B163" t="s">
        <v>18</v>
      </c>
      <c r="C163" t="s">
        <v>19</v>
      </c>
      <c r="D163" t="s">
        <v>12</v>
      </c>
      <c r="E163" t="s">
        <v>103</v>
      </c>
      <c r="F163" t="s">
        <v>21</v>
      </c>
      <c r="G163" t="s">
        <v>15</v>
      </c>
      <c r="H163">
        <v>1</v>
      </c>
      <c r="I163">
        <v>653</v>
      </c>
      <c r="J163">
        <v>93.78</v>
      </c>
    </row>
    <row r="164" spans="1:10" x14ac:dyDescent="0.25">
      <c r="A164" s="1">
        <v>45375</v>
      </c>
      <c r="B164" t="s">
        <v>18</v>
      </c>
      <c r="C164" t="s">
        <v>19</v>
      </c>
      <c r="D164" t="s">
        <v>12</v>
      </c>
      <c r="E164" t="s">
        <v>120</v>
      </c>
      <c r="F164" t="s">
        <v>21</v>
      </c>
      <c r="G164" t="s">
        <v>15</v>
      </c>
      <c r="H164">
        <v>9</v>
      </c>
      <c r="I164">
        <v>7452</v>
      </c>
      <c r="J164">
        <v>1212.51</v>
      </c>
    </row>
    <row r="165" spans="1:10" x14ac:dyDescent="0.25">
      <c r="A165" s="1">
        <v>45128</v>
      </c>
      <c r="B165" t="s">
        <v>16</v>
      </c>
      <c r="C165" t="s">
        <v>17</v>
      </c>
      <c r="D165" t="s">
        <v>12</v>
      </c>
      <c r="E165" t="s">
        <v>111</v>
      </c>
      <c r="F165" t="s">
        <v>115</v>
      </c>
      <c r="G165" t="s">
        <v>15</v>
      </c>
      <c r="H165">
        <v>4</v>
      </c>
      <c r="I165">
        <v>4128</v>
      </c>
      <c r="J165">
        <v>1156.71</v>
      </c>
    </row>
    <row r="166" spans="1:10" x14ac:dyDescent="0.25">
      <c r="A166" s="1">
        <v>44763</v>
      </c>
      <c r="B166" t="s">
        <v>18</v>
      </c>
      <c r="C166" t="s">
        <v>19</v>
      </c>
      <c r="D166" t="s">
        <v>12</v>
      </c>
      <c r="E166" t="s">
        <v>121</v>
      </c>
      <c r="F166" t="s">
        <v>122</v>
      </c>
      <c r="G166" t="s">
        <v>35</v>
      </c>
      <c r="H166">
        <v>5</v>
      </c>
      <c r="I166">
        <v>5090</v>
      </c>
      <c r="J166">
        <v>1201.56</v>
      </c>
    </row>
    <row r="167" spans="1:10" x14ac:dyDescent="0.25">
      <c r="A167" s="1">
        <v>44805</v>
      </c>
      <c r="B167" t="s">
        <v>25</v>
      </c>
      <c r="C167" t="s">
        <v>19</v>
      </c>
      <c r="D167" t="s">
        <v>12</v>
      </c>
      <c r="E167" t="s">
        <v>74</v>
      </c>
      <c r="F167" t="s">
        <v>23</v>
      </c>
      <c r="G167" t="s">
        <v>24</v>
      </c>
      <c r="H167">
        <v>5</v>
      </c>
      <c r="I167">
        <v>4930</v>
      </c>
      <c r="J167">
        <v>387.33</v>
      </c>
    </row>
    <row r="168" spans="1:10" x14ac:dyDescent="0.25">
      <c r="A168" s="1">
        <v>45036</v>
      </c>
      <c r="B168" t="s">
        <v>32</v>
      </c>
      <c r="C168" t="s">
        <v>19</v>
      </c>
      <c r="D168" t="s">
        <v>12</v>
      </c>
      <c r="E168" t="s">
        <v>75</v>
      </c>
      <c r="F168" t="s">
        <v>63</v>
      </c>
      <c r="G168" t="s">
        <v>28</v>
      </c>
      <c r="H168">
        <v>6</v>
      </c>
      <c r="I168">
        <v>2610</v>
      </c>
      <c r="J168">
        <v>434.37</v>
      </c>
    </row>
    <row r="169" spans="1:10" x14ac:dyDescent="0.25">
      <c r="A169" s="1">
        <v>45271</v>
      </c>
      <c r="B169" t="s">
        <v>55</v>
      </c>
      <c r="C169" t="s">
        <v>19</v>
      </c>
      <c r="D169" t="s">
        <v>12</v>
      </c>
      <c r="E169" t="s">
        <v>123</v>
      </c>
      <c r="F169" t="s">
        <v>23</v>
      </c>
      <c r="G169" t="s">
        <v>24</v>
      </c>
      <c r="H169">
        <v>3</v>
      </c>
      <c r="I169">
        <v>2139</v>
      </c>
      <c r="J169">
        <v>415.84</v>
      </c>
    </row>
    <row r="170" spans="1:10" x14ac:dyDescent="0.25">
      <c r="A170" s="1">
        <v>45564</v>
      </c>
      <c r="B170" t="s">
        <v>18</v>
      </c>
      <c r="C170" t="s">
        <v>19</v>
      </c>
      <c r="D170" t="s">
        <v>12</v>
      </c>
      <c r="E170" t="s">
        <v>104</v>
      </c>
      <c r="F170" t="s">
        <v>115</v>
      </c>
      <c r="G170" t="s">
        <v>15</v>
      </c>
      <c r="H170">
        <v>1</v>
      </c>
      <c r="I170">
        <v>226</v>
      </c>
      <c r="J170">
        <v>55.4</v>
      </c>
    </row>
    <row r="171" spans="1:10" x14ac:dyDescent="0.25">
      <c r="A171" s="1">
        <v>45250</v>
      </c>
      <c r="B171" t="s">
        <v>32</v>
      </c>
      <c r="C171" t="s">
        <v>19</v>
      </c>
      <c r="D171" t="s">
        <v>12</v>
      </c>
      <c r="E171" t="s">
        <v>124</v>
      </c>
      <c r="F171" t="s">
        <v>23</v>
      </c>
      <c r="G171" t="s">
        <v>24</v>
      </c>
      <c r="H171">
        <v>2</v>
      </c>
      <c r="I171">
        <v>2244</v>
      </c>
      <c r="J171">
        <v>212.08</v>
      </c>
    </row>
    <row r="172" spans="1:10" x14ac:dyDescent="0.25">
      <c r="A172" s="1">
        <v>45122</v>
      </c>
      <c r="B172" t="s">
        <v>36</v>
      </c>
      <c r="C172" t="s">
        <v>17</v>
      </c>
      <c r="D172" t="s">
        <v>12</v>
      </c>
      <c r="E172" t="s">
        <v>105</v>
      </c>
      <c r="F172" t="s">
        <v>23</v>
      </c>
      <c r="G172" t="s">
        <v>24</v>
      </c>
      <c r="H172">
        <v>6</v>
      </c>
      <c r="I172">
        <v>3150</v>
      </c>
      <c r="J172">
        <v>578.87</v>
      </c>
    </row>
    <row r="173" spans="1:10" x14ac:dyDescent="0.25">
      <c r="A173" s="1">
        <v>45284</v>
      </c>
      <c r="B173" t="s">
        <v>55</v>
      </c>
      <c r="C173" t="s">
        <v>19</v>
      </c>
      <c r="D173" t="s">
        <v>12</v>
      </c>
      <c r="E173" t="s">
        <v>74</v>
      </c>
      <c r="F173" t="s">
        <v>23</v>
      </c>
      <c r="G173" t="s">
        <v>24</v>
      </c>
      <c r="H173">
        <v>7</v>
      </c>
      <c r="I173">
        <v>3388</v>
      </c>
      <c r="J173">
        <v>347.19</v>
      </c>
    </row>
    <row r="174" spans="1:10" x14ac:dyDescent="0.25">
      <c r="A174" s="1">
        <v>45151</v>
      </c>
      <c r="B174" t="s">
        <v>55</v>
      </c>
      <c r="C174" t="s">
        <v>19</v>
      </c>
      <c r="D174" t="s">
        <v>12</v>
      </c>
      <c r="E174" t="s">
        <v>125</v>
      </c>
      <c r="F174" t="s">
        <v>126</v>
      </c>
      <c r="G174" t="s">
        <v>35</v>
      </c>
      <c r="H174">
        <v>8</v>
      </c>
      <c r="I174">
        <v>8736</v>
      </c>
      <c r="J174">
        <v>580.30999999999995</v>
      </c>
    </row>
    <row r="175" spans="1:10" x14ac:dyDescent="0.25">
      <c r="A175" s="1">
        <v>44675</v>
      </c>
      <c r="B175" t="s">
        <v>40</v>
      </c>
      <c r="C175" t="s">
        <v>19</v>
      </c>
      <c r="D175" t="s">
        <v>12</v>
      </c>
      <c r="E175" t="s">
        <v>127</v>
      </c>
      <c r="F175" t="s">
        <v>57</v>
      </c>
      <c r="G175" t="s">
        <v>24</v>
      </c>
      <c r="H175">
        <v>2</v>
      </c>
      <c r="I175">
        <v>1102</v>
      </c>
      <c r="J175">
        <v>176.53</v>
      </c>
    </row>
    <row r="176" spans="1:10" x14ac:dyDescent="0.25">
      <c r="A176" s="1">
        <v>45486</v>
      </c>
      <c r="B176" t="s">
        <v>36</v>
      </c>
      <c r="C176" t="s">
        <v>17</v>
      </c>
      <c r="D176" t="s">
        <v>12</v>
      </c>
      <c r="E176" t="s">
        <v>128</v>
      </c>
      <c r="F176" t="s">
        <v>23</v>
      </c>
      <c r="G176" t="s">
        <v>24</v>
      </c>
      <c r="H176">
        <v>3</v>
      </c>
      <c r="I176">
        <v>2640</v>
      </c>
      <c r="J176">
        <v>199.97</v>
      </c>
    </row>
    <row r="177" spans="1:10" x14ac:dyDescent="0.25">
      <c r="A177" s="1">
        <v>44723</v>
      </c>
      <c r="B177" t="s">
        <v>10</v>
      </c>
      <c r="C177" t="s">
        <v>11</v>
      </c>
      <c r="D177" t="s">
        <v>12</v>
      </c>
      <c r="E177" t="s">
        <v>26</v>
      </c>
      <c r="F177" t="s">
        <v>27</v>
      </c>
      <c r="G177" t="s">
        <v>28</v>
      </c>
      <c r="H177">
        <v>3</v>
      </c>
      <c r="I177">
        <v>2547</v>
      </c>
      <c r="J177">
        <v>300.74</v>
      </c>
    </row>
    <row r="178" spans="1:10" x14ac:dyDescent="0.25">
      <c r="A178" s="1">
        <v>45593</v>
      </c>
      <c r="B178" t="s">
        <v>55</v>
      </c>
      <c r="C178" t="s">
        <v>19</v>
      </c>
      <c r="D178" t="s">
        <v>12</v>
      </c>
      <c r="E178" t="s">
        <v>129</v>
      </c>
      <c r="F178" t="s">
        <v>14</v>
      </c>
      <c r="G178" t="s">
        <v>15</v>
      </c>
      <c r="H178">
        <v>7</v>
      </c>
      <c r="I178">
        <v>728</v>
      </c>
      <c r="J178">
        <v>64.819999999999993</v>
      </c>
    </row>
    <row r="179" spans="1:10" x14ac:dyDescent="0.25">
      <c r="A179" s="1">
        <v>44889</v>
      </c>
      <c r="B179" t="s">
        <v>25</v>
      </c>
      <c r="C179" t="s">
        <v>19</v>
      </c>
      <c r="D179" t="s">
        <v>12</v>
      </c>
      <c r="E179" t="s">
        <v>52</v>
      </c>
      <c r="F179" t="s">
        <v>42</v>
      </c>
      <c r="G179" t="s">
        <v>28</v>
      </c>
      <c r="H179">
        <v>7</v>
      </c>
      <c r="I179">
        <v>3444</v>
      </c>
      <c r="J179">
        <v>607.44000000000005</v>
      </c>
    </row>
    <row r="180" spans="1:10" x14ac:dyDescent="0.25">
      <c r="A180" s="1">
        <v>45568</v>
      </c>
      <c r="B180" t="s">
        <v>25</v>
      </c>
      <c r="C180" t="s">
        <v>19</v>
      </c>
      <c r="D180" t="s">
        <v>12</v>
      </c>
      <c r="E180" t="s">
        <v>130</v>
      </c>
      <c r="F180" t="s">
        <v>14</v>
      </c>
      <c r="G180" t="s">
        <v>15</v>
      </c>
      <c r="H180">
        <v>5</v>
      </c>
      <c r="I180">
        <v>3140</v>
      </c>
      <c r="J180">
        <v>853.66</v>
      </c>
    </row>
    <row r="181" spans="1:10" x14ac:dyDescent="0.25">
      <c r="A181" s="1">
        <v>45375</v>
      </c>
      <c r="B181" t="s">
        <v>40</v>
      </c>
      <c r="C181" t="s">
        <v>19</v>
      </c>
      <c r="D181" t="s">
        <v>12</v>
      </c>
      <c r="E181" t="s">
        <v>131</v>
      </c>
      <c r="F181" t="s">
        <v>63</v>
      </c>
      <c r="G181" t="s">
        <v>28</v>
      </c>
      <c r="H181">
        <v>3</v>
      </c>
      <c r="I181">
        <v>435</v>
      </c>
      <c r="J181">
        <v>129.27000000000001</v>
      </c>
    </row>
    <row r="182" spans="1:10" x14ac:dyDescent="0.25">
      <c r="A182" s="1">
        <v>45471</v>
      </c>
      <c r="B182" t="s">
        <v>49</v>
      </c>
      <c r="C182" t="s">
        <v>17</v>
      </c>
      <c r="D182" t="s">
        <v>12</v>
      </c>
      <c r="E182" t="s">
        <v>52</v>
      </c>
      <c r="F182" t="s">
        <v>42</v>
      </c>
      <c r="G182" t="s">
        <v>28</v>
      </c>
      <c r="H182">
        <v>4</v>
      </c>
      <c r="I182">
        <v>856</v>
      </c>
      <c r="J182">
        <v>72.989999999999995</v>
      </c>
    </row>
    <row r="183" spans="1:10" x14ac:dyDescent="0.25">
      <c r="A183" s="1">
        <v>44712</v>
      </c>
      <c r="B183" t="s">
        <v>10</v>
      </c>
      <c r="C183" t="s">
        <v>11</v>
      </c>
      <c r="D183" t="s">
        <v>12</v>
      </c>
      <c r="E183" t="s">
        <v>132</v>
      </c>
      <c r="F183" t="s">
        <v>115</v>
      </c>
      <c r="G183" t="s">
        <v>15</v>
      </c>
      <c r="H183">
        <v>2</v>
      </c>
      <c r="I183">
        <v>112</v>
      </c>
      <c r="J183">
        <v>23.33</v>
      </c>
    </row>
    <row r="184" spans="1:10" x14ac:dyDescent="0.25">
      <c r="A184" s="1">
        <v>45376</v>
      </c>
      <c r="B184" t="s">
        <v>29</v>
      </c>
      <c r="C184" t="s">
        <v>17</v>
      </c>
      <c r="D184" t="s">
        <v>12</v>
      </c>
      <c r="E184" t="s">
        <v>91</v>
      </c>
      <c r="F184" t="s">
        <v>133</v>
      </c>
      <c r="G184" t="s">
        <v>28</v>
      </c>
      <c r="H184">
        <v>3</v>
      </c>
      <c r="I184">
        <v>2247</v>
      </c>
      <c r="J184">
        <v>507.79</v>
      </c>
    </row>
    <row r="185" spans="1:10" x14ac:dyDescent="0.25">
      <c r="A185" s="1">
        <v>44957</v>
      </c>
      <c r="B185" t="s">
        <v>49</v>
      </c>
      <c r="C185" t="s">
        <v>17</v>
      </c>
      <c r="D185" t="s">
        <v>12</v>
      </c>
      <c r="E185" t="s">
        <v>52</v>
      </c>
      <c r="F185" t="s">
        <v>42</v>
      </c>
      <c r="G185" t="s">
        <v>28</v>
      </c>
      <c r="H185">
        <v>2</v>
      </c>
      <c r="I185">
        <v>1512</v>
      </c>
      <c r="J185">
        <v>298.73</v>
      </c>
    </row>
    <row r="186" spans="1:10" x14ac:dyDescent="0.25">
      <c r="A186" s="1">
        <v>45466</v>
      </c>
      <c r="B186" t="s">
        <v>16</v>
      </c>
      <c r="C186" t="s">
        <v>17</v>
      </c>
      <c r="D186" t="s">
        <v>12</v>
      </c>
      <c r="E186" t="s">
        <v>70</v>
      </c>
      <c r="F186" t="s">
        <v>71</v>
      </c>
      <c r="G186" t="s">
        <v>35</v>
      </c>
      <c r="H186">
        <v>5</v>
      </c>
      <c r="I186">
        <v>4915</v>
      </c>
      <c r="J186">
        <v>1196.5999999999999</v>
      </c>
    </row>
    <row r="187" spans="1:10" x14ac:dyDescent="0.25">
      <c r="A187" s="1">
        <v>45154</v>
      </c>
      <c r="B187" t="s">
        <v>16</v>
      </c>
      <c r="C187" t="s">
        <v>17</v>
      </c>
      <c r="D187" t="s">
        <v>12</v>
      </c>
      <c r="E187" t="s">
        <v>134</v>
      </c>
      <c r="F187" t="s">
        <v>42</v>
      </c>
      <c r="G187" t="s">
        <v>28</v>
      </c>
      <c r="H187">
        <v>3</v>
      </c>
      <c r="I187">
        <v>2709</v>
      </c>
      <c r="J187">
        <v>663.54</v>
      </c>
    </row>
    <row r="188" spans="1:10" x14ac:dyDescent="0.25">
      <c r="A188" s="1">
        <v>45087</v>
      </c>
      <c r="B188" t="s">
        <v>18</v>
      </c>
      <c r="C188" t="s">
        <v>19</v>
      </c>
      <c r="D188" t="s">
        <v>12</v>
      </c>
      <c r="E188" t="s">
        <v>52</v>
      </c>
      <c r="F188" t="s">
        <v>42</v>
      </c>
      <c r="G188" t="s">
        <v>28</v>
      </c>
      <c r="H188">
        <v>7</v>
      </c>
      <c r="I188">
        <v>1239</v>
      </c>
      <c r="J188">
        <v>118.36</v>
      </c>
    </row>
    <row r="189" spans="1:10" x14ac:dyDescent="0.25">
      <c r="A189" s="1">
        <v>45055</v>
      </c>
      <c r="B189" t="s">
        <v>18</v>
      </c>
      <c r="C189" t="s">
        <v>19</v>
      </c>
      <c r="D189" t="s">
        <v>12</v>
      </c>
      <c r="E189" t="s">
        <v>135</v>
      </c>
      <c r="F189" t="s">
        <v>83</v>
      </c>
      <c r="G189" t="s">
        <v>28</v>
      </c>
      <c r="H189">
        <v>2</v>
      </c>
      <c r="I189">
        <v>572</v>
      </c>
      <c r="J189">
        <v>86.16</v>
      </c>
    </row>
    <row r="190" spans="1:10" x14ac:dyDescent="0.25">
      <c r="A190" s="1">
        <v>44689</v>
      </c>
      <c r="B190" t="s">
        <v>32</v>
      </c>
      <c r="C190" t="s">
        <v>19</v>
      </c>
      <c r="D190" t="s">
        <v>12</v>
      </c>
      <c r="E190" t="s">
        <v>136</v>
      </c>
      <c r="F190" t="s">
        <v>65</v>
      </c>
      <c r="G190" t="s">
        <v>35</v>
      </c>
      <c r="H190">
        <v>2</v>
      </c>
      <c r="I190">
        <v>1708</v>
      </c>
      <c r="J190">
        <v>93.25</v>
      </c>
    </row>
    <row r="191" spans="1:10" x14ac:dyDescent="0.25">
      <c r="A191" s="1">
        <v>45602</v>
      </c>
      <c r="B191" t="s">
        <v>32</v>
      </c>
      <c r="C191" t="s">
        <v>19</v>
      </c>
      <c r="D191" t="s">
        <v>12</v>
      </c>
      <c r="E191" t="s">
        <v>66</v>
      </c>
      <c r="F191" t="s">
        <v>34</v>
      </c>
      <c r="G191" t="s">
        <v>35</v>
      </c>
      <c r="H191">
        <v>4</v>
      </c>
      <c r="I191">
        <v>360</v>
      </c>
      <c r="J191">
        <v>42.66</v>
      </c>
    </row>
    <row r="192" spans="1:10" x14ac:dyDescent="0.25">
      <c r="A192" s="1">
        <v>44903</v>
      </c>
      <c r="B192" t="s">
        <v>25</v>
      </c>
      <c r="C192" t="s">
        <v>19</v>
      </c>
      <c r="D192" t="s">
        <v>12</v>
      </c>
      <c r="E192" t="s">
        <v>66</v>
      </c>
      <c r="F192" t="s">
        <v>34</v>
      </c>
      <c r="G192" t="s">
        <v>35</v>
      </c>
      <c r="H192">
        <v>6</v>
      </c>
      <c r="I192">
        <v>3822</v>
      </c>
      <c r="J192">
        <v>388.34</v>
      </c>
    </row>
    <row r="193" spans="1:10" x14ac:dyDescent="0.25">
      <c r="A193" s="1">
        <v>44829</v>
      </c>
      <c r="B193" t="s">
        <v>25</v>
      </c>
      <c r="C193" t="s">
        <v>19</v>
      </c>
      <c r="D193" t="s">
        <v>12</v>
      </c>
      <c r="E193" t="s">
        <v>137</v>
      </c>
      <c r="F193" t="s">
        <v>23</v>
      </c>
      <c r="G193" t="s">
        <v>24</v>
      </c>
      <c r="H193">
        <v>6</v>
      </c>
      <c r="I193">
        <v>4680</v>
      </c>
      <c r="J193">
        <v>932.97</v>
      </c>
    </row>
    <row r="194" spans="1:10" x14ac:dyDescent="0.25">
      <c r="A194" s="1">
        <v>45483</v>
      </c>
      <c r="B194" t="s">
        <v>25</v>
      </c>
      <c r="C194" t="s">
        <v>19</v>
      </c>
      <c r="D194" t="s">
        <v>12</v>
      </c>
      <c r="E194" t="s">
        <v>138</v>
      </c>
      <c r="F194" t="s">
        <v>94</v>
      </c>
      <c r="G194" t="s">
        <v>24</v>
      </c>
      <c r="H194">
        <v>5</v>
      </c>
      <c r="I194">
        <v>2520</v>
      </c>
      <c r="J194">
        <v>487.18</v>
      </c>
    </row>
    <row r="195" spans="1:10" x14ac:dyDescent="0.25">
      <c r="A195" s="1">
        <v>45380</v>
      </c>
      <c r="B195" t="s">
        <v>32</v>
      </c>
      <c r="C195" t="s">
        <v>19</v>
      </c>
      <c r="D195" t="s">
        <v>12</v>
      </c>
      <c r="E195" t="s">
        <v>26</v>
      </c>
      <c r="F195" t="s">
        <v>27</v>
      </c>
      <c r="G195" t="s">
        <v>28</v>
      </c>
      <c r="H195">
        <v>2</v>
      </c>
      <c r="I195">
        <v>2138</v>
      </c>
      <c r="J195">
        <v>619.29</v>
      </c>
    </row>
    <row r="196" spans="1:10" x14ac:dyDescent="0.25">
      <c r="A196" s="1">
        <v>44572</v>
      </c>
      <c r="B196" t="s">
        <v>49</v>
      </c>
      <c r="C196" t="s">
        <v>17</v>
      </c>
      <c r="D196" t="s">
        <v>12</v>
      </c>
      <c r="E196" t="s">
        <v>26</v>
      </c>
      <c r="F196" t="s">
        <v>27</v>
      </c>
      <c r="G196" t="s">
        <v>28</v>
      </c>
      <c r="H196">
        <v>3</v>
      </c>
      <c r="I196">
        <v>2529</v>
      </c>
      <c r="J196">
        <v>169.6</v>
      </c>
    </row>
    <row r="197" spans="1:10" x14ac:dyDescent="0.25">
      <c r="A197" s="1">
        <v>44659</v>
      </c>
      <c r="B197" t="s">
        <v>49</v>
      </c>
      <c r="C197" t="s">
        <v>17</v>
      </c>
      <c r="D197" t="s">
        <v>12</v>
      </c>
      <c r="E197" t="s">
        <v>26</v>
      </c>
      <c r="F197" t="s">
        <v>27</v>
      </c>
      <c r="G197" t="s">
        <v>28</v>
      </c>
      <c r="H197">
        <v>1</v>
      </c>
      <c r="I197">
        <v>236</v>
      </c>
      <c r="J197">
        <v>29.33</v>
      </c>
    </row>
    <row r="198" spans="1:10" x14ac:dyDescent="0.25">
      <c r="A198" s="1">
        <v>45312</v>
      </c>
      <c r="B198" t="s">
        <v>18</v>
      </c>
      <c r="C198" t="s">
        <v>19</v>
      </c>
      <c r="D198" t="s">
        <v>12</v>
      </c>
      <c r="E198" t="s">
        <v>26</v>
      </c>
      <c r="F198" t="s">
        <v>27</v>
      </c>
      <c r="G198" t="s">
        <v>28</v>
      </c>
      <c r="H198">
        <v>6</v>
      </c>
      <c r="I198">
        <v>2730</v>
      </c>
      <c r="J198">
        <v>636.48</v>
      </c>
    </row>
    <row r="199" spans="1:10" x14ac:dyDescent="0.25">
      <c r="A199" s="1">
        <v>45043</v>
      </c>
      <c r="B199" t="s">
        <v>29</v>
      </c>
      <c r="C199" t="s">
        <v>17</v>
      </c>
      <c r="D199" t="s">
        <v>12</v>
      </c>
      <c r="E199" t="s">
        <v>139</v>
      </c>
      <c r="F199" t="s">
        <v>34</v>
      </c>
      <c r="G199" t="s">
        <v>35</v>
      </c>
      <c r="H199">
        <v>3</v>
      </c>
      <c r="I199">
        <v>3021</v>
      </c>
      <c r="J199">
        <v>872.49</v>
      </c>
    </row>
    <row r="200" spans="1:10" x14ac:dyDescent="0.25">
      <c r="A200" s="1">
        <v>45602</v>
      </c>
      <c r="B200" t="s">
        <v>32</v>
      </c>
      <c r="C200" t="s">
        <v>19</v>
      </c>
      <c r="D200" t="s">
        <v>12</v>
      </c>
      <c r="E200" t="s">
        <v>118</v>
      </c>
      <c r="F200" t="s">
        <v>23</v>
      </c>
      <c r="G200" t="s">
        <v>24</v>
      </c>
      <c r="H200">
        <v>2</v>
      </c>
      <c r="I200">
        <v>244</v>
      </c>
      <c r="J200">
        <v>16.78</v>
      </c>
    </row>
    <row r="201" spans="1:10" x14ac:dyDescent="0.25">
      <c r="A201" s="1">
        <v>44692</v>
      </c>
      <c r="B201" t="s">
        <v>25</v>
      </c>
      <c r="C201" t="s">
        <v>19</v>
      </c>
      <c r="D201" t="s">
        <v>12</v>
      </c>
      <c r="E201" t="s">
        <v>74</v>
      </c>
      <c r="F201" t="s">
        <v>23</v>
      </c>
      <c r="G201" t="s">
        <v>24</v>
      </c>
      <c r="H201">
        <v>8</v>
      </c>
      <c r="I201">
        <v>728</v>
      </c>
      <c r="J201">
        <v>120.06</v>
      </c>
    </row>
    <row r="202" spans="1:10" x14ac:dyDescent="0.25">
      <c r="A202" s="1">
        <v>44836</v>
      </c>
      <c r="B202" t="s">
        <v>16</v>
      </c>
      <c r="C202" t="s">
        <v>17</v>
      </c>
      <c r="D202" t="s">
        <v>12</v>
      </c>
      <c r="E202" t="s">
        <v>26</v>
      </c>
      <c r="F202" t="s">
        <v>27</v>
      </c>
      <c r="G202" t="s">
        <v>28</v>
      </c>
      <c r="H202">
        <v>3</v>
      </c>
      <c r="I202">
        <v>453</v>
      </c>
      <c r="J202">
        <v>89.49</v>
      </c>
    </row>
    <row r="203" spans="1:10" x14ac:dyDescent="0.25">
      <c r="A203" s="1">
        <v>44573</v>
      </c>
      <c r="B203" t="s">
        <v>55</v>
      </c>
      <c r="C203" t="s">
        <v>19</v>
      </c>
      <c r="D203" t="s">
        <v>12</v>
      </c>
      <c r="E203" t="s">
        <v>52</v>
      </c>
      <c r="F203" t="s">
        <v>42</v>
      </c>
      <c r="G203" t="s">
        <v>28</v>
      </c>
      <c r="H203">
        <v>1</v>
      </c>
      <c r="I203">
        <v>379</v>
      </c>
      <c r="J203">
        <v>84.38</v>
      </c>
    </row>
    <row r="204" spans="1:10" x14ac:dyDescent="0.25">
      <c r="A204" s="1">
        <v>44935</v>
      </c>
      <c r="B204" t="s">
        <v>18</v>
      </c>
      <c r="C204" t="s">
        <v>19</v>
      </c>
      <c r="D204" t="s">
        <v>12</v>
      </c>
      <c r="E204" t="s">
        <v>130</v>
      </c>
      <c r="F204" t="s">
        <v>54</v>
      </c>
      <c r="G204" t="s">
        <v>24</v>
      </c>
      <c r="H204">
        <v>3</v>
      </c>
      <c r="I204">
        <v>2130</v>
      </c>
      <c r="J204">
        <v>510.69</v>
      </c>
    </row>
    <row r="205" spans="1:10" x14ac:dyDescent="0.25">
      <c r="A205" s="1">
        <v>45050</v>
      </c>
      <c r="B205" t="s">
        <v>36</v>
      </c>
      <c r="C205" t="s">
        <v>17</v>
      </c>
      <c r="D205" t="s">
        <v>12</v>
      </c>
      <c r="E205" t="s">
        <v>140</v>
      </c>
      <c r="F205" t="s">
        <v>42</v>
      </c>
      <c r="G205" t="s">
        <v>28</v>
      </c>
      <c r="H205">
        <v>8</v>
      </c>
      <c r="I205">
        <v>4120</v>
      </c>
      <c r="J205">
        <v>710.11</v>
      </c>
    </row>
    <row r="206" spans="1:10" x14ac:dyDescent="0.25">
      <c r="A206" s="1">
        <v>45542</v>
      </c>
      <c r="B206" t="s">
        <v>32</v>
      </c>
      <c r="C206" t="s">
        <v>19</v>
      </c>
      <c r="D206" t="s">
        <v>12</v>
      </c>
      <c r="E206" t="s">
        <v>103</v>
      </c>
      <c r="F206" t="s">
        <v>21</v>
      </c>
      <c r="G206" t="s">
        <v>15</v>
      </c>
      <c r="H206">
        <v>7</v>
      </c>
      <c r="I206">
        <v>3150</v>
      </c>
      <c r="J206">
        <v>299.7</v>
      </c>
    </row>
    <row r="207" spans="1:10" x14ac:dyDescent="0.25">
      <c r="A207" s="1">
        <v>44698</v>
      </c>
      <c r="B207" t="s">
        <v>32</v>
      </c>
      <c r="C207" t="s">
        <v>19</v>
      </c>
      <c r="D207" t="s">
        <v>12</v>
      </c>
      <c r="E207" t="s">
        <v>13</v>
      </c>
      <c r="F207" t="s">
        <v>14</v>
      </c>
      <c r="G207" t="s">
        <v>15</v>
      </c>
      <c r="H207">
        <v>7</v>
      </c>
      <c r="I207">
        <v>2688</v>
      </c>
      <c r="J207">
        <v>603.07000000000005</v>
      </c>
    </row>
    <row r="208" spans="1:10" x14ac:dyDescent="0.25">
      <c r="A208" s="1">
        <v>45155</v>
      </c>
      <c r="B208" t="s">
        <v>18</v>
      </c>
      <c r="C208" t="s">
        <v>19</v>
      </c>
      <c r="D208" t="s">
        <v>12</v>
      </c>
      <c r="E208" t="s">
        <v>13</v>
      </c>
      <c r="F208" t="s">
        <v>14</v>
      </c>
      <c r="G208" t="s">
        <v>15</v>
      </c>
      <c r="H208">
        <v>2</v>
      </c>
      <c r="I208">
        <v>1752</v>
      </c>
      <c r="J208">
        <v>501.19</v>
      </c>
    </row>
    <row r="209" spans="1:10" x14ac:dyDescent="0.25">
      <c r="A209" s="1">
        <v>45176</v>
      </c>
      <c r="B209" t="s">
        <v>49</v>
      </c>
      <c r="C209" t="s">
        <v>17</v>
      </c>
      <c r="D209" t="s">
        <v>12</v>
      </c>
      <c r="E209" t="s">
        <v>52</v>
      </c>
      <c r="F209" t="s">
        <v>42</v>
      </c>
      <c r="G209" t="s">
        <v>28</v>
      </c>
      <c r="H209">
        <v>7</v>
      </c>
      <c r="I209">
        <v>7308</v>
      </c>
      <c r="J209">
        <v>948.4</v>
      </c>
    </row>
    <row r="210" spans="1:10" x14ac:dyDescent="0.25">
      <c r="A210" s="1">
        <v>44692</v>
      </c>
      <c r="B210" t="s">
        <v>18</v>
      </c>
      <c r="C210" t="s">
        <v>19</v>
      </c>
      <c r="D210" t="s">
        <v>12</v>
      </c>
      <c r="E210" t="s">
        <v>105</v>
      </c>
      <c r="F210" t="s">
        <v>23</v>
      </c>
      <c r="G210" t="s">
        <v>24</v>
      </c>
      <c r="H210">
        <v>3</v>
      </c>
      <c r="I210">
        <v>2007</v>
      </c>
      <c r="J210">
        <v>160.84</v>
      </c>
    </row>
    <row r="211" spans="1:10" x14ac:dyDescent="0.25">
      <c r="A211" s="1">
        <v>45058</v>
      </c>
      <c r="B211" t="s">
        <v>18</v>
      </c>
      <c r="C211" t="s">
        <v>19</v>
      </c>
      <c r="D211" t="s">
        <v>12</v>
      </c>
      <c r="E211" t="s">
        <v>141</v>
      </c>
      <c r="F211" t="s">
        <v>57</v>
      </c>
      <c r="G211" t="s">
        <v>24</v>
      </c>
      <c r="H211">
        <v>7</v>
      </c>
      <c r="I211">
        <v>7224</v>
      </c>
      <c r="J211">
        <v>479.23</v>
      </c>
    </row>
    <row r="212" spans="1:10" x14ac:dyDescent="0.25">
      <c r="A212" s="1">
        <v>45054</v>
      </c>
      <c r="B212" t="s">
        <v>36</v>
      </c>
      <c r="C212" t="s">
        <v>17</v>
      </c>
      <c r="D212" t="s">
        <v>12</v>
      </c>
      <c r="E212" t="s">
        <v>56</v>
      </c>
      <c r="F212" t="s">
        <v>57</v>
      </c>
      <c r="G212" t="s">
        <v>24</v>
      </c>
      <c r="H212">
        <v>9</v>
      </c>
      <c r="I212">
        <v>6939</v>
      </c>
      <c r="J212">
        <v>1249.31</v>
      </c>
    </row>
    <row r="213" spans="1:10" x14ac:dyDescent="0.25">
      <c r="A213" s="1">
        <v>44975</v>
      </c>
      <c r="B213" t="s">
        <v>40</v>
      </c>
      <c r="C213" t="s">
        <v>19</v>
      </c>
      <c r="D213" t="s">
        <v>12</v>
      </c>
      <c r="E213" t="s">
        <v>52</v>
      </c>
      <c r="F213" t="s">
        <v>42</v>
      </c>
      <c r="G213" t="s">
        <v>28</v>
      </c>
      <c r="H213">
        <v>7</v>
      </c>
      <c r="I213">
        <v>5516</v>
      </c>
      <c r="J213">
        <v>1475.67</v>
      </c>
    </row>
    <row r="214" spans="1:10" x14ac:dyDescent="0.25">
      <c r="A214" s="1">
        <v>44590</v>
      </c>
      <c r="B214" t="s">
        <v>10</v>
      </c>
      <c r="C214" t="s">
        <v>11</v>
      </c>
      <c r="D214" t="s">
        <v>12</v>
      </c>
      <c r="E214" t="s">
        <v>52</v>
      </c>
      <c r="F214" t="s">
        <v>42</v>
      </c>
      <c r="G214" t="s">
        <v>28</v>
      </c>
      <c r="H214">
        <v>2</v>
      </c>
      <c r="I214">
        <v>2224</v>
      </c>
      <c r="J214">
        <v>116.47</v>
      </c>
    </row>
    <row r="215" spans="1:10" x14ac:dyDescent="0.25">
      <c r="A215" s="1">
        <v>44938</v>
      </c>
      <c r="B215" t="s">
        <v>55</v>
      </c>
      <c r="C215" t="s">
        <v>19</v>
      </c>
      <c r="D215" t="s">
        <v>12</v>
      </c>
      <c r="E215" t="s">
        <v>57</v>
      </c>
      <c r="F215" t="s">
        <v>142</v>
      </c>
      <c r="G215" t="s">
        <v>28</v>
      </c>
      <c r="H215">
        <v>5</v>
      </c>
      <c r="I215">
        <v>3985</v>
      </c>
      <c r="J215">
        <v>824.4</v>
      </c>
    </row>
    <row r="216" spans="1:10" x14ac:dyDescent="0.25">
      <c r="A216" s="1">
        <v>44564</v>
      </c>
      <c r="B216" t="s">
        <v>25</v>
      </c>
      <c r="C216" t="s">
        <v>19</v>
      </c>
      <c r="D216" t="s">
        <v>12</v>
      </c>
      <c r="E216" t="s">
        <v>80</v>
      </c>
      <c r="F216" t="s">
        <v>78</v>
      </c>
      <c r="G216" t="s">
        <v>28</v>
      </c>
      <c r="H216">
        <v>7</v>
      </c>
      <c r="I216">
        <v>2723</v>
      </c>
      <c r="J216">
        <v>638.26</v>
      </c>
    </row>
    <row r="217" spans="1:10" x14ac:dyDescent="0.25">
      <c r="A217" s="1">
        <v>44854</v>
      </c>
      <c r="B217" t="s">
        <v>18</v>
      </c>
      <c r="C217" t="s">
        <v>19</v>
      </c>
      <c r="D217" t="s">
        <v>12</v>
      </c>
      <c r="E217" t="s">
        <v>80</v>
      </c>
      <c r="F217" t="s">
        <v>78</v>
      </c>
      <c r="G217" t="s">
        <v>28</v>
      </c>
      <c r="H217">
        <v>2</v>
      </c>
      <c r="I217">
        <v>746</v>
      </c>
      <c r="J217">
        <v>170.75</v>
      </c>
    </row>
    <row r="218" spans="1:10" x14ac:dyDescent="0.25">
      <c r="A218" s="1">
        <v>45525</v>
      </c>
      <c r="B218" t="s">
        <v>55</v>
      </c>
      <c r="C218" t="s">
        <v>19</v>
      </c>
      <c r="D218" t="s">
        <v>12</v>
      </c>
      <c r="E218" t="s">
        <v>143</v>
      </c>
      <c r="F218" t="s">
        <v>100</v>
      </c>
      <c r="G218" t="s">
        <v>35</v>
      </c>
      <c r="H218">
        <v>5</v>
      </c>
      <c r="I218">
        <v>3170</v>
      </c>
      <c r="J218">
        <v>245.25</v>
      </c>
    </row>
    <row r="219" spans="1:10" x14ac:dyDescent="0.25">
      <c r="A219" s="1">
        <v>45271</v>
      </c>
      <c r="B219" t="s">
        <v>32</v>
      </c>
      <c r="C219" t="s">
        <v>19</v>
      </c>
      <c r="D219" t="s">
        <v>12</v>
      </c>
      <c r="E219" t="s">
        <v>144</v>
      </c>
      <c r="F219" t="s">
        <v>100</v>
      </c>
      <c r="G219" t="s">
        <v>35</v>
      </c>
      <c r="H219">
        <v>5</v>
      </c>
      <c r="I219">
        <v>550</v>
      </c>
      <c r="J219">
        <v>63.11</v>
      </c>
    </row>
    <row r="220" spans="1:10" x14ac:dyDescent="0.25">
      <c r="A220" s="1">
        <v>44787</v>
      </c>
      <c r="B220" t="s">
        <v>18</v>
      </c>
      <c r="C220" t="s">
        <v>19</v>
      </c>
      <c r="D220" t="s">
        <v>12</v>
      </c>
      <c r="E220" t="s">
        <v>52</v>
      </c>
      <c r="F220" t="s">
        <v>42</v>
      </c>
      <c r="G220" t="s">
        <v>28</v>
      </c>
      <c r="H220">
        <v>8</v>
      </c>
      <c r="I220">
        <v>480</v>
      </c>
      <c r="J220">
        <v>132.44999999999999</v>
      </c>
    </row>
    <row r="221" spans="1:10" x14ac:dyDescent="0.25">
      <c r="A221" s="1">
        <v>45446</v>
      </c>
      <c r="B221" t="s">
        <v>10</v>
      </c>
      <c r="C221" t="s">
        <v>11</v>
      </c>
      <c r="D221" t="s">
        <v>12</v>
      </c>
      <c r="E221" t="s">
        <v>145</v>
      </c>
      <c r="F221" t="s">
        <v>44</v>
      </c>
      <c r="G221" t="s">
        <v>35</v>
      </c>
      <c r="H221">
        <v>4</v>
      </c>
      <c r="I221">
        <v>3284</v>
      </c>
      <c r="J221">
        <v>354.4</v>
      </c>
    </row>
    <row r="222" spans="1:10" x14ac:dyDescent="0.25">
      <c r="A222" s="1">
        <v>45314</v>
      </c>
      <c r="B222" t="s">
        <v>32</v>
      </c>
      <c r="C222" t="s">
        <v>19</v>
      </c>
      <c r="D222" t="s">
        <v>12</v>
      </c>
      <c r="E222" t="s">
        <v>146</v>
      </c>
      <c r="F222" t="s">
        <v>21</v>
      </c>
      <c r="G222" t="s">
        <v>15</v>
      </c>
      <c r="H222">
        <v>2</v>
      </c>
      <c r="I222">
        <v>1748</v>
      </c>
      <c r="J222">
        <v>183.75</v>
      </c>
    </row>
    <row r="223" spans="1:10" x14ac:dyDescent="0.25">
      <c r="A223" s="1">
        <v>45250</v>
      </c>
      <c r="B223" t="s">
        <v>29</v>
      </c>
      <c r="C223" t="s">
        <v>17</v>
      </c>
      <c r="D223" t="s">
        <v>12</v>
      </c>
      <c r="E223" t="s">
        <v>26</v>
      </c>
      <c r="F223" t="s">
        <v>27</v>
      </c>
      <c r="G223" t="s">
        <v>28</v>
      </c>
      <c r="H223">
        <v>8</v>
      </c>
      <c r="I223">
        <v>824</v>
      </c>
      <c r="J223">
        <v>240.84</v>
      </c>
    </row>
    <row r="224" spans="1:10" x14ac:dyDescent="0.25">
      <c r="A224" s="1">
        <v>44623</v>
      </c>
      <c r="B224" t="s">
        <v>29</v>
      </c>
      <c r="C224" t="s">
        <v>17</v>
      </c>
      <c r="D224" t="s">
        <v>12</v>
      </c>
      <c r="E224" t="s">
        <v>26</v>
      </c>
      <c r="F224" t="s">
        <v>27</v>
      </c>
      <c r="G224" t="s">
        <v>28</v>
      </c>
      <c r="H224">
        <v>4</v>
      </c>
      <c r="I224">
        <v>1872</v>
      </c>
      <c r="J224">
        <v>448.46</v>
      </c>
    </row>
    <row r="225" spans="1:10" x14ac:dyDescent="0.25">
      <c r="A225" s="1">
        <v>45342</v>
      </c>
      <c r="B225" t="s">
        <v>18</v>
      </c>
      <c r="C225" t="s">
        <v>19</v>
      </c>
      <c r="D225" t="s">
        <v>12</v>
      </c>
      <c r="E225" t="s">
        <v>52</v>
      </c>
      <c r="F225" t="s">
        <v>42</v>
      </c>
      <c r="G225" t="s">
        <v>28</v>
      </c>
      <c r="H225">
        <v>3</v>
      </c>
      <c r="I225">
        <v>627</v>
      </c>
      <c r="J225">
        <v>103.98</v>
      </c>
    </row>
    <row r="226" spans="1:10" x14ac:dyDescent="0.25">
      <c r="A226" s="1">
        <v>45513</v>
      </c>
      <c r="B226" t="s">
        <v>25</v>
      </c>
      <c r="C226" t="s">
        <v>19</v>
      </c>
      <c r="D226" t="s">
        <v>12</v>
      </c>
      <c r="E226" t="s">
        <v>37</v>
      </c>
      <c r="F226" t="s">
        <v>34</v>
      </c>
      <c r="G226" t="s">
        <v>35</v>
      </c>
      <c r="H226">
        <v>9</v>
      </c>
      <c r="I226">
        <v>5661</v>
      </c>
      <c r="J226">
        <v>1104.02</v>
      </c>
    </row>
    <row r="227" spans="1:10" x14ac:dyDescent="0.25">
      <c r="A227" s="1">
        <v>44731</v>
      </c>
      <c r="B227" t="s">
        <v>25</v>
      </c>
      <c r="C227" t="s">
        <v>19</v>
      </c>
      <c r="D227" t="s">
        <v>12</v>
      </c>
      <c r="E227" t="s">
        <v>74</v>
      </c>
      <c r="F227" t="s">
        <v>23</v>
      </c>
      <c r="G227" t="s">
        <v>24</v>
      </c>
      <c r="H227">
        <v>3</v>
      </c>
      <c r="I227">
        <v>2910</v>
      </c>
      <c r="J227">
        <v>765.47</v>
      </c>
    </row>
    <row r="228" spans="1:10" x14ac:dyDescent="0.25">
      <c r="A228" s="1">
        <v>45536</v>
      </c>
      <c r="B228" t="s">
        <v>18</v>
      </c>
      <c r="C228" t="s">
        <v>19</v>
      </c>
      <c r="D228" t="s">
        <v>12</v>
      </c>
      <c r="E228" t="s">
        <v>70</v>
      </c>
      <c r="F228" t="s">
        <v>71</v>
      </c>
      <c r="G228" t="s">
        <v>35</v>
      </c>
      <c r="H228">
        <v>9</v>
      </c>
      <c r="I228">
        <v>9036</v>
      </c>
      <c r="J228">
        <v>1087.46</v>
      </c>
    </row>
    <row r="229" spans="1:10" x14ac:dyDescent="0.25">
      <c r="A229" s="1">
        <v>45534</v>
      </c>
      <c r="B229" t="s">
        <v>18</v>
      </c>
      <c r="C229" t="s">
        <v>19</v>
      </c>
      <c r="D229" t="s">
        <v>12</v>
      </c>
      <c r="E229" t="s">
        <v>147</v>
      </c>
      <c r="F229" t="s">
        <v>42</v>
      </c>
      <c r="G229" t="s">
        <v>28</v>
      </c>
      <c r="H229">
        <v>5</v>
      </c>
      <c r="I229">
        <v>4815</v>
      </c>
      <c r="J229">
        <v>338.31</v>
      </c>
    </row>
    <row r="230" spans="1:10" x14ac:dyDescent="0.25">
      <c r="A230" s="1">
        <v>44785</v>
      </c>
      <c r="B230" t="s">
        <v>16</v>
      </c>
      <c r="C230" t="s">
        <v>17</v>
      </c>
      <c r="D230" t="s">
        <v>12</v>
      </c>
      <c r="E230" t="s">
        <v>148</v>
      </c>
      <c r="F230" t="s">
        <v>149</v>
      </c>
      <c r="G230" t="s">
        <v>15</v>
      </c>
      <c r="H230">
        <v>1</v>
      </c>
      <c r="I230">
        <v>1187</v>
      </c>
      <c r="J230">
        <v>206.28</v>
      </c>
    </row>
    <row r="231" spans="1:10" x14ac:dyDescent="0.25">
      <c r="A231" s="1">
        <v>44777</v>
      </c>
      <c r="B231" t="s">
        <v>29</v>
      </c>
      <c r="C231" t="s">
        <v>17</v>
      </c>
      <c r="D231" t="s">
        <v>12</v>
      </c>
      <c r="E231" t="s">
        <v>22</v>
      </c>
      <c r="F231" t="s">
        <v>23</v>
      </c>
      <c r="G231" t="s">
        <v>24</v>
      </c>
      <c r="H231">
        <v>3</v>
      </c>
      <c r="I231">
        <v>3339</v>
      </c>
      <c r="J231">
        <v>732.92</v>
      </c>
    </row>
    <row r="232" spans="1:10" x14ac:dyDescent="0.25">
      <c r="A232" s="1">
        <v>45342</v>
      </c>
      <c r="B232" t="s">
        <v>18</v>
      </c>
      <c r="C232" t="s">
        <v>19</v>
      </c>
      <c r="D232" t="s">
        <v>12</v>
      </c>
      <c r="E232" t="s">
        <v>74</v>
      </c>
      <c r="F232" t="s">
        <v>23</v>
      </c>
      <c r="G232" t="s">
        <v>24</v>
      </c>
      <c r="H232">
        <v>1</v>
      </c>
      <c r="I232">
        <v>620</v>
      </c>
      <c r="J232">
        <v>165.43</v>
      </c>
    </row>
    <row r="233" spans="1:10" x14ac:dyDescent="0.25">
      <c r="A233" s="1">
        <v>44983</v>
      </c>
      <c r="B233" t="s">
        <v>25</v>
      </c>
      <c r="C233" t="s">
        <v>19</v>
      </c>
      <c r="D233" t="s">
        <v>12</v>
      </c>
      <c r="E233" t="s">
        <v>37</v>
      </c>
      <c r="F233" t="s">
        <v>34</v>
      </c>
      <c r="G233" t="s">
        <v>35</v>
      </c>
      <c r="H233">
        <v>5</v>
      </c>
      <c r="I233">
        <v>2025</v>
      </c>
      <c r="J233">
        <v>414.42</v>
      </c>
    </row>
    <row r="234" spans="1:10" x14ac:dyDescent="0.25">
      <c r="A234" s="1">
        <v>45616</v>
      </c>
      <c r="B234" t="s">
        <v>10</v>
      </c>
      <c r="C234" t="s">
        <v>11</v>
      </c>
      <c r="D234" t="s">
        <v>12</v>
      </c>
      <c r="E234" t="s">
        <v>150</v>
      </c>
      <c r="F234" t="s">
        <v>23</v>
      </c>
      <c r="G234" t="s">
        <v>24</v>
      </c>
      <c r="H234">
        <v>5</v>
      </c>
      <c r="I234">
        <v>3030</v>
      </c>
      <c r="J234">
        <v>811.92</v>
      </c>
    </row>
    <row r="235" spans="1:10" x14ac:dyDescent="0.25">
      <c r="A235" s="1">
        <v>45150</v>
      </c>
      <c r="B235" t="s">
        <v>32</v>
      </c>
      <c r="C235" t="s">
        <v>19</v>
      </c>
      <c r="D235" t="s">
        <v>12</v>
      </c>
      <c r="E235" t="s">
        <v>151</v>
      </c>
      <c r="F235" t="s">
        <v>152</v>
      </c>
      <c r="G235" t="s">
        <v>15</v>
      </c>
      <c r="H235">
        <v>5</v>
      </c>
      <c r="I235">
        <v>655</v>
      </c>
      <c r="J235">
        <v>166.69</v>
      </c>
    </row>
    <row r="236" spans="1:10" x14ac:dyDescent="0.25">
      <c r="A236" s="1">
        <v>44578</v>
      </c>
      <c r="B236" t="s">
        <v>10</v>
      </c>
      <c r="C236" t="s">
        <v>11</v>
      </c>
      <c r="D236" t="s">
        <v>12</v>
      </c>
      <c r="E236" t="s">
        <v>151</v>
      </c>
      <c r="F236" t="s">
        <v>152</v>
      </c>
      <c r="G236" t="s">
        <v>15</v>
      </c>
      <c r="H236">
        <v>2</v>
      </c>
      <c r="I236">
        <v>2238</v>
      </c>
      <c r="J236">
        <v>294.54000000000002</v>
      </c>
    </row>
    <row r="237" spans="1:10" x14ac:dyDescent="0.25">
      <c r="A237" s="1">
        <v>45028</v>
      </c>
      <c r="B237" t="s">
        <v>40</v>
      </c>
      <c r="C237" t="s">
        <v>19</v>
      </c>
      <c r="D237" t="s">
        <v>12</v>
      </c>
      <c r="E237" t="s">
        <v>132</v>
      </c>
      <c r="F237" t="s">
        <v>115</v>
      </c>
      <c r="G237" t="s">
        <v>15</v>
      </c>
      <c r="H237">
        <v>8</v>
      </c>
      <c r="I237">
        <v>3312</v>
      </c>
      <c r="J237">
        <v>811.31</v>
      </c>
    </row>
    <row r="238" spans="1:10" x14ac:dyDescent="0.25">
      <c r="A238" s="1">
        <v>45133</v>
      </c>
      <c r="B238" t="s">
        <v>10</v>
      </c>
      <c r="C238" t="s">
        <v>11</v>
      </c>
      <c r="D238" t="s">
        <v>12</v>
      </c>
      <c r="E238" t="s">
        <v>22</v>
      </c>
      <c r="F238" t="s">
        <v>23</v>
      </c>
      <c r="G238" t="s">
        <v>24</v>
      </c>
      <c r="H238">
        <v>9</v>
      </c>
      <c r="I238">
        <v>9387</v>
      </c>
      <c r="J238">
        <v>1271.6400000000001</v>
      </c>
    </row>
    <row r="239" spans="1:10" x14ac:dyDescent="0.25">
      <c r="A239" s="1">
        <v>45292</v>
      </c>
      <c r="B239" t="s">
        <v>16</v>
      </c>
      <c r="C239" t="s">
        <v>17</v>
      </c>
      <c r="D239" t="s">
        <v>12</v>
      </c>
      <c r="E239" t="s">
        <v>153</v>
      </c>
      <c r="F239" t="s">
        <v>63</v>
      </c>
      <c r="G239" t="s">
        <v>28</v>
      </c>
      <c r="H239">
        <v>6</v>
      </c>
      <c r="I239">
        <v>5790</v>
      </c>
      <c r="J239">
        <v>1285.21</v>
      </c>
    </row>
    <row r="240" spans="1:10" x14ac:dyDescent="0.25">
      <c r="A240" s="1">
        <v>45266</v>
      </c>
      <c r="B240" t="s">
        <v>55</v>
      </c>
      <c r="C240" t="s">
        <v>19</v>
      </c>
      <c r="D240" t="s">
        <v>12</v>
      </c>
      <c r="E240" t="s">
        <v>154</v>
      </c>
      <c r="F240" t="s">
        <v>115</v>
      </c>
      <c r="G240" t="s">
        <v>15</v>
      </c>
      <c r="H240">
        <v>6</v>
      </c>
      <c r="I240">
        <v>2700</v>
      </c>
      <c r="J240">
        <v>527.97</v>
      </c>
    </row>
    <row r="241" spans="1:10" x14ac:dyDescent="0.25">
      <c r="A241" s="1">
        <v>45265</v>
      </c>
      <c r="B241" t="s">
        <v>32</v>
      </c>
      <c r="C241" t="s">
        <v>19</v>
      </c>
      <c r="D241" t="s">
        <v>12</v>
      </c>
      <c r="E241" t="s">
        <v>154</v>
      </c>
      <c r="F241" t="s">
        <v>115</v>
      </c>
      <c r="G241" t="s">
        <v>15</v>
      </c>
      <c r="H241">
        <v>8</v>
      </c>
      <c r="I241">
        <v>2072</v>
      </c>
      <c r="J241">
        <v>555.05999999999995</v>
      </c>
    </row>
    <row r="242" spans="1:10" x14ac:dyDescent="0.25">
      <c r="A242" s="1">
        <v>45592</v>
      </c>
      <c r="B242" t="s">
        <v>49</v>
      </c>
      <c r="C242" t="s">
        <v>17</v>
      </c>
      <c r="D242" t="s">
        <v>12</v>
      </c>
      <c r="E242" t="s">
        <v>22</v>
      </c>
      <c r="F242" t="s">
        <v>23</v>
      </c>
      <c r="G242" t="s">
        <v>24</v>
      </c>
      <c r="H242">
        <v>3</v>
      </c>
      <c r="I242">
        <v>2991</v>
      </c>
      <c r="J242">
        <v>716.54</v>
      </c>
    </row>
    <row r="243" spans="1:10" x14ac:dyDescent="0.25">
      <c r="A243" s="1">
        <v>45508</v>
      </c>
      <c r="B243" t="s">
        <v>55</v>
      </c>
      <c r="C243" t="s">
        <v>19</v>
      </c>
      <c r="D243" t="s">
        <v>12</v>
      </c>
      <c r="E243" t="s">
        <v>52</v>
      </c>
      <c r="F243" t="s">
        <v>42</v>
      </c>
      <c r="G243" t="s">
        <v>28</v>
      </c>
      <c r="H243">
        <v>6</v>
      </c>
      <c r="I243">
        <v>5568</v>
      </c>
      <c r="J243">
        <v>958.59</v>
      </c>
    </row>
    <row r="244" spans="1:10" x14ac:dyDescent="0.25">
      <c r="A244" s="1">
        <v>44958</v>
      </c>
      <c r="B244" t="s">
        <v>32</v>
      </c>
      <c r="C244" t="s">
        <v>19</v>
      </c>
      <c r="D244" t="s">
        <v>12</v>
      </c>
      <c r="E244" t="s">
        <v>155</v>
      </c>
      <c r="F244" t="s">
        <v>156</v>
      </c>
      <c r="G244" t="s">
        <v>28</v>
      </c>
      <c r="H244">
        <v>7</v>
      </c>
      <c r="I244">
        <v>5509</v>
      </c>
      <c r="J244">
        <v>1648.74</v>
      </c>
    </row>
    <row r="245" spans="1:10" x14ac:dyDescent="0.25">
      <c r="A245" s="1">
        <v>45445</v>
      </c>
      <c r="B245" t="s">
        <v>10</v>
      </c>
      <c r="C245" t="s">
        <v>11</v>
      </c>
      <c r="D245" t="s">
        <v>12</v>
      </c>
      <c r="E245" t="s">
        <v>22</v>
      </c>
      <c r="F245" t="s">
        <v>23</v>
      </c>
      <c r="G245" t="s">
        <v>24</v>
      </c>
      <c r="H245">
        <v>7</v>
      </c>
      <c r="I245">
        <v>5922</v>
      </c>
      <c r="J245">
        <v>1323.1</v>
      </c>
    </row>
    <row r="246" spans="1:10" x14ac:dyDescent="0.25">
      <c r="A246" s="1">
        <v>45410</v>
      </c>
      <c r="B246" t="s">
        <v>40</v>
      </c>
      <c r="C246" t="s">
        <v>19</v>
      </c>
      <c r="D246" t="s">
        <v>12</v>
      </c>
      <c r="E246" t="s">
        <v>157</v>
      </c>
      <c r="F246" t="s">
        <v>21</v>
      </c>
      <c r="G246" t="s">
        <v>15</v>
      </c>
      <c r="H246">
        <v>4</v>
      </c>
      <c r="I246">
        <v>4380</v>
      </c>
      <c r="J246">
        <v>362.81</v>
      </c>
    </row>
    <row r="247" spans="1:10" x14ac:dyDescent="0.25">
      <c r="A247" s="1">
        <v>44645</v>
      </c>
      <c r="B247" t="s">
        <v>18</v>
      </c>
      <c r="C247" t="s">
        <v>19</v>
      </c>
      <c r="D247" t="s">
        <v>12</v>
      </c>
      <c r="E247" t="s">
        <v>157</v>
      </c>
      <c r="F247" t="s">
        <v>21</v>
      </c>
      <c r="G247" t="s">
        <v>15</v>
      </c>
      <c r="H247">
        <v>5</v>
      </c>
      <c r="I247">
        <v>1760</v>
      </c>
      <c r="J247">
        <v>272.68</v>
      </c>
    </row>
    <row r="248" spans="1:10" x14ac:dyDescent="0.25">
      <c r="A248" s="1">
        <v>45570</v>
      </c>
      <c r="B248" t="s">
        <v>29</v>
      </c>
      <c r="C248" t="s">
        <v>17</v>
      </c>
      <c r="D248" t="s">
        <v>12</v>
      </c>
      <c r="E248" t="s">
        <v>37</v>
      </c>
      <c r="F248" t="s">
        <v>34</v>
      </c>
      <c r="G248" t="s">
        <v>35</v>
      </c>
      <c r="H248">
        <v>9</v>
      </c>
      <c r="I248">
        <v>5571</v>
      </c>
      <c r="J248">
        <v>1523.81</v>
      </c>
    </row>
    <row r="249" spans="1:10" x14ac:dyDescent="0.25">
      <c r="A249" s="1">
        <v>45645</v>
      </c>
      <c r="B249" t="s">
        <v>18</v>
      </c>
      <c r="C249" t="s">
        <v>19</v>
      </c>
      <c r="D249" t="s">
        <v>12</v>
      </c>
      <c r="E249" t="s">
        <v>67</v>
      </c>
      <c r="F249" t="s">
        <v>54</v>
      </c>
      <c r="G249" t="s">
        <v>24</v>
      </c>
      <c r="H249">
        <v>2</v>
      </c>
      <c r="I249">
        <v>1082</v>
      </c>
      <c r="J249">
        <v>182.1</v>
      </c>
    </row>
    <row r="250" spans="1:10" x14ac:dyDescent="0.25">
      <c r="A250" s="1">
        <v>44760</v>
      </c>
      <c r="B250" t="s">
        <v>25</v>
      </c>
      <c r="C250" t="s">
        <v>19</v>
      </c>
      <c r="D250" t="s">
        <v>12</v>
      </c>
      <c r="E250" t="s">
        <v>67</v>
      </c>
      <c r="F250" t="s">
        <v>54</v>
      </c>
      <c r="G250" t="s">
        <v>24</v>
      </c>
      <c r="H250">
        <v>1</v>
      </c>
      <c r="I250">
        <v>569</v>
      </c>
      <c r="J250">
        <v>138.11000000000001</v>
      </c>
    </row>
    <row r="251" spans="1:10" x14ac:dyDescent="0.25">
      <c r="A251" s="1">
        <v>45088</v>
      </c>
      <c r="B251" t="s">
        <v>16</v>
      </c>
      <c r="C251" t="s">
        <v>17</v>
      </c>
      <c r="D251" t="s">
        <v>12</v>
      </c>
      <c r="E251" t="s">
        <v>52</v>
      </c>
      <c r="F251" t="s">
        <v>42</v>
      </c>
      <c r="G251" t="s">
        <v>28</v>
      </c>
      <c r="H251">
        <v>8</v>
      </c>
      <c r="I251">
        <v>3416</v>
      </c>
      <c r="J251">
        <v>697.42</v>
      </c>
    </row>
    <row r="252" spans="1:10" x14ac:dyDescent="0.25">
      <c r="A252" s="1">
        <v>45578</v>
      </c>
      <c r="B252" t="s">
        <v>10</v>
      </c>
      <c r="C252" t="s">
        <v>11</v>
      </c>
      <c r="D252" t="s">
        <v>12</v>
      </c>
      <c r="E252" t="s">
        <v>26</v>
      </c>
      <c r="F252" t="s">
        <v>27</v>
      </c>
      <c r="G252" t="s">
        <v>28</v>
      </c>
      <c r="H252">
        <v>1</v>
      </c>
      <c r="I252">
        <v>570</v>
      </c>
      <c r="J252">
        <v>57.07</v>
      </c>
    </row>
    <row r="253" spans="1:10" x14ac:dyDescent="0.25">
      <c r="A253" s="1">
        <v>45145</v>
      </c>
      <c r="B253" t="s">
        <v>36</v>
      </c>
      <c r="C253" t="s">
        <v>17</v>
      </c>
      <c r="D253" t="s">
        <v>12</v>
      </c>
      <c r="E253" t="s">
        <v>26</v>
      </c>
      <c r="F253" t="s">
        <v>27</v>
      </c>
      <c r="G253" t="s">
        <v>28</v>
      </c>
      <c r="H253">
        <v>6</v>
      </c>
      <c r="I253">
        <v>3300</v>
      </c>
      <c r="J253">
        <v>386.92</v>
      </c>
    </row>
    <row r="254" spans="1:10" x14ac:dyDescent="0.25">
      <c r="A254" s="1">
        <v>44899</v>
      </c>
      <c r="B254" t="s">
        <v>55</v>
      </c>
      <c r="C254" t="s">
        <v>19</v>
      </c>
      <c r="D254" t="s">
        <v>12</v>
      </c>
      <c r="E254" t="s">
        <v>52</v>
      </c>
      <c r="F254" t="s">
        <v>42</v>
      </c>
      <c r="G254" t="s">
        <v>28</v>
      </c>
      <c r="H254">
        <v>8</v>
      </c>
      <c r="I254">
        <v>2584</v>
      </c>
      <c r="J254">
        <v>568.77</v>
      </c>
    </row>
    <row r="255" spans="1:10" x14ac:dyDescent="0.25">
      <c r="A255" s="1">
        <v>45340</v>
      </c>
      <c r="B255" t="s">
        <v>36</v>
      </c>
      <c r="C255" t="s">
        <v>17</v>
      </c>
      <c r="D255" t="s">
        <v>12</v>
      </c>
      <c r="E255" t="s">
        <v>22</v>
      </c>
      <c r="F255" t="s">
        <v>23</v>
      </c>
      <c r="G255" t="s">
        <v>24</v>
      </c>
      <c r="H255">
        <v>9</v>
      </c>
      <c r="I255">
        <v>7650</v>
      </c>
      <c r="J255">
        <v>2204.44</v>
      </c>
    </row>
    <row r="256" spans="1:10" x14ac:dyDescent="0.25">
      <c r="A256" s="1">
        <v>45631</v>
      </c>
      <c r="B256" t="s">
        <v>29</v>
      </c>
      <c r="C256" t="s">
        <v>17</v>
      </c>
      <c r="D256" t="s">
        <v>12</v>
      </c>
      <c r="E256" t="s">
        <v>158</v>
      </c>
      <c r="F256" t="s">
        <v>21</v>
      </c>
      <c r="G256" t="s">
        <v>15</v>
      </c>
      <c r="H256">
        <v>8</v>
      </c>
      <c r="I256">
        <v>3600</v>
      </c>
      <c r="J256">
        <v>272.51</v>
      </c>
    </row>
    <row r="257" spans="1:10" x14ac:dyDescent="0.25">
      <c r="A257" s="1">
        <v>45275</v>
      </c>
      <c r="B257" t="s">
        <v>36</v>
      </c>
      <c r="C257" t="s">
        <v>17</v>
      </c>
      <c r="D257" t="s">
        <v>12</v>
      </c>
      <c r="E257" t="s">
        <v>158</v>
      </c>
      <c r="F257" t="s">
        <v>21</v>
      </c>
      <c r="G257" t="s">
        <v>15</v>
      </c>
      <c r="H257">
        <v>6</v>
      </c>
      <c r="I257">
        <v>846</v>
      </c>
      <c r="J257">
        <v>190.87</v>
      </c>
    </row>
    <row r="258" spans="1:10" x14ac:dyDescent="0.25">
      <c r="A258" s="1">
        <v>45150</v>
      </c>
      <c r="B258" t="s">
        <v>40</v>
      </c>
      <c r="C258" t="s">
        <v>19</v>
      </c>
      <c r="D258" t="s">
        <v>12</v>
      </c>
      <c r="E258" t="s">
        <v>158</v>
      </c>
      <c r="F258" t="s">
        <v>21</v>
      </c>
      <c r="G258" t="s">
        <v>15</v>
      </c>
      <c r="H258">
        <v>1</v>
      </c>
      <c r="I258">
        <v>51</v>
      </c>
      <c r="J258">
        <v>9.36</v>
      </c>
    </row>
    <row r="259" spans="1:10" x14ac:dyDescent="0.25">
      <c r="A259" s="1">
        <v>45432</v>
      </c>
      <c r="B259" t="s">
        <v>32</v>
      </c>
      <c r="C259" t="s">
        <v>19</v>
      </c>
      <c r="D259" t="s">
        <v>12</v>
      </c>
      <c r="E259" t="s">
        <v>56</v>
      </c>
      <c r="F259" t="s">
        <v>57</v>
      </c>
      <c r="G259" t="s">
        <v>24</v>
      </c>
      <c r="H259">
        <v>6</v>
      </c>
      <c r="I259">
        <v>7056</v>
      </c>
      <c r="J259">
        <v>586.91</v>
      </c>
    </row>
    <row r="260" spans="1:10" x14ac:dyDescent="0.25">
      <c r="A260" s="1">
        <v>45448</v>
      </c>
      <c r="B260" t="s">
        <v>32</v>
      </c>
      <c r="C260" t="s">
        <v>19</v>
      </c>
      <c r="D260" t="s">
        <v>12</v>
      </c>
      <c r="E260" t="s">
        <v>159</v>
      </c>
      <c r="F260" t="s">
        <v>23</v>
      </c>
      <c r="G260" t="s">
        <v>24</v>
      </c>
      <c r="H260">
        <v>2</v>
      </c>
      <c r="I260">
        <v>384</v>
      </c>
      <c r="J260">
        <v>38.409999999999997</v>
      </c>
    </row>
    <row r="261" spans="1:10" x14ac:dyDescent="0.25">
      <c r="A261" s="1">
        <v>44570</v>
      </c>
      <c r="B261" t="s">
        <v>55</v>
      </c>
      <c r="C261" t="s">
        <v>19</v>
      </c>
      <c r="D261" t="s">
        <v>12</v>
      </c>
      <c r="E261" t="s">
        <v>159</v>
      </c>
      <c r="F261" t="s">
        <v>23</v>
      </c>
      <c r="G261" t="s">
        <v>24</v>
      </c>
      <c r="H261">
        <v>8</v>
      </c>
      <c r="I261">
        <v>2928</v>
      </c>
      <c r="J261">
        <v>663.54</v>
      </c>
    </row>
    <row r="262" spans="1:10" x14ac:dyDescent="0.25">
      <c r="A262" s="1">
        <v>45277</v>
      </c>
      <c r="B262" t="s">
        <v>25</v>
      </c>
      <c r="C262" t="s">
        <v>19</v>
      </c>
      <c r="D262" t="s">
        <v>12</v>
      </c>
      <c r="E262" t="s">
        <v>159</v>
      </c>
      <c r="F262" t="s">
        <v>23</v>
      </c>
      <c r="G262" t="s">
        <v>24</v>
      </c>
      <c r="H262">
        <v>7</v>
      </c>
      <c r="I262">
        <v>1904</v>
      </c>
      <c r="J262">
        <v>352.86</v>
      </c>
    </row>
    <row r="263" spans="1:10" x14ac:dyDescent="0.25">
      <c r="A263" s="1">
        <v>44812</v>
      </c>
      <c r="B263" t="s">
        <v>18</v>
      </c>
      <c r="C263" t="s">
        <v>19</v>
      </c>
      <c r="D263" t="s">
        <v>12</v>
      </c>
      <c r="E263" t="s">
        <v>52</v>
      </c>
      <c r="F263" t="s">
        <v>42</v>
      </c>
      <c r="G263" t="s">
        <v>28</v>
      </c>
      <c r="H263">
        <v>2</v>
      </c>
      <c r="I263">
        <v>2314</v>
      </c>
      <c r="J263">
        <v>312.07</v>
      </c>
    </row>
    <row r="264" spans="1:10" x14ac:dyDescent="0.25">
      <c r="A264" s="1">
        <v>44583</v>
      </c>
      <c r="B264" t="s">
        <v>10</v>
      </c>
      <c r="C264" t="s">
        <v>11</v>
      </c>
      <c r="D264" t="s">
        <v>12</v>
      </c>
      <c r="E264" t="s">
        <v>160</v>
      </c>
      <c r="F264" t="s">
        <v>27</v>
      </c>
      <c r="G264" t="s">
        <v>28</v>
      </c>
      <c r="H264">
        <v>4</v>
      </c>
      <c r="I264">
        <v>1028</v>
      </c>
      <c r="J264">
        <v>192.13</v>
      </c>
    </row>
    <row r="265" spans="1:10" x14ac:dyDescent="0.25">
      <c r="A265" s="1">
        <v>45539</v>
      </c>
      <c r="B265" t="s">
        <v>29</v>
      </c>
      <c r="C265" t="s">
        <v>17</v>
      </c>
      <c r="D265" t="s">
        <v>12</v>
      </c>
      <c r="E265" t="s">
        <v>160</v>
      </c>
      <c r="F265" t="s">
        <v>27</v>
      </c>
      <c r="G265" t="s">
        <v>28</v>
      </c>
      <c r="H265">
        <v>9</v>
      </c>
      <c r="I265">
        <v>8307</v>
      </c>
      <c r="J265">
        <v>1326.23</v>
      </c>
    </row>
    <row r="266" spans="1:10" x14ac:dyDescent="0.25">
      <c r="A266" s="1">
        <v>45311</v>
      </c>
      <c r="B266" t="s">
        <v>10</v>
      </c>
      <c r="C266" t="s">
        <v>11</v>
      </c>
      <c r="D266" t="s">
        <v>12</v>
      </c>
      <c r="E266" t="s">
        <v>161</v>
      </c>
      <c r="F266" t="s">
        <v>39</v>
      </c>
      <c r="G266" t="s">
        <v>35</v>
      </c>
      <c r="H266">
        <v>9</v>
      </c>
      <c r="I266">
        <v>1539</v>
      </c>
      <c r="J266">
        <v>203.54</v>
      </c>
    </row>
    <row r="267" spans="1:10" x14ac:dyDescent="0.25">
      <c r="A267" s="1">
        <v>44868</v>
      </c>
      <c r="B267" t="s">
        <v>18</v>
      </c>
      <c r="C267" t="s">
        <v>19</v>
      </c>
      <c r="D267" t="s">
        <v>12</v>
      </c>
      <c r="E267" t="s">
        <v>22</v>
      </c>
      <c r="F267" t="s">
        <v>23</v>
      </c>
      <c r="G267" t="s">
        <v>24</v>
      </c>
      <c r="H267">
        <v>7</v>
      </c>
      <c r="I267">
        <v>2506</v>
      </c>
      <c r="J267">
        <v>537.98</v>
      </c>
    </row>
    <row r="268" spans="1:10" x14ac:dyDescent="0.25">
      <c r="A268" s="1">
        <v>45110</v>
      </c>
      <c r="B268" t="s">
        <v>40</v>
      </c>
      <c r="C268" t="s">
        <v>19</v>
      </c>
      <c r="D268" t="s">
        <v>12</v>
      </c>
      <c r="E268" t="s">
        <v>130</v>
      </c>
      <c r="F268" t="s">
        <v>54</v>
      </c>
      <c r="G268" t="s">
        <v>24</v>
      </c>
      <c r="H268">
        <v>6</v>
      </c>
      <c r="I268">
        <v>5778</v>
      </c>
      <c r="J268">
        <v>1232.54</v>
      </c>
    </row>
    <row r="269" spans="1:10" x14ac:dyDescent="0.25">
      <c r="A269" s="1">
        <v>45316</v>
      </c>
      <c r="B269" t="s">
        <v>18</v>
      </c>
      <c r="C269" t="s">
        <v>19</v>
      </c>
      <c r="D269" t="s">
        <v>12</v>
      </c>
      <c r="E269" t="s">
        <v>102</v>
      </c>
      <c r="F269" t="s">
        <v>34</v>
      </c>
      <c r="G269" t="s">
        <v>35</v>
      </c>
      <c r="H269">
        <v>9</v>
      </c>
      <c r="I269">
        <v>10188</v>
      </c>
      <c r="J269">
        <v>2165.7800000000002</v>
      </c>
    </row>
    <row r="270" spans="1:10" x14ac:dyDescent="0.25">
      <c r="A270" s="1">
        <v>45423</v>
      </c>
      <c r="B270" t="s">
        <v>36</v>
      </c>
      <c r="C270" t="s">
        <v>17</v>
      </c>
      <c r="D270" t="s">
        <v>12</v>
      </c>
      <c r="E270" t="s">
        <v>52</v>
      </c>
      <c r="F270" t="s">
        <v>42</v>
      </c>
      <c r="G270" t="s">
        <v>28</v>
      </c>
      <c r="H270">
        <v>1</v>
      </c>
      <c r="I270">
        <v>952</v>
      </c>
      <c r="J270">
        <v>157.69999999999999</v>
      </c>
    </row>
    <row r="271" spans="1:10" x14ac:dyDescent="0.25">
      <c r="A271" s="1">
        <v>45293</v>
      </c>
      <c r="B271" t="s">
        <v>32</v>
      </c>
      <c r="C271" t="s">
        <v>19</v>
      </c>
      <c r="D271" t="s">
        <v>12</v>
      </c>
      <c r="E271" t="s">
        <v>132</v>
      </c>
      <c r="F271" t="s">
        <v>115</v>
      </c>
      <c r="G271" t="s">
        <v>15</v>
      </c>
      <c r="H271">
        <v>8</v>
      </c>
      <c r="I271">
        <v>3624</v>
      </c>
      <c r="J271">
        <v>750.86</v>
      </c>
    </row>
    <row r="272" spans="1:10" x14ac:dyDescent="0.25">
      <c r="A272" s="1">
        <v>44981</v>
      </c>
      <c r="B272" t="s">
        <v>49</v>
      </c>
      <c r="C272" t="s">
        <v>17</v>
      </c>
      <c r="D272" t="s">
        <v>12</v>
      </c>
      <c r="E272" t="s">
        <v>132</v>
      </c>
      <c r="F272" t="s">
        <v>115</v>
      </c>
      <c r="G272" t="s">
        <v>15</v>
      </c>
      <c r="H272">
        <v>8</v>
      </c>
      <c r="I272">
        <v>7968</v>
      </c>
      <c r="J272">
        <v>1551.12</v>
      </c>
    </row>
    <row r="273" spans="1:10" x14ac:dyDescent="0.25">
      <c r="A273" s="1">
        <v>45493</v>
      </c>
      <c r="B273" t="s">
        <v>16</v>
      </c>
      <c r="C273" t="s">
        <v>17</v>
      </c>
      <c r="D273" t="s">
        <v>12</v>
      </c>
      <c r="E273" t="s">
        <v>111</v>
      </c>
      <c r="F273" t="s">
        <v>115</v>
      </c>
      <c r="G273" t="s">
        <v>15</v>
      </c>
      <c r="H273">
        <v>2</v>
      </c>
      <c r="I273">
        <v>1254</v>
      </c>
      <c r="J273">
        <v>250.09</v>
      </c>
    </row>
    <row r="274" spans="1:10" x14ac:dyDescent="0.25">
      <c r="A274" s="1">
        <v>45091</v>
      </c>
      <c r="B274" t="s">
        <v>10</v>
      </c>
      <c r="C274" t="s">
        <v>11</v>
      </c>
      <c r="D274" t="s">
        <v>12</v>
      </c>
      <c r="E274" t="s">
        <v>75</v>
      </c>
      <c r="F274" t="s">
        <v>108</v>
      </c>
      <c r="G274" t="s">
        <v>15</v>
      </c>
      <c r="H274">
        <v>3</v>
      </c>
      <c r="I274">
        <v>705</v>
      </c>
      <c r="J274">
        <v>196.05</v>
      </c>
    </row>
    <row r="275" spans="1:10" x14ac:dyDescent="0.25">
      <c r="A275" s="1">
        <v>44661</v>
      </c>
      <c r="B275" t="s">
        <v>16</v>
      </c>
      <c r="C275" t="s">
        <v>17</v>
      </c>
      <c r="D275" t="s">
        <v>12</v>
      </c>
      <c r="E275" t="s">
        <v>162</v>
      </c>
      <c r="F275" t="s">
        <v>23</v>
      </c>
      <c r="G275" t="s">
        <v>24</v>
      </c>
      <c r="H275">
        <v>1</v>
      </c>
      <c r="I275">
        <v>916</v>
      </c>
      <c r="J275">
        <v>223.5</v>
      </c>
    </row>
    <row r="276" spans="1:10" x14ac:dyDescent="0.25">
      <c r="A276" s="1">
        <v>45566</v>
      </c>
      <c r="B276" t="s">
        <v>10</v>
      </c>
      <c r="C276" t="s">
        <v>11</v>
      </c>
      <c r="D276" t="s">
        <v>12</v>
      </c>
      <c r="E276" t="s">
        <v>75</v>
      </c>
      <c r="F276" t="s">
        <v>63</v>
      </c>
      <c r="G276" t="s">
        <v>28</v>
      </c>
      <c r="H276">
        <v>2</v>
      </c>
      <c r="I276">
        <v>848</v>
      </c>
      <c r="J276">
        <v>129.96</v>
      </c>
    </row>
    <row r="277" spans="1:10" x14ac:dyDescent="0.25">
      <c r="A277" s="1">
        <v>44691</v>
      </c>
      <c r="B277" t="s">
        <v>36</v>
      </c>
      <c r="C277" t="s">
        <v>17</v>
      </c>
      <c r="D277" t="s">
        <v>12</v>
      </c>
      <c r="E277" t="s">
        <v>22</v>
      </c>
      <c r="F277" t="s">
        <v>23</v>
      </c>
      <c r="G277" t="s">
        <v>24</v>
      </c>
      <c r="H277">
        <v>8</v>
      </c>
      <c r="I277">
        <v>2240</v>
      </c>
      <c r="J277">
        <v>313.17</v>
      </c>
    </row>
    <row r="278" spans="1:10" x14ac:dyDescent="0.25">
      <c r="A278" s="1">
        <v>44589</v>
      </c>
      <c r="B278" t="s">
        <v>36</v>
      </c>
      <c r="C278" t="s">
        <v>17</v>
      </c>
      <c r="D278" t="s">
        <v>12</v>
      </c>
      <c r="E278" t="s">
        <v>26</v>
      </c>
      <c r="F278" t="s">
        <v>27</v>
      </c>
      <c r="G278" t="s">
        <v>28</v>
      </c>
      <c r="H278">
        <v>1</v>
      </c>
      <c r="I278">
        <v>940</v>
      </c>
      <c r="J278">
        <v>120.35</v>
      </c>
    </row>
    <row r="279" spans="1:10" x14ac:dyDescent="0.25">
      <c r="A279" s="1">
        <v>45021</v>
      </c>
      <c r="B279" t="s">
        <v>29</v>
      </c>
      <c r="C279" t="s">
        <v>17</v>
      </c>
      <c r="D279" t="s">
        <v>12</v>
      </c>
      <c r="E279" t="s">
        <v>74</v>
      </c>
      <c r="F279" t="s">
        <v>23</v>
      </c>
      <c r="G279" t="s">
        <v>24</v>
      </c>
      <c r="H279">
        <v>5</v>
      </c>
      <c r="I279">
        <v>1550</v>
      </c>
      <c r="J279">
        <v>203.51</v>
      </c>
    </row>
    <row r="280" spans="1:10" x14ac:dyDescent="0.25">
      <c r="A280" s="1">
        <v>45191</v>
      </c>
      <c r="B280" t="s">
        <v>49</v>
      </c>
      <c r="C280" t="s">
        <v>17</v>
      </c>
      <c r="D280" t="s">
        <v>12</v>
      </c>
      <c r="E280" t="s">
        <v>22</v>
      </c>
      <c r="F280" t="s">
        <v>23</v>
      </c>
      <c r="G280" t="s">
        <v>24</v>
      </c>
      <c r="H280">
        <v>7</v>
      </c>
      <c r="I280">
        <v>2352</v>
      </c>
      <c r="J280">
        <v>256.39999999999998</v>
      </c>
    </row>
    <row r="281" spans="1:10" x14ac:dyDescent="0.25">
      <c r="A281" s="1">
        <v>45533</v>
      </c>
      <c r="B281" t="s">
        <v>32</v>
      </c>
      <c r="C281" t="s">
        <v>19</v>
      </c>
      <c r="D281" t="s">
        <v>12</v>
      </c>
      <c r="E281" t="s">
        <v>52</v>
      </c>
      <c r="F281" t="s">
        <v>42</v>
      </c>
      <c r="G281" t="s">
        <v>28</v>
      </c>
      <c r="H281">
        <v>9</v>
      </c>
      <c r="I281">
        <v>1638</v>
      </c>
      <c r="J281">
        <v>183.75</v>
      </c>
    </row>
    <row r="282" spans="1:10" x14ac:dyDescent="0.25">
      <c r="A282" s="1">
        <v>45248</v>
      </c>
      <c r="B282" t="s">
        <v>25</v>
      </c>
      <c r="C282" t="s">
        <v>19</v>
      </c>
      <c r="D282" t="s">
        <v>12</v>
      </c>
      <c r="E282" t="s">
        <v>163</v>
      </c>
      <c r="F282" t="s">
        <v>44</v>
      </c>
      <c r="G282" t="s">
        <v>35</v>
      </c>
      <c r="H282">
        <v>6</v>
      </c>
      <c r="I282">
        <v>7164</v>
      </c>
      <c r="J282">
        <v>1442.72</v>
      </c>
    </row>
    <row r="283" spans="1:10" x14ac:dyDescent="0.25">
      <c r="A283" s="1">
        <v>45181</v>
      </c>
      <c r="B283" t="s">
        <v>16</v>
      </c>
      <c r="C283" t="s">
        <v>17</v>
      </c>
      <c r="D283" t="s">
        <v>12</v>
      </c>
      <c r="E283" t="s">
        <v>74</v>
      </c>
      <c r="F283" t="s">
        <v>23</v>
      </c>
      <c r="G283" t="s">
        <v>24</v>
      </c>
      <c r="H283">
        <v>1</v>
      </c>
      <c r="I283">
        <v>205</v>
      </c>
      <c r="J283">
        <v>54.54</v>
      </c>
    </row>
    <row r="284" spans="1:10" x14ac:dyDescent="0.25">
      <c r="A284" s="1">
        <v>45072</v>
      </c>
      <c r="B284" t="s">
        <v>49</v>
      </c>
      <c r="C284" t="s">
        <v>17</v>
      </c>
      <c r="D284" t="s">
        <v>12</v>
      </c>
      <c r="E284" t="s">
        <v>102</v>
      </c>
      <c r="F284" t="s">
        <v>34</v>
      </c>
      <c r="G284" t="s">
        <v>35</v>
      </c>
      <c r="H284">
        <v>2</v>
      </c>
      <c r="I284">
        <v>766</v>
      </c>
      <c r="J284">
        <v>49.23</v>
      </c>
    </row>
    <row r="285" spans="1:10" x14ac:dyDescent="0.25">
      <c r="A285" s="1">
        <v>45046</v>
      </c>
      <c r="B285" t="s">
        <v>49</v>
      </c>
      <c r="C285" t="s">
        <v>17</v>
      </c>
      <c r="D285" t="s">
        <v>12</v>
      </c>
      <c r="E285" t="s">
        <v>22</v>
      </c>
      <c r="F285" t="s">
        <v>23</v>
      </c>
      <c r="G285" t="s">
        <v>24</v>
      </c>
      <c r="H285">
        <v>1</v>
      </c>
      <c r="I285">
        <v>168</v>
      </c>
      <c r="J285">
        <v>17.84</v>
      </c>
    </row>
    <row r="286" spans="1:10" x14ac:dyDescent="0.25">
      <c r="A286" s="1">
        <v>45597</v>
      </c>
      <c r="B286" t="s">
        <v>16</v>
      </c>
      <c r="C286" t="s">
        <v>17</v>
      </c>
      <c r="D286" t="s">
        <v>12</v>
      </c>
      <c r="E286" t="s">
        <v>164</v>
      </c>
      <c r="F286" t="s">
        <v>94</v>
      </c>
      <c r="G286" t="s">
        <v>24</v>
      </c>
      <c r="H286">
        <v>1</v>
      </c>
      <c r="I286">
        <v>1058</v>
      </c>
      <c r="J286">
        <v>207.55</v>
      </c>
    </row>
    <row r="287" spans="1:10" x14ac:dyDescent="0.25">
      <c r="A287" s="1">
        <v>44687</v>
      </c>
      <c r="B287" t="s">
        <v>49</v>
      </c>
      <c r="C287" t="s">
        <v>17</v>
      </c>
      <c r="D287" t="s">
        <v>12</v>
      </c>
      <c r="E287" t="s">
        <v>165</v>
      </c>
      <c r="F287" t="s">
        <v>23</v>
      </c>
      <c r="G287" t="s">
        <v>24</v>
      </c>
      <c r="H287">
        <v>5</v>
      </c>
      <c r="I287">
        <v>1455</v>
      </c>
      <c r="J287">
        <v>423.81</v>
      </c>
    </row>
    <row r="288" spans="1:10" x14ac:dyDescent="0.25">
      <c r="A288" s="1">
        <v>45056</v>
      </c>
      <c r="B288" t="s">
        <v>25</v>
      </c>
      <c r="C288" t="s">
        <v>19</v>
      </c>
      <c r="D288" t="s">
        <v>12</v>
      </c>
      <c r="E288" t="s">
        <v>76</v>
      </c>
      <c r="F288" t="s">
        <v>54</v>
      </c>
      <c r="G288" t="s">
        <v>24</v>
      </c>
      <c r="H288">
        <v>2</v>
      </c>
      <c r="I288">
        <v>2224</v>
      </c>
      <c r="J288">
        <v>364.04</v>
      </c>
    </row>
    <row r="289" spans="1:10" x14ac:dyDescent="0.25">
      <c r="A289" s="1">
        <v>44869</v>
      </c>
      <c r="B289" t="s">
        <v>40</v>
      </c>
      <c r="C289" t="s">
        <v>19</v>
      </c>
      <c r="D289" t="s">
        <v>12</v>
      </c>
      <c r="E289" t="s">
        <v>166</v>
      </c>
      <c r="F289" t="s">
        <v>31</v>
      </c>
      <c r="G289" t="s">
        <v>24</v>
      </c>
      <c r="H289">
        <v>7</v>
      </c>
      <c r="I289">
        <v>1400</v>
      </c>
      <c r="J289">
        <v>80.489999999999995</v>
      </c>
    </row>
    <row r="290" spans="1:10" x14ac:dyDescent="0.25">
      <c r="A290" s="1">
        <v>44690</v>
      </c>
      <c r="B290" t="s">
        <v>40</v>
      </c>
      <c r="C290" t="s">
        <v>19</v>
      </c>
      <c r="D290" t="s">
        <v>12</v>
      </c>
      <c r="E290" t="s">
        <v>53</v>
      </c>
      <c r="F290" t="s">
        <v>44</v>
      </c>
      <c r="G290" t="s">
        <v>35</v>
      </c>
      <c r="H290">
        <v>7</v>
      </c>
      <c r="I290">
        <v>7567</v>
      </c>
      <c r="J290">
        <v>2213.1799999999998</v>
      </c>
    </row>
    <row r="291" spans="1:10" x14ac:dyDescent="0.25">
      <c r="A291" s="1">
        <v>44872</v>
      </c>
      <c r="B291" t="s">
        <v>18</v>
      </c>
      <c r="C291" t="s">
        <v>19</v>
      </c>
      <c r="D291" t="s">
        <v>12</v>
      </c>
      <c r="E291" t="s">
        <v>167</v>
      </c>
      <c r="F291" t="s">
        <v>108</v>
      </c>
      <c r="G291" t="s">
        <v>15</v>
      </c>
      <c r="H291">
        <v>6</v>
      </c>
      <c r="I291">
        <v>3396</v>
      </c>
      <c r="J291">
        <v>987.68</v>
      </c>
    </row>
    <row r="292" spans="1:10" x14ac:dyDescent="0.25">
      <c r="A292" s="1">
        <v>45149</v>
      </c>
      <c r="B292" t="s">
        <v>32</v>
      </c>
      <c r="C292" t="s">
        <v>19</v>
      </c>
      <c r="D292" t="s">
        <v>12</v>
      </c>
      <c r="E292" t="s">
        <v>167</v>
      </c>
      <c r="F292" t="s">
        <v>108</v>
      </c>
      <c r="G292" t="s">
        <v>15</v>
      </c>
      <c r="H292">
        <v>2</v>
      </c>
      <c r="I292">
        <v>704</v>
      </c>
      <c r="J292">
        <v>135.63</v>
      </c>
    </row>
    <row r="293" spans="1:10" x14ac:dyDescent="0.25">
      <c r="A293" s="1">
        <v>45586</v>
      </c>
      <c r="B293" t="s">
        <v>18</v>
      </c>
      <c r="C293" t="s">
        <v>19</v>
      </c>
      <c r="D293" t="s">
        <v>12</v>
      </c>
      <c r="E293" t="s">
        <v>53</v>
      </c>
      <c r="F293" t="s">
        <v>44</v>
      </c>
      <c r="G293" t="s">
        <v>35</v>
      </c>
      <c r="H293">
        <v>9</v>
      </c>
      <c r="I293">
        <v>7767</v>
      </c>
      <c r="J293">
        <v>2172.19</v>
      </c>
    </row>
    <row r="294" spans="1:10" x14ac:dyDescent="0.25">
      <c r="A294" s="1">
        <v>45571</v>
      </c>
      <c r="B294" t="s">
        <v>16</v>
      </c>
      <c r="C294" t="s">
        <v>17</v>
      </c>
      <c r="D294" t="s">
        <v>12</v>
      </c>
      <c r="E294" t="s">
        <v>53</v>
      </c>
      <c r="F294" t="s">
        <v>44</v>
      </c>
      <c r="G294" t="s">
        <v>35</v>
      </c>
      <c r="H294">
        <v>5</v>
      </c>
      <c r="I294">
        <v>2050</v>
      </c>
      <c r="J294">
        <v>157.13</v>
      </c>
    </row>
    <row r="295" spans="1:10" x14ac:dyDescent="0.25">
      <c r="A295" s="1">
        <v>45146</v>
      </c>
      <c r="B295" t="s">
        <v>36</v>
      </c>
      <c r="C295" t="s">
        <v>17</v>
      </c>
      <c r="D295" t="s">
        <v>12</v>
      </c>
      <c r="E295" t="s">
        <v>75</v>
      </c>
      <c r="F295" t="s">
        <v>63</v>
      </c>
      <c r="G295" t="s">
        <v>28</v>
      </c>
      <c r="H295">
        <v>9</v>
      </c>
      <c r="I295">
        <v>10458</v>
      </c>
      <c r="J295">
        <v>2799.48</v>
      </c>
    </row>
    <row r="296" spans="1:10" x14ac:dyDescent="0.25">
      <c r="A296" s="1">
        <v>44580</v>
      </c>
      <c r="B296" t="s">
        <v>25</v>
      </c>
      <c r="C296" t="s">
        <v>19</v>
      </c>
      <c r="D296" t="s">
        <v>12</v>
      </c>
      <c r="E296" t="s">
        <v>26</v>
      </c>
      <c r="F296" t="s">
        <v>27</v>
      </c>
      <c r="G296" t="s">
        <v>28</v>
      </c>
      <c r="H296">
        <v>4</v>
      </c>
      <c r="I296">
        <v>4700</v>
      </c>
      <c r="J296">
        <v>619.26</v>
      </c>
    </row>
    <row r="297" spans="1:10" x14ac:dyDescent="0.25">
      <c r="A297" s="1">
        <v>45412</v>
      </c>
      <c r="B297" t="s">
        <v>40</v>
      </c>
      <c r="C297" t="s">
        <v>19</v>
      </c>
      <c r="D297" t="s">
        <v>12</v>
      </c>
      <c r="E297" t="s">
        <v>52</v>
      </c>
      <c r="F297" t="s">
        <v>42</v>
      </c>
      <c r="G297" t="s">
        <v>28</v>
      </c>
      <c r="H297">
        <v>2</v>
      </c>
      <c r="I297">
        <v>892</v>
      </c>
      <c r="J297">
        <v>222.51</v>
      </c>
    </row>
    <row r="298" spans="1:10" x14ac:dyDescent="0.25">
      <c r="A298" s="1">
        <v>45286</v>
      </c>
      <c r="B298" t="s">
        <v>55</v>
      </c>
      <c r="C298" t="s">
        <v>19</v>
      </c>
      <c r="D298" t="s">
        <v>12</v>
      </c>
      <c r="E298" t="s">
        <v>93</v>
      </c>
      <c r="F298" t="s">
        <v>94</v>
      </c>
      <c r="G298" t="s">
        <v>24</v>
      </c>
      <c r="H298">
        <v>8</v>
      </c>
      <c r="I298">
        <v>6968</v>
      </c>
      <c r="J298">
        <v>1479.09</v>
      </c>
    </row>
    <row r="299" spans="1:10" x14ac:dyDescent="0.25">
      <c r="A299" s="1">
        <v>45389</v>
      </c>
      <c r="B299" t="s">
        <v>55</v>
      </c>
      <c r="C299" t="s">
        <v>19</v>
      </c>
      <c r="D299" t="s">
        <v>12</v>
      </c>
      <c r="E299" t="s">
        <v>52</v>
      </c>
      <c r="F299" t="s">
        <v>42</v>
      </c>
      <c r="G299" t="s">
        <v>28</v>
      </c>
      <c r="H299">
        <v>7</v>
      </c>
      <c r="I299">
        <v>1344</v>
      </c>
      <c r="J299">
        <v>300.88</v>
      </c>
    </row>
    <row r="300" spans="1:10" x14ac:dyDescent="0.25">
      <c r="A300" s="1">
        <v>44852</v>
      </c>
      <c r="B300" t="s">
        <v>25</v>
      </c>
      <c r="C300" t="s">
        <v>19</v>
      </c>
      <c r="D300" t="s">
        <v>12</v>
      </c>
      <c r="E300" t="s">
        <v>52</v>
      </c>
      <c r="F300" t="s">
        <v>42</v>
      </c>
      <c r="G300" t="s">
        <v>28</v>
      </c>
      <c r="H300">
        <v>1</v>
      </c>
      <c r="I300">
        <v>354</v>
      </c>
      <c r="J300">
        <v>65.989999999999995</v>
      </c>
    </row>
    <row r="301" spans="1:10" x14ac:dyDescent="0.25">
      <c r="A301" s="1">
        <v>45403</v>
      </c>
      <c r="B301" t="s">
        <v>36</v>
      </c>
      <c r="C301" t="s">
        <v>17</v>
      </c>
      <c r="D301" t="s">
        <v>12</v>
      </c>
      <c r="E301" t="s">
        <v>97</v>
      </c>
      <c r="F301" t="s">
        <v>23</v>
      </c>
      <c r="G301" t="s">
        <v>24</v>
      </c>
      <c r="H301">
        <v>3</v>
      </c>
      <c r="I301">
        <v>3051</v>
      </c>
      <c r="J301">
        <v>662.23</v>
      </c>
    </row>
    <row r="302" spans="1:10" x14ac:dyDescent="0.25">
      <c r="A302" s="1">
        <v>45377</v>
      </c>
      <c r="B302" t="s">
        <v>25</v>
      </c>
      <c r="C302" t="s">
        <v>19</v>
      </c>
      <c r="D302" t="s">
        <v>12</v>
      </c>
      <c r="E302" t="s">
        <v>37</v>
      </c>
      <c r="F302" t="s">
        <v>34</v>
      </c>
      <c r="G302" t="s">
        <v>35</v>
      </c>
      <c r="H302">
        <v>3</v>
      </c>
      <c r="I302">
        <v>402</v>
      </c>
      <c r="J302">
        <v>106.87</v>
      </c>
    </row>
    <row r="303" spans="1:10" x14ac:dyDescent="0.25">
      <c r="A303" s="1">
        <v>44865</v>
      </c>
      <c r="B303" t="s">
        <v>36</v>
      </c>
      <c r="C303" t="s">
        <v>17</v>
      </c>
      <c r="D303" t="s">
        <v>12</v>
      </c>
      <c r="E303" t="s">
        <v>129</v>
      </c>
      <c r="F303" t="s">
        <v>168</v>
      </c>
      <c r="G303" t="s">
        <v>15</v>
      </c>
      <c r="H303">
        <v>5</v>
      </c>
      <c r="I303">
        <v>3570</v>
      </c>
      <c r="J303">
        <v>517.82000000000005</v>
      </c>
    </row>
    <row r="304" spans="1:10" x14ac:dyDescent="0.25">
      <c r="A304" s="1">
        <v>44988</v>
      </c>
      <c r="B304" t="s">
        <v>49</v>
      </c>
      <c r="C304" t="s">
        <v>17</v>
      </c>
      <c r="D304" t="s">
        <v>12</v>
      </c>
      <c r="E304" t="s">
        <v>96</v>
      </c>
      <c r="F304" t="s">
        <v>34</v>
      </c>
      <c r="G304" t="s">
        <v>35</v>
      </c>
      <c r="H304">
        <v>7</v>
      </c>
      <c r="I304">
        <v>3829</v>
      </c>
      <c r="J304">
        <v>876.35</v>
      </c>
    </row>
    <row r="305" spans="1:10" x14ac:dyDescent="0.25">
      <c r="A305" s="1">
        <v>44960</v>
      </c>
      <c r="B305" t="s">
        <v>16</v>
      </c>
      <c r="C305" t="s">
        <v>17</v>
      </c>
      <c r="D305" t="s">
        <v>12</v>
      </c>
      <c r="E305" t="s">
        <v>43</v>
      </c>
      <c r="F305" t="s">
        <v>44</v>
      </c>
      <c r="G305" t="s">
        <v>35</v>
      </c>
      <c r="H305">
        <v>7</v>
      </c>
      <c r="I305">
        <v>4676</v>
      </c>
      <c r="J305">
        <v>242.64</v>
      </c>
    </row>
    <row r="306" spans="1:10" x14ac:dyDescent="0.25">
      <c r="A306" s="1">
        <v>45031</v>
      </c>
      <c r="B306" t="s">
        <v>49</v>
      </c>
      <c r="C306" t="s">
        <v>17</v>
      </c>
      <c r="D306" t="s">
        <v>12</v>
      </c>
      <c r="E306" t="s">
        <v>75</v>
      </c>
      <c r="F306" t="s">
        <v>108</v>
      </c>
      <c r="G306" t="s">
        <v>15</v>
      </c>
      <c r="H306">
        <v>3</v>
      </c>
      <c r="I306">
        <v>1119</v>
      </c>
      <c r="J306">
        <v>317.36</v>
      </c>
    </row>
    <row r="307" spans="1:10" x14ac:dyDescent="0.25">
      <c r="A307" s="1">
        <v>45055</v>
      </c>
      <c r="B307" t="s">
        <v>40</v>
      </c>
      <c r="C307" t="s">
        <v>19</v>
      </c>
      <c r="D307" t="s">
        <v>12</v>
      </c>
      <c r="E307" t="s">
        <v>169</v>
      </c>
      <c r="F307" t="s">
        <v>83</v>
      </c>
      <c r="G307" t="s">
        <v>28</v>
      </c>
      <c r="H307">
        <v>4</v>
      </c>
      <c r="I307">
        <v>4228</v>
      </c>
      <c r="J307">
        <v>764.3</v>
      </c>
    </row>
    <row r="308" spans="1:10" x14ac:dyDescent="0.25">
      <c r="A308" s="1">
        <v>44563</v>
      </c>
      <c r="B308" t="s">
        <v>29</v>
      </c>
      <c r="C308" t="s">
        <v>17</v>
      </c>
      <c r="D308" t="s">
        <v>12</v>
      </c>
      <c r="E308" t="s">
        <v>170</v>
      </c>
      <c r="F308" t="s">
        <v>78</v>
      </c>
      <c r="G308" t="s">
        <v>28</v>
      </c>
      <c r="H308">
        <v>8</v>
      </c>
      <c r="I308">
        <v>1240</v>
      </c>
      <c r="J308">
        <v>251.2</v>
      </c>
    </row>
    <row r="309" spans="1:10" x14ac:dyDescent="0.25">
      <c r="A309" s="1">
        <v>45624</v>
      </c>
      <c r="B309" t="s">
        <v>49</v>
      </c>
      <c r="C309" t="s">
        <v>17</v>
      </c>
      <c r="D309" t="s">
        <v>12</v>
      </c>
      <c r="E309" t="s">
        <v>162</v>
      </c>
      <c r="F309" t="s">
        <v>34</v>
      </c>
      <c r="G309" t="s">
        <v>35</v>
      </c>
      <c r="H309">
        <v>9</v>
      </c>
      <c r="I309">
        <v>3591</v>
      </c>
      <c r="J309">
        <v>342.18</v>
      </c>
    </row>
    <row r="310" spans="1:10" x14ac:dyDescent="0.25">
      <c r="A310" s="1">
        <v>44597</v>
      </c>
      <c r="B310" t="s">
        <v>10</v>
      </c>
      <c r="C310" t="s">
        <v>11</v>
      </c>
      <c r="D310" t="s">
        <v>12</v>
      </c>
      <c r="E310" t="s">
        <v>171</v>
      </c>
      <c r="F310" t="s">
        <v>94</v>
      </c>
      <c r="G310" t="s">
        <v>24</v>
      </c>
      <c r="H310">
        <v>8</v>
      </c>
      <c r="I310">
        <v>3952</v>
      </c>
      <c r="J310">
        <v>451.08</v>
      </c>
    </row>
    <row r="311" spans="1:10" x14ac:dyDescent="0.25">
      <c r="A311" s="1">
        <v>45448</v>
      </c>
      <c r="B311" t="s">
        <v>49</v>
      </c>
      <c r="C311" t="s">
        <v>17</v>
      </c>
      <c r="D311" t="s">
        <v>12</v>
      </c>
      <c r="E311" t="s">
        <v>70</v>
      </c>
      <c r="F311" t="s">
        <v>71</v>
      </c>
      <c r="G311" t="s">
        <v>35</v>
      </c>
      <c r="H311">
        <v>6</v>
      </c>
      <c r="I311">
        <v>3648</v>
      </c>
      <c r="J311">
        <v>1050.08</v>
      </c>
    </row>
    <row r="312" spans="1:10" x14ac:dyDescent="0.25">
      <c r="A312" s="1">
        <v>45611</v>
      </c>
      <c r="B312" t="s">
        <v>36</v>
      </c>
      <c r="C312" t="s">
        <v>17</v>
      </c>
      <c r="D312" t="s">
        <v>12</v>
      </c>
      <c r="E312" t="s">
        <v>37</v>
      </c>
      <c r="F312" t="s">
        <v>34</v>
      </c>
      <c r="G312" t="s">
        <v>35</v>
      </c>
      <c r="H312">
        <v>5</v>
      </c>
      <c r="I312">
        <v>3875</v>
      </c>
      <c r="J312">
        <v>768.74</v>
      </c>
    </row>
    <row r="313" spans="1:10" x14ac:dyDescent="0.25">
      <c r="A313" s="1">
        <v>45243</v>
      </c>
      <c r="B313" t="s">
        <v>32</v>
      </c>
      <c r="C313" t="s">
        <v>19</v>
      </c>
      <c r="D313" t="s">
        <v>12</v>
      </c>
      <c r="E313" t="s">
        <v>22</v>
      </c>
      <c r="F313" t="s">
        <v>23</v>
      </c>
      <c r="G313" t="s">
        <v>24</v>
      </c>
      <c r="H313">
        <v>8</v>
      </c>
      <c r="I313">
        <v>3416</v>
      </c>
      <c r="J313">
        <v>478.9</v>
      </c>
    </row>
    <row r="314" spans="1:10" x14ac:dyDescent="0.25">
      <c r="A314" s="1">
        <v>44611</v>
      </c>
      <c r="B314" t="s">
        <v>18</v>
      </c>
      <c r="C314" t="s">
        <v>19</v>
      </c>
      <c r="D314" t="s">
        <v>12</v>
      </c>
      <c r="E314" t="s">
        <v>52</v>
      </c>
      <c r="F314" t="s">
        <v>42</v>
      </c>
      <c r="G314" t="s">
        <v>28</v>
      </c>
      <c r="H314">
        <v>1</v>
      </c>
      <c r="I314">
        <v>908</v>
      </c>
      <c r="J314">
        <v>222.58</v>
      </c>
    </row>
    <row r="315" spans="1:10" x14ac:dyDescent="0.25">
      <c r="A315" s="1">
        <v>45418</v>
      </c>
      <c r="B315" t="s">
        <v>29</v>
      </c>
      <c r="C315" t="s">
        <v>17</v>
      </c>
      <c r="D315" t="s">
        <v>12</v>
      </c>
      <c r="E315" t="s">
        <v>110</v>
      </c>
      <c r="F315" t="s">
        <v>57</v>
      </c>
      <c r="G315" t="s">
        <v>24</v>
      </c>
      <c r="H315">
        <v>4</v>
      </c>
      <c r="I315">
        <v>4532</v>
      </c>
      <c r="J315">
        <v>987.32</v>
      </c>
    </row>
    <row r="316" spans="1:10" x14ac:dyDescent="0.25">
      <c r="A316" s="1">
        <v>45142</v>
      </c>
      <c r="B316" t="s">
        <v>29</v>
      </c>
      <c r="C316" t="s">
        <v>17</v>
      </c>
      <c r="D316" t="s">
        <v>12</v>
      </c>
      <c r="E316" t="s">
        <v>22</v>
      </c>
      <c r="F316" t="s">
        <v>23</v>
      </c>
      <c r="G316" t="s">
        <v>24</v>
      </c>
      <c r="H316">
        <v>4</v>
      </c>
      <c r="I316">
        <v>4168</v>
      </c>
      <c r="J316">
        <v>650.15</v>
      </c>
    </row>
    <row r="317" spans="1:10" x14ac:dyDescent="0.25">
      <c r="A317" s="1">
        <v>45192</v>
      </c>
      <c r="B317" t="s">
        <v>55</v>
      </c>
      <c r="C317" t="s">
        <v>19</v>
      </c>
      <c r="D317" t="s">
        <v>12</v>
      </c>
      <c r="E317" t="s">
        <v>22</v>
      </c>
      <c r="F317" t="s">
        <v>23</v>
      </c>
      <c r="G317" t="s">
        <v>24</v>
      </c>
      <c r="H317">
        <v>3</v>
      </c>
      <c r="I317">
        <v>3543</v>
      </c>
      <c r="J317">
        <v>941.37</v>
      </c>
    </row>
    <row r="318" spans="1:10" x14ac:dyDescent="0.25">
      <c r="A318" s="1">
        <v>45549</v>
      </c>
      <c r="B318" t="s">
        <v>55</v>
      </c>
      <c r="C318" t="s">
        <v>19</v>
      </c>
      <c r="D318" t="s">
        <v>12</v>
      </c>
      <c r="E318" t="s">
        <v>22</v>
      </c>
      <c r="F318" t="s">
        <v>23</v>
      </c>
      <c r="G318" t="s">
        <v>24</v>
      </c>
      <c r="H318">
        <v>6</v>
      </c>
      <c r="I318">
        <v>5124</v>
      </c>
      <c r="J318">
        <v>1078.57</v>
      </c>
    </row>
    <row r="319" spans="1:10" x14ac:dyDescent="0.25">
      <c r="A319" s="1">
        <v>45002</v>
      </c>
      <c r="B319" t="s">
        <v>32</v>
      </c>
      <c r="C319" t="s">
        <v>19</v>
      </c>
      <c r="D319" t="s">
        <v>12</v>
      </c>
      <c r="E319" t="s">
        <v>26</v>
      </c>
      <c r="F319" t="s">
        <v>27</v>
      </c>
      <c r="G319" t="s">
        <v>28</v>
      </c>
      <c r="H319">
        <v>9</v>
      </c>
      <c r="I319">
        <v>5751</v>
      </c>
      <c r="J319">
        <v>1196.23</v>
      </c>
    </row>
    <row r="320" spans="1:10" x14ac:dyDescent="0.25">
      <c r="A320" s="1">
        <v>45198</v>
      </c>
      <c r="B320" t="s">
        <v>25</v>
      </c>
      <c r="C320" t="s">
        <v>19</v>
      </c>
      <c r="D320" t="s">
        <v>12</v>
      </c>
      <c r="E320" t="s">
        <v>172</v>
      </c>
      <c r="F320" t="s">
        <v>173</v>
      </c>
      <c r="G320" t="s">
        <v>24</v>
      </c>
      <c r="H320">
        <v>2</v>
      </c>
      <c r="I320">
        <v>624</v>
      </c>
      <c r="J320">
        <v>139.63999999999999</v>
      </c>
    </row>
    <row r="321" spans="1:10" x14ac:dyDescent="0.25">
      <c r="A321" s="1">
        <v>45261</v>
      </c>
      <c r="B321" t="s">
        <v>25</v>
      </c>
      <c r="C321" t="s">
        <v>19</v>
      </c>
      <c r="D321" t="s">
        <v>12</v>
      </c>
      <c r="E321" t="s">
        <v>164</v>
      </c>
      <c r="F321" t="s">
        <v>94</v>
      </c>
      <c r="G321" t="s">
        <v>24</v>
      </c>
      <c r="H321">
        <v>1</v>
      </c>
      <c r="I321">
        <v>508</v>
      </c>
      <c r="J321">
        <v>151.29</v>
      </c>
    </row>
    <row r="322" spans="1:10" x14ac:dyDescent="0.25">
      <c r="A322" s="1">
        <v>45182</v>
      </c>
      <c r="B322" t="s">
        <v>29</v>
      </c>
      <c r="C322" t="s">
        <v>17</v>
      </c>
      <c r="D322" t="s">
        <v>12</v>
      </c>
      <c r="E322" t="s">
        <v>174</v>
      </c>
      <c r="F322" t="s">
        <v>27</v>
      </c>
      <c r="G322" t="s">
        <v>28</v>
      </c>
      <c r="H322">
        <v>4</v>
      </c>
      <c r="I322">
        <v>4700</v>
      </c>
      <c r="J322">
        <v>914.6</v>
      </c>
    </row>
    <row r="323" spans="1:10" x14ac:dyDescent="0.25">
      <c r="A323" s="1">
        <v>44634</v>
      </c>
      <c r="B323" t="s">
        <v>49</v>
      </c>
      <c r="C323" t="s">
        <v>17</v>
      </c>
      <c r="D323" t="s">
        <v>12</v>
      </c>
      <c r="E323" t="s">
        <v>175</v>
      </c>
      <c r="F323" t="s">
        <v>23</v>
      </c>
      <c r="G323" t="s">
        <v>24</v>
      </c>
      <c r="H323">
        <v>8</v>
      </c>
      <c r="I323">
        <v>3216</v>
      </c>
      <c r="J323">
        <v>639.78</v>
      </c>
    </row>
    <row r="324" spans="1:10" x14ac:dyDescent="0.25">
      <c r="A324" s="1">
        <v>45122</v>
      </c>
      <c r="B324" t="s">
        <v>55</v>
      </c>
      <c r="C324" t="s">
        <v>19</v>
      </c>
      <c r="D324" t="s">
        <v>12</v>
      </c>
      <c r="E324" t="s">
        <v>176</v>
      </c>
      <c r="F324" t="s">
        <v>84</v>
      </c>
      <c r="G324" t="s">
        <v>28</v>
      </c>
      <c r="H324">
        <v>6</v>
      </c>
      <c r="I324">
        <v>2844</v>
      </c>
      <c r="J324">
        <v>581</v>
      </c>
    </row>
    <row r="325" spans="1:10" x14ac:dyDescent="0.25">
      <c r="A325" s="1">
        <v>44710</v>
      </c>
      <c r="B325" t="s">
        <v>40</v>
      </c>
      <c r="C325" t="s">
        <v>19</v>
      </c>
      <c r="D325" t="s">
        <v>12</v>
      </c>
      <c r="E325" t="s">
        <v>75</v>
      </c>
      <c r="F325" t="s">
        <v>63</v>
      </c>
      <c r="G325" t="s">
        <v>28</v>
      </c>
      <c r="H325">
        <v>5</v>
      </c>
      <c r="I325">
        <v>2385</v>
      </c>
      <c r="J325">
        <v>258.60000000000002</v>
      </c>
    </row>
    <row r="326" spans="1:10" x14ac:dyDescent="0.25">
      <c r="A326" s="1">
        <v>44942</v>
      </c>
      <c r="B326" t="s">
        <v>36</v>
      </c>
      <c r="C326" t="s">
        <v>17</v>
      </c>
      <c r="D326" t="s">
        <v>12</v>
      </c>
      <c r="E326" t="s">
        <v>177</v>
      </c>
      <c r="F326" t="s">
        <v>42</v>
      </c>
      <c r="G326" t="s">
        <v>28</v>
      </c>
      <c r="H326">
        <v>8</v>
      </c>
      <c r="I326">
        <v>928</v>
      </c>
      <c r="J326">
        <v>170.05</v>
      </c>
    </row>
    <row r="327" spans="1:10" x14ac:dyDescent="0.25">
      <c r="A327" s="1">
        <v>45175</v>
      </c>
      <c r="B327" t="s">
        <v>29</v>
      </c>
      <c r="C327" t="s">
        <v>17</v>
      </c>
      <c r="D327" t="s">
        <v>12</v>
      </c>
      <c r="E327" t="s">
        <v>56</v>
      </c>
      <c r="F327" t="s">
        <v>57</v>
      </c>
      <c r="G327" t="s">
        <v>24</v>
      </c>
      <c r="H327">
        <v>6</v>
      </c>
      <c r="I327">
        <v>4656</v>
      </c>
      <c r="J327">
        <v>673.35</v>
      </c>
    </row>
    <row r="328" spans="1:10" x14ac:dyDescent="0.25">
      <c r="A328" s="1">
        <v>45014</v>
      </c>
      <c r="B328" t="s">
        <v>29</v>
      </c>
      <c r="C328" t="s">
        <v>17</v>
      </c>
      <c r="D328" t="s">
        <v>12</v>
      </c>
      <c r="E328" t="s">
        <v>52</v>
      </c>
      <c r="F328" t="s">
        <v>42</v>
      </c>
      <c r="G328" t="s">
        <v>28</v>
      </c>
      <c r="H328">
        <v>2</v>
      </c>
      <c r="I328">
        <v>330</v>
      </c>
      <c r="J328">
        <v>21.46</v>
      </c>
    </row>
    <row r="329" spans="1:10" x14ac:dyDescent="0.25">
      <c r="A329" s="1">
        <v>45231</v>
      </c>
      <c r="B329" t="s">
        <v>25</v>
      </c>
      <c r="C329" t="s">
        <v>19</v>
      </c>
      <c r="D329" t="s">
        <v>12</v>
      </c>
      <c r="E329" t="s">
        <v>22</v>
      </c>
      <c r="F329" t="s">
        <v>23</v>
      </c>
      <c r="G329" t="s">
        <v>24</v>
      </c>
      <c r="H329">
        <v>7</v>
      </c>
      <c r="I329">
        <v>1799</v>
      </c>
      <c r="J329">
        <v>274.11</v>
      </c>
    </row>
    <row r="330" spans="1:10" x14ac:dyDescent="0.25">
      <c r="A330" s="1">
        <v>44798</v>
      </c>
      <c r="B330" t="s">
        <v>10</v>
      </c>
      <c r="C330" t="s">
        <v>11</v>
      </c>
      <c r="D330" t="s">
        <v>12</v>
      </c>
      <c r="E330" t="s">
        <v>22</v>
      </c>
      <c r="F330" t="s">
        <v>23</v>
      </c>
      <c r="G330" t="s">
        <v>24</v>
      </c>
      <c r="H330">
        <v>1</v>
      </c>
      <c r="I330">
        <v>1029</v>
      </c>
      <c r="J330">
        <v>173.61</v>
      </c>
    </row>
    <row r="331" spans="1:10" x14ac:dyDescent="0.25">
      <c r="A331" s="1">
        <v>44925</v>
      </c>
      <c r="B331" t="s">
        <v>29</v>
      </c>
      <c r="C331" t="s">
        <v>17</v>
      </c>
      <c r="D331" t="s">
        <v>12</v>
      </c>
      <c r="E331" t="s">
        <v>178</v>
      </c>
      <c r="F331" t="s">
        <v>34</v>
      </c>
      <c r="G331" t="s">
        <v>35</v>
      </c>
      <c r="H331">
        <v>8</v>
      </c>
      <c r="I331">
        <v>5432</v>
      </c>
      <c r="J331">
        <v>1619.39</v>
      </c>
    </row>
    <row r="332" spans="1:10" x14ac:dyDescent="0.25">
      <c r="A332" s="1">
        <v>45539</v>
      </c>
      <c r="B332" t="s">
        <v>25</v>
      </c>
      <c r="C332" t="s">
        <v>19</v>
      </c>
      <c r="D332" t="s">
        <v>12</v>
      </c>
      <c r="E332" t="s">
        <v>52</v>
      </c>
      <c r="F332" t="s">
        <v>42</v>
      </c>
      <c r="G332" t="s">
        <v>28</v>
      </c>
      <c r="H332">
        <v>5</v>
      </c>
      <c r="I332">
        <v>5785</v>
      </c>
      <c r="J332">
        <v>1191.1099999999999</v>
      </c>
    </row>
    <row r="333" spans="1:10" x14ac:dyDescent="0.25">
      <c r="A333" s="1">
        <v>45299</v>
      </c>
      <c r="B333" t="s">
        <v>10</v>
      </c>
      <c r="C333" t="s">
        <v>11</v>
      </c>
      <c r="D333" t="s">
        <v>12</v>
      </c>
      <c r="E333" t="s">
        <v>52</v>
      </c>
      <c r="F333" t="s">
        <v>42</v>
      </c>
      <c r="G333" t="s">
        <v>28</v>
      </c>
      <c r="H333">
        <v>1</v>
      </c>
      <c r="I333">
        <v>1062</v>
      </c>
      <c r="J333">
        <v>272.42</v>
      </c>
    </row>
    <row r="334" spans="1:10" x14ac:dyDescent="0.25">
      <c r="A334" s="1">
        <v>44922</v>
      </c>
      <c r="B334" t="s">
        <v>49</v>
      </c>
      <c r="C334" t="s">
        <v>17</v>
      </c>
      <c r="D334" t="s">
        <v>12</v>
      </c>
      <c r="E334" t="s">
        <v>52</v>
      </c>
      <c r="F334" t="s">
        <v>42</v>
      </c>
      <c r="G334" t="s">
        <v>28</v>
      </c>
      <c r="H334">
        <v>1</v>
      </c>
      <c r="I334">
        <v>163</v>
      </c>
      <c r="J334">
        <v>22.07</v>
      </c>
    </row>
    <row r="335" spans="1:10" x14ac:dyDescent="0.25">
      <c r="A335" s="1">
        <v>45396</v>
      </c>
      <c r="B335" t="s">
        <v>40</v>
      </c>
      <c r="C335" t="s">
        <v>19</v>
      </c>
      <c r="D335" t="s">
        <v>12</v>
      </c>
      <c r="E335" t="s">
        <v>179</v>
      </c>
      <c r="F335" t="s">
        <v>44</v>
      </c>
      <c r="G335" t="s">
        <v>35</v>
      </c>
      <c r="H335">
        <v>9</v>
      </c>
      <c r="I335">
        <v>9162</v>
      </c>
      <c r="J335">
        <v>1625.62</v>
      </c>
    </row>
    <row r="336" spans="1:10" x14ac:dyDescent="0.25">
      <c r="A336" s="1">
        <v>44967</v>
      </c>
      <c r="B336" t="s">
        <v>10</v>
      </c>
      <c r="C336" t="s">
        <v>11</v>
      </c>
      <c r="D336" t="s">
        <v>12</v>
      </c>
      <c r="E336" t="s">
        <v>75</v>
      </c>
      <c r="F336" t="s">
        <v>63</v>
      </c>
      <c r="G336" t="s">
        <v>28</v>
      </c>
      <c r="H336">
        <v>4</v>
      </c>
      <c r="I336">
        <v>1440</v>
      </c>
      <c r="J336">
        <v>130.24</v>
      </c>
    </row>
    <row r="337" spans="1:10" x14ac:dyDescent="0.25">
      <c r="A337" s="1">
        <v>45122</v>
      </c>
      <c r="B337" t="s">
        <v>36</v>
      </c>
      <c r="C337" t="s">
        <v>17</v>
      </c>
      <c r="D337" t="s">
        <v>12</v>
      </c>
      <c r="E337" t="s">
        <v>52</v>
      </c>
      <c r="F337" t="s">
        <v>42</v>
      </c>
      <c r="G337" t="s">
        <v>28</v>
      </c>
      <c r="H337">
        <v>5</v>
      </c>
      <c r="I337">
        <v>1465</v>
      </c>
      <c r="J337">
        <v>149.62</v>
      </c>
    </row>
    <row r="338" spans="1:10" x14ac:dyDescent="0.25">
      <c r="A338" s="1">
        <v>45592</v>
      </c>
      <c r="B338" t="s">
        <v>36</v>
      </c>
      <c r="C338" t="s">
        <v>17</v>
      </c>
      <c r="D338" t="s">
        <v>12</v>
      </c>
      <c r="E338" t="s">
        <v>180</v>
      </c>
      <c r="F338" t="s">
        <v>34</v>
      </c>
      <c r="G338" t="s">
        <v>35</v>
      </c>
      <c r="H338">
        <v>2</v>
      </c>
      <c r="I338">
        <v>366</v>
      </c>
      <c r="J338">
        <v>31.23</v>
      </c>
    </row>
    <row r="339" spans="1:10" x14ac:dyDescent="0.25">
      <c r="A339" s="1">
        <v>45492</v>
      </c>
      <c r="B339" t="s">
        <v>25</v>
      </c>
      <c r="C339" t="s">
        <v>19</v>
      </c>
      <c r="D339" t="s">
        <v>12</v>
      </c>
      <c r="E339" t="s">
        <v>117</v>
      </c>
      <c r="F339" t="s">
        <v>59</v>
      </c>
      <c r="G339" t="s">
        <v>28</v>
      </c>
      <c r="H339">
        <v>5</v>
      </c>
      <c r="I339">
        <v>3135</v>
      </c>
      <c r="J339">
        <v>277.27999999999997</v>
      </c>
    </row>
    <row r="340" spans="1:10" x14ac:dyDescent="0.25">
      <c r="A340" s="1">
        <v>45354</v>
      </c>
      <c r="B340" t="s">
        <v>49</v>
      </c>
      <c r="C340" t="s">
        <v>17</v>
      </c>
      <c r="D340" t="s">
        <v>12</v>
      </c>
      <c r="E340" t="s">
        <v>22</v>
      </c>
      <c r="F340" t="s">
        <v>23</v>
      </c>
      <c r="G340" t="s">
        <v>24</v>
      </c>
      <c r="H340">
        <v>2</v>
      </c>
      <c r="I340">
        <v>630</v>
      </c>
      <c r="J340">
        <v>161.04</v>
      </c>
    </row>
    <row r="341" spans="1:10" x14ac:dyDescent="0.25">
      <c r="A341" s="1">
        <v>45394</v>
      </c>
      <c r="B341" t="s">
        <v>36</v>
      </c>
      <c r="C341" t="s">
        <v>17</v>
      </c>
      <c r="D341" t="s">
        <v>12</v>
      </c>
      <c r="E341" t="s">
        <v>181</v>
      </c>
      <c r="F341" t="s">
        <v>57</v>
      </c>
      <c r="G341" t="s">
        <v>24</v>
      </c>
      <c r="H341">
        <v>1</v>
      </c>
      <c r="I341">
        <v>213</v>
      </c>
      <c r="J341">
        <v>42.94</v>
      </c>
    </row>
    <row r="342" spans="1:10" x14ac:dyDescent="0.25">
      <c r="A342" s="1">
        <v>45463</v>
      </c>
      <c r="B342" t="s">
        <v>36</v>
      </c>
      <c r="C342" t="s">
        <v>17</v>
      </c>
      <c r="D342" t="s">
        <v>12</v>
      </c>
      <c r="E342" t="s">
        <v>182</v>
      </c>
      <c r="F342" t="s">
        <v>183</v>
      </c>
      <c r="G342" t="s">
        <v>15</v>
      </c>
      <c r="H342">
        <v>4</v>
      </c>
      <c r="I342">
        <v>3792</v>
      </c>
      <c r="J342">
        <v>1092.8499999999999</v>
      </c>
    </row>
    <row r="343" spans="1:10" x14ac:dyDescent="0.25">
      <c r="A343" s="1">
        <v>45098</v>
      </c>
      <c r="B343" t="s">
        <v>16</v>
      </c>
      <c r="C343" t="s">
        <v>17</v>
      </c>
      <c r="D343" t="s">
        <v>12</v>
      </c>
      <c r="E343" t="s">
        <v>112</v>
      </c>
      <c r="F343" t="s">
        <v>63</v>
      </c>
      <c r="G343" t="s">
        <v>28</v>
      </c>
      <c r="H343">
        <v>2</v>
      </c>
      <c r="I343">
        <v>1932</v>
      </c>
      <c r="J343">
        <v>109.07</v>
      </c>
    </row>
    <row r="344" spans="1:10" x14ac:dyDescent="0.25">
      <c r="A344" s="1">
        <v>44951</v>
      </c>
      <c r="B344" t="s">
        <v>49</v>
      </c>
      <c r="C344" t="s">
        <v>17</v>
      </c>
      <c r="D344" t="s">
        <v>12</v>
      </c>
      <c r="E344" t="s">
        <v>57</v>
      </c>
      <c r="F344" t="s">
        <v>142</v>
      </c>
      <c r="G344" t="s">
        <v>28</v>
      </c>
      <c r="H344">
        <v>4</v>
      </c>
      <c r="I344">
        <v>4152</v>
      </c>
      <c r="J344">
        <v>317.27999999999997</v>
      </c>
    </row>
    <row r="345" spans="1:10" x14ac:dyDescent="0.25">
      <c r="A345" s="1">
        <v>45339</v>
      </c>
      <c r="B345" t="s">
        <v>40</v>
      </c>
      <c r="C345" t="s">
        <v>19</v>
      </c>
      <c r="D345" t="s">
        <v>12</v>
      </c>
      <c r="E345" t="s">
        <v>136</v>
      </c>
      <c r="F345" t="s">
        <v>65</v>
      </c>
      <c r="G345" t="s">
        <v>35</v>
      </c>
      <c r="H345">
        <v>7</v>
      </c>
      <c r="I345">
        <v>3612</v>
      </c>
      <c r="J345">
        <v>529.57000000000005</v>
      </c>
    </row>
    <row r="346" spans="1:10" x14ac:dyDescent="0.25">
      <c r="A346" s="1">
        <v>45544</v>
      </c>
      <c r="B346" t="s">
        <v>40</v>
      </c>
      <c r="C346" t="s">
        <v>19</v>
      </c>
      <c r="D346" t="s">
        <v>12</v>
      </c>
      <c r="E346" t="s">
        <v>52</v>
      </c>
      <c r="F346" t="s">
        <v>42</v>
      </c>
      <c r="G346" t="s">
        <v>28</v>
      </c>
      <c r="H346">
        <v>2</v>
      </c>
      <c r="I346">
        <v>2258</v>
      </c>
      <c r="J346">
        <v>280.76</v>
      </c>
    </row>
    <row r="347" spans="1:10" x14ac:dyDescent="0.25">
      <c r="A347" s="1">
        <v>44751</v>
      </c>
      <c r="B347" t="s">
        <v>25</v>
      </c>
      <c r="C347" t="s">
        <v>19</v>
      </c>
      <c r="D347" t="s">
        <v>12</v>
      </c>
      <c r="E347" t="s">
        <v>37</v>
      </c>
      <c r="F347" t="s">
        <v>34</v>
      </c>
      <c r="G347" t="s">
        <v>35</v>
      </c>
      <c r="H347">
        <v>3</v>
      </c>
      <c r="I347">
        <v>594</v>
      </c>
      <c r="J347">
        <v>47.73</v>
      </c>
    </row>
    <row r="348" spans="1:10" x14ac:dyDescent="0.25">
      <c r="A348" s="1">
        <v>45170</v>
      </c>
      <c r="B348" t="s">
        <v>29</v>
      </c>
      <c r="C348" t="s">
        <v>17</v>
      </c>
      <c r="D348" t="s">
        <v>12</v>
      </c>
      <c r="E348" t="s">
        <v>26</v>
      </c>
      <c r="F348" t="s">
        <v>27</v>
      </c>
      <c r="G348" t="s">
        <v>28</v>
      </c>
      <c r="H348">
        <v>7</v>
      </c>
      <c r="I348">
        <v>8071</v>
      </c>
      <c r="J348">
        <v>1799.06</v>
      </c>
    </row>
    <row r="349" spans="1:10" x14ac:dyDescent="0.25">
      <c r="A349" s="1">
        <v>45381</v>
      </c>
      <c r="B349" t="s">
        <v>49</v>
      </c>
      <c r="C349" t="s">
        <v>17</v>
      </c>
      <c r="D349" t="s">
        <v>12</v>
      </c>
      <c r="E349" t="s">
        <v>74</v>
      </c>
      <c r="F349" t="s">
        <v>23</v>
      </c>
      <c r="G349" t="s">
        <v>24</v>
      </c>
      <c r="H349">
        <v>7</v>
      </c>
      <c r="I349">
        <v>5838</v>
      </c>
      <c r="J349">
        <v>631.45000000000005</v>
      </c>
    </row>
    <row r="350" spans="1:10" x14ac:dyDescent="0.25">
      <c r="A350" s="1">
        <v>45648</v>
      </c>
      <c r="B350" t="s">
        <v>49</v>
      </c>
      <c r="C350" t="s">
        <v>17</v>
      </c>
      <c r="D350" t="s">
        <v>12</v>
      </c>
      <c r="E350" t="s">
        <v>26</v>
      </c>
      <c r="F350" t="s">
        <v>27</v>
      </c>
      <c r="G350" t="s">
        <v>28</v>
      </c>
      <c r="H350">
        <v>4</v>
      </c>
      <c r="I350">
        <v>692</v>
      </c>
      <c r="J350">
        <v>181.31</v>
      </c>
    </row>
    <row r="351" spans="1:10" x14ac:dyDescent="0.25">
      <c r="A351" s="1">
        <v>45543</v>
      </c>
      <c r="B351" t="s">
        <v>49</v>
      </c>
      <c r="C351" t="s">
        <v>17</v>
      </c>
      <c r="D351" t="s">
        <v>12</v>
      </c>
      <c r="E351" t="s">
        <v>26</v>
      </c>
      <c r="F351" t="s">
        <v>27</v>
      </c>
      <c r="G351" t="s">
        <v>28</v>
      </c>
      <c r="H351">
        <v>3</v>
      </c>
      <c r="I351">
        <v>1704</v>
      </c>
      <c r="J351">
        <v>309.06</v>
      </c>
    </row>
    <row r="352" spans="1:10" x14ac:dyDescent="0.25">
      <c r="A352" s="1">
        <v>44947</v>
      </c>
      <c r="B352" t="s">
        <v>10</v>
      </c>
      <c r="C352" t="s">
        <v>11</v>
      </c>
      <c r="D352" t="s">
        <v>12</v>
      </c>
      <c r="E352" t="s">
        <v>75</v>
      </c>
      <c r="F352" t="s">
        <v>63</v>
      </c>
      <c r="G352" t="s">
        <v>28</v>
      </c>
      <c r="H352">
        <v>5</v>
      </c>
      <c r="I352">
        <v>3235</v>
      </c>
      <c r="J352">
        <v>941.24</v>
      </c>
    </row>
    <row r="353" spans="1:10" x14ac:dyDescent="0.25">
      <c r="A353" s="1">
        <v>45211</v>
      </c>
      <c r="B353" t="s">
        <v>16</v>
      </c>
      <c r="C353" t="s">
        <v>17</v>
      </c>
      <c r="D353" t="s">
        <v>12</v>
      </c>
      <c r="E353" t="s">
        <v>56</v>
      </c>
      <c r="F353" t="s">
        <v>57</v>
      </c>
      <c r="G353" t="s">
        <v>24</v>
      </c>
      <c r="H353">
        <v>6</v>
      </c>
      <c r="I353">
        <v>4746</v>
      </c>
      <c r="J353">
        <v>545.57000000000005</v>
      </c>
    </row>
    <row r="354" spans="1:10" x14ac:dyDescent="0.25">
      <c r="A354" s="1">
        <v>44774</v>
      </c>
      <c r="B354" t="s">
        <v>32</v>
      </c>
      <c r="C354" t="s">
        <v>19</v>
      </c>
      <c r="D354" t="s">
        <v>12</v>
      </c>
      <c r="E354" t="s">
        <v>52</v>
      </c>
      <c r="F354" t="s">
        <v>42</v>
      </c>
      <c r="G354" t="s">
        <v>28</v>
      </c>
      <c r="H354">
        <v>8</v>
      </c>
      <c r="I354">
        <v>7600</v>
      </c>
      <c r="J354">
        <v>788.88</v>
      </c>
    </row>
    <row r="355" spans="1:10" x14ac:dyDescent="0.25">
      <c r="A355" s="1">
        <v>45233</v>
      </c>
      <c r="B355" t="s">
        <v>40</v>
      </c>
      <c r="C355" t="s">
        <v>19</v>
      </c>
      <c r="D355" t="s">
        <v>12</v>
      </c>
      <c r="E355" t="s">
        <v>74</v>
      </c>
      <c r="F355" t="s">
        <v>23</v>
      </c>
      <c r="G355" t="s">
        <v>24</v>
      </c>
      <c r="H355">
        <v>5</v>
      </c>
      <c r="I355">
        <v>1935</v>
      </c>
      <c r="J355">
        <v>128.01</v>
      </c>
    </row>
    <row r="356" spans="1:10" x14ac:dyDescent="0.25">
      <c r="A356" s="1">
        <v>45264</v>
      </c>
      <c r="B356" t="s">
        <v>55</v>
      </c>
      <c r="C356" t="s">
        <v>19</v>
      </c>
      <c r="D356" t="s">
        <v>12</v>
      </c>
      <c r="E356" t="s">
        <v>43</v>
      </c>
      <c r="F356" t="s">
        <v>44</v>
      </c>
      <c r="G356" t="s">
        <v>35</v>
      </c>
      <c r="H356">
        <v>3</v>
      </c>
      <c r="I356">
        <v>1638</v>
      </c>
      <c r="J356">
        <v>306.29000000000002</v>
      </c>
    </row>
    <row r="357" spans="1:10" x14ac:dyDescent="0.25">
      <c r="A357" s="1">
        <v>45107</v>
      </c>
      <c r="B357" t="s">
        <v>49</v>
      </c>
      <c r="C357" t="s">
        <v>17</v>
      </c>
      <c r="D357" t="s">
        <v>12</v>
      </c>
      <c r="E357" t="s">
        <v>74</v>
      </c>
      <c r="F357" t="s">
        <v>23</v>
      </c>
      <c r="G357" t="s">
        <v>24</v>
      </c>
      <c r="H357">
        <v>7</v>
      </c>
      <c r="I357">
        <v>4746</v>
      </c>
      <c r="J357">
        <v>816.6</v>
      </c>
    </row>
    <row r="358" spans="1:10" x14ac:dyDescent="0.25">
      <c r="A358" s="1">
        <v>44958</v>
      </c>
      <c r="B358" t="s">
        <v>40</v>
      </c>
      <c r="C358" t="s">
        <v>19</v>
      </c>
      <c r="D358" t="s">
        <v>12</v>
      </c>
      <c r="E358" t="s">
        <v>52</v>
      </c>
      <c r="F358" t="s">
        <v>42</v>
      </c>
      <c r="G358" t="s">
        <v>28</v>
      </c>
      <c r="H358">
        <v>8</v>
      </c>
      <c r="I358">
        <v>4824</v>
      </c>
      <c r="J358">
        <v>1187.93</v>
      </c>
    </row>
    <row r="359" spans="1:10" x14ac:dyDescent="0.25">
      <c r="A359" s="1">
        <v>44690</v>
      </c>
      <c r="B359" t="s">
        <v>25</v>
      </c>
      <c r="C359" t="s">
        <v>19</v>
      </c>
      <c r="D359" t="s">
        <v>12</v>
      </c>
      <c r="E359" t="s">
        <v>52</v>
      </c>
      <c r="F359" t="s">
        <v>42</v>
      </c>
      <c r="G359" t="s">
        <v>28</v>
      </c>
      <c r="H359">
        <v>1</v>
      </c>
      <c r="I359">
        <v>1193</v>
      </c>
      <c r="J359">
        <v>153.72</v>
      </c>
    </row>
    <row r="360" spans="1:10" x14ac:dyDescent="0.25">
      <c r="A360" s="1">
        <v>45276</v>
      </c>
      <c r="B360" t="s">
        <v>55</v>
      </c>
      <c r="C360" t="s">
        <v>19</v>
      </c>
      <c r="D360" t="s">
        <v>12</v>
      </c>
      <c r="E360" t="s">
        <v>43</v>
      </c>
      <c r="F360" t="s">
        <v>44</v>
      </c>
      <c r="G360" t="s">
        <v>35</v>
      </c>
      <c r="H360">
        <v>2</v>
      </c>
      <c r="I360">
        <v>562</v>
      </c>
      <c r="J360">
        <v>92.94</v>
      </c>
    </row>
    <row r="361" spans="1:10" x14ac:dyDescent="0.25">
      <c r="A361" s="1">
        <v>44640</v>
      </c>
      <c r="B361" t="s">
        <v>40</v>
      </c>
      <c r="C361" t="s">
        <v>19</v>
      </c>
      <c r="D361" t="s">
        <v>12</v>
      </c>
      <c r="E361" t="s">
        <v>69</v>
      </c>
      <c r="F361" t="s">
        <v>63</v>
      </c>
      <c r="G361" t="s">
        <v>28</v>
      </c>
      <c r="H361">
        <v>8</v>
      </c>
      <c r="I361">
        <v>6200</v>
      </c>
      <c r="J361">
        <v>1296.8399999999999</v>
      </c>
    </row>
    <row r="362" spans="1:10" x14ac:dyDescent="0.25">
      <c r="A362" s="1">
        <v>45501</v>
      </c>
      <c r="B362" t="s">
        <v>10</v>
      </c>
      <c r="C362" t="s">
        <v>11</v>
      </c>
      <c r="D362" t="s">
        <v>12</v>
      </c>
      <c r="E362" t="s">
        <v>26</v>
      </c>
      <c r="F362" t="s">
        <v>27</v>
      </c>
      <c r="G362" t="s">
        <v>28</v>
      </c>
      <c r="H362">
        <v>8</v>
      </c>
      <c r="I362">
        <v>4128</v>
      </c>
      <c r="J362">
        <v>315.48</v>
      </c>
    </row>
    <row r="363" spans="1:10" x14ac:dyDescent="0.25">
      <c r="A363" s="1">
        <v>44648</v>
      </c>
      <c r="B363" t="s">
        <v>10</v>
      </c>
      <c r="C363" t="s">
        <v>11</v>
      </c>
      <c r="D363" t="s">
        <v>12</v>
      </c>
      <c r="E363" t="s">
        <v>66</v>
      </c>
      <c r="F363" t="s">
        <v>34</v>
      </c>
      <c r="G363" t="s">
        <v>35</v>
      </c>
      <c r="H363">
        <v>5</v>
      </c>
      <c r="I363">
        <v>5405</v>
      </c>
      <c r="J363">
        <v>326.56</v>
      </c>
    </row>
    <row r="364" spans="1:10" x14ac:dyDescent="0.25">
      <c r="A364" s="1">
        <v>45602</v>
      </c>
      <c r="B364" t="s">
        <v>55</v>
      </c>
      <c r="C364" t="s">
        <v>19</v>
      </c>
      <c r="D364" t="s">
        <v>12</v>
      </c>
      <c r="E364" t="s">
        <v>184</v>
      </c>
      <c r="F364" t="s">
        <v>23</v>
      </c>
      <c r="G364" t="s">
        <v>24</v>
      </c>
      <c r="H364">
        <v>3</v>
      </c>
      <c r="I364">
        <v>1371</v>
      </c>
      <c r="J364">
        <v>104.66</v>
      </c>
    </row>
    <row r="365" spans="1:10" x14ac:dyDescent="0.25">
      <c r="A365" s="1">
        <v>44927</v>
      </c>
      <c r="B365" t="s">
        <v>49</v>
      </c>
      <c r="C365" t="s">
        <v>17</v>
      </c>
      <c r="D365" t="s">
        <v>12</v>
      </c>
      <c r="E365" t="s">
        <v>105</v>
      </c>
      <c r="F365" t="s">
        <v>23</v>
      </c>
      <c r="G365" t="s">
        <v>24</v>
      </c>
      <c r="H365">
        <v>5</v>
      </c>
      <c r="I365">
        <v>1405</v>
      </c>
      <c r="J365">
        <v>194.33</v>
      </c>
    </row>
    <row r="366" spans="1:10" x14ac:dyDescent="0.25">
      <c r="A366" s="1">
        <v>45003</v>
      </c>
      <c r="B366" t="s">
        <v>49</v>
      </c>
      <c r="C366" t="s">
        <v>17</v>
      </c>
      <c r="D366" t="s">
        <v>12</v>
      </c>
      <c r="E366" t="s">
        <v>105</v>
      </c>
      <c r="F366" t="s">
        <v>23</v>
      </c>
      <c r="G366" t="s">
        <v>24</v>
      </c>
      <c r="H366">
        <v>3</v>
      </c>
      <c r="I366">
        <v>1644</v>
      </c>
      <c r="J366">
        <v>158.32</v>
      </c>
    </row>
    <row r="367" spans="1:10" x14ac:dyDescent="0.25">
      <c r="A367" s="1">
        <v>45553</v>
      </c>
      <c r="B367" t="s">
        <v>16</v>
      </c>
      <c r="C367" t="s">
        <v>17</v>
      </c>
      <c r="D367" t="s">
        <v>12</v>
      </c>
      <c r="E367" t="s">
        <v>185</v>
      </c>
      <c r="F367" t="s">
        <v>115</v>
      </c>
      <c r="G367" t="s">
        <v>15</v>
      </c>
      <c r="H367">
        <v>6</v>
      </c>
      <c r="I367">
        <v>3414</v>
      </c>
      <c r="J367">
        <v>396.92</v>
      </c>
    </row>
    <row r="368" spans="1:10" x14ac:dyDescent="0.25">
      <c r="A368" s="1">
        <v>45523</v>
      </c>
      <c r="B368" t="s">
        <v>55</v>
      </c>
      <c r="C368" t="s">
        <v>19</v>
      </c>
      <c r="D368" t="s">
        <v>12</v>
      </c>
      <c r="E368" t="s">
        <v>186</v>
      </c>
      <c r="F368" t="s">
        <v>65</v>
      </c>
      <c r="G368" t="s">
        <v>35</v>
      </c>
      <c r="H368">
        <v>8</v>
      </c>
      <c r="I368">
        <v>3272</v>
      </c>
      <c r="J368">
        <v>674.57</v>
      </c>
    </row>
    <row r="369" spans="1:10" x14ac:dyDescent="0.25">
      <c r="A369" s="1">
        <v>44730</v>
      </c>
      <c r="B369" t="s">
        <v>40</v>
      </c>
      <c r="C369" t="s">
        <v>19</v>
      </c>
      <c r="D369" t="s">
        <v>12</v>
      </c>
      <c r="E369" t="s">
        <v>187</v>
      </c>
      <c r="F369" t="s">
        <v>23</v>
      </c>
      <c r="G369" t="s">
        <v>24</v>
      </c>
      <c r="H369">
        <v>3</v>
      </c>
      <c r="I369">
        <v>2655</v>
      </c>
      <c r="J369">
        <v>646.91</v>
      </c>
    </row>
    <row r="370" spans="1:10" x14ac:dyDescent="0.25">
      <c r="A370" s="1">
        <v>44710</v>
      </c>
      <c r="B370" t="s">
        <v>32</v>
      </c>
      <c r="C370" t="s">
        <v>19</v>
      </c>
      <c r="D370" t="s">
        <v>12</v>
      </c>
      <c r="E370" t="s">
        <v>140</v>
      </c>
      <c r="F370" t="s">
        <v>57</v>
      </c>
      <c r="G370" t="s">
        <v>24</v>
      </c>
      <c r="H370">
        <v>7</v>
      </c>
      <c r="I370">
        <v>1673</v>
      </c>
      <c r="J370">
        <v>458.32</v>
      </c>
    </row>
    <row r="371" spans="1:10" x14ac:dyDescent="0.25">
      <c r="A371" s="1">
        <v>44721</v>
      </c>
      <c r="B371" t="s">
        <v>18</v>
      </c>
      <c r="C371" t="s">
        <v>19</v>
      </c>
      <c r="D371" t="s">
        <v>12</v>
      </c>
      <c r="E371" t="s">
        <v>43</v>
      </c>
      <c r="F371" t="s">
        <v>44</v>
      </c>
      <c r="G371" t="s">
        <v>35</v>
      </c>
      <c r="H371">
        <v>2</v>
      </c>
      <c r="I371">
        <v>846</v>
      </c>
      <c r="J371">
        <v>145.09</v>
      </c>
    </row>
    <row r="372" spans="1:10" x14ac:dyDescent="0.25">
      <c r="A372" s="1">
        <v>45049</v>
      </c>
      <c r="B372" t="s">
        <v>40</v>
      </c>
      <c r="C372" t="s">
        <v>19</v>
      </c>
      <c r="D372" t="s">
        <v>12</v>
      </c>
      <c r="E372" t="s">
        <v>154</v>
      </c>
      <c r="F372" t="s">
        <v>115</v>
      </c>
      <c r="G372" t="s">
        <v>15</v>
      </c>
      <c r="H372">
        <v>1</v>
      </c>
      <c r="I372">
        <v>985</v>
      </c>
      <c r="J372">
        <v>196.64</v>
      </c>
    </row>
    <row r="373" spans="1:10" x14ac:dyDescent="0.25">
      <c r="A373" s="1">
        <v>45247</v>
      </c>
      <c r="B373" t="s">
        <v>32</v>
      </c>
      <c r="C373" t="s">
        <v>19</v>
      </c>
      <c r="D373" t="s">
        <v>12</v>
      </c>
      <c r="E373" t="s">
        <v>62</v>
      </c>
      <c r="F373" t="s">
        <v>63</v>
      </c>
      <c r="G373" t="s">
        <v>28</v>
      </c>
      <c r="H373">
        <v>9</v>
      </c>
      <c r="I373">
        <v>7551</v>
      </c>
      <c r="J373">
        <v>894.4</v>
      </c>
    </row>
    <row r="374" spans="1:10" x14ac:dyDescent="0.25">
      <c r="A374" s="1">
        <v>44600</v>
      </c>
      <c r="B374" t="s">
        <v>18</v>
      </c>
      <c r="C374" t="s">
        <v>19</v>
      </c>
      <c r="D374" t="s">
        <v>12</v>
      </c>
      <c r="E374" t="s">
        <v>62</v>
      </c>
      <c r="F374" t="s">
        <v>63</v>
      </c>
      <c r="G374" t="s">
        <v>28</v>
      </c>
      <c r="H374">
        <v>5</v>
      </c>
      <c r="I374">
        <v>855</v>
      </c>
      <c r="J374">
        <v>217.16</v>
      </c>
    </row>
    <row r="375" spans="1:10" x14ac:dyDescent="0.25">
      <c r="A375" s="1">
        <v>45222</v>
      </c>
      <c r="B375" t="s">
        <v>25</v>
      </c>
      <c r="C375" t="s">
        <v>19</v>
      </c>
      <c r="D375" t="s">
        <v>12</v>
      </c>
      <c r="E375" t="s">
        <v>22</v>
      </c>
      <c r="F375" t="s">
        <v>23</v>
      </c>
      <c r="G375" t="s">
        <v>24</v>
      </c>
      <c r="H375">
        <v>2</v>
      </c>
      <c r="I375">
        <v>396</v>
      </c>
      <c r="J375">
        <v>94.55</v>
      </c>
    </row>
    <row r="376" spans="1:10" x14ac:dyDescent="0.25">
      <c r="A376" s="1">
        <v>44797</v>
      </c>
      <c r="B376" t="s">
        <v>18</v>
      </c>
      <c r="C376" t="s">
        <v>19</v>
      </c>
      <c r="D376" t="s">
        <v>12</v>
      </c>
      <c r="E376" t="s">
        <v>43</v>
      </c>
      <c r="F376" t="s">
        <v>44</v>
      </c>
      <c r="G376" t="s">
        <v>35</v>
      </c>
      <c r="H376">
        <v>8</v>
      </c>
      <c r="I376">
        <v>2296</v>
      </c>
      <c r="J376">
        <v>560.48</v>
      </c>
    </row>
    <row r="377" spans="1:10" x14ac:dyDescent="0.25">
      <c r="A377" s="1">
        <v>45421</v>
      </c>
      <c r="B377" t="s">
        <v>36</v>
      </c>
      <c r="C377" t="s">
        <v>17</v>
      </c>
      <c r="D377" t="s">
        <v>12</v>
      </c>
      <c r="E377" t="s">
        <v>43</v>
      </c>
      <c r="F377" t="s">
        <v>44</v>
      </c>
      <c r="G377" t="s">
        <v>35</v>
      </c>
      <c r="H377">
        <v>6</v>
      </c>
      <c r="I377">
        <v>1704</v>
      </c>
      <c r="J377">
        <v>199.94</v>
      </c>
    </row>
    <row r="378" spans="1:10" x14ac:dyDescent="0.25">
      <c r="A378" s="1">
        <v>44997</v>
      </c>
      <c r="B378" t="s">
        <v>40</v>
      </c>
      <c r="C378" t="s">
        <v>19</v>
      </c>
      <c r="D378" t="s">
        <v>12</v>
      </c>
      <c r="E378" t="s">
        <v>188</v>
      </c>
      <c r="F378" t="s">
        <v>189</v>
      </c>
      <c r="G378" t="s">
        <v>24</v>
      </c>
      <c r="H378">
        <v>2</v>
      </c>
      <c r="I378">
        <v>1180</v>
      </c>
      <c r="J378">
        <v>261.16000000000003</v>
      </c>
    </row>
    <row r="379" spans="1:10" x14ac:dyDescent="0.25">
      <c r="A379" s="1">
        <v>44839</v>
      </c>
      <c r="B379" t="s">
        <v>40</v>
      </c>
      <c r="C379" t="s">
        <v>19</v>
      </c>
      <c r="D379" t="s">
        <v>12</v>
      </c>
      <c r="E379" t="s">
        <v>188</v>
      </c>
      <c r="F379" t="s">
        <v>189</v>
      </c>
      <c r="G379" t="s">
        <v>24</v>
      </c>
      <c r="H379">
        <v>3</v>
      </c>
      <c r="I379">
        <v>411</v>
      </c>
      <c r="J379">
        <v>55.73</v>
      </c>
    </row>
    <row r="380" spans="1:10" x14ac:dyDescent="0.25">
      <c r="A380" s="1">
        <v>44580</v>
      </c>
      <c r="B380" t="s">
        <v>16</v>
      </c>
      <c r="C380" t="s">
        <v>17</v>
      </c>
      <c r="D380" t="s">
        <v>12</v>
      </c>
      <c r="E380" t="s">
        <v>190</v>
      </c>
      <c r="F380" t="s">
        <v>191</v>
      </c>
      <c r="G380" t="s">
        <v>35</v>
      </c>
      <c r="H380">
        <v>1</v>
      </c>
      <c r="I380">
        <v>745</v>
      </c>
      <c r="J380">
        <v>151.22</v>
      </c>
    </row>
    <row r="381" spans="1:10" x14ac:dyDescent="0.25">
      <c r="A381" s="1">
        <v>44690</v>
      </c>
      <c r="B381" t="s">
        <v>10</v>
      </c>
      <c r="C381" t="s">
        <v>11</v>
      </c>
      <c r="D381" t="s">
        <v>12</v>
      </c>
      <c r="E381" t="s">
        <v>148</v>
      </c>
      <c r="F381" t="s">
        <v>149</v>
      </c>
      <c r="G381" t="s">
        <v>15</v>
      </c>
      <c r="H381">
        <v>9</v>
      </c>
      <c r="I381">
        <v>10656</v>
      </c>
      <c r="J381">
        <v>961.3</v>
      </c>
    </row>
    <row r="382" spans="1:10" x14ac:dyDescent="0.25">
      <c r="A382" s="1">
        <v>45435</v>
      </c>
      <c r="B382" t="s">
        <v>16</v>
      </c>
      <c r="C382" t="s">
        <v>17</v>
      </c>
      <c r="D382" t="s">
        <v>12</v>
      </c>
      <c r="E382" t="s">
        <v>192</v>
      </c>
      <c r="F382" t="s">
        <v>149</v>
      </c>
      <c r="G382" t="s">
        <v>15</v>
      </c>
      <c r="H382">
        <v>3</v>
      </c>
      <c r="I382">
        <v>1494</v>
      </c>
      <c r="J382">
        <v>178.5</v>
      </c>
    </row>
    <row r="383" spans="1:10" x14ac:dyDescent="0.25">
      <c r="A383" s="1">
        <v>45484</v>
      </c>
      <c r="B383" t="s">
        <v>25</v>
      </c>
      <c r="C383" t="s">
        <v>19</v>
      </c>
      <c r="D383" t="s">
        <v>12</v>
      </c>
      <c r="E383" t="s">
        <v>193</v>
      </c>
      <c r="F383" t="s">
        <v>14</v>
      </c>
      <c r="G383" t="s">
        <v>15</v>
      </c>
      <c r="H383">
        <v>5</v>
      </c>
      <c r="I383">
        <v>1755</v>
      </c>
      <c r="J383">
        <v>358.01</v>
      </c>
    </row>
    <row r="384" spans="1:10" x14ac:dyDescent="0.25">
      <c r="A384" s="1">
        <v>44795</v>
      </c>
      <c r="B384" t="s">
        <v>25</v>
      </c>
      <c r="C384" t="s">
        <v>19</v>
      </c>
      <c r="D384" t="s">
        <v>12</v>
      </c>
      <c r="E384" t="s">
        <v>66</v>
      </c>
      <c r="F384" t="s">
        <v>34</v>
      </c>
      <c r="G384" t="s">
        <v>35</v>
      </c>
      <c r="H384">
        <v>9</v>
      </c>
      <c r="I384">
        <v>4941</v>
      </c>
      <c r="J384">
        <v>894.52</v>
      </c>
    </row>
    <row r="385" spans="1:10" x14ac:dyDescent="0.25">
      <c r="A385" s="1">
        <v>45599</v>
      </c>
      <c r="B385" t="s">
        <v>32</v>
      </c>
      <c r="C385" t="s">
        <v>19</v>
      </c>
      <c r="D385" t="s">
        <v>12</v>
      </c>
      <c r="E385" t="s">
        <v>57</v>
      </c>
      <c r="F385" t="s">
        <v>142</v>
      </c>
      <c r="G385" t="s">
        <v>28</v>
      </c>
      <c r="H385">
        <v>6</v>
      </c>
      <c r="I385">
        <v>6510</v>
      </c>
      <c r="J385">
        <v>1539.18</v>
      </c>
    </row>
    <row r="386" spans="1:10" x14ac:dyDescent="0.25">
      <c r="A386" s="1">
        <v>45576</v>
      </c>
      <c r="B386" t="s">
        <v>40</v>
      </c>
      <c r="C386" t="s">
        <v>19</v>
      </c>
      <c r="D386" t="s">
        <v>12</v>
      </c>
      <c r="E386" t="s">
        <v>22</v>
      </c>
      <c r="F386" t="s">
        <v>23</v>
      </c>
      <c r="G386" t="s">
        <v>24</v>
      </c>
      <c r="H386">
        <v>5</v>
      </c>
      <c r="I386">
        <v>5465</v>
      </c>
      <c r="J386">
        <v>719.92</v>
      </c>
    </row>
    <row r="387" spans="1:10" x14ac:dyDescent="0.25">
      <c r="A387" s="1">
        <v>45605</v>
      </c>
      <c r="B387" t="s">
        <v>18</v>
      </c>
      <c r="C387" t="s">
        <v>19</v>
      </c>
      <c r="D387" t="s">
        <v>12</v>
      </c>
      <c r="E387" t="s">
        <v>52</v>
      </c>
      <c r="F387" t="s">
        <v>42</v>
      </c>
      <c r="G387" t="s">
        <v>28</v>
      </c>
      <c r="H387">
        <v>3</v>
      </c>
      <c r="I387">
        <v>3522</v>
      </c>
      <c r="J387">
        <v>285.91000000000003</v>
      </c>
    </row>
    <row r="388" spans="1:10" x14ac:dyDescent="0.25">
      <c r="A388" s="1">
        <v>45383</v>
      </c>
      <c r="B388" t="s">
        <v>18</v>
      </c>
      <c r="C388" t="s">
        <v>19</v>
      </c>
      <c r="D388" t="s">
        <v>12</v>
      </c>
      <c r="E388" t="s">
        <v>53</v>
      </c>
      <c r="F388" t="s">
        <v>54</v>
      </c>
      <c r="G388" t="s">
        <v>24</v>
      </c>
      <c r="H388">
        <v>6</v>
      </c>
      <c r="I388">
        <v>1656</v>
      </c>
      <c r="J388">
        <v>139.86000000000001</v>
      </c>
    </row>
    <row r="389" spans="1:10" x14ac:dyDescent="0.25">
      <c r="A389" s="1">
        <v>44749</v>
      </c>
      <c r="B389" t="s">
        <v>10</v>
      </c>
      <c r="C389" t="s">
        <v>11</v>
      </c>
      <c r="D389" t="s">
        <v>12</v>
      </c>
      <c r="E389" t="s">
        <v>53</v>
      </c>
      <c r="F389" t="s">
        <v>54</v>
      </c>
      <c r="G389" t="s">
        <v>24</v>
      </c>
      <c r="H389">
        <v>5</v>
      </c>
      <c r="I389">
        <v>1255</v>
      </c>
      <c r="J389">
        <v>257.14999999999998</v>
      </c>
    </row>
    <row r="390" spans="1:10" x14ac:dyDescent="0.25">
      <c r="A390" s="1">
        <v>45087</v>
      </c>
      <c r="B390" t="s">
        <v>49</v>
      </c>
      <c r="C390" t="s">
        <v>17</v>
      </c>
      <c r="D390" t="s">
        <v>12</v>
      </c>
      <c r="E390" t="s">
        <v>13</v>
      </c>
      <c r="F390" t="s">
        <v>173</v>
      </c>
      <c r="G390" t="s">
        <v>24</v>
      </c>
      <c r="H390">
        <v>1</v>
      </c>
      <c r="I390">
        <v>1192</v>
      </c>
      <c r="J390">
        <v>320.13</v>
      </c>
    </row>
    <row r="391" spans="1:10" x14ac:dyDescent="0.25">
      <c r="A391" s="1">
        <v>45061</v>
      </c>
      <c r="B391" t="s">
        <v>18</v>
      </c>
      <c r="C391" t="s">
        <v>19</v>
      </c>
      <c r="D391" t="s">
        <v>12</v>
      </c>
      <c r="E391" t="s">
        <v>74</v>
      </c>
      <c r="F391" t="s">
        <v>23</v>
      </c>
      <c r="G391" t="s">
        <v>24</v>
      </c>
      <c r="H391">
        <v>5</v>
      </c>
      <c r="I391">
        <v>1925</v>
      </c>
      <c r="J391">
        <v>204.74</v>
      </c>
    </row>
    <row r="392" spans="1:10" x14ac:dyDescent="0.25">
      <c r="A392" s="1">
        <v>44720</v>
      </c>
      <c r="B392" t="s">
        <v>18</v>
      </c>
      <c r="C392" t="s">
        <v>19</v>
      </c>
      <c r="D392" t="s">
        <v>12</v>
      </c>
      <c r="E392" t="s">
        <v>74</v>
      </c>
      <c r="F392" t="s">
        <v>23</v>
      </c>
      <c r="G392" t="s">
        <v>24</v>
      </c>
      <c r="H392">
        <v>8</v>
      </c>
      <c r="I392">
        <v>1688</v>
      </c>
      <c r="J392">
        <v>337.33</v>
      </c>
    </row>
    <row r="393" spans="1:10" x14ac:dyDescent="0.25">
      <c r="A393" s="1">
        <v>45103</v>
      </c>
      <c r="B393" t="s">
        <v>29</v>
      </c>
      <c r="C393" t="s">
        <v>17</v>
      </c>
      <c r="D393" t="s">
        <v>12</v>
      </c>
      <c r="E393" t="s">
        <v>194</v>
      </c>
      <c r="F393" t="s">
        <v>57</v>
      </c>
      <c r="G393" t="s">
        <v>24</v>
      </c>
      <c r="H393">
        <v>1</v>
      </c>
      <c r="I393">
        <v>260</v>
      </c>
      <c r="J393">
        <v>16.809999999999999</v>
      </c>
    </row>
    <row r="394" spans="1:10" x14ac:dyDescent="0.25">
      <c r="A394" s="1">
        <v>44580</v>
      </c>
      <c r="B394" t="s">
        <v>36</v>
      </c>
      <c r="C394" t="s">
        <v>17</v>
      </c>
      <c r="D394" t="s">
        <v>12</v>
      </c>
      <c r="E394" t="s">
        <v>116</v>
      </c>
      <c r="F394" t="s">
        <v>42</v>
      </c>
      <c r="G394" t="s">
        <v>28</v>
      </c>
      <c r="H394">
        <v>5</v>
      </c>
      <c r="I394">
        <v>4880</v>
      </c>
      <c r="J394">
        <v>1250.6600000000001</v>
      </c>
    </row>
    <row r="395" spans="1:10" x14ac:dyDescent="0.25">
      <c r="A395" s="1">
        <v>45392</v>
      </c>
      <c r="B395" t="s">
        <v>49</v>
      </c>
      <c r="C395" t="s">
        <v>17</v>
      </c>
      <c r="D395" t="s">
        <v>12</v>
      </c>
      <c r="E395" t="s">
        <v>22</v>
      </c>
      <c r="F395" t="s">
        <v>23</v>
      </c>
      <c r="G395" t="s">
        <v>24</v>
      </c>
      <c r="H395">
        <v>7</v>
      </c>
      <c r="I395">
        <v>1134</v>
      </c>
      <c r="J395">
        <v>179.74</v>
      </c>
    </row>
    <row r="396" spans="1:10" x14ac:dyDescent="0.25">
      <c r="A396" s="1">
        <v>44722</v>
      </c>
      <c r="B396" t="s">
        <v>55</v>
      </c>
      <c r="C396" t="s">
        <v>19</v>
      </c>
      <c r="D396" t="s">
        <v>12</v>
      </c>
      <c r="E396" t="s">
        <v>52</v>
      </c>
      <c r="F396" t="s">
        <v>42</v>
      </c>
      <c r="G396" t="s">
        <v>28</v>
      </c>
      <c r="H396">
        <v>9</v>
      </c>
      <c r="I396">
        <v>9621</v>
      </c>
      <c r="J396">
        <v>1201.29</v>
      </c>
    </row>
    <row r="397" spans="1:10" x14ac:dyDescent="0.25">
      <c r="A397" s="1">
        <v>44960</v>
      </c>
      <c r="B397" t="s">
        <v>36</v>
      </c>
      <c r="C397" t="s">
        <v>17</v>
      </c>
      <c r="D397" t="s">
        <v>12</v>
      </c>
      <c r="E397" t="s">
        <v>74</v>
      </c>
      <c r="F397" t="s">
        <v>23</v>
      </c>
      <c r="G397" t="s">
        <v>24</v>
      </c>
      <c r="H397">
        <v>4</v>
      </c>
      <c r="I397">
        <v>2836</v>
      </c>
      <c r="J397">
        <v>698.83</v>
      </c>
    </row>
    <row r="398" spans="1:10" x14ac:dyDescent="0.25">
      <c r="A398" s="1">
        <v>45061</v>
      </c>
      <c r="B398" t="s">
        <v>10</v>
      </c>
      <c r="C398" t="s">
        <v>11</v>
      </c>
      <c r="D398" t="s">
        <v>12</v>
      </c>
      <c r="E398" t="s">
        <v>195</v>
      </c>
      <c r="F398" t="s">
        <v>63</v>
      </c>
      <c r="G398" t="s">
        <v>28</v>
      </c>
      <c r="H398">
        <v>9</v>
      </c>
      <c r="I398">
        <v>5859</v>
      </c>
      <c r="J398">
        <v>1153.8900000000001</v>
      </c>
    </row>
    <row r="399" spans="1:10" x14ac:dyDescent="0.25">
      <c r="A399" s="1">
        <v>44815</v>
      </c>
      <c r="B399" t="s">
        <v>32</v>
      </c>
      <c r="C399" t="s">
        <v>19</v>
      </c>
      <c r="D399" t="s">
        <v>12</v>
      </c>
      <c r="E399" t="s">
        <v>146</v>
      </c>
      <c r="F399" t="s">
        <v>21</v>
      </c>
      <c r="G399" t="s">
        <v>15</v>
      </c>
      <c r="H399">
        <v>2</v>
      </c>
      <c r="I399">
        <v>2044</v>
      </c>
      <c r="J399">
        <v>460.03</v>
      </c>
    </row>
    <row r="400" spans="1:10" x14ac:dyDescent="0.25">
      <c r="A400" s="1">
        <v>45108</v>
      </c>
      <c r="B400" t="s">
        <v>36</v>
      </c>
      <c r="C400" t="s">
        <v>17</v>
      </c>
      <c r="D400" t="s">
        <v>12</v>
      </c>
      <c r="E400" t="s">
        <v>132</v>
      </c>
      <c r="F400" t="s">
        <v>189</v>
      </c>
      <c r="G400" t="s">
        <v>24</v>
      </c>
      <c r="H400">
        <v>1</v>
      </c>
      <c r="I400">
        <v>612</v>
      </c>
      <c r="J400">
        <v>174.52</v>
      </c>
    </row>
    <row r="401" spans="1:10" x14ac:dyDescent="0.25">
      <c r="A401" s="1">
        <v>44610</v>
      </c>
      <c r="B401" t="s">
        <v>32</v>
      </c>
      <c r="C401" t="s">
        <v>19</v>
      </c>
      <c r="D401" t="s">
        <v>12</v>
      </c>
      <c r="E401" t="s">
        <v>22</v>
      </c>
      <c r="F401" t="s">
        <v>23</v>
      </c>
      <c r="G401" t="s">
        <v>24</v>
      </c>
      <c r="H401">
        <v>3</v>
      </c>
      <c r="I401">
        <v>1890</v>
      </c>
      <c r="J401">
        <v>492.31</v>
      </c>
    </row>
    <row r="402" spans="1:10" x14ac:dyDescent="0.25">
      <c r="A402" s="1">
        <v>45199</v>
      </c>
      <c r="B402" t="s">
        <v>32</v>
      </c>
      <c r="C402" t="s">
        <v>19</v>
      </c>
      <c r="D402" t="s">
        <v>12</v>
      </c>
      <c r="E402" t="s">
        <v>118</v>
      </c>
      <c r="F402" t="s">
        <v>42</v>
      </c>
      <c r="G402" t="s">
        <v>28</v>
      </c>
      <c r="H402">
        <v>5</v>
      </c>
      <c r="I402">
        <v>2025</v>
      </c>
      <c r="J402">
        <v>168.82</v>
      </c>
    </row>
    <row r="403" spans="1:10" x14ac:dyDescent="0.25">
      <c r="A403" s="1">
        <v>45173</v>
      </c>
      <c r="B403" t="s">
        <v>10</v>
      </c>
      <c r="C403" t="s">
        <v>11</v>
      </c>
      <c r="D403" t="s">
        <v>12</v>
      </c>
      <c r="E403" t="s">
        <v>177</v>
      </c>
      <c r="F403" t="s">
        <v>42</v>
      </c>
      <c r="G403" t="s">
        <v>28</v>
      </c>
      <c r="H403">
        <v>2</v>
      </c>
      <c r="I403">
        <v>1960</v>
      </c>
      <c r="J403">
        <v>312.06</v>
      </c>
    </row>
    <row r="404" spans="1:10" x14ac:dyDescent="0.25">
      <c r="A404" s="1">
        <v>44749</v>
      </c>
      <c r="B404" t="s">
        <v>25</v>
      </c>
      <c r="C404" t="s">
        <v>19</v>
      </c>
      <c r="D404" t="s">
        <v>12</v>
      </c>
      <c r="E404" t="s">
        <v>182</v>
      </c>
      <c r="F404" t="s">
        <v>183</v>
      </c>
      <c r="G404" t="s">
        <v>15</v>
      </c>
      <c r="H404">
        <v>6</v>
      </c>
      <c r="I404">
        <v>4410</v>
      </c>
      <c r="J404">
        <v>893.27</v>
      </c>
    </row>
    <row r="405" spans="1:10" x14ac:dyDescent="0.25">
      <c r="A405" s="1">
        <v>45487</v>
      </c>
      <c r="B405" t="s">
        <v>49</v>
      </c>
      <c r="C405" t="s">
        <v>17</v>
      </c>
      <c r="D405" t="s">
        <v>12</v>
      </c>
      <c r="E405" t="s">
        <v>182</v>
      </c>
      <c r="F405" t="s">
        <v>183</v>
      </c>
      <c r="G405" t="s">
        <v>15</v>
      </c>
      <c r="H405">
        <v>8</v>
      </c>
      <c r="I405">
        <v>8272</v>
      </c>
      <c r="J405">
        <v>2391.88</v>
      </c>
    </row>
    <row r="406" spans="1:10" x14ac:dyDescent="0.25">
      <c r="A406" s="1">
        <v>44831</v>
      </c>
      <c r="B406" t="s">
        <v>32</v>
      </c>
      <c r="C406" t="s">
        <v>19</v>
      </c>
      <c r="D406" t="s">
        <v>12</v>
      </c>
      <c r="E406" t="s">
        <v>74</v>
      </c>
      <c r="F406" t="s">
        <v>23</v>
      </c>
      <c r="G406" t="s">
        <v>24</v>
      </c>
      <c r="H406">
        <v>6</v>
      </c>
      <c r="I406">
        <v>5712</v>
      </c>
      <c r="J406">
        <v>638.29</v>
      </c>
    </row>
    <row r="407" spans="1:10" x14ac:dyDescent="0.25">
      <c r="A407" s="1">
        <v>45402</v>
      </c>
      <c r="B407" t="s">
        <v>32</v>
      </c>
      <c r="C407" t="s">
        <v>19</v>
      </c>
      <c r="D407" t="s">
        <v>12</v>
      </c>
      <c r="E407" t="s">
        <v>196</v>
      </c>
      <c r="F407" t="s">
        <v>54</v>
      </c>
      <c r="G407" t="s">
        <v>24</v>
      </c>
      <c r="H407">
        <v>6</v>
      </c>
      <c r="I407">
        <v>1524</v>
      </c>
      <c r="J407">
        <v>178.36</v>
      </c>
    </row>
    <row r="408" spans="1:10" x14ac:dyDescent="0.25">
      <c r="A408" s="1">
        <v>45436</v>
      </c>
      <c r="B408" t="s">
        <v>49</v>
      </c>
      <c r="C408" t="s">
        <v>17</v>
      </c>
      <c r="D408" t="s">
        <v>12</v>
      </c>
      <c r="E408" t="s">
        <v>52</v>
      </c>
      <c r="F408" t="s">
        <v>42</v>
      </c>
      <c r="G408" t="s">
        <v>28</v>
      </c>
      <c r="H408">
        <v>8</v>
      </c>
      <c r="I408">
        <v>5160</v>
      </c>
      <c r="J408">
        <v>1057.4100000000001</v>
      </c>
    </row>
    <row r="409" spans="1:10" x14ac:dyDescent="0.25">
      <c r="A409" s="1">
        <v>45655</v>
      </c>
      <c r="B409" t="s">
        <v>16</v>
      </c>
      <c r="C409" t="s">
        <v>17</v>
      </c>
      <c r="D409" t="s">
        <v>12</v>
      </c>
      <c r="E409" t="s">
        <v>52</v>
      </c>
      <c r="F409" t="s">
        <v>42</v>
      </c>
      <c r="G409" t="s">
        <v>28</v>
      </c>
      <c r="H409">
        <v>4</v>
      </c>
      <c r="I409">
        <v>2956</v>
      </c>
      <c r="J409">
        <v>451.6</v>
      </c>
    </row>
    <row r="410" spans="1:10" x14ac:dyDescent="0.25">
      <c r="A410" s="1">
        <v>45053</v>
      </c>
      <c r="B410" t="s">
        <v>40</v>
      </c>
      <c r="C410" t="s">
        <v>19</v>
      </c>
      <c r="D410" t="s">
        <v>12</v>
      </c>
      <c r="E410" t="s">
        <v>52</v>
      </c>
      <c r="F410" t="s">
        <v>42</v>
      </c>
      <c r="G410" t="s">
        <v>28</v>
      </c>
      <c r="H410">
        <v>8</v>
      </c>
      <c r="I410">
        <v>7944</v>
      </c>
      <c r="J410">
        <v>2257.73</v>
      </c>
    </row>
    <row r="411" spans="1:10" x14ac:dyDescent="0.25">
      <c r="A411" s="1">
        <v>45545</v>
      </c>
      <c r="B411" t="s">
        <v>25</v>
      </c>
      <c r="C411" t="s">
        <v>19</v>
      </c>
      <c r="D411" t="s">
        <v>12</v>
      </c>
      <c r="E411" t="s">
        <v>197</v>
      </c>
      <c r="F411" t="s">
        <v>168</v>
      </c>
      <c r="G411" t="s">
        <v>15</v>
      </c>
      <c r="H411">
        <v>5</v>
      </c>
      <c r="I411">
        <v>1815</v>
      </c>
      <c r="J411">
        <v>535.22</v>
      </c>
    </row>
    <row r="412" spans="1:10" x14ac:dyDescent="0.25">
      <c r="A412" s="1">
        <v>45006</v>
      </c>
      <c r="B412" t="s">
        <v>29</v>
      </c>
      <c r="C412" t="s">
        <v>17</v>
      </c>
      <c r="D412" t="s">
        <v>12</v>
      </c>
      <c r="E412" t="s">
        <v>171</v>
      </c>
      <c r="F412" t="s">
        <v>94</v>
      </c>
      <c r="G412" t="s">
        <v>24</v>
      </c>
      <c r="H412">
        <v>3</v>
      </c>
      <c r="I412">
        <v>2706</v>
      </c>
      <c r="J412">
        <v>546.97</v>
      </c>
    </row>
    <row r="413" spans="1:10" x14ac:dyDescent="0.25">
      <c r="A413" s="1">
        <v>45051</v>
      </c>
      <c r="B413" t="s">
        <v>55</v>
      </c>
      <c r="C413" t="s">
        <v>19</v>
      </c>
      <c r="D413" t="s">
        <v>12</v>
      </c>
      <c r="E413" t="s">
        <v>198</v>
      </c>
      <c r="F413" t="s">
        <v>23</v>
      </c>
      <c r="G413" t="s">
        <v>24</v>
      </c>
      <c r="H413">
        <v>2</v>
      </c>
      <c r="I413">
        <v>1356</v>
      </c>
      <c r="J413">
        <v>144.18</v>
      </c>
    </row>
    <row r="414" spans="1:10" x14ac:dyDescent="0.25">
      <c r="A414" s="1">
        <v>45134</v>
      </c>
      <c r="B414" t="s">
        <v>10</v>
      </c>
      <c r="C414" t="s">
        <v>11</v>
      </c>
      <c r="D414" t="s">
        <v>12</v>
      </c>
      <c r="E414" t="s">
        <v>132</v>
      </c>
      <c r="F414" t="s">
        <v>100</v>
      </c>
      <c r="G414" t="s">
        <v>35</v>
      </c>
      <c r="H414">
        <v>6</v>
      </c>
      <c r="I414">
        <v>6384</v>
      </c>
      <c r="J414">
        <v>1189.19</v>
      </c>
    </row>
    <row r="415" spans="1:10" x14ac:dyDescent="0.25">
      <c r="A415" s="1">
        <v>45090</v>
      </c>
      <c r="B415" t="s">
        <v>32</v>
      </c>
      <c r="C415" t="s">
        <v>19</v>
      </c>
      <c r="D415" t="s">
        <v>12</v>
      </c>
      <c r="E415" t="s">
        <v>37</v>
      </c>
      <c r="F415" t="s">
        <v>34</v>
      </c>
      <c r="G415" t="s">
        <v>35</v>
      </c>
      <c r="H415">
        <v>9</v>
      </c>
      <c r="I415">
        <v>4248</v>
      </c>
      <c r="J415">
        <v>964.12</v>
      </c>
    </row>
    <row r="416" spans="1:10" x14ac:dyDescent="0.25">
      <c r="A416" s="1">
        <v>45414</v>
      </c>
      <c r="B416" t="s">
        <v>36</v>
      </c>
      <c r="C416" t="s">
        <v>17</v>
      </c>
      <c r="D416" t="s">
        <v>12</v>
      </c>
      <c r="E416" t="s">
        <v>130</v>
      </c>
      <c r="F416" t="s">
        <v>14</v>
      </c>
      <c r="G416" t="s">
        <v>15</v>
      </c>
      <c r="H416">
        <v>6</v>
      </c>
      <c r="I416">
        <v>3954</v>
      </c>
      <c r="J416">
        <v>676.82</v>
      </c>
    </row>
    <row r="417" spans="1:10" x14ac:dyDescent="0.25">
      <c r="A417" s="1">
        <v>45403</v>
      </c>
      <c r="B417" t="s">
        <v>40</v>
      </c>
      <c r="C417" t="s">
        <v>19</v>
      </c>
      <c r="D417" t="s">
        <v>12</v>
      </c>
      <c r="E417" t="s">
        <v>43</v>
      </c>
      <c r="F417" t="s">
        <v>44</v>
      </c>
      <c r="G417" t="s">
        <v>35</v>
      </c>
      <c r="H417">
        <v>6</v>
      </c>
      <c r="I417">
        <v>7110</v>
      </c>
      <c r="J417">
        <v>739.6</v>
      </c>
    </row>
    <row r="418" spans="1:10" x14ac:dyDescent="0.25">
      <c r="A418" s="1">
        <v>45132</v>
      </c>
      <c r="B418" t="s">
        <v>29</v>
      </c>
      <c r="C418" t="s">
        <v>17</v>
      </c>
      <c r="D418" t="s">
        <v>12</v>
      </c>
      <c r="E418" t="s">
        <v>140</v>
      </c>
      <c r="F418" t="s">
        <v>168</v>
      </c>
      <c r="G418" t="s">
        <v>15</v>
      </c>
      <c r="H418">
        <v>7</v>
      </c>
      <c r="I418">
        <v>8113</v>
      </c>
      <c r="J418">
        <v>995.03</v>
      </c>
    </row>
    <row r="419" spans="1:10" x14ac:dyDescent="0.25">
      <c r="A419" s="1">
        <v>44952</v>
      </c>
      <c r="B419" t="s">
        <v>29</v>
      </c>
      <c r="C419" t="s">
        <v>17</v>
      </c>
      <c r="D419" t="s">
        <v>12</v>
      </c>
      <c r="E419" t="s">
        <v>199</v>
      </c>
      <c r="F419" t="s">
        <v>200</v>
      </c>
      <c r="G419" t="s">
        <v>28</v>
      </c>
      <c r="H419">
        <v>3</v>
      </c>
      <c r="I419">
        <v>1830</v>
      </c>
      <c r="J419">
        <v>183.62</v>
      </c>
    </row>
    <row r="420" spans="1:10" x14ac:dyDescent="0.25">
      <c r="A420" s="1">
        <v>44937</v>
      </c>
      <c r="B420" t="s">
        <v>49</v>
      </c>
      <c r="C420" t="s">
        <v>17</v>
      </c>
      <c r="D420" t="s">
        <v>12</v>
      </c>
      <c r="E420" t="s">
        <v>56</v>
      </c>
      <c r="F420" t="s">
        <v>57</v>
      </c>
      <c r="G420" t="s">
        <v>24</v>
      </c>
      <c r="H420">
        <v>4</v>
      </c>
      <c r="I420">
        <v>3732</v>
      </c>
      <c r="J420">
        <v>671.19</v>
      </c>
    </row>
    <row r="421" spans="1:10" x14ac:dyDescent="0.25">
      <c r="A421" s="1">
        <v>45562</v>
      </c>
      <c r="B421" t="s">
        <v>16</v>
      </c>
      <c r="C421" t="s">
        <v>17</v>
      </c>
      <c r="D421" t="s">
        <v>12</v>
      </c>
      <c r="E421" t="s">
        <v>134</v>
      </c>
      <c r="F421" t="s">
        <v>51</v>
      </c>
      <c r="G421" t="s">
        <v>35</v>
      </c>
      <c r="H421">
        <v>6</v>
      </c>
      <c r="I421">
        <v>4062</v>
      </c>
      <c r="J421">
        <v>1087.17</v>
      </c>
    </row>
    <row r="422" spans="1:10" x14ac:dyDescent="0.25">
      <c r="A422" s="1">
        <v>45629</v>
      </c>
      <c r="B422" t="s">
        <v>32</v>
      </c>
      <c r="C422" t="s">
        <v>19</v>
      </c>
      <c r="D422" t="s">
        <v>12</v>
      </c>
      <c r="E422" t="s">
        <v>179</v>
      </c>
      <c r="F422" t="s">
        <v>94</v>
      </c>
      <c r="G422" t="s">
        <v>24</v>
      </c>
      <c r="H422">
        <v>1</v>
      </c>
      <c r="I422">
        <v>496</v>
      </c>
      <c r="J422">
        <v>93.31</v>
      </c>
    </row>
    <row r="423" spans="1:10" x14ac:dyDescent="0.25">
      <c r="A423" s="1">
        <v>45162</v>
      </c>
      <c r="B423" t="s">
        <v>32</v>
      </c>
      <c r="C423" t="s">
        <v>19</v>
      </c>
      <c r="D423" t="s">
        <v>12</v>
      </c>
      <c r="E423" t="s">
        <v>26</v>
      </c>
      <c r="F423" t="s">
        <v>27</v>
      </c>
      <c r="G423" t="s">
        <v>28</v>
      </c>
      <c r="H423">
        <v>4</v>
      </c>
      <c r="I423">
        <v>1104</v>
      </c>
      <c r="J423">
        <v>84.31</v>
      </c>
    </row>
    <row r="424" spans="1:10" x14ac:dyDescent="0.25">
      <c r="A424" s="1">
        <v>45065</v>
      </c>
      <c r="B424" t="s">
        <v>40</v>
      </c>
      <c r="C424" t="s">
        <v>19</v>
      </c>
      <c r="D424" t="s">
        <v>12</v>
      </c>
      <c r="E424" t="s">
        <v>26</v>
      </c>
      <c r="F424" t="s">
        <v>27</v>
      </c>
      <c r="G424" t="s">
        <v>28</v>
      </c>
      <c r="H424">
        <v>3</v>
      </c>
      <c r="I424">
        <v>2274</v>
      </c>
      <c r="J424">
        <v>662</v>
      </c>
    </row>
    <row r="425" spans="1:10" x14ac:dyDescent="0.25">
      <c r="A425" s="1">
        <v>44725</v>
      </c>
      <c r="B425" t="s">
        <v>32</v>
      </c>
      <c r="C425" t="s">
        <v>19</v>
      </c>
      <c r="D425" t="s">
        <v>12</v>
      </c>
      <c r="E425" t="s">
        <v>26</v>
      </c>
      <c r="F425" t="s">
        <v>27</v>
      </c>
      <c r="G425" t="s">
        <v>28</v>
      </c>
      <c r="H425">
        <v>8</v>
      </c>
      <c r="I425">
        <v>4456</v>
      </c>
      <c r="J425">
        <v>1106.04</v>
      </c>
    </row>
    <row r="426" spans="1:10" x14ac:dyDescent="0.25">
      <c r="A426" s="1">
        <v>44799</v>
      </c>
      <c r="B426" t="s">
        <v>16</v>
      </c>
      <c r="C426" t="s">
        <v>17</v>
      </c>
      <c r="D426" t="s">
        <v>12</v>
      </c>
      <c r="E426" t="s">
        <v>104</v>
      </c>
      <c r="F426" t="s">
        <v>39</v>
      </c>
      <c r="G426" t="s">
        <v>35</v>
      </c>
      <c r="H426">
        <v>8</v>
      </c>
      <c r="I426">
        <v>4928</v>
      </c>
      <c r="J426">
        <v>1038.18</v>
      </c>
    </row>
    <row r="427" spans="1:10" x14ac:dyDescent="0.25">
      <c r="A427" s="1">
        <v>44948</v>
      </c>
      <c r="B427" t="s">
        <v>40</v>
      </c>
      <c r="C427" t="s">
        <v>19</v>
      </c>
      <c r="D427" t="s">
        <v>12</v>
      </c>
      <c r="E427" t="s">
        <v>70</v>
      </c>
      <c r="F427" t="s">
        <v>71</v>
      </c>
      <c r="G427" t="s">
        <v>35</v>
      </c>
      <c r="H427">
        <v>4</v>
      </c>
      <c r="I427">
        <v>1740</v>
      </c>
      <c r="J427">
        <v>224.79</v>
      </c>
    </row>
    <row r="428" spans="1:10" x14ac:dyDescent="0.25">
      <c r="A428" s="1">
        <v>44781</v>
      </c>
      <c r="B428" t="s">
        <v>29</v>
      </c>
      <c r="C428" t="s">
        <v>17</v>
      </c>
      <c r="D428" t="s">
        <v>12</v>
      </c>
      <c r="E428" t="s">
        <v>70</v>
      </c>
      <c r="F428" t="s">
        <v>71</v>
      </c>
      <c r="G428" t="s">
        <v>35</v>
      </c>
      <c r="H428">
        <v>2</v>
      </c>
      <c r="I428">
        <v>178</v>
      </c>
      <c r="J428">
        <v>31.46</v>
      </c>
    </row>
    <row r="429" spans="1:10" x14ac:dyDescent="0.25">
      <c r="A429" s="1">
        <v>45249</v>
      </c>
      <c r="B429" t="s">
        <v>10</v>
      </c>
      <c r="C429" t="s">
        <v>11</v>
      </c>
      <c r="D429" t="s">
        <v>12</v>
      </c>
      <c r="E429" t="s">
        <v>22</v>
      </c>
      <c r="F429" t="s">
        <v>23</v>
      </c>
      <c r="G429" t="s">
        <v>24</v>
      </c>
      <c r="H429">
        <v>8</v>
      </c>
      <c r="I429">
        <v>5296</v>
      </c>
      <c r="J429">
        <v>1234.81</v>
      </c>
    </row>
    <row r="430" spans="1:10" x14ac:dyDescent="0.25">
      <c r="A430" s="1">
        <v>45105</v>
      </c>
      <c r="B430" t="s">
        <v>16</v>
      </c>
      <c r="C430" t="s">
        <v>17</v>
      </c>
      <c r="D430" t="s">
        <v>12</v>
      </c>
      <c r="E430" t="s">
        <v>201</v>
      </c>
      <c r="F430" t="s">
        <v>23</v>
      </c>
      <c r="G430" t="s">
        <v>24</v>
      </c>
      <c r="H430">
        <v>4</v>
      </c>
      <c r="I430">
        <v>4156</v>
      </c>
      <c r="J430">
        <v>847.09</v>
      </c>
    </row>
    <row r="431" spans="1:10" x14ac:dyDescent="0.25">
      <c r="A431" s="1">
        <v>45574</v>
      </c>
      <c r="B431" t="s">
        <v>10</v>
      </c>
      <c r="C431" t="s">
        <v>11</v>
      </c>
      <c r="D431" t="s">
        <v>12</v>
      </c>
      <c r="E431" t="s">
        <v>202</v>
      </c>
      <c r="F431" t="s">
        <v>23</v>
      </c>
      <c r="G431" t="s">
        <v>24</v>
      </c>
      <c r="H431">
        <v>1</v>
      </c>
      <c r="I431">
        <v>624</v>
      </c>
      <c r="J431">
        <v>106.92</v>
      </c>
    </row>
    <row r="432" spans="1:10" x14ac:dyDescent="0.25">
      <c r="A432" s="1">
        <v>44808</v>
      </c>
      <c r="B432" t="s">
        <v>40</v>
      </c>
      <c r="C432" t="s">
        <v>19</v>
      </c>
      <c r="D432" t="s">
        <v>12</v>
      </c>
      <c r="E432" t="s">
        <v>74</v>
      </c>
      <c r="F432" t="s">
        <v>23</v>
      </c>
      <c r="G432" t="s">
        <v>24</v>
      </c>
      <c r="H432">
        <v>4</v>
      </c>
      <c r="I432">
        <v>3892</v>
      </c>
      <c r="J432">
        <v>1052.72</v>
      </c>
    </row>
    <row r="433" spans="1:10" x14ac:dyDescent="0.25">
      <c r="A433" s="1">
        <v>45491</v>
      </c>
      <c r="B433" t="s">
        <v>16</v>
      </c>
      <c r="C433" t="s">
        <v>17</v>
      </c>
      <c r="D433" t="s">
        <v>12</v>
      </c>
      <c r="E433" t="s">
        <v>93</v>
      </c>
      <c r="F433" t="s">
        <v>94</v>
      </c>
      <c r="G433" t="s">
        <v>24</v>
      </c>
      <c r="H433">
        <v>9</v>
      </c>
      <c r="I433">
        <v>1620</v>
      </c>
      <c r="J433">
        <v>294.60000000000002</v>
      </c>
    </row>
    <row r="434" spans="1:10" x14ac:dyDescent="0.25">
      <c r="A434" s="1">
        <v>44826</v>
      </c>
      <c r="B434" t="s">
        <v>16</v>
      </c>
      <c r="C434" t="s">
        <v>17</v>
      </c>
      <c r="D434" t="s">
        <v>12</v>
      </c>
      <c r="E434" t="s">
        <v>58</v>
      </c>
      <c r="F434" t="s">
        <v>59</v>
      </c>
      <c r="G434" t="s">
        <v>28</v>
      </c>
      <c r="H434">
        <v>3</v>
      </c>
      <c r="I434">
        <v>2250</v>
      </c>
      <c r="J434">
        <v>301.97000000000003</v>
      </c>
    </row>
    <row r="435" spans="1:10" x14ac:dyDescent="0.25">
      <c r="A435" s="1">
        <v>45504</v>
      </c>
      <c r="B435" t="s">
        <v>36</v>
      </c>
      <c r="C435" t="s">
        <v>17</v>
      </c>
      <c r="D435" t="s">
        <v>12</v>
      </c>
      <c r="E435" t="s">
        <v>203</v>
      </c>
      <c r="F435" t="s">
        <v>51</v>
      </c>
      <c r="G435" t="s">
        <v>35</v>
      </c>
      <c r="H435">
        <v>2</v>
      </c>
      <c r="I435">
        <v>1390</v>
      </c>
      <c r="J435">
        <v>316.31</v>
      </c>
    </row>
    <row r="436" spans="1:10" x14ac:dyDescent="0.25">
      <c r="A436" s="1">
        <v>45037</v>
      </c>
      <c r="B436" t="s">
        <v>25</v>
      </c>
      <c r="C436" t="s">
        <v>19</v>
      </c>
      <c r="D436" t="s">
        <v>12</v>
      </c>
      <c r="E436" t="s">
        <v>164</v>
      </c>
      <c r="F436" t="s">
        <v>94</v>
      </c>
      <c r="G436" t="s">
        <v>24</v>
      </c>
      <c r="H436">
        <v>5</v>
      </c>
      <c r="I436">
        <v>5155</v>
      </c>
      <c r="J436">
        <v>1325.16</v>
      </c>
    </row>
    <row r="437" spans="1:10" x14ac:dyDescent="0.25">
      <c r="A437" s="1">
        <v>44751</v>
      </c>
      <c r="B437" t="s">
        <v>32</v>
      </c>
      <c r="C437" t="s">
        <v>19</v>
      </c>
      <c r="D437" t="s">
        <v>12</v>
      </c>
      <c r="E437" t="s">
        <v>204</v>
      </c>
      <c r="F437" t="s">
        <v>23</v>
      </c>
      <c r="G437" t="s">
        <v>24</v>
      </c>
      <c r="H437">
        <v>5</v>
      </c>
      <c r="I437">
        <v>1025</v>
      </c>
      <c r="J437">
        <v>262.91000000000003</v>
      </c>
    </row>
    <row r="438" spans="1:10" x14ac:dyDescent="0.25">
      <c r="A438" s="1">
        <v>45504</v>
      </c>
      <c r="B438" t="s">
        <v>16</v>
      </c>
      <c r="C438" t="s">
        <v>17</v>
      </c>
      <c r="D438" t="s">
        <v>12</v>
      </c>
      <c r="E438" t="s">
        <v>204</v>
      </c>
      <c r="F438" t="s">
        <v>23</v>
      </c>
      <c r="G438" t="s">
        <v>24</v>
      </c>
      <c r="H438">
        <v>3</v>
      </c>
      <c r="I438">
        <v>1785</v>
      </c>
      <c r="J438">
        <v>244.52</v>
      </c>
    </row>
    <row r="439" spans="1:10" x14ac:dyDescent="0.25">
      <c r="A439" s="1">
        <v>44834</v>
      </c>
      <c r="B439" t="s">
        <v>32</v>
      </c>
      <c r="C439" t="s">
        <v>19</v>
      </c>
      <c r="D439" t="s">
        <v>12</v>
      </c>
      <c r="E439" t="s">
        <v>134</v>
      </c>
      <c r="F439" t="s">
        <v>42</v>
      </c>
      <c r="G439" t="s">
        <v>28</v>
      </c>
      <c r="H439">
        <v>9</v>
      </c>
      <c r="I439">
        <v>2952</v>
      </c>
      <c r="J439">
        <v>605.85</v>
      </c>
    </row>
    <row r="440" spans="1:10" x14ac:dyDescent="0.25">
      <c r="A440" s="1">
        <v>45651</v>
      </c>
      <c r="B440" t="s">
        <v>29</v>
      </c>
      <c r="C440" t="s">
        <v>17</v>
      </c>
      <c r="D440" t="s">
        <v>12</v>
      </c>
      <c r="E440" t="s">
        <v>205</v>
      </c>
      <c r="F440" t="s">
        <v>23</v>
      </c>
      <c r="G440" t="s">
        <v>24</v>
      </c>
      <c r="H440">
        <v>1</v>
      </c>
      <c r="I440">
        <v>773</v>
      </c>
      <c r="J440">
        <v>181.52</v>
      </c>
    </row>
    <row r="441" spans="1:10" x14ac:dyDescent="0.25">
      <c r="A441" s="1">
        <v>45015</v>
      </c>
      <c r="B441" t="s">
        <v>18</v>
      </c>
      <c r="C441" t="s">
        <v>19</v>
      </c>
      <c r="D441" t="s">
        <v>12</v>
      </c>
      <c r="E441" t="s">
        <v>206</v>
      </c>
      <c r="F441" t="s">
        <v>71</v>
      </c>
      <c r="G441" t="s">
        <v>35</v>
      </c>
      <c r="H441">
        <v>8</v>
      </c>
      <c r="I441">
        <v>1640</v>
      </c>
      <c r="J441">
        <v>361.48</v>
      </c>
    </row>
    <row r="442" spans="1:10" x14ac:dyDescent="0.25">
      <c r="A442" s="1">
        <v>45201</v>
      </c>
      <c r="B442" t="s">
        <v>49</v>
      </c>
      <c r="C442" t="s">
        <v>17</v>
      </c>
      <c r="D442" t="s">
        <v>12</v>
      </c>
      <c r="E442" t="s">
        <v>26</v>
      </c>
      <c r="F442" t="s">
        <v>27</v>
      </c>
      <c r="G442" t="s">
        <v>28</v>
      </c>
      <c r="H442">
        <v>1</v>
      </c>
      <c r="I442">
        <v>1017</v>
      </c>
      <c r="J442">
        <v>69.33</v>
      </c>
    </row>
    <row r="443" spans="1:10" x14ac:dyDescent="0.25">
      <c r="A443" s="1">
        <v>44704</v>
      </c>
      <c r="B443" t="s">
        <v>29</v>
      </c>
      <c r="C443" t="s">
        <v>17</v>
      </c>
      <c r="D443" t="s">
        <v>12</v>
      </c>
      <c r="E443" t="s">
        <v>117</v>
      </c>
      <c r="F443" t="s">
        <v>133</v>
      </c>
      <c r="G443" t="s">
        <v>28</v>
      </c>
      <c r="H443">
        <v>4</v>
      </c>
      <c r="I443">
        <v>1964</v>
      </c>
      <c r="J443">
        <v>349.91</v>
      </c>
    </row>
    <row r="444" spans="1:10" x14ac:dyDescent="0.25">
      <c r="A444" s="1">
        <v>45021</v>
      </c>
      <c r="B444" t="s">
        <v>16</v>
      </c>
      <c r="C444" t="s">
        <v>17</v>
      </c>
      <c r="D444" t="s">
        <v>12</v>
      </c>
      <c r="E444" t="s">
        <v>207</v>
      </c>
      <c r="F444" t="s">
        <v>34</v>
      </c>
      <c r="G444" t="s">
        <v>35</v>
      </c>
      <c r="H444">
        <v>3</v>
      </c>
      <c r="I444">
        <v>2994</v>
      </c>
      <c r="J444">
        <v>638.59</v>
      </c>
    </row>
    <row r="445" spans="1:10" x14ac:dyDescent="0.25">
      <c r="A445" s="1">
        <v>45207</v>
      </c>
      <c r="B445" t="s">
        <v>10</v>
      </c>
      <c r="C445" t="s">
        <v>11</v>
      </c>
      <c r="D445" t="s">
        <v>12</v>
      </c>
      <c r="E445" t="s">
        <v>116</v>
      </c>
      <c r="F445" t="s">
        <v>42</v>
      </c>
      <c r="G445" t="s">
        <v>28</v>
      </c>
      <c r="H445">
        <v>9</v>
      </c>
      <c r="I445">
        <v>8046</v>
      </c>
      <c r="J445">
        <v>2210.33</v>
      </c>
    </row>
    <row r="446" spans="1:10" x14ac:dyDescent="0.25">
      <c r="A446" s="1">
        <v>44703</v>
      </c>
      <c r="B446" t="s">
        <v>10</v>
      </c>
      <c r="C446" t="s">
        <v>11</v>
      </c>
      <c r="D446" t="s">
        <v>12</v>
      </c>
      <c r="E446" t="s">
        <v>208</v>
      </c>
      <c r="F446" t="s">
        <v>27</v>
      </c>
      <c r="G446" t="s">
        <v>28</v>
      </c>
      <c r="H446">
        <v>2</v>
      </c>
      <c r="I446">
        <v>1874</v>
      </c>
      <c r="J446">
        <v>271.5</v>
      </c>
    </row>
    <row r="447" spans="1:10" x14ac:dyDescent="0.25">
      <c r="A447" s="1">
        <v>45157</v>
      </c>
      <c r="B447" t="s">
        <v>16</v>
      </c>
      <c r="C447" t="s">
        <v>17</v>
      </c>
      <c r="D447" t="s">
        <v>12</v>
      </c>
      <c r="E447" t="s">
        <v>91</v>
      </c>
      <c r="F447" t="s">
        <v>23</v>
      </c>
      <c r="G447" t="s">
        <v>24</v>
      </c>
      <c r="H447">
        <v>8</v>
      </c>
      <c r="I447">
        <v>6008</v>
      </c>
      <c r="J447">
        <v>871.76</v>
      </c>
    </row>
    <row r="448" spans="1:10" x14ac:dyDescent="0.25">
      <c r="A448" s="1">
        <v>45175</v>
      </c>
      <c r="B448" t="s">
        <v>25</v>
      </c>
      <c r="C448" t="s">
        <v>19</v>
      </c>
      <c r="D448" t="s">
        <v>12</v>
      </c>
      <c r="E448" t="s">
        <v>209</v>
      </c>
      <c r="F448" t="s">
        <v>34</v>
      </c>
      <c r="G448" t="s">
        <v>35</v>
      </c>
      <c r="H448">
        <v>8</v>
      </c>
      <c r="I448">
        <v>7240</v>
      </c>
      <c r="J448">
        <v>411.19</v>
      </c>
    </row>
    <row r="449" spans="1:10" x14ac:dyDescent="0.25">
      <c r="A449" s="1">
        <v>45460</v>
      </c>
      <c r="B449" t="s">
        <v>36</v>
      </c>
      <c r="C449" t="s">
        <v>17</v>
      </c>
      <c r="D449" t="s">
        <v>12</v>
      </c>
      <c r="E449" t="s">
        <v>210</v>
      </c>
      <c r="F449" t="s">
        <v>34</v>
      </c>
      <c r="G449" t="s">
        <v>35</v>
      </c>
      <c r="H449">
        <v>9</v>
      </c>
      <c r="I449">
        <v>1188</v>
      </c>
      <c r="J449">
        <v>348.31</v>
      </c>
    </row>
    <row r="450" spans="1:10" x14ac:dyDescent="0.25">
      <c r="A450" s="1">
        <v>45648</v>
      </c>
      <c r="B450" t="s">
        <v>29</v>
      </c>
      <c r="C450" t="s">
        <v>17</v>
      </c>
      <c r="D450" t="s">
        <v>12</v>
      </c>
      <c r="E450" t="s">
        <v>211</v>
      </c>
      <c r="F450" t="s">
        <v>63</v>
      </c>
      <c r="G450" t="s">
        <v>28</v>
      </c>
      <c r="H450">
        <v>9</v>
      </c>
      <c r="I450">
        <v>2997</v>
      </c>
      <c r="J450">
        <v>163.34</v>
      </c>
    </row>
    <row r="451" spans="1:10" x14ac:dyDescent="0.25">
      <c r="A451" s="1">
        <v>44959</v>
      </c>
      <c r="B451" t="s">
        <v>10</v>
      </c>
      <c r="C451" t="s">
        <v>11</v>
      </c>
      <c r="D451" t="s">
        <v>12</v>
      </c>
      <c r="E451" t="s">
        <v>212</v>
      </c>
      <c r="F451" t="s">
        <v>34</v>
      </c>
      <c r="G451" t="s">
        <v>35</v>
      </c>
      <c r="H451">
        <v>9</v>
      </c>
      <c r="I451">
        <v>7524</v>
      </c>
      <c r="J451">
        <v>2017.85</v>
      </c>
    </row>
    <row r="452" spans="1:10" x14ac:dyDescent="0.25">
      <c r="A452" s="1">
        <v>44847</v>
      </c>
      <c r="B452" t="s">
        <v>36</v>
      </c>
      <c r="C452" t="s">
        <v>17</v>
      </c>
      <c r="D452" t="s">
        <v>12</v>
      </c>
      <c r="E452" t="s">
        <v>213</v>
      </c>
      <c r="F452" t="s">
        <v>34</v>
      </c>
      <c r="G452" t="s">
        <v>35</v>
      </c>
      <c r="H452">
        <v>5</v>
      </c>
      <c r="I452">
        <v>3625</v>
      </c>
      <c r="J452">
        <v>268.73</v>
      </c>
    </row>
    <row r="453" spans="1:10" x14ac:dyDescent="0.25">
      <c r="A453" s="1">
        <v>45382</v>
      </c>
      <c r="B453" t="s">
        <v>55</v>
      </c>
      <c r="C453" t="s">
        <v>19</v>
      </c>
      <c r="D453" t="s">
        <v>12</v>
      </c>
      <c r="E453" t="s">
        <v>52</v>
      </c>
      <c r="F453" t="s">
        <v>42</v>
      </c>
      <c r="G453" t="s">
        <v>28</v>
      </c>
      <c r="H453">
        <v>8</v>
      </c>
      <c r="I453">
        <v>6952</v>
      </c>
      <c r="J453">
        <v>871.2</v>
      </c>
    </row>
    <row r="454" spans="1:10" x14ac:dyDescent="0.25">
      <c r="A454" s="1">
        <v>45075</v>
      </c>
      <c r="B454" t="s">
        <v>25</v>
      </c>
      <c r="C454" t="s">
        <v>19</v>
      </c>
      <c r="D454" t="s">
        <v>12</v>
      </c>
      <c r="E454" t="s">
        <v>52</v>
      </c>
      <c r="F454" t="s">
        <v>42</v>
      </c>
      <c r="G454" t="s">
        <v>28</v>
      </c>
      <c r="H454">
        <v>9</v>
      </c>
      <c r="I454">
        <v>1053</v>
      </c>
      <c r="J454">
        <v>283.58</v>
      </c>
    </row>
    <row r="455" spans="1:10" x14ac:dyDescent="0.25">
      <c r="A455" s="1">
        <v>45647</v>
      </c>
      <c r="B455" t="s">
        <v>36</v>
      </c>
      <c r="C455" t="s">
        <v>17</v>
      </c>
      <c r="D455" t="s">
        <v>12</v>
      </c>
      <c r="E455" t="s">
        <v>75</v>
      </c>
      <c r="F455" t="s">
        <v>39</v>
      </c>
      <c r="G455" t="s">
        <v>35</v>
      </c>
      <c r="H455">
        <v>9</v>
      </c>
      <c r="I455">
        <v>6696</v>
      </c>
      <c r="J455">
        <v>1224.22</v>
      </c>
    </row>
    <row r="456" spans="1:10" x14ac:dyDescent="0.25">
      <c r="A456" s="1">
        <v>45574</v>
      </c>
      <c r="B456" t="s">
        <v>29</v>
      </c>
      <c r="C456" t="s">
        <v>17</v>
      </c>
      <c r="D456" t="s">
        <v>12</v>
      </c>
      <c r="E456" t="s">
        <v>214</v>
      </c>
      <c r="F456" t="s">
        <v>152</v>
      </c>
      <c r="G456" t="s">
        <v>15</v>
      </c>
      <c r="H456">
        <v>2</v>
      </c>
      <c r="I456">
        <v>1420</v>
      </c>
      <c r="J456">
        <v>93.59</v>
      </c>
    </row>
    <row r="457" spans="1:10" x14ac:dyDescent="0.25">
      <c r="A457" s="1">
        <v>45289</v>
      </c>
      <c r="B457" t="s">
        <v>25</v>
      </c>
      <c r="C457" t="s">
        <v>19</v>
      </c>
      <c r="D457" t="s">
        <v>12</v>
      </c>
      <c r="E457" t="s">
        <v>56</v>
      </c>
      <c r="F457" t="s">
        <v>57</v>
      </c>
      <c r="G457" t="s">
        <v>24</v>
      </c>
      <c r="H457">
        <v>9</v>
      </c>
      <c r="I457">
        <v>9972</v>
      </c>
      <c r="J457">
        <v>2566.0100000000002</v>
      </c>
    </row>
    <row r="458" spans="1:10" x14ac:dyDescent="0.25">
      <c r="A458" s="1">
        <v>44893</v>
      </c>
      <c r="B458" t="s">
        <v>55</v>
      </c>
      <c r="C458" t="s">
        <v>19</v>
      </c>
      <c r="D458" t="s">
        <v>12</v>
      </c>
      <c r="E458" t="s">
        <v>123</v>
      </c>
      <c r="F458" t="s">
        <v>27</v>
      </c>
      <c r="G458" t="s">
        <v>28</v>
      </c>
      <c r="H458">
        <v>8</v>
      </c>
      <c r="I458">
        <v>3136</v>
      </c>
      <c r="J458">
        <v>494.26</v>
      </c>
    </row>
    <row r="459" spans="1:10" x14ac:dyDescent="0.25">
      <c r="A459" s="1">
        <v>44967</v>
      </c>
      <c r="B459" t="s">
        <v>25</v>
      </c>
      <c r="C459" t="s">
        <v>19</v>
      </c>
      <c r="D459" t="s">
        <v>12</v>
      </c>
      <c r="E459" t="s">
        <v>52</v>
      </c>
      <c r="F459" t="s">
        <v>42</v>
      </c>
      <c r="G459" t="s">
        <v>28</v>
      </c>
      <c r="H459">
        <v>3</v>
      </c>
      <c r="I459">
        <v>225</v>
      </c>
      <c r="J459">
        <v>20.52</v>
      </c>
    </row>
    <row r="460" spans="1:10" x14ac:dyDescent="0.25">
      <c r="A460" s="1">
        <v>44693</v>
      </c>
      <c r="B460" t="s">
        <v>16</v>
      </c>
      <c r="C460" t="s">
        <v>17</v>
      </c>
      <c r="D460" t="s">
        <v>12</v>
      </c>
      <c r="E460" t="s">
        <v>187</v>
      </c>
      <c r="F460" t="s">
        <v>23</v>
      </c>
      <c r="G460" t="s">
        <v>24</v>
      </c>
      <c r="H460">
        <v>3</v>
      </c>
      <c r="I460">
        <v>1662</v>
      </c>
      <c r="J460">
        <v>375.04</v>
      </c>
    </row>
    <row r="461" spans="1:10" x14ac:dyDescent="0.25">
      <c r="A461" s="1">
        <v>45415</v>
      </c>
      <c r="B461" t="s">
        <v>10</v>
      </c>
      <c r="C461" t="s">
        <v>11</v>
      </c>
      <c r="D461" t="s">
        <v>12</v>
      </c>
      <c r="E461" t="s">
        <v>215</v>
      </c>
      <c r="F461" t="s">
        <v>63</v>
      </c>
      <c r="G461" t="s">
        <v>28</v>
      </c>
      <c r="H461">
        <v>4</v>
      </c>
      <c r="I461">
        <v>500</v>
      </c>
      <c r="J461">
        <v>85.96</v>
      </c>
    </row>
    <row r="462" spans="1:10" x14ac:dyDescent="0.25">
      <c r="A462" s="1">
        <v>44775</v>
      </c>
      <c r="B462" t="s">
        <v>40</v>
      </c>
      <c r="C462" t="s">
        <v>19</v>
      </c>
      <c r="D462" t="s">
        <v>12</v>
      </c>
      <c r="E462" t="s">
        <v>216</v>
      </c>
      <c r="F462" t="s">
        <v>54</v>
      </c>
      <c r="G462" t="s">
        <v>24</v>
      </c>
      <c r="H462">
        <v>8</v>
      </c>
      <c r="I462">
        <v>3168</v>
      </c>
      <c r="J462">
        <v>747.33</v>
      </c>
    </row>
    <row r="463" spans="1:10" x14ac:dyDescent="0.25">
      <c r="A463" s="1">
        <v>45291</v>
      </c>
      <c r="B463" t="s">
        <v>40</v>
      </c>
      <c r="C463" t="s">
        <v>19</v>
      </c>
      <c r="D463" t="s">
        <v>12</v>
      </c>
      <c r="E463" t="s">
        <v>52</v>
      </c>
      <c r="F463" t="s">
        <v>42</v>
      </c>
      <c r="G463" t="s">
        <v>28</v>
      </c>
      <c r="H463">
        <v>1</v>
      </c>
      <c r="I463">
        <v>622</v>
      </c>
      <c r="J463">
        <v>104.57</v>
      </c>
    </row>
    <row r="464" spans="1:10" x14ac:dyDescent="0.25">
      <c r="A464" s="1">
        <v>44654</v>
      </c>
      <c r="B464" t="s">
        <v>18</v>
      </c>
      <c r="C464" t="s">
        <v>19</v>
      </c>
      <c r="D464" t="s">
        <v>12</v>
      </c>
      <c r="E464" t="s">
        <v>161</v>
      </c>
      <c r="F464" t="s">
        <v>39</v>
      </c>
      <c r="G464" t="s">
        <v>35</v>
      </c>
      <c r="H464">
        <v>3</v>
      </c>
      <c r="I464">
        <v>1233</v>
      </c>
      <c r="J464">
        <v>361.12</v>
      </c>
    </row>
    <row r="465" spans="1:10" x14ac:dyDescent="0.25">
      <c r="A465" s="1">
        <v>45310</v>
      </c>
      <c r="B465" t="s">
        <v>55</v>
      </c>
      <c r="C465" t="s">
        <v>19</v>
      </c>
      <c r="D465" t="s">
        <v>12</v>
      </c>
      <c r="E465" t="s">
        <v>43</v>
      </c>
      <c r="F465" t="s">
        <v>44</v>
      </c>
      <c r="G465" t="s">
        <v>35</v>
      </c>
      <c r="H465">
        <v>3</v>
      </c>
      <c r="I465">
        <v>573</v>
      </c>
      <c r="J465">
        <v>116.14</v>
      </c>
    </row>
    <row r="466" spans="1:10" x14ac:dyDescent="0.25">
      <c r="A466" s="1">
        <v>44610</v>
      </c>
      <c r="B466" t="s">
        <v>18</v>
      </c>
      <c r="C466" t="s">
        <v>19</v>
      </c>
      <c r="D466" t="s">
        <v>12</v>
      </c>
      <c r="E466" t="s">
        <v>217</v>
      </c>
      <c r="F466" t="s">
        <v>218</v>
      </c>
      <c r="G466" t="s">
        <v>28</v>
      </c>
      <c r="H466">
        <v>1</v>
      </c>
      <c r="I466">
        <v>702</v>
      </c>
      <c r="J466">
        <v>129.34</v>
      </c>
    </row>
    <row r="467" spans="1:10" x14ac:dyDescent="0.25">
      <c r="A467" s="1">
        <v>45426</v>
      </c>
      <c r="B467" t="s">
        <v>55</v>
      </c>
      <c r="C467" t="s">
        <v>19</v>
      </c>
      <c r="D467" t="s">
        <v>12</v>
      </c>
      <c r="E467" t="s">
        <v>74</v>
      </c>
      <c r="F467" t="s">
        <v>23</v>
      </c>
      <c r="G467" t="s">
        <v>24</v>
      </c>
      <c r="H467">
        <v>8</v>
      </c>
      <c r="I467">
        <v>4832</v>
      </c>
      <c r="J467">
        <v>1261.06</v>
      </c>
    </row>
    <row r="468" spans="1:10" x14ac:dyDescent="0.25">
      <c r="A468" s="1">
        <v>44943</v>
      </c>
      <c r="B468" t="s">
        <v>10</v>
      </c>
      <c r="C468" t="s">
        <v>11</v>
      </c>
      <c r="D468" t="s">
        <v>12</v>
      </c>
      <c r="E468" t="s">
        <v>111</v>
      </c>
      <c r="F468" t="s">
        <v>115</v>
      </c>
      <c r="G468" t="s">
        <v>15</v>
      </c>
      <c r="H468">
        <v>5</v>
      </c>
      <c r="I468">
        <v>3765</v>
      </c>
      <c r="J468">
        <v>670.8</v>
      </c>
    </row>
    <row r="469" spans="1:10" x14ac:dyDescent="0.25">
      <c r="A469" s="1">
        <v>45417</v>
      </c>
      <c r="B469" t="s">
        <v>25</v>
      </c>
      <c r="C469" t="s">
        <v>19</v>
      </c>
      <c r="D469" t="s">
        <v>12</v>
      </c>
      <c r="E469" t="s">
        <v>74</v>
      </c>
      <c r="F469" t="s">
        <v>23</v>
      </c>
      <c r="G469" t="s">
        <v>24</v>
      </c>
      <c r="H469">
        <v>8</v>
      </c>
      <c r="I469">
        <v>6928</v>
      </c>
      <c r="J469">
        <v>1415.16</v>
      </c>
    </row>
    <row r="470" spans="1:10" x14ac:dyDescent="0.25">
      <c r="A470" s="1">
        <v>44958</v>
      </c>
      <c r="B470" t="s">
        <v>29</v>
      </c>
      <c r="C470" t="s">
        <v>17</v>
      </c>
      <c r="D470" t="s">
        <v>12</v>
      </c>
      <c r="E470" t="s">
        <v>22</v>
      </c>
      <c r="F470" t="s">
        <v>23</v>
      </c>
      <c r="G470" t="s">
        <v>24</v>
      </c>
      <c r="H470">
        <v>7</v>
      </c>
      <c r="I470">
        <v>1624</v>
      </c>
      <c r="J470">
        <v>436.13</v>
      </c>
    </row>
    <row r="471" spans="1:10" x14ac:dyDescent="0.25">
      <c r="A471" s="1">
        <v>45017</v>
      </c>
      <c r="B471" t="s">
        <v>29</v>
      </c>
      <c r="C471" t="s">
        <v>17</v>
      </c>
      <c r="D471" t="s">
        <v>12</v>
      </c>
      <c r="E471" t="s">
        <v>22</v>
      </c>
      <c r="F471" t="s">
        <v>23</v>
      </c>
      <c r="G471" t="s">
        <v>24</v>
      </c>
      <c r="H471">
        <v>1</v>
      </c>
      <c r="I471">
        <v>68</v>
      </c>
      <c r="J471">
        <v>10.39</v>
      </c>
    </row>
    <row r="472" spans="1:10" x14ac:dyDescent="0.25">
      <c r="A472" s="1">
        <v>45081</v>
      </c>
      <c r="B472" t="s">
        <v>16</v>
      </c>
      <c r="C472" t="s">
        <v>17</v>
      </c>
      <c r="D472" t="s">
        <v>12</v>
      </c>
      <c r="E472" t="s">
        <v>219</v>
      </c>
      <c r="F472" t="s">
        <v>88</v>
      </c>
      <c r="G472" t="s">
        <v>15</v>
      </c>
      <c r="H472">
        <v>1</v>
      </c>
      <c r="I472">
        <v>651</v>
      </c>
      <c r="J472">
        <v>187.99</v>
      </c>
    </row>
    <row r="473" spans="1:10" x14ac:dyDescent="0.25">
      <c r="A473" s="1">
        <v>45551</v>
      </c>
      <c r="B473" t="s">
        <v>10</v>
      </c>
      <c r="C473" t="s">
        <v>11</v>
      </c>
      <c r="D473" t="s">
        <v>12</v>
      </c>
      <c r="E473" t="s">
        <v>56</v>
      </c>
      <c r="F473" t="s">
        <v>57</v>
      </c>
      <c r="G473" t="s">
        <v>24</v>
      </c>
      <c r="H473">
        <v>7</v>
      </c>
      <c r="I473">
        <v>6293</v>
      </c>
      <c r="J473">
        <v>718.49</v>
      </c>
    </row>
    <row r="474" spans="1:10" x14ac:dyDescent="0.25">
      <c r="A474" s="1">
        <v>44973</v>
      </c>
      <c r="B474" t="s">
        <v>49</v>
      </c>
      <c r="C474" t="s">
        <v>17</v>
      </c>
      <c r="D474" t="s">
        <v>12</v>
      </c>
      <c r="E474" t="s">
        <v>56</v>
      </c>
      <c r="F474" t="s">
        <v>57</v>
      </c>
      <c r="G474" t="s">
        <v>24</v>
      </c>
      <c r="H474">
        <v>2</v>
      </c>
      <c r="I474">
        <v>1068</v>
      </c>
      <c r="J474">
        <v>85.71</v>
      </c>
    </row>
    <row r="475" spans="1:10" x14ac:dyDescent="0.25">
      <c r="A475" s="1">
        <v>45216</v>
      </c>
      <c r="B475" t="s">
        <v>49</v>
      </c>
      <c r="C475" t="s">
        <v>17</v>
      </c>
      <c r="D475" t="s">
        <v>12</v>
      </c>
      <c r="E475" t="s">
        <v>56</v>
      </c>
      <c r="F475" t="s">
        <v>57</v>
      </c>
      <c r="G475" t="s">
        <v>24</v>
      </c>
      <c r="H475">
        <v>1</v>
      </c>
      <c r="I475">
        <v>381</v>
      </c>
      <c r="J475">
        <v>26.69</v>
      </c>
    </row>
    <row r="476" spans="1:10" x14ac:dyDescent="0.25">
      <c r="A476" s="1">
        <v>44763</v>
      </c>
      <c r="B476" t="s">
        <v>10</v>
      </c>
      <c r="C476" t="s">
        <v>11</v>
      </c>
      <c r="D476" t="s">
        <v>12</v>
      </c>
      <c r="E476" t="s">
        <v>56</v>
      </c>
      <c r="F476" t="s">
        <v>57</v>
      </c>
      <c r="G476" t="s">
        <v>24</v>
      </c>
      <c r="H476">
        <v>2</v>
      </c>
      <c r="I476">
        <v>2016</v>
      </c>
      <c r="J476">
        <v>426.43</v>
      </c>
    </row>
    <row r="477" spans="1:10" x14ac:dyDescent="0.25">
      <c r="A477" s="1">
        <v>45332</v>
      </c>
      <c r="B477" t="s">
        <v>29</v>
      </c>
      <c r="C477" t="s">
        <v>17</v>
      </c>
      <c r="D477" t="s">
        <v>12</v>
      </c>
      <c r="E477" t="s">
        <v>75</v>
      </c>
      <c r="F477" t="s">
        <v>108</v>
      </c>
      <c r="G477" t="s">
        <v>15</v>
      </c>
      <c r="H477">
        <v>2</v>
      </c>
      <c r="I477">
        <v>1224</v>
      </c>
      <c r="J477">
        <v>340.67</v>
      </c>
    </row>
    <row r="478" spans="1:10" x14ac:dyDescent="0.25">
      <c r="A478" s="1">
        <v>44857</v>
      </c>
      <c r="B478" t="s">
        <v>36</v>
      </c>
      <c r="C478" t="s">
        <v>17</v>
      </c>
      <c r="D478" t="s">
        <v>12</v>
      </c>
      <c r="E478" t="s">
        <v>169</v>
      </c>
      <c r="F478" t="s">
        <v>83</v>
      </c>
      <c r="G478" t="s">
        <v>28</v>
      </c>
      <c r="H478">
        <v>5</v>
      </c>
      <c r="I478">
        <v>2180</v>
      </c>
      <c r="J478">
        <v>400.01</v>
      </c>
    </row>
    <row r="479" spans="1:10" x14ac:dyDescent="0.25">
      <c r="A479" s="1">
        <v>45547</v>
      </c>
      <c r="B479" t="s">
        <v>55</v>
      </c>
      <c r="C479" t="s">
        <v>19</v>
      </c>
      <c r="D479" t="s">
        <v>12</v>
      </c>
      <c r="E479" t="s">
        <v>52</v>
      </c>
      <c r="F479" t="s">
        <v>42</v>
      </c>
      <c r="G479" t="s">
        <v>28</v>
      </c>
      <c r="H479">
        <v>9</v>
      </c>
      <c r="I479">
        <v>2853</v>
      </c>
      <c r="J479">
        <v>353.09</v>
      </c>
    </row>
    <row r="480" spans="1:10" x14ac:dyDescent="0.25">
      <c r="A480" s="1">
        <v>44838</v>
      </c>
      <c r="B480" t="s">
        <v>16</v>
      </c>
      <c r="C480" t="s">
        <v>17</v>
      </c>
      <c r="D480" t="s">
        <v>12</v>
      </c>
      <c r="E480" t="s">
        <v>220</v>
      </c>
      <c r="F480" t="s">
        <v>108</v>
      </c>
      <c r="G480" t="s">
        <v>15</v>
      </c>
      <c r="H480">
        <v>1</v>
      </c>
      <c r="I480">
        <v>272</v>
      </c>
      <c r="J480">
        <v>45.33</v>
      </c>
    </row>
    <row r="481" spans="1:10" x14ac:dyDescent="0.25">
      <c r="A481" s="1">
        <v>44634</v>
      </c>
      <c r="B481" t="s">
        <v>40</v>
      </c>
      <c r="C481" t="s">
        <v>19</v>
      </c>
      <c r="D481" t="s">
        <v>12</v>
      </c>
      <c r="E481" t="s">
        <v>43</v>
      </c>
      <c r="F481" t="s">
        <v>44</v>
      </c>
      <c r="G481" t="s">
        <v>35</v>
      </c>
      <c r="H481">
        <v>4</v>
      </c>
      <c r="I481">
        <v>2640</v>
      </c>
      <c r="J481">
        <v>183.23</v>
      </c>
    </row>
    <row r="482" spans="1:10" x14ac:dyDescent="0.25">
      <c r="A482" s="1">
        <v>45408</v>
      </c>
      <c r="B482" t="s">
        <v>36</v>
      </c>
      <c r="C482" t="s">
        <v>17</v>
      </c>
      <c r="D482" t="s">
        <v>12</v>
      </c>
      <c r="E482" t="s">
        <v>179</v>
      </c>
      <c r="F482" t="s">
        <v>94</v>
      </c>
      <c r="G482" t="s">
        <v>24</v>
      </c>
      <c r="H482">
        <v>2</v>
      </c>
      <c r="I482">
        <v>488</v>
      </c>
      <c r="J482">
        <v>129.02000000000001</v>
      </c>
    </row>
    <row r="483" spans="1:10" x14ac:dyDescent="0.25">
      <c r="A483" s="1">
        <v>45240</v>
      </c>
      <c r="B483" t="s">
        <v>10</v>
      </c>
      <c r="C483" t="s">
        <v>11</v>
      </c>
      <c r="D483" t="s">
        <v>12</v>
      </c>
      <c r="E483" t="s">
        <v>221</v>
      </c>
      <c r="F483" t="s">
        <v>222</v>
      </c>
      <c r="G483" t="s">
        <v>35</v>
      </c>
      <c r="H483">
        <v>8</v>
      </c>
      <c r="I483">
        <v>9184</v>
      </c>
      <c r="J483">
        <v>1795.93</v>
      </c>
    </row>
    <row r="484" spans="1:10" x14ac:dyDescent="0.25">
      <c r="A484" s="1">
        <v>45394</v>
      </c>
      <c r="B484" t="s">
        <v>18</v>
      </c>
      <c r="C484" t="s">
        <v>19</v>
      </c>
      <c r="D484" t="s">
        <v>12</v>
      </c>
      <c r="E484" t="s">
        <v>52</v>
      </c>
      <c r="F484" t="s">
        <v>42</v>
      </c>
      <c r="G484" t="s">
        <v>28</v>
      </c>
      <c r="H484">
        <v>5</v>
      </c>
      <c r="I484">
        <v>280</v>
      </c>
      <c r="J484">
        <v>23.98</v>
      </c>
    </row>
    <row r="485" spans="1:10" x14ac:dyDescent="0.25">
      <c r="A485" s="1">
        <v>45568</v>
      </c>
      <c r="B485" t="s">
        <v>49</v>
      </c>
      <c r="C485" t="s">
        <v>17</v>
      </c>
      <c r="D485" t="s">
        <v>12</v>
      </c>
      <c r="E485" t="s">
        <v>26</v>
      </c>
      <c r="F485" t="s">
        <v>27</v>
      </c>
      <c r="G485" t="s">
        <v>28</v>
      </c>
      <c r="H485">
        <v>3</v>
      </c>
      <c r="I485">
        <v>2889</v>
      </c>
      <c r="J485">
        <v>604.45000000000005</v>
      </c>
    </row>
    <row r="486" spans="1:10" x14ac:dyDescent="0.25">
      <c r="A486" s="1">
        <v>45491</v>
      </c>
      <c r="B486" t="s">
        <v>55</v>
      </c>
      <c r="C486" t="s">
        <v>19</v>
      </c>
      <c r="D486" t="s">
        <v>12</v>
      </c>
      <c r="E486" t="s">
        <v>64</v>
      </c>
      <c r="F486" t="s">
        <v>84</v>
      </c>
      <c r="G486" t="s">
        <v>28</v>
      </c>
      <c r="H486">
        <v>1</v>
      </c>
      <c r="I486">
        <v>625</v>
      </c>
      <c r="J486">
        <v>125.9</v>
      </c>
    </row>
    <row r="487" spans="1:10" x14ac:dyDescent="0.25">
      <c r="A487" s="1">
        <v>45398</v>
      </c>
      <c r="B487" t="s">
        <v>49</v>
      </c>
      <c r="C487" t="s">
        <v>17</v>
      </c>
      <c r="D487" t="s">
        <v>12</v>
      </c>
      <c r="E487" t="s">
        <v>66</v>
      </c>
      <c r="F487" t="s">
        <v>34</v>
      </c>
      <c r="G487" t="s">
        <v>35</v>
      </c>
      <c r="H487">
        <v>8</v>
      </c>
      <c r="I487">
        <v>7056</v>
      </c>
      <c r="J487">
        <v>538.48</v>
      </c>
    </row>
    <row r="488" spans="1:10" x14ac:dyDescent="0.25">
      <c r="A488" s="1">
        <v>45118</v>
      </c>
      <c r="B488" t="s">
        <v>18</v>
      </c>
      <c r="C488" t="s">
        <v>19</v>
      </c>
      <c r="D488" t="s">
        <v>12</v>
      </c>
      <c r="E488" t="s">
        <v>74</v>
      </c>
      <c r="F488" t="s">
        <v>23</v>
      </c>
      <c r="G488" t="s">
        <v>24</v>
      </c>
      <c r="H488">
        <v>8</v>
      </c>
      <c r="I488">
        <v>3936</v>
      </c>
      <c r="J488">
        <v>720.2</v>
      </c>
    </row>
    <row r="489" spans="1:10" x14ac:dyDescent="0.25">
      <c r="A489" s="1">
        <v>44823</v>
      </c>
      <c r="B489" t="s">
        <v>32</v>
      </c>
      <c r="C489" t="s">
        <v>19</v>
      </c>
      <c r="D489" t="s">
        <v>12</v>
      </c>
      <c r="E489" t="s">
        <v>52</v>
      </c>
      <c r="F489" t="s">
        <v>42</v>
      </c>
      <c r="G489" t="s">
        <v>28</v>
      </c>
      <c r="H489">
        <v>6</v>
      </c>
      <c r="I489">
        <v>2472</v>
      </c>
      <c r="J489">
        <v>363.38</v>
      </c>
    </row>
    <row r="490" spans="1:10" x14ac:dyDescent="0.25">
      <c r="A490" s="1">
        <v>44731</v>
      </c>
      <c r="B490" t="s">
        <v>16</v>
      </c>
      <c r="C490" t="s">
        <v>17</v>
      </c>
      <c r="D490" t="s">
        <v>12</v>
      </c>
      <c r="E490" t="s">
        <v>52</v>
      </c>
      <c r="F490" t="s">
        <v>42</v>
      </c>
      <c r="G490" t="s">
        <v>28</v>
      </c>
      <c r="H490">
        <v>5</v>
      </c>
      <c r="I490">
        <v>855</v>
      </c>
      <c r="J490">
        <v>67.569999999999993</v>
      </c>
    </row>
    <row r="491" spans="1:10" x14ac:dyDescent="0.25">
      <c r="A491" s="1">
        <v>45347</v>
      </c>
      <c r="B491" t="s">
        <v>16</v>
      </c>
      <c r="C491" t="s">
        <v>17</v>
      </c>
      <c r="D491" t="s">
        <v>12</v>
      </c>
      <c r="E491" t="s">
        <v>52</v>
      </c>
      <c r="F491" t="s">
        <v>42</v>
      </c>
      <c r="G491" t="s">
        <v>28</v>
      </c>
      <c r="H491">
        <v>3</v>
      </c>
      <c r="I491">
        <v>3480</v>
      </c>
      <c r="J491">
        <v>560.39</v>
      </c>
    </row>
    <row r="492" spans="1:10" x14ac:dyDescent="0.25">
      <c r="A492" s="1">
        <v>44992</v>
      </c>
      <c r="B492" t="s">
        <v>25</v>
      </c>
      <c r="C492" t="s">
        <v>19</v>
      </c>
      <c r="D492" t="s">
        <v>12</v>
      </c>
      <c r="E492" t="s">
        <v>114</v>
      </c>
      <c r="F492" t="s">
        <v>115</v>
      </c>
      <c r="G492" t="s">
        <v>15</v>
      </c>
      <c r="H492">
        <v>1</v>
      </c>
      <c r="I492">
        <v>846</v>
      </c>
      <c r="J492">
        <v>103.3</v>
      </c>
    </row>
    <row r="493" spans="1:10" x14ac:dyDescent="0.25">
      <c r="A493" s="1">
        <v>44629</v>
      </c>
      <c r="B493" t="s">
        <v>49</v>
      </c>
      <c r="C493" t="s">
        <v>17</v>
      </c>
      <c r="D493" t="s">
        <v>12</v>
      </c>
      <c r="E493" t="s">
        <v>223</v>
      </c>
      <c r="F493" t="s">
        <v>23</v>
      </c>
      <c r="G493" t="s">
        <v>24</v>
      </c>
      <c r="H493">
        <v>1</v>
      </c>
      <c r="I493">
        <v>158</v>
      </c>
      <c r="J493">
        <v>46.24</v>
      </c>
    </row>
    <row r="494" spans="1:10" x14ac:dyDescent="0.25">
      <c r="A494" s="1">
        <v>44926</v>
      </c>
      <c r="B494" t="s">
        <v>16</v>
      </c>
      <c r="C494" t="s">
        <v>17</v>
      </c>
      <c r="D494" t="s">
        <v>12</v>
      </c>
      <c r="E494" t="s">
        <v>195</v>
      </c>
      <c r="F494" t="s">
        <v>63</v>
      </c>
      <c r="G494" t="s">
        <v>28</v>
      </c>
      <c r="H494">
        <v>9</v>
      </c>
      <c r="I494">
        <v>3186</v>
      </c>
      <c r="J494">
        <v>583.24</v>
      </c>
    </row>
    <row r="495" spans="1:10" x14ac:dyDescent="0.25">
      <c r="A495" s="1">
        <v>45323</v>
      </c>
      <c r="B495" t="s">
        <v>16</v>
      </c>
      <c r="C495" t="s">
        <v>17</v>
      </c>
      <c r="D495" t="s">
        <v>12</v>
      </c>
      <c r="E495" t="s">
        <v>53</v>
      </c>
      <c r="F495" t="s">
        <v>44</v>
      </c>
      <c r="G495" t="s">
        <v>35</v>
      </c>
      <c r="H495">
        <v>7</v>
      </c>
      <c r="I495">
        <v>6972</v>
      </c>
      <c r="J495">
        <v>969.43</v>
      </c>
    </row>
    <row r="496" spans="1:10" x14ac:dyDescent="0.25">
      <c r="A496" s="1">
        <v>45397</v>
      </c>
      <c r="B496" t="s">
        <v>16</v>
      </c>
      <c r="C496" t="s">
        <v>17</v>
      </c>
      <c r="D496" t="s">
        <v>12</v>
      </c>
      <c r="E496" t="s">
        <v>53</v>
      </c>
      <c r="F496" t="s">
        <v>44</v>
      </c>
      <c r="G496" t="s">
        <v>35</v>
      </c>
      <c r="H496">
        <v>5</v>
      </c>
      <c r="I496">
        <v>1745</v>
      </c>
      <c r="J496">
        <v>449.64</v>
      </c>
    </row>
    <row r="497" spans="1:10" x14ac:dyDescent="0.25">
      <c r="A497" s="1">
        <v>45427</v>
      </c>
      <c r="B497" t="s">
        <v>55</v>
      </c>
      <c r="C497" t="s">
        <v>19</v>
      </c>
      <c r="D497" t="s">
        <v>12</v>
      </c>
      <c r="E497" t="s">
        <v>131</v>
      </c>
      <c r="F497" t="s">
        <v>63</v>
      </c>
      <c r="G497" t="s">
        <v>28</v>
      </c>
      <c r="H497">
        <v>8</v>
      </c>
      <c r="I497">
        <v>4256</v>
      </c>
      <c r="J497">
        <v>372.95</v>
      </c>
    </row>
    <row r="498" spans="1:10" x14ac:dyDescent="0.25">
      <c r="A498" s="1">
        <v>44665</v>
      </c>
      <c r="B498" t="s">
        <v>49</v>
      </c>
      <c r="C498" t="s">
        <v>17</v>
      </c>
      <c r="D498" t="s">
        <v>12</v>
      </c>
      <c r="E498" t="s">
        <v>52</v>
      </c>
      <c r="F498" t="s">
        <v>42</v>
      </c>
      <c r="G498" t="s">
        <v>28</v>
      </c>
      <c r="H498">
        <v>3</v>
      </c>
      <c r="I498">
        <v>1674</v>
      </c>
      <c r="J498">
        <v>499.63</v>
      </c>
    </row>
    <row r="499" spans="1:10" x14ac:dyDescent="0.25">
      <c r="A499" s="1">
        <v>45560</v>
      </c>
      <c r="B499" t="s">
        <v>25</v>
      </c>
      <c r="C499" t="s">
        <v>19</v>
      </c>
      <c r="D499" t="s">
        <v>12</v>
      </c>
      <c r="E499" t="s">
        <v>224</v>
      </c>
      <c r="F499" t="s">
        <v>34</v>
      </c>
      <c r="G499" t="s">
        <v>35</v>
      </c>
      <c r="H499">
        <v>8</v>
      </c>
      <c r="I499">
        <v>6488</v>
      </c>
      <c r="J499">
        <v>1072.8599999999999</v>
      </c>
    </row>
    <row r="500" spans="1:10" x14ac:dyDescent="0.25">
      <c r="A500" s="1">
        <v>44625</v>
      </c>
      <c r="B500" t="s">
        <v>18</v>
      </c>
      <c r="C500" t="s">
        <v>19</v>
      </c>
      <c r="D500" t="s">
        <v>12</v>
      </c>
      <c r="E500" t="s">
        <v>74</v>
      </c>
      <c r="F500" t="s">
        <v>23</v>
      </c>
      <c r="G500" t="s">
        <v>24</v>
      </c>
      <c r="H500">
        <v>5</v>
      </c>
      <c r="I500">
        <v>3530</v>
      </c>
      <c r="J500">
        <v>803.86</v>
      </c>
    </row>
    <row r="501" spans="1:10" x14ac:dyDescent="0.25">
      <c r="A501" s="1">
        <v>44807</v>
      </c>
      <c r="B501" t="s">
        <v>16</v>
      </c>
      <c r="C501" t="s">
        <v>17</v>
      </c>
      <c r="D501" t="s">
        <v>12</v>
      </c>
      <c r="E501" t="s">
        <v>22</v>
      </c>
      <c r="F501" t="s">
        <v>23</v>
      </c>
      <c r="G501" t="s">
        <v>24</v>
      </c>
      <c r="H501">
        <v>2</v>
      </c>
      <c r="I501">
        <v>632</v>
      </c>
      <c r="J501">
        <v>87.45</v>
      </c>
    </row>
    <row r="502" spans="1:10" x14ac:dyDescent="0.25">
      <c r="A502" s="1">
        <v>45605</v>
      </c>
      <c r="B502" t="s">
        <v>36</v>
      </c>
      <c r="C502" t="s">
        <v>17</v>
      </c>
      <c r="D502" t="s">
        <v>12</v>
      </c>
      <c r="E502" t="s">
        <v>136</v>
      </c>
      <c r="F502" t="s">
        <v>65</v>
      </c>
      <c r="G502" t="s">
        <v>35</v>
      </c>
      <c r="H502">
        <v>7</v>
      </c>
      <c r="I502">
        <v>3675</v>
      </c>
      <c r="J502">
        <v>236.8</v>
      </c>
    </row>
    <row r="503" spans="1:10" x14ac:dyDescent="0.25">
      <c r="A503" s="1">
        <v>45181</v>
      </c>
      <c r="B503" t="s">
        <v>32</v>
      </c>
      <c r="C503" t="s">
        <v>19</v>
      </c>
      <c r="D503" t="s">
        <v>12</v>
      </c>
      <c r="E503" t="s">
        <v>225</v>
      </c>
      <c r="F503" t="s">
        <v>84</v>
      </c>
      <c r="G503" t="s">
        <v>28</v>
      </c>
      <c r="H503">
        <v>6</v>
      </c>
      <c r="I503">
        <v>5592</v>
      </c>
      <c r="J503">
        <v>926.42</v>
      </c>
    </row>
    <row r="504" spans="1:10" x14ac:dyDescent="0.25">
      <c r="A504" s="1">
        <v>44968</v>
      </c>
      <c r="B504" t="s">
        <v>49</v>
      </c>
      <c r="C504" t="s">
        <v>17</v>
      </c>
      <c r="D504" t="s">
        <v>12</v>
      </c>
      <c r="E504" t="s">
        <v>195</v>
      </c>
      <c r="F504" t="s">
        <v>63</v>
      </c>
      <c r="G504" t="s">
        <v>28</v>
      </c>
      <c r="H504">
        <v>6</v>
      </c>
      <c r="I504">
        <v>6432</v>
      </c>
      <c r="J504">
        <v>807.94</v>
      </c>
    </row>
    <row r="505" spans="1:10" x14ac:dyDescent="0.25">
      <c r="A505" s="1">
        <v>45165</v>
      </c>
      <c r="B505" t="s">
        <v>25</v>
      </c>
      <c r="C505" t="s">
        <v>19</v>
      </c>
      <c r="D505" t="s">
        <v>12</v>
      </c>
      <c r="E505" t="s">
        <v>111</v>
      </c>
      <c r="F505" t="s">
        <v>34</v>
      </c>
      <c r="G505" t="s">
        <v>35</v>
      </c>
      <c r="H505">
        <v>3</v>
      </c>
      <c r="I505">
        <v>3069</v>
      </c>
      <c r="J505">
        <v>503.3</v>
      </c>
    </row>
    <row r="506" spans="1:10" x14ac:dyDescent="0.25">
      <c r="A506" s="1">
        <v>45072</v>
      </c>
      <c r="B506" t="s">
        <v>49</v>
      </c>
      <c r="C506" t="s">
        <v>17</v>
      </c>
      <c r="D506" t="s">
        <v>12</v>
      </c>
      <c r="E506" t="s">
        <v>56</v>
      </c>
      <c r="F506" t="s">
        <v>57</v>
      </c>
      <c r="G506" t="s">
        <v>24</v>
      </c>
      <c r="H506">
        <v>7</v>
      </c>
      <c r="I506">
        <v>2898</v>
      </c>
      <c r="J506">
        <v>490.11</v>
      </c>
    </row>
    <row r="507" spans="1:10" x14ac:dyDescent="0.25">
      <c r="A507" s="1">
        <v>45442</v>
      </c>
      <c r="B507" t="s">
        <v>18</v>
      </c>
      <c r="C507" t="s">
        <v>19</v>
      </c>
      <c r="D507" t="s">
        <v>12</v>
      </c>
      <c r="E507" t="s">
        <v>52</v>
      </c>
      <c r="F507" t="s">
        <v>42</v>
      </c>
      <c r="G507" t="s">
        <v>28</v>
      </c>
      <c r="H507">
        <v>4</v>
      </c>
      <c r="I507">
        <v>3960</v>
      </c>
      <c r="J507">
        <v>632.76</v>
      </c>
    </row>
    <row r="508" spans="1:10" x14ac:dyDescent="0.25">
      <c r="A508" s="1">
        <v>45504</v>
      </c>
      <c r="B508" t="s">
        <v>18</v>
      </c>
      <c r="C508" t="s">
        <v>19</v>
      </c>
      <c r="D508" t="s">
        <v>12</v>
      </c>
      <c r="E508" t="s">
        <v>226</v>
      </c>
      <c r="F508" t="s">
        <v>227</v>
      </c>
      <c r="G508" t="s">
        <v>24</v>
      </c>
      <c r="H508">
        <v>3</v>
      </c>
      <c r="I508">
        <v>1476</v>
      </c>
      <c r="J508">
        <v>85.16</v>
      </c>
    </row>
    <row r="509" spans="1:10" x14ac:dyDescent="0.25">
      <c r="A509" s="1">
        <v>45244</v>
      </c>
      <c r="B509" t="s">
        <v>10</v>
      </c>
      <c r="C509" t="s">
        <v>11</v>
      </c>
      <c r="D509" t="s">
        <v>12</v>
      </c>
      <c r="E509" t="s">
        <v>130</v>
      </c>
      <c r="F509" t="s">
        <v>54</v>
      </c>
      <c r="G509" t="s">
        <v>24</v>
      </c>
      <c r="H509">
        <v>2</v>
      </c>
      <c r="I509">
        <v>1058</v>
      </c>
      <c r="J509">
        <v>298.69</v>
      </c>
    </row>
    <row r="510" spans="1:10" x14ac:dyDescent="0.25">
      <c r="A510" s="1">
        <v>45257</v>
      </c>
      <c r="B510" t="s">
        <v>36</v>
      </c>
      <c r="C510" t="s">
        <v>17</v>
      </c>
      <c r="D510" t="s">
        <v>12</v>
      </c>
      <c r="E510" t="s">
        <v>72</v>
      </c>
      <c r="F510" t="s">
        <v>21</v>
      </c>
      <c r="G510" t="s">
        <v>15</v>
      </c>
      <c r="H510">
        <v>5</v>
      </c>
      <c r="I510">
        <v>1215</v>
      </c>
      <c r="J510">
        <v>162.02000000000001</v>
      </c>
    </row>
    <row r="511" spans="1:10" x14ac:dyDescent="0.25">
      <c r="A511" s="1">
        <v>45355</v>
      </c>
      <c r="B511" t="s">
        <v>25</v>
      </c>
      <c r="C511" t="s">
        <v>19</v>
      </c>
      <c r="D511" t="s">
        <v>12</v>
      </c>
      <c r="E511" t="s">
        <v>228</v>
      </c>
      <c r="F511" t="s">
        <v>78</v>
      </c>
      <c r="G511" t="s">
        <v>28</v>
      </c>
      <c r="H511">
        <v>3</v>
      </c>
      <c r="I511">
        <v>204</v>
      </c>
      <c r="J511">
        <v>20.43</v>
      </c>
    </row>
    <row r="512" spans="1:10" x14ac:dyDescent="0.25">
      <c r="A512" s="1">
        <v>45650</v>
      </c>
      <c r="B512" t="s">
        <v>18</v>
      </c>
      <c r="C512" t="s">
        <v>19</v>
      </c>
      <c r="D512" t="s">
        <v>12</v>
      </c>
      <c r="E512" t="s">
        <v>26</v>
      </c>
      <c r="F512" t="s">
        <v>27</v>
      </c>
      <c r="G512" t="s">
        <v>28</v>
      </c>
      <c r="H512">
        <v>7</v>
      </c>
      <c r="I512">
        <v>4137</v>
      </c>
      <c r="J512">
        <v>221.66</v>
      </c>
    </row>
    <row r="513" spans="1:10" x14ac:dyDescent="0.25">
      <c r="A513" s="1">
        <v>44702</v>
      </c>
      <c r="B513" t="s">
        <v>25</v>
      </c>
      <c r="C513" t="s">
        <v>19</v>
      </c>
      <c r="D513" t="s">
        <v>12</v>
      </c>
      <c r="E513" t="s">
        <v>229</v>
      </c>
      <c r="F513" t="s">
        <v>149</v>
      </c>
      <c r="G513" t="s">
        <v>15</v>
      </c>
      <c r="H513">
        <v>5</v>
      </c>
      <c r="I513">
        <v>250</v>
      </c>
      <c r="J513">
        <v>16.809999999999999</v>
      </c>
    </row>
    <row r="514" spans="1:10" x14ac:dyDescent="0.25">
      <c r="A514" s="1">
        <v>44818</v>
      </c>
      <c r="B514" t="s">
        <v>18</v>
      </c>
      <c r="C514" t="s">
        <v>19</v>
      </c>
      <c r="D514" t="s">
        <v>12</v>
      </c>
      <c r="E514" t="s">
        <v>229</v>
      </c>
      <c r="F514" t="s">
        <v>149</v>
      </c>
      <c r="G514" t="s">
        <v>15</v>
      </c>
      <c r="H514">
        <v>5</v>
      </c>
      <c r="I514">
        <v>1185</v>
      </c>
      <c r="J514">
        <v>254.34</v>
      </c>
    </row>
    <row r="515" spans="1:10" x14ac:dyDescent="0.25">
      <c r="A515" s="1">
        <v>45363</v>
      </c>
      <c r="B515" t="s">
        <v>29</v>
      </c>
      <c r="C515" t="s">
        <v>17</v>
      </c>
      <c r="D515" t="s">
        <v>12</v>
      </c>
      <c r="E515" t="s">
        <v>22</v>
      </c>
      <c r="F515" t="s">
        <v>23</v>
      </c>
      <c r="G515" t="s">
        <v>24</v>
      </c>
      <c r="H515">
        <v>2</v>
      </c>
      <c r="I515">
        <v>1504</v>
      </c>
      <c r="J515">
        <v>108.52</v>
      </c>
    </row>
    <row r="516" spans="1:10" x14ac:dyDescent="0.25">
      <c r="A516" s="1">
        <v>45471</v>
      </c>
      <c r="B516" t="s">
        <v>49</v>
      </c>
      <c r="C516" t="s">
        <v>17</v>
      </c>
      <c r="D516" t="s">
        <v>12</v>
      </c>
      <c r="E516" t="s">
        <v>22</v>
      </c>
      <c r="F516" t="s">
        <v>23</v>
      </c>
      <c r="G516" t="s">
        <v>24</v>
      </c>
      <c r="H516">
        <v>6</v>
      </c>
      <c r="I516">
        <v>6888</v>
      </c>
      <c r="J516">
        <v>945.07</v>
      </c>
    </row>
    <row r="517" spans="1:10" x14ac:dyDescent="0.25">
      <c r="A517" s="1">
        <v>45651</v>
      </c>
      <c r="B517" t="s">
        <v>40</v>
      </c>
      <c r="C517" t="s">
        <v>19</v>
      </c>
      <c r="D517" t="s">
        <v>12</v>
      </c>
      <c r="E517" t="s">
        <v>56</v>
      </c>
      <c r="F517" t="s">
        <v>57</v>
      </c>
      <c r="G517" t="s">
        <v>24</v>
      </c>
      <c r="H517">
        <v>3</v>
      </c>
      <c r="I517">
        <v>3588</v>
      </c>
      <c r="J517">
        <v>958.84</v>
      </c>
    </row>
    <row r="518" spans="1:10" x14ac:dyDescent="0.25">
      <c r="A518" s="1">
        <v>44883</v>
      </c>
      <c r="B518" t="s">
        <v>55</v>
      </c>
      <c r="C518" t="s">
        <v>19</v>
      </c>
      <c r="D518" t="s">
        <v>12</v>
      </c>
      <c r="E518" t="s">
        <v>37</v>
      </c>
      <c r="F518" t="s">
        <v>34</v>
      </c>
      <c r="G518" t="s">
        <v>35</v>
      </c>
      <c r="H518">
        <v>7</v>
      </c>
      <c r="I518">
        <v>1477</v>
      </c>
      <c r="J518">
        <v>367.22</v>
      </c>
    </row>
    <row r="519" spans="1:10" x14ac:dyDescent="0.25">
      <c r="A519" s="1">
        <v>44856</v>
      </c>
      <c r="B519" t="s">
        <v>32</v>
      </c>
      <c r="C519" t="s">
        <v>19</v>
      </c>
      <c r="D519" t="s">
        <v>12</v>
      </c>
      <c r="E519" t="s">
        <v>230</v>
      </c>
      <c r="F519" t="s">
        <v>39</v>
      </c>
      <c r="G519" t="s">
        <v>35</v>
      </c>
      <c r="H519">
        <v>8</v>
      </c>
      <c r="I519">
        <v>1280</v>
      </c>
      <c r="J519">
        <v>131.56</v>
      </c>
    </row>
    <row r="520" spans="1:10" x14ac:dyDescent="0.25">
      <c r="A520" s="1">
        <v>45612</v>
      </c>
      <c r="B520" t="s">
        <v>18</v>
      </c>
      <c r="C520" t="s">
        <v>19</v>
      </c>
      <c r="D520" t="s">
        <v>12</v>
      </c>
      <c r="E520" t="s">
        <v>74</v>
      </c>
      <c r="F520" t="s">
        <v>23</v>
      </c>
      <c r="G520" t="s">
        <v>24</v>
      </c>
      <c r="H520">
        <v>7</v>
      </c>
      <c r="I520">
        <v>7161</v>
      </c>
      <c r="J520">
        <v>630.76</v>
      </c>
    </row>
    <row r="521" spans="1:10" x14ac:dyDescent="0.25">
      <c r="A521" s="1">
        <v>44998</v>
      </c>
      <c r="B521" t="s">
        <v>10</v>
      </c>
      <c r="C521" t="s">
        <v>11</v>
      </c>
      <c r="D521" t="s">
        <v>12</v>
      </c>
      <c r="E521" t="s">
        <v>43</v>
      </c>
      <c r="F521" t="s">
        <v>44</v>
      </c>
      <c r="G521" t="s">
        <v>35</v>
      </c>
      <c r="H521">
        <v>5</v>
      </c>
      <c r="I521">
        <v>1850</v>
      </c>
      <c r="J521">
        <v>346.4</v>
      </c>
    </row>
    <row r="522" spans="1:10" x14ac:dyDescent="0.25">
      <c r="A522" s="1">
        <v>45287</v>
      </c>
      <c r="B522" t="s">
        <v>16</v>
      </c>
      <c r="C522" t="s">
        <v>17</v>
      </c>
      <c r="D522" t="s">
        <v>12</v>
      </c>
      <c r="E522" t="s">
        <v>231</v>
      </c>
      <c r="F522" t="s">
        <v>78</v>
      </c>
      <c r="G522" t="s">
        <v>28</v>
      </c>
      <c r="H522">
        <v>3</v>
      </c>
      <c r="I522">
        <v>3378</v>
      </c>
      <c r="J522">
        <v>520.30999999999995</v>
      </c>
    </row>
    <row r="523" spans="1:10" x14ac:dyDescent="0.25">
      <c r="A523" s="1">
        <v>45595</v>
      </c>
      <c r="B523" t="s">
        <v>55</v>
      </c>
      <c r="C523" t="s">
        <v>19</v>
      </c>
      <c r="D523" t="s">
        <v>12</v>
      </c>
      <c r="E523" t="s">
        <v>112</v>
      </c>
      <c r="F523" t="s">
        <v>63</v>
      </c>
      <c r="G523" t="s">
        <v>28</v>
      </c>
      <c r="H523">
        <v>7</v>
      </c>
      <c r="I523">
        <v>7672</v>
      </c>
      <c r="J523">
        <v>2046.38</v>
      </c>
    </row>
    <row r="524" spans="1:10" x14ac:dyDescent="0.25">
      <c r="A524" s="1">
        <v>45599</v>
      </c>
      <c r="B524" t="s">
        <v>18</v>
      </c>
      <c r="C524" t="s">
        <v>19</v>
      </c>
      <c r="D524" t="s">
        <v>12</v>
      </c>
      <c r="E524" t="s">
        <v>74</v>
      </c>
      <c r="F524" t="s">
        <v>23</v>
      </c>
      <c r="G524" t="s">
        <v>24</v>
      </c>
      <c r="H524">
        <v>6</v>
      </c>
      <c r="I524">
        <v>4254</v>
      </c>
      <c r="J524">
        <v>938.66</v>
      </c>
    </row>
    <row r="525" spans="1:10" x14ac:dyDescent="0.25">
      <c r="A525" s="1">
        <v>45615</v>
      </c>
      <c r="B525" t="s">
        <v>49</v>
      </c>
      <c r="C525" t="s">
        <v>17</v>
      </c>
      <c r="D525" t="s">
        <v>12</v>
      </c>
      <c r="E525" t="s">
        <v>74</v>
      </c>
      <c r="F525" t="s">
        <v>23</v>
      </c>
      <c r="G525" t="s">
        <v>24</v>
      </c>
      <c r="H525">
        <v>5</v>
      </c>
      <c r="I525">
        <v>2285</v>
      </c>
      <c r="J525">
        <v>279.89999999999998</v>
      </c>
    </row>
    <row r="526" spans="1:10" x14ac:dyDescent="0.25">
      <c r="A526" s="1">
        <v>45411</v>
      </c>
      <c r="B526" t="s">
        <v>49</v>
      </c>
      <c r="C526" t="s">
        <v>17</v>
      </c>
      <c r="D526" t="s">
        <v>12</v>
      </c>
      <c r="E526" t="s">
        <v>232</v>
      </c>
      <c r="F526" t="s">
        <v>94</v>
      </c>
      <c r="G526" t="s">
        <v>24</v>
      </c>
      <c r="H526">
        <v>7</v>
      </c>
      <c r="I526">
        <v>5775</v>
      </c>
      <c r="J526">
        <v>680.6</v>
      </c>
    </row>
    <row r="527" spans="1:10" x14ac:dyDescent="0.25">
      <c r="A527" s="1">
        <v>44855</v>
      </c>
      <c r="B527" t="s">
        <v>40</v>
      </c>
      <c r="C527" t="s">
        <v>19</v>
      </c>
      <c r="D527" t="s">
        <v>12</v>
      </c>
      <c r="E527" t="s">
        <v>233</v>
      </c>
      <c r="F527" t="s">
        <v>84</v>
      </c>
      <c r="G527" t="s">
        <v>28</v>
      </c>
      <c r="H527">
        <v>9</v>
      </c>
      <c r="I527">
        <v>9360</v>
      </c>
      <c r="J527">
        <v>910.35</v>
      </c>
    </row>
    <row r="528" spans="1:10" x14ac:dyDescent="0.25">
      <c r="A528" s="1">
        <v>44951</v>
      </c>
      <c r="B528" t="s">
        <v>10</v>
      </c>
      <c r="C528" t="s">
        <v>11</v>
      </c>
      <c r="D528" t="s">
        <v>12</v>
      </c>
      <c r="E528" t="s">
        <v>187</v>
      </c>
      <c r="F528" t="s">
        <v>23</v>
      </c>
      <c r="G528" t="s">
        <v>24</v>
      </c>
      <c r="H528">
        <v>8</v>
      </c>
      <c r="I528">
        <v>6936</v>
      </c>
      <c r="J528">
        <v>1156.52</v>
      </c>
    </row>
    <row r="529" spans="1:10" x14ac:dyDescent="0.25">
      <c r="A529" s="1">
        <v>44698</v>
      </c>
      <c r="B529" t="s">
        <v>25</v>
      </c>
      <c r="C529" t="s">
        <v>19</v>
      </c>
      <c r="D529" t="s">
        <v>12</v>
      </c>
      <c r="E529" t="s">
        <v>13</v>
      </c>
      <c r="F529" t="s">
        <v>14</v>
      </c>
      <c r="G529" t="s">
        <v>15</v>
      </c>
      <c r="H529">
        <v>9</v>
      </c>
      <c r="I529">
        <v>5634</v>
      </c>
      <c r="J529">
        <v>464.71</v>
      </c>
    </row>
    <row r="530" spans="1:10" x14ac:dyDescent="0.25">
      <c r="A530" s="1">
        <v>45380</v>
      </c>
      <c r="B530" t="s">
        <v>40</v>
      </c>
      <c r="C530" t="s">
        <v>19</v>
      </c>
      <c r="D530" t="s">
        <v>12</v>
      </c>
      <c r="E530" t="s">
        <v>37</v>
      </c>
      <c r="F530" t="s">
        <v>34</v>
      </c>
      <c r="G530" t="s">
        <v>35</v>
      </c>
      <c r="H530">
        <v>4</v>
      </c>
      <c r="I530">
        <v>2644</v>
      </c>
      <c r="J530">
        <v>731.86</v>
      </c>
    </row>
    <row r="531" spans="1:10" x14ac:dyDescent="0.25">
      <c r="A531" s="1">
        <v>45252</v>
      </c>
      <c r="B531" t="s">
        <v>29</v>
      </c>
      <c r="C531" t="s">
        <v>17</v>
      </c>
      <c r="D531" t="s">
        <v>12</v>
      </c>
      <c r="E531" t="s">
        <v>30</v>
      </c>
      <c r="F531" t="s">
        <v>31</v>
      </c>
      <c r="G531" t="s">
        <v>24</v>
      </c>
      <c r="H531">
        <v>1</v>
      </c>
      <c r="I531">
        <v>247</v>
      </c>
      <c r="J531">
        <v>35.65</v>
      </c>
    </row>
    <row r="532" spans="1:10" x14ac:dyDescent="0.25">
      <c r="A532" s="1">
        <v>45193</v>
      </c>
      <c r="B532" t="s">
        <v>55</v>
      </c>
      <c r="C532" t="s">
        <v>19</v>
      </c>
      <c r="D532" t="s">
        <v>12</v>
      </c>
      <c r="E532" t="s">
        <v>234</v>
      </c>
      <c r="F532" t="s">
        <v>57</v>
      </c>
      <c r="G532" t="s">
        <v>24</v>
      </c>
      <c r="H532">
        <v>7</v>
      </c>
      <c r="I532">
        <v>1869</v>
      </c>
      <c r="J532">
        <v>357.27</v>
      </c>
    </row>
    <row r="533" spans="1:10" x14ac:dyDescent="0.25">
      <c r="A533" s="1">
        <v>45490</v>
      </c>
      <c r="B533" t="s">
        <v>32</v>
      </c>
      <c r="C533" t="s">
        <v>19</v>
      </c>
      <c r="D533" t="s">
        <v>12</v>
      </c>
      <c r="E533" t="s">
        <v>182</v>
      </c>
      <c r="F533" t="s">
        <v>39</v>
      </c>
      <c r="G533" t="s">
        <v>35</v>
      </c>
      <c r="H533">
        <v>7</v>
      </c>
      <c r="I533">
        <v>1988</v>
      </c>
      <c r="J533">
        <v>430.59</v>
      </c>
    </row>
    <row r="534" spans="1:10" x14ac:dyDescent="0.25">
      <c r="A534" s="1">
        <v>45094</v>
      </c>
      <c r="B534" t="s">
        <v>55</v>
      </c>
      <c r="C534" t="s">
        <v>19</v>
      </c>
      <c r="D534" t="s">
        <v>12</v>
      </c>
      <c r="E534" t="s">
        <v>235</v>
      </c>
      <c r="F534" t="s">
        <v>115</v>
      </c>
      <c r="G534" t="s">
        <v>15</v>
      </c>
      <c r="H534">
        <v>4</v>
      </c>
      <c r="I534">
        <v>1920</v>
      </c>
      <c r="J534">
        <v>549.11</v>
      </c>
    </row>
    <row r="535" spans="1:10" x14ac:dyDescent="0.25">
      <c r="A535" s="1">
        <v>45432</v>
      </c>
      <c r="B535" t="s">
        <v>29</v>
      </c>
      <c r="C535" t="s">
        <v>17</v>
      </c>
      <c r="D535" t="s">
        <v>12</v>
      </c>
      <c r="E535" t="s">
        <v>235</v>
      </c>
      <c r="F535" t="s">
        <v>115</v>
      </c>
      <c r="G535" t="s">
        <v>15</v>
      </c>
      <c r="H535">
        <v>3</v>
      </c>
      <c r="I535">
        <v>2577</v>
      </c>
      <c r="J535">
        <v>196.37</v>
      </c>
    </row>
    <row r="536" spans="1:10" x14ac:dyDescent="0.25">
      <c r="A536" s="1">
        <v>45453</v>
      </c>
      <c r="B536" t="s">
        <v>25</v>
      </c>
      <c r="C536" t="s">
        <v>19</v>
      </c>
      <c r="D536" t="s">
        <v>12</v>
      </c>
      <c r="E536" t="s">
        <v>52</v>
      </c>
      <c r="F536" t="s">
        <v>42</v>
      </c>
      <c r="G536" t="s">
        <v>28</v>
      </c>
      <c r="H536">
        <v>3</v>
      </c>
      <c r="I536">
        <v>828</v>
      </c>
      <c r="J536">
        <v>117.95</v>
      </c>
    </row>
    <row r="537" spans="1:10" x14ac:dyDescent="0.25">
      <c r="A537" s="1">
        <v>44592</v>
      </c>
      <c r="B537" t="s">
        <v>25</v>
      </c>
      <c r="C537" t="s">
        <v>19</v>
      </c>
      <c r="D537" t="s">
        <v>12</v>
      </c>
      <c r="E537" t="s">
        <v>236</v>
      </c>
      <c r="F537" t="s">
        <v>44</v>
      </c>
      <c r="G537" t="s">
        <v>35</v>
      </c>
      <c r="H537">
        <v>2</v>
      </c>
      <c r="I537">
        <v>1580</v>
      </c>
      <c r="J537">
        <v>403.76</v>
      </c>
    </row>
    <row r="538" spans="1:10" x14ac:dyDescent="0.25">
      <c r="A538" s="1">
        <v>45182</v>
      </c>
      <c r="B538" t="s">
        <v>25</v>
      </c>
      <c r="C538" t="s">
        <v>19</v>
      </c>
      <c r="D538" t="s">
        <v>12</v>
      </c>
      <c r="E538" t="s">
        <v>236</v>
      </c>
      <c r="F538" t="s">
        <v>44</v>
      </c>
      <c r="G538" t="s">
        <v>35</v>
      </c>
      <c r="H538">
        <v>9</v>
      </c>
      <c r="I538">
        <v>9009</v>
      </c>
      <c r="J538">
        <v>1909.26</v>
      </c>
    </row>
    <row r="539" spans="1:10" x14ac:dyDescent="0.25">
      <c r="A539" s="1">
        <v>44835</v>
      </c>
      <c r="B539" t="s">
        <v>40</v>
      </c>
      <c r="C539" t="s">
        <v>19</v>
      </c>
      <c r="D539" t="s">
        <v>12</v>
      </c>
      <c r="E539" t="s">
        <v>52</v>
      </c>
      <c r="F539" t="s">
        <v>42</v>
      </c>
      <c r="G539" t="s">
        <v>28</v>
      </c>
      <c r="H539">
        <v>9</v>
      </c>
      <c r="I539">
        <v>7425</v>
      </c>
      <c r="J539">
        <v>1580.86</v>
      </c>
    </row>
    <row r="540" spans="1:10" x14ac:dyDescent="0.25">
      <c r="A540" s="1">
        <v>45650</v>
      </c>
      <c r="B540" t="s">
        <v>36</v>
      </c>
      <c r="C540" t="s">
        <v>17</v>
      </c>
      <c r="D540" t="s">
        <v>12</v>
      </c>
      <c r="E540" t="s">
        <v>52</v>
      </c>
      <c r="F540" t="s">
        <v>42</v>
      </c>
      <c r="G540" t="s">
        <v>28</v>
      </c>
      <c r="H540">
        <v>5</v>
      </c>
      <c r="I540">
        <v>2945</v>
      </c>
      <c r="J540">
        <v>672.35</v>
      </c>
    </row>
    <row r="541" spans="1:10" x14ac:dyDescent="0.25">
      <c r="A541" s="1">
        <v>45126</v>
      </c>
      <c r="B541" t="s">
        <v>16</v>
      </c>
      <c r="C541" t="s">
        <v>17</v>
      </c>
      <c r="D541" t="s">
        <v>12</v>
      </c>
      <c r="E541" t="s">
        <v>111</v>
      </c>
      <c r="F541" t="s">
        <v>34</v>
      </c>
      <c r="G541" t="s">
        <v>35</v>
      </c>
      <c r="H541">
        <v>3</v>
      </c>
      <c r="I541">
        <v>294</v>
      </c>
      <c r="J541">
        <v>22.9</v>
      </c>
    </row>
    <row r="542" spans="1:10" x14ac:dyDescent="0.25">
      <c r="A542" s="1">
        <v>45429</v>
      </c>
      <c r="B542" t="s">
        <v>16</v>
      </c>
      <c r="C542" t="s">
        <v>17</v>
      </c>
      <c r="D542" t="s">
        <v>12</v>
      </c>
      <c r="E542" t="s">
        <v>111</v>
      </c>
      <c r="F542" t="s">
        <v>34</v>
      </c>
      <c r="G542" t="s">
        <v>35</v>
      </c>
      <c r="H542">
        <v>5</v>
      </c>
      <c r="I542">
        <v>5875</v>
      </c>
      <c r="J542">
        <v>789.23</v>
      </c>
    </row>
    <row r="543" spans="1:10" x14ac:dyDescent="0.25">
      <c r="A543" s="1">
        <v>44578</v>
      </c>
      <c r="B543" t="s">
        <v>32</v>
      </c>
      <c r="C543" t="s">
        <v>19</v>
      </c>
      <c r="D543" t="s">
        <v>12</v>
      </c>
      <c r="E543" t="s">
        <v>22</v>
      </c>
      <c r="F543" t="s">
        <v>23</v>
      </c>
      <c r="G543" t="s">
        <v>24</v>
      </c>
      <c r="H543">
        <v>3</v>
      </c>
      <c r="I543">
        <v>1308</v>
      </c>
      <c r="J543">
        <v>197.6</v>
      </c>
    </row>
    <row r="544" spans="1:10" x14ac:dyDescent="0.25">
      <c r="A544" s="1">
        <v>45301</v>
      </c>
      <c r="B544" t="s">
        <v>36</v>
      </c>
      <c r="C544" t="s">
        <v>17</v>
      </c>
      <c r="D544" t="s">
        <v>12</v>
      </c>
      <c r="E544" t="s">
        <v>22</v>
      </c>
      <c r="F544" t="s">
        <v>23</v>
      </c>
      <c r="G544" t="s">
        <v>24</v>
      </c>
      <c r="H544">
        <v>4</v>
      </c>
      <c r="I544">
        <v>2360</v>
      </c>
      <c r="J544">
        <v>391.82</v>
      </c>
    </row>
    <row r="545" spans="1:10" x14ac:dyDescent="0.25">
      <c r="A545" s="1">
        <v>45026</v>
      </c>
      <c r="B545" t="s">
        <v>32</v>
      </c>
      <c r="C545" t="s">
        <v>19</v>
      </c>
      <c r="D545" t="s">
        <v>12</v>
      </c>
      <c r="E545" t="s">
        <v>56</v>
      </c>
      <c r="F545" t="s">
        <v>57</v>
      </c>
      <c r="G545" t="s">
        <v>24</v>
      </c>
      <c r="H545">
        <v>6</v>
      </c>
      <c r="I545">
        <v>1008</v>
      </c>
      <c r="J545">
        <v>245.45</v>
      </c>
    </row>
    <row r="546" spans="1:10" x14ac:dyDescent="0.25">
      <c r="A546" s="1">
        <v>45226</v>
      </c>
      <c r="B546" t="s">
        <v>32</v>
      </c>
      <c r="C546" t="s">
        <v>19</v>
      </c>
      <c r="D546" t="s">
        <v>12</v>
      </c>
      <c r="E546" t="s">
        <v>56</v>
      </c>
      <c r="F546" t="s">
        <v>57</v>
      </c>
      <c r="G546" t="s">
        <v>24</v>
      </c>
      <c r="H546">
        <v>6</v>
      </c>
      <c r="I546">
        <v>1344</v>
      </c>
      <c r="J546">
        <v>338.4</v>
      </c>
    </row>
    <row r="547" spans="1:10" x14ac:dyDescent="0.25">
      <c r="A547" s="1">
        <v>44573</v>
      </c>
      <c r="B547" t="s">
        <v>10</v>
      </c>
      <c r="C547" t="s">
        <v>11</v>
      </c>
      <c r="D547" t="s">
        <v>12</v>
      </c>
      <c r="E547" t="s">
        <v>56</v>
      </c>
      <c r="F547" t="s">
        <v>57</v>
      </c>
      <c r="G547" t="s">
        <v>24</v>
      </c>
      <c r="H547">
        <v>7</v>
      </c>
      <c r="I547">
        <v>5635</v>
      </c>
      <c r="J547">
        <v>1185.97</v>
      </c>
    </row>
    <row r="548" spans="1:10" x14ac:dyDescent="0.25">
      <c r="A548" s="1">
        <v>45184</v>
      </c>
      <c r="B548" t="s">
        <v>16</v>
      </c>
      <c r="C548" t="s">
        <v>17</v>
      </c>
      <c r="D548" t="s">
        <v>12</v>
      </c>
      <c r="E548" t="s">
        <v>229</v>
      </c>
      <c r="F548" t="s">
        <v>149</v>
      </c>
      <c r="G548" t="s">
        <v>15</v>
      </c>
      <c r="H548">
        <v>4</v>
      </c>
      <c r="I548">
        <v>4088</v>
      </c>
      <c r="J548">
        <v>1200.03</v>
      </c>
    </row>
    <row r="549" spans="1:10" x14ac:dyDescent="0.25">
      <c r="A549" s="1">
        <v>45630</v>
      </c>
      <c r="B549" t="s">
        <v>25</v>
      </c>
      <c r="C549" t="s">
        <v>19</v>
      </c>
      <c r="D549" t="s">
        <v>12</v>
      </c>
      <c r="E549" t="s">
        <v>52</v>
      </c>
      <c r="F549" t="s">
        <v>42</v>
      </c>
      <c r="G549" t="s">
        <v>28</v>
      </c>
      <c r="H549">
        <v>8</v>
      </c>
      <c r="I549">
        <v>2192</v>
      </c>
      <c r="J549">
        <v>441.77</v>
      </c>
    </row>
    <row r="550" spans="1:10" x14ac:dyDescent="0.25">
      <c r="A550" s="1">
        <v>44718</v>
      </c>
      <c r="B550" t="s">
        <v>49</v>
      </c>
      <c r="C550" t="s">
        <v>17</v>
      </c>
      <c r="D550" t="s">
        <v>12</v>
      </c>
      <c r="E550" t="s">
        <v>237</v>
      </c>
      <c r="F550" t="s">
        <v>149</v>
      </c>
      <c r="G550" t="s">
        <v>15</v>
      </c>
      <c r="H550">
        <v>8</v>
      </c>
      <c r="I550">
        <v>1952</v>
      </c>
      <c r="J550">
        <v>444.15</v>
      </c>
    </row>
    <row r="551" spans="1:10" x14ac:dyDescent="0.25">
      <c r="A551" s="1">
        <v>44954</v>
      </c>
      <c r="B551" t="s">
        <v>40</v>
      </c>
      <c r="C551" t="s">
        <v>19</v>
      </c>
      <c r="D551" t="s">
        <v>12</v>
      </c>
      <c r="E551" t="s">
        <v>238</v>
      </c>
      <c r="F551" t="s">
        <v>191</v>
      </c>
      <c r="G551" t="s">
        <v>35</v>
      </c>
      <c r="H551">
        <v>7</v>
      </c>
      <c r="I551">
        <v>3955</v>
      </c>
      <c r="J551">
        <v>1144.76</v>
      </c>
    </row>
    <row r="552" spans="1:10" x14ac:dyDescent="0.25">
      <c r="A552" s="1">
        <v>45101</v>
      </c>
      <c r="B552" t="s">
        <v>16</v>
      </c>
      <c r="C552" t="s">
        <v>17</v>
      </c>
      <c r="D552" t="s">
        <v>12</v>
      </c>
      <c r="E552" t="s">
        <v>238</v>
      </c>
      <c r="F552" t="s">
        <v>191</v>
      </c>
      <c r="G552" t="s">
        <v>35</v>
      </c>
      <c r="H552">
        <v>8</v>
      </c>
      <c r="I552">
        <v>5256</v>
      </c>
      <c r="J552">
        <v>1118.1600000000001</v>
      </c>
    </row>
    <row r="553" spans="1:10" x14ac:dyDescent="0.25">
      <c r="A553" s="1">
        <v>44923</v>
      </c>
      <c r="B553" t="s">
        <v>25</v>
      </c>
      <c r="C553" t="s">
        <v>19</v>
      </c>
      <c r="D553" t="s">
        <v>12</v>
      </c>
      <c r="E553" t="s">
        <v>239</v>
      </c>
      <c r="F553" t="s">
        <v>23</v>
      </c>
      <c r="G553" t="s">
        <v>24</v>
      </c>
      <c r="H553">
        <v>1</v>
      </c>
      <c r="I553">
        <v>1163</v>
      </c>
      <c r="J553">
        <v>115.09</v>
      </c>
    </row>
    <row r="554" spans="1:10" x14ac:dyDescent="0.25">
      <c r="A554" s="1">
        <v>44828</v>
      </c>
      <c r="B554" t="s">
        <v>32</v>
      </c>
      <c r="C554" t="s">
        <v>19</v>
      </c>
      <c r="D554" t="s">
        <v>12</v>
      </c>
      <c r="E554" t="s">
        <v>166</v>
      </c>
      <c r="F554" t="s">
        <v>31</v>
      </c>
      <c r="G554" t="s">
        <v>24</v>
      </c>
      <c r="H554">
        <v>9</v>
      </c>
      <c r="I554">
        <v>5004</v>
      </c>
      <c r="J554">
        <v>973.65</v>
      </c>
    </row>
    <row r="555" spans="1:10" x14ac:dyDescent="0.25">
      <c r="A555" s="1">
        <v>45052</v>
      </c>
      <c r="B555" t="s">
        <v>16</v>
      </c>
      <c r="C555" t="s">
        <v>17</v>
      </c>
      <c r="D555" t="s">
        <v>12</v>
      </c>
      <c r="E555" t="s">
        <v>240</v>
      </c>
      <c r="F555" t="s">
        <v>94</v>
      </c>
      <c r="G555" t="s">
        <v>24</v>
      </c>
      <c r="H555">
        <v>8</v>
      </c>
      <c r="I555">
        <v>9128</v>
      </c>
      <c r="J555">
        <v>1342.19</v>
      </c>
    </row>
    <row r="556" spans="1:10" x14ac:dyDescent="0.25">
      <c r="A556" s="1">
        <v>45120</v>
      </c>
      <c r="B556" t="s">
        <v>55</v>
      </c>
      <c r="C556" t="s">
        <v>19</v>
      </c>
      <c r="D556" t="s">
        <v>12</v>
      </c>
      <c r="E556" t="s">
        <v>45</v>
      </c>
      <c r="F556" t="s">
        <v>46</v>
      </c>
      <c r="G556" t="s">
        <v>15</v>
      </c>
      <c r="H556">
        <v>4</v>
      </c>
      <c r="I556">
        <v>4700</v>
      </c>
      <c r="J556">
        <v>576.34</v>
      </c>
    </row>
    <row r="557" spans="1:10" x14ac:dyDescent="0.25">
      <c r="A557" s="1">
        <v>44566</v>
      </c>
      <c r="B557" t="s">
        <v>25</v>
      </c>
      <c r="C557" t="s">
        <v>19</v>
      </c>
      <c r="D557" t="s">
        <v>12</v>
      </c>
      <c r="E557" t="s">
        <v>22</v>
      </c>
      <c r="F557" t="s">
        <v>23</v>
      </c>
      <c r="G557" t="s">
        <v>24</v>
      </c>
      <c r="H557">
        <v>2</v>
      </c>
      <c r="I557">
        <v>1686</v>
      </c>
      <c r="J557">
        <v>146.38999999999999</v>
      </c>
    </row>
    <row r="558" spans="1:10" x14ac:dyDescent="0.25">
      <c r="A558" s="1">
        <v>45507</v>
      </c>
      <c r="B558" t="s">
        <v>49</v>
      </c>
      <c r="C558" t="s">
        <v>17</v>
      </c>
      <c r="D558" t="s">
        <v>12</v>
      </c>
      <c r="E558" t="s">
        <v>241</v>
      </c>
      <c r="F558" t="s">
        <v>84</v>
      </c>
      <c r="G558" t="s">
        <v>28</v>
      </c>
      <c r="H558">
        <v>9</v>
      </c>
      <c r="I558">
        <v>4572</v>
      </c>
      <c r="J558">
        <v>279.54000000000002</v>
      </c>
    </row>
    <row r="559" spans="1:10" x14ac:dyDescent="0.25">
      <c r="A559" s="1">
        <v>45159</v>
      </c>
      <c r="B559" t="s">
        <v>40</v>
      </c>
      <c r="C559" t="s">
        <v>19</v>
      </c>
      <c r="D559" t="s">
        <v>12</v>
      </c>
      <c r="E559" t="s">
        <v>56</v>
      </c>
      <c r="F559" t="s">
        <v>57</v>
      </c>
      <c r="G559" t="s">
        <v>24</v>
      </c>
      <c r="H559">
        <v>5</v>
      </c>
      <c r="I559">
        <v>2510</v>
      </c>
      <c r="J559">
        <v>515.12</v>
      </c>
    </row>
    <row r="560" spans="1:10" x14ac:dyDescent="0.25">
      <c r="A560" s="1">
        <v>45081</v>
      </c>
      <c r="B560" t="s">
        <v>40</v>
      </c>
      <c r="C560" t="s">
        <v>19</v>
      </c>
      <c r="D560" t="s">
        <v>12</v>
      </c>
      <c r="E560" t="s">
        <v>242</v>
      </c>
      <c r="F560" t="s">
        <v>21</v>
      </c>
      <c r="G560" t="s">
        <v>15</v>
      </c>
      <c r="H560">
        <v>3</v>
      </c>
      <c r="I560">
        <v>3117</v>
      </c>
      <c r="J560">
        <v>829.09</v>
      </c>
    </row>
    <row r="561" spans="1:10" x14ac:dyDescent="0.25">
      <c r="A561" s="1">
        <v>45424</v>
      </c>
      <c r="B561" t="s">
        <v>55</v>
      </c>
      <c r="C561" t="s">
        <v>19</v>
      </c>
      <c r="D561" t="s">
        <v>12</v>
      </c>
      <c r="E561" t="s">
        <v>103</v>
      </c>
      <c r="F561" t="s">
        <v>21</v>
      </c>
      <c r="G561" t="s">
        <v>15</v>
      </c>
      <c r="H561">
        <v>1</v>
      </c>
      <c r="I561">
        <v>380</v>
      </c>
      <c r="J561">
        <v>94.35</v>
      </c>
    </row>
    <row r="562" spans="1:10" x14ac:dyDescent="0.25">
      <c r="A562" s="1">
        <v>45121</v>
      </c>
      <c r="B562" t="s">
        <v>36</v>
      </c>
      <c r="C562" t="s">
        <v>17</v>
      </c>
      <c r="D562" t="s">
        <v>12</v>
      </c>
      <c r="E562" t="s">
        <v>103</v>
      </c>
      <c r="F562" t="s">
        <v>21</v>
      </c>
      <c r="G562" t="s">
        <v>15</v>
      </c>
      <c r="H562">
        <v>9</v>
      </c>
      <c r="I562">
        <v>2889</v>
      </c>
      <c r="J562">
        <v>604.19000000000005</v>
      </c>
    </row>
    <row r="563" spans="1:10" x14ac:dyDescent="0.25">
      <c r="A563" s="1">
        <v>45604</v>
      </c>
      <c r="B563" t="s">
        <v>32</v>
      </c>
      <c r="C563" t="s">
        <v>19</v>
      </c>
      <c r="D563" t="s">
        <v>12</v>
      </c>
      <c r="E563" t="s">
        <v>22</v>
      </c>
      <c r="F563" t="s">
        <v>23</v>
      </c>
      <c r="G563" t="s">
        <v>24</v>
      </c>
      <c r="H563">
        <v>9</v>
      </c>
      <c r="I563">
        <v>3654</v>
      </c>
      <c r="J563">
        <v>581.9</v>
      </c>
    </row>
    <row r="564" spans="1:10" x14ac:dyDescent="0.25">
      <c r="A564" s="1">
        <v>45181</v>
      </c>
      <c r="B564" t="s">
        <v>10</v>
      </c>
      <c r="C564" t="s">
        <v>11</v>
      </c>
      <c r="D564" t="s">
        <v>12</v>
      </c>
      <c r="E564" t="s">
        <v>243</v>
      </c>
      <c r="F564" t="s">
        <v>63</v>
      </c>
      <c r="G564" t="s">
        <v>28</v>
      </c>
      <c r="H564">
        <v>6</v>
      </c>
      <c r="I564">
        <v>5610</v>
      </c>
      <c r="J564">
        <v>298.77</v>
      </c>
    </row>
    <row r="565" spans="1:10" x14ac:dyDescent="0.25">
      <c r="A565" s="1">
        <v>45409</v>
      </c>
      <c r="B565" t="s">
        <v>40</v>
      </c>
      <c r="C565" t="s">
        <v>19</v>
      </c>
      <c r="D565" t="s">
        <v>12</v>
      </c>
      <c r="E565" t="s">
        <v>37</v>
      </c>
      <c r="F565" t="s">
        <v>34</v>
      </c>
      <c r="G565" t="s">
        <v>35</v>
      </c>
      <c r="H565">
        <v>1</v>
      </c>
      <c r="I565">
        <v>668</v>
      </c>
      <c r="J565">
        <v>99.4</v>
      </c>
    </row>
    <row r="566" spans="1:10" x14ac:dyDescent="0.25">
      <c r="A566" s="1">
        <v>44569</v>
      </c>
      <c r="B566" t="s">
        <v>40</v>
      </c>
      <c r="C566" t="s">
        <v>19</v>
      </c>
      <c r="D566" t="s">
        <v>12</v>
      </c>
      <c r="E566" t="s">
        <v>26</v>
      </c>
      <c r="F566" t="s">
        <v>27</v>
      </c>
      <c r="G566" t="s">
        <v>28</v>
      </c>
      <c r="H566">
        <v>7</v>
      </c>
      <c r="I566">
        <v>3983</v>
      </c>
      <c r="J566">
        <v>360.13</v>
      </c>
    </row>
    <row r="567" spans="1:10" x14ac:dyDescent="0.25">
      <c r="A567" s="1">
        <v>45315</v>
      </c>
      <c r="B567" t="s">
        <v>49</v>
      </c>
      <c r="C567" t="s">
        <v>17</v>
      </c>
      <c r="D567" t="s">
        <v>12</v>
      </c>
      <c r="E567" t="s">
        <v>56</v>
      </c>
      <c r="F567" t="s">
        <v>57</v>
      </c>
      <c r="G567" t="s">
        <v>24</v>
      </c>
      <c r="H567">
        <v>1</v>
      </c>
      <c r="I567">
        <v>1112</v>
      </c>
      <c r="J567">
        <v>272.81</v>
      </c>
    </row>
    <row r="568" spans="1:10" x14ac:dyDescent="0.25">
      <c r="A568" s="1">
        <v>44732</v>
      </c>
      <c r="B568" t="s">
        <v>36</v>
      </c>
      <c r="C568" t="s">
        <v>17</v>
      </c>
      <c r="D568" t="s">
        <v>12</v>
      </c>
      <c r="E568" t="s">
        <v>62</v>
      </c>
      <c r="F568" t="s">
        <v>59</v>
      </c>
      <c r="G568" t="s">
        <v>28</v>
      </c>
      <c r="H568">
        <v>9</v>
      </c>
      <c r="I568">
        <v>4230</v>
      </c>
      <c r="J568">
        <v>221.06</v>
      </c>
    </row>
    <row r="569" spans="1:10" x14ac:dyDescent="0.25">
      <c r="A569" s="1">
        <v>45505</v>
      </c>
      <c r="B569" t="s">
        <v>18</v>
      </c>
      <c r="C569" t="s">
        <v>19</v>
      </c>
      <c r="D569" t="s">
        <v>12</v>
      </c>
      <c r="E569" t="s">
        <v>105</v>
      </c>
      <c r="F569" t="s">
        <v>23</v>
      </c>
      <c r="G569" t="s">
        <v>24</v>
      </c>
      <c r="H569">
        <v>8</v>
      </c>
      <c r="I569">
        <v>2968</v>
      </c>
      <c r="J569">
        <v>530.29999999999995</v>
      </c>
    </row>
    <row r="570" spans="1:10" x14ac:dyDescent="0.25">
      <c r="A570" s="1">
        <v>44571</v>
      </c>
      <c r="B570" t="s">
        <v>36</v>
      </c>
      <c r="C570" t="s">
        <v>17</v>
      </c>
      <c r="D570" t="s">
        <v>12</v>
      </c>
      <c r="E570" t="s">
        <v>74</v>
      </c>
      <c r="F570" t="s">
        <v>23</v>
      </c>
      <c r="G570" t="s">
        <v>24</v>
      </c>
      <c r="H570">
        <v>5</v>
      </c>
      <c r="I570">
        <v>4690</v>
      </c>
      <c r="J570">
        <v>706.74</v>
      </c>
    </row>
    <row r="571" spans="1:10" x14ac:dyDescent="0.25">
      <c r="A571" s="1">
        <v>44690</v>
      </c>
      <c r="B571" t="s">
        <v>25</v>
      </c>
      <c r="C571" t="s">
        <v>19</v>
      </c>
      <c r="D571" t="s">
        <v>12</v>
      </c>
      <c r="E571" t="s">
        <v>64</v>
      </c>
      <c r="F571" t="s">
        <v>84</v>
      </c>
      <c r="G571" t="s">
        <v>28</v>
      </c>
      <c r="H571">
        <v>6</v>
      </c>
      <c r="I571">
        <v>4296</v>
      </c>
      <c r="J571">
        <v>1240.31</v>
      </c>
    </row>
    <row r="572" spans="1:10" x14ac:dyDescent="0.25">
      <c r="A572" s="1">
        <v>45279</v>
      </c>
      <c r="B572" t="s">
        <v>25</v>
      </c>
      <c r="C572" t="s">
        <v>19</v>
      </c>
      <c r="D572" t="s">
        <v>12</v>
      </c>
      <c r="E572" t="s">
        <v>56</v>
      </c>
      <c r="F572" t="s">
        <v>57</v>
      </c>
      <c r="G572" t="s">
        <v>24</v>
      </c>
      <c r="H572">
        <v>7</v>
      </c>
      <c r="I572">
        <v>7203</v>
      </c>
      <c r="J572">
        <v>523.52</v>
      </c>
    </row>
    <row r="573" spans="1:10" x14ac:dyDescent="0.25">
      <c r="A573" s="1">
        <v>44885</v>
      </c>
      <c r="B573" t="s">
        <v>40</v>
      </c>
      <c r="C573" t="s">
        <v>19</v>
      </c>
      <c r="D573" t="s">
        <v>12</v>
      </c>
      <c r="E573" t="s">
        <v>22</v>
      </c>
      <c r="F573" t="s">
        <v>23</v>
      </c>
      <c r="G573" t="s">
        <v>24</v>
      </c>
      <c r="H573">
        <v>4</v>
      </c>
      <c r="I573">
        <v>3640</v>
      </c>
      <c r="J573">
        <v>695.31</v>
      </c>
    </row>
    <row r="574" spans="1:10" x14ac:dyDescent="0.25">
      <c r="A574" s="1">
        <v>44876</v>
      </c>
      <c r="B574" t="s">
        <v>40</v>
      </c>
      <c r="C574" t="s">
        <v>19</v>
      </c>
      <c r="D574" t="s">
        <v>12</v>
      </c>
      <c r="E574" t="s">
        <v>75</v>
      </c>
      <c r="F574" t="s">
        <v>108</v>
      </c>
      <c r="G574" t="s">
        <v>15</v>
      </c>
      <c r="H574">
        <v>1</v>
      </c>
      <c r="I574">
        <v>1131</v>
      </c>
      <c r="J574">
        <v>304.62</v>
      </c>
    </row>
    <row r="575" spans="1:10" x14ac:dyDescent="0.25">
      <c r="A575" s="1">
        <v>45294</v>
      </c>
      <c r="B575" t="s">
        <v>25</v>
      </c>
      <c r="C575" t="s">
        <v>19</v>
      </c>
      <c r="D575" t="s">
        <v>12</v>
      </c>
      <c r="E575" t="s">
        <v>20</v>
      </c>
      <c r="F575" t="s">
        <v>21</v>
      </c>
      <c r="G575" t="s">
        <v>15</v>
      </c>
      <c r="H575">
        <v>9</v>
      </c>
      <c r="I575">
        <v>3627</v>
      </c>
      <c r="J575">
        <v>797.53</v>
      </c>
    </row>
    <row r="576" spans="1:10" x14ac:dyDescent="0.25">
      <c r="A576" s="1">
        <v>45149</v>
      </c>
      <c r="B576" t="s">
        <v>16</v>
      </c>
      <c r="C576" t="s">
        <v>17</v>
      </c>
      <c r="D576" t="s">
        <v>12</v>
      </c>
      <c r="E576" t="s">
        <v>244</v>
      </c>
      <c r="F576" t="s">
        <v>23</v>
      </c>
      <c r="G576" t="s">
        <v>24</v>
      </c>
      <c r="H576">
        <v>8</v>
      </c>
      <c r="I576">
        <v>7968</v>
      </c>
      <c r="J576">
        <v>1249.98</v>
      </c>
    </row>
    <row r="577" spans="1:10" x14ac:dyDescent="0.25">
      <c r="A577" s="1">
        <v>44888</v>
      </c>
      <c r="B577" t="s">
        <v>29</v>
      </c>
      <c r="C577" t="s">
        <v>17</v>
      </c>
      <c r="D577" t="s">
        <v>12</v>
      </c>
      <c r="E577" t="s">
        <v>245</v>
      </c>
      <c r="F577" t="s">
        <v>21</v>
      </c>
      <c r="G577" t="s">
        <v>15</v>
      </c>
      <c r="H577">
        <v>3</v>
      </c>
      <c r="I577">
        <v>3546</v>
      </c>
      <c r="J577">
        <v>490.28</v>
      </c>
    </row>
    <row r="578" spans="1:10" x14ac:dyDescent="0.25">
      <c r="A578" s="1">
        <v>45352</v>
      </c>
      <c r="B578" t="s">
        <v>18</v>
      </c>
      <c r="C578" t="s">
        <v>19</v>
      </c>
      <c r="D578" t="s">
        <v>12</v>
      </c>
      <c r="E578" t="s">
        <v>22</v>
      </c>
      <c r="F578" t="s">
        <v>23</v>
      </c>
      <c r="G578" t="s">
        <v>24</v>
      </c>
      <c r="H578">
        <v>5</v>
      </c>
      <c r="I578">
        <v>2270</v>
      </c>
      <c r="J578">
        <v>546.55999999999995</v>
      </c>
    </row>
    <row r="579" spans="1:10" x14ac:dyDescent="0.25">
      <c r="A579" s="1">
        <v>45114</v>
      </c>
      <c r="B579" t="s">
        <v>49</v>
      </c>
      <c r="C579" t="s">
        <v>17</v>
      </c>
      <c r="D579" t="s">
        <v>12</v>
      </c>
      <c r="E579" t="s">
        <v>246</v>
      </c>
      <c r="F579" t="s">
        <v>34</v>
      </c>
      <c r="G579" t="s">
        <v>35</v>
      </c>
      <c r="H579">
        <v>2</v>
      </c>
      <c r="I579">
        <v>1354</v>
      </c>
      <c r="J579">
        <v>136.91</v>
      </c>
    </row>
    <row r="580" spans="1:10" x14ac:dyDescent="0.25">
      <c r="A580" s="1">
        <v>45036</v>
      </c>
      <c r="B580" t="s">
        <v>29</v>
      </c>
      <c r="C580" t="s">
        <v>17</v>
      </c>
      <c r="D580" t="s">
        <v>12</v>
      </c>
      <c r="E580" t="s">
        <v>246</v>
      </c>
      <c r="F580" t="s">
        <v>34</v>
      </c>
      <c r="G580" t="s">
        <v>35</v>
      </c>
      <c r="H580">
        <v>7</v>
      </c>
      <c r="I580">
        <v>6811</v>
      </c>
      <c r="J580">
        <v>1423.57</v>
      </c>
    </row>
    <row r="581" spans="1:10" x14ac:dyDescent="0.25">
      <c r="A581" s="1">
        <v>44601</v>
      </c>
      <c r="B581" t="s">
        <v>32</v>
      </c>
      <c r="C581" t="s">
        <v>19</v>
      </c>
      <c r="D581" t="s">
        <v>12</v>
      </c>
      <c r="E581" t="s">
        <v>247</v>
      </c>
      <c r="F581" t="s">
        <v>23</v>
      </c>
      <c r="G581" t="s">
        <v>24</v>
      </c>
      <c r="H581">
        <v>3</v>
      </c>
      <c r="I581">
        <v>1410</v>
      </c>
      <c r="J581">
        <v>232.65</v>
      </c>
    </row>
    <row r="582" spans="1:10" x14ac:dyDescent="0.25">
      <c r="A582" s="1">
        <v>44851</v>
      </c>
      <c r="B582" t="s">
        <v>49</v>
      </c>
      <c r="C582" t="s">
        <v>17</v>
      </c>
      <c r="D582" t="s">
        <v>12</v>
      </c>
      <c r="E582" t="s">
        <v>248</v>
      </c>
      <c r="F582" t="s">
        <v>227</v>
      </c>
      <c r="G582" t="s">
        <v>24</v>
      </c>
      <c r="H582">
        <v>2</v>
      </c>
      <c r="I582">
        <v>1170</v>
      </c>
      <c r="J582">
        <v>249.99</v>
      </c>
    </row>
    <row r="583" spans="1:10" x14ac:dyDescent="0.25">
      <c r="A583" s="1">
        <v>45142</v>
      </c>
      <c r="B583" t="s">
        <v>55</v>
      </c>
      <c r="C583" t="s">
        <v>19</v>
      </c>
      <c r="D583" t="s">
        <v>12</v>
      </c>
      <c r="E583" t="s">
        <v>178</v>
      </c>
      <c r="F583" t="s">
        <v>34</v>
      </c>
      <c r="G583" t="s">
        <v>35</v>
      </c>
      <c r="H583">
        <v>7</v>
      </c>
      <c r="I583">
        <v>4739</v>
      </c>
      <c r="J583">
        <v>740.74</v>
      </c>
    </row>
    <row r="584" spans="1:10" x14ac:dyDescent="0.25">
      <c r="A584" s="1">
        <v>45261</v>
      </c>
      <c r="B584" t="s">
        <v>16</v>
      </c>
      <c r="C584" t="s">
        <v>17</v>
      </c>
      <c r="D584" t="s">
        <v>12</v>
      </c>
      <c r="E584" t="s">
        <v>56</v>
      </c>
      <c r="F584" t="s">
        <v>57</v>
      </c>
      <c r="G584" t="s">
        <v>24</v>
      </c>
      <c r="H584">
        <v>9</v>
      </c>
      <c r="I584">
        <v>7866</v>
      </c>
      <c r="J584">
        <v>1554.38</v>
      </c>
    </row>
    <row r="585" spans="1:10" x14ac:dyDescent="0.25">
      <c r="A585" s="1">
        <v>44773</v>
      </c>
      <c r="B585" t="s">
        <v>36</v>
      </c>
      <c r="C585" t="s">
        <v>17</v>
      </c>
      <c r="D585" t="s">
        <v>12</v>
      </c>
      <c r="E585" t="s">
        <v>56</v>
      </c>
      <c r="F585" t="s">
        <v>57</v>
      </c>
      <c r="G585" t="s">
        <v>24</v>
      </c>
      <c r="H585">
        <v>5</v>
      </c>
      <c r="I585">
        <v>3645</v>
      </c>
      <c r="J585">
        <v>388.31</v>
      </c>
    </row>
    <row r="586" spans="1:10" x14ac:dyDescent="0.25">
      <c r="A586" s="1">
        <v>44981</v>
      </c>
      <c r="B586" t="s">
        <v>29</v>
      </c>
      <c r="C586" t="s">
        <v>17</v>
      </c>
      <c r="D586" t="s">
        <v>12</v>
      </c>
      <c r="E586" t="s">
        <v>136</v>
      </c>
      <c r="F586" t="s">
        <v>65</v>
      </c>
      <c r="G586" t="s">
        <v>35</v>
      </c>
      <c r="H586">
        <v>6</v>
      </c>
      <c r="I586">
        <v>5358</v>
      </c>
      <c r="J586">
        <v>568.34</v>
      </c>
    </row>
    <row r="587" spans="1:10" x14ac:dyDescent="0.25">
      <c r="A587" s="1">
        <v>45430</v>
      </c>
      <c r="B587" t="s">
        <v>25</v>
      </c>
      <c r="C587" t="s">
        <v>19</v>
      </c>
      <c r="D587" t="s">
        <v>12</v>
      </c>
      <c r="E587" t="s">
        <v>136</v>
      </c>
      <c r="F587" t="s">
        <v>65</v>
      </c>
      <c r="G587" t="s">
        <v>35</v>
      </c>
      <c r="H587">
        <v>5</v>
      </c>
      <c r="I587">
        <v>1775</v>
      </c>
      <c r="J587">
        <v>486.37</v>
      </c>
    </row>
    <row r="588" spans="1:10" x14ac:dyDescent="0.25">
      <c r="A588" s="1">
        <v>45065</v>
      </c>
      <c r="B588" t="s">
        <v>29</v>
      </c>
      <c r="C588" t="s">
        <v>17</v>
      </c>
      <c r="D588" t="s">
        <v>12</v>
      </c>
      <c r="E588" t="s">
        <v>136</v>
      </c>
      <c r="F588" t="s">
        <v>65</v>
      </c>
      <c r="G588" t="s">
        <v>35</v>
      </c>
      <c r="H588">
        <v>9</v>
      </c>
      <c r="I588">
        <v>4905</v>
      </c>
      <c r="J588">
        <v>1351.25</v>
      </c>
    </row>
    <row r="589" spans="1:10" x14ac:dyDescent="0.25">
      <c r="A589" s="1">
        <v>44833</v>
      </c>
      <c r="B589" t="s">
        <v>16</v>
      </c>
      <c r="C589" t="s">
        <v>17</v>
      </c>
      <c r="D589" t="s">
        <v>12</v>
      </c>
      <c r="E589" t="s">
        <v>64</v>
      </c>
      <c r="F589" t="s">
        <v>84</v>
      </c>
      <c r="G589" t="s">
        <v>28</v>
      </c>
      <c r="H589">
        <v>6</v>
      </c>
      <c r="I589">
        <v>4260</v>
      </c>
      <c r="J589">
        <v>372.33</v>
      </c>
    </row>
    <row r="590" spans="1:10" x14ac:dyDescent="0.25">
      <c r="A590" s="1">
        <v>45538</v>
      </c>
      <c r="B590" t="s">
        <v>10</v>
      </c>
      <c r="C590" t="s">
        <v>11</v>
      </c>
      <c r="D590" t="s">
        <v>12</v>
      </c>
      <c r="E590" t="s">
        <v>64</v>
      </c>
      <c r="F590" t="s">
        <v>84</v>
      </c>
      <c r="G590" t="s">
        <v>28</v>
      </c>
      <c r="H590">
        <v>2</v>
      </c>
      <c r="I590">
        <v>1632</v>
      </c>
      <c r="J590">
        <v>292.77999999999997</v>
      </c>
    </row>
    <row r="591" spans="1:10" x14ac:dyDescent="0.25">
      <c r="A591" s="1">
        <v>44997</v>
      </c>
      <c r="B591" t="s">
        <v>32</v>
      </c>
      <c r="C591" t="s">
        <v>19</v>
      </c>
      <c r="D591" t="s">
        <v>12</v>
      </c>
      <c r="E591" t="s">
        <v>150</v>
      </c>
      <c r="F591" t="s">
        <v>23</v>
      </c>
      <c r="G591" t="s">
        <v>24</v>
      </c>
      <c r="H591">
        <v>6</v>
      </c>
      <c r="I591">
        <v>3324</v>
      </c>
      <c r="J591">
        <v>466.78</v>
      </c>
    </row>
    <row r="592" spans="1:10" x14ac:dyDescent="0.25">
      <c r="A592" s="1">
        <v>45124</v>
      </c>
      <c r="B592" t="s">
        <v>25</v>
      </c>
      <c r="C592" t="s">
        <v>19</v>
      </c>
      <c r="D592" t="s">
        <v>12</v>
      </c>
      <c r="E592" t="s">
        <v>37</v>
      </c>
      <c r="F592" t="s">
        <v>34</v>
      </c>
      <c r="G592" t="s">
        <v>35</v>
      </c>
      <c r="H592">
        <v>5</v>
      </c>
      <c r="I592">
        <v>4590</v>
      </c>
      <c r="J592">
        <v>347.14</v>
      </c>
    </row>
    <row r="593" spans="1:10" x14ac:dyDescent="0.25">
      <c r="A593" s="1">
        <v>44665</v>
      </c>
      <c r="B593" t="s">
        <v>55</v>
      </c>
      <c r="C593" t="s">
        <v>19</v>
      </c>
      <c r="D593" t="s">
        <v>12</v>
      </c>
      <c r="E593" t="s">
        <v>249</v>
      </c>
      <c r="F593" t="s">
        <v>115</v>
      </c>
      <c r="G593" t="s">
        <v>15</v>
      </c>
      <c r="H593">
        <v>9</v>
      </c>
      <c r="I593">
        <v>8496</v>
      </c>
      <c r="J593">
        <v>2182.42</v>
      </c>
    </row>
    <row r="594" spans="1:10" x14ac:dyDescent="0.25">
      <c r="A594" s="1">
        <v>44728</v>
      </c>
      <c r="B594" t="s">
        <v>10</v>
      </c>
      <c r="C594" t="s">
        <v>11</v>
      </c>
      <c r="D594" t="s">
        <v>12</v>
      </c>
      <c r="E594" t="s">
        <v>250</v>
      </c>
      <c r="F594" t="s">
        <v>44</v>
      </c>
      <c r="G594" t="s">
        <v>35</v>
      </c>
      <c r="H594">
        <v>6</v>
      </c>
      <c r="I594">
        <v>6444</v>
      </c>
      <c r="J594">
        <v>518.79</v>
      </c>
    </row>
    <row r="595" spans="1:10" x14ac:dyDescent="0.25">
      <c r="A595" s="1">
        <v>44634</v>
      </c>
      <c r="B595" t="s">
        <v>25</v>
      </c>
      <c r="C595" t="s">
        <v>19</v>
      </c>
      <c r="D595" t="s">
        <v>12</v>
      </c>
      <c r="E595" t="s">
        <v>220</v>
      </c>
      <c r="F595" t="s">
        <v>108</v>
      </c>
      <c r="G595" t="s">
        <v>15</v>
      </c>
      <c r="H595">
        <v>1</v>
      </c>
      <c r="I595">
        <v>812</v>
      </c>
      <c r="J595">
        <v>51.13</v>
      </c>
    </row>
    <row r="596" spans="1:10" x14ac:dyDescent="0.25">
      <c r="A596" s="1">
        <v>45122</v>
      </c>
      <c r="B596" t="s">
        <v>36</v>
      </c>
      <c r="C596" t="s">
        <v>17</v>
      </c>
      <c r="D596" t="s">
        <v>12</v>
      </c>
      <c r="E596" t="s">
        <v>118</v>
      </c>
      <c r="F596" t="s">
        <v>42</v>
      </c>
      <c r="G596" t="s">
        <v>28</v>
      </c>
      <c r="H596">
        <v>6</v>
      </c>
      <c r="I596">
        <v>1764</v>
      </c>
      <c r="J596">
        <v>465.93</v>
      </c>
    </row>
    <row r="597" spans="1:10" x14ac:dyDescent="0.25">
      <c r="A597" s="1">
        <v>45425</v>
      </c>
      <c r="B597" t="s">
        <v>10</v>
      </c>
      <c r="C597" t="s">
        <v>11</v>
      </c>
      <c r="D597" t="s">
        <v>12</v>
      </c>
      <c r="E597" t="s">
        <v>118</v>
      </c>
      <c r="F597" t="s">
        <v>42</v>
      </c>
      <c r="G597" t="s">
        <v>28</v>
      </c>
      <c r="H597">
        <v>1</v>
      </c>
      <c r="I597">
        <v>1012</v>
      </c>
      <c r="J597">
        <v>172.67</v>
      </c>
    </row>
    <row r="598" spans="1:10" x14ac:dyDescent="0.25">
      <c r="A598" s="1">
        <v>45049</v>
      </c>
      <c r="B598" t="s">
        <v>49</v>
      </c>
      <c r="C598" t="s">
        <v>17</v>
      </c>
      <c r="D598" t="s">
        <v>12</v>
      </c>
      <c r="E598" t="s">
        <v>105</v>
      </c>
      <c r="F598" t="s">
        <v>23</v>
      </c>
      <c r="G598" t="s">
        <v>24</v>
      </c>
      <c r="H598">
        <v>2</v>
      </c>
      <c r="I598">
        <v>836</v>
      </c>
      <c r="J598">
        <v>47.07</v>
      </c>
    </row>
    <row r="599" spans="1:10" x14ac:dyDescent="0.25">
      <c r="A599" s="1">
        <v>45289</v>
      </c>
      <c r="B599" t="s">
        <v>32</v>
      </c>
      <c r="C599" t="s">
        <v>19</v>
      </c>
      <c r="D599" t="s">
        <v>12</v>
      </c>
      <c r="E599" t="s">
        <v>229</v>
      </c>
      <c r="F599" t="s">
        <v>149</v>
      </c>
      <c r="G599" t="s">
        <v>15</v>
      </c>
      <c r="H599">
        <v>1</v>
      </c>
      <c r="I599">
        <v>723</v>
      </c>
      <c r="J599">
        <v>115.26</v>
      </c>
    </row>
    <row r="600" spans="1:10" x14ac:dyDescent="0.25">
      <c r="A600" s="1">
        <v>44900</v>
      </c>
      <c r="B600" t="s">
        <v>29</v>
      </c>
      <c r="C600" t="s">
        <v>17</v>
      </c>
      <c r="D600" t="s">
        <v>12</v>
      </c>
      <c r="E600" t="s">
        <v>251</v>
      </c>
      <c r="F600" t="s">
        <v>108</v>
      </c>
      <c r="G600" t="s">
        <v>15</v>
      </c>
      <c r="H600">
        <v>6</v>
      </c>
      <c r="I600">
        <v>5628</v>
      </c>
      <c r="J600">
        <v>1033.1500000000001</v>
      </c>
    </row>
    <row r="601" spans="1:10" x14ac:dyDescent="0.25">
      <c r="A601" s="1">
        <v>45561</v>
      </c>
      <c r="B601" t="s">
        <v>55</v>
      </c>
      <c r="C601" t="s">
        <v>19</v>
      </c>
      <c r="D601" t="s">
        <v>12</v>
      </c>
      <c r="E601" t="s">
        <v>120</v>
      </c>
      <c r="F601" t="s">
        <v>21</v>
      </c>
      <c r="G601" t="s">
        <v>15</v>
      </c>
      <c r="H601">
        <v>5</v>
      </c>
      <c r="I601">
        <v>1660</v>
      </c>
      <c r="J601">
        <v>283.14</v>
      </c>
    </row>
    <row r="602" spans="1:10" x14ac:dyDescent="0.25">
      <c r="A602" s="1">
        <v>45013</v>
      </c>
      <c r="B602" t="s">
        <v>29</v>
      </c>
      <c r="C602" t="s">
        <v>17</v>
      </c>
      <c r="D602" t="s">
        <v>12</v>
      </c>
      <c r="E602" t="s">
        <v>164</v>
      </c>
      <c r="F602" t="s">
        <v>94</v>
      </c>
      <c r="G602" t="s">
        <v>24</v>
      </c>
      <c r="H602">
        <v>3</v>
      </c>
      <c r="I602">
        <v>2295</v>
      </c>
      <c r="J602">
        <v>244.83</v>
      </c>
    </row>
    <row r="603" spans="1:10" x14ac:dyDescent="0.25">
      <c r="A603" s="1">
        <v>45401</v>
      </c>
      <c r="B603" t="s">
        <v>10</v>
      </c>
      <c r="C603" t="s">
        <v>11</v>
      </c>
      <c r="D603" t="s">
        <v>12</v>
      </c>
      <c r="E603" t="s">
        <v>105</v>
      </c>
      <c r="F603" t="s">
        <v>23</v>
      </c>
      <c r="G603" t="s">
        <v>24</v>
      </c>
      <c r="H603">
        <v>2</v>
      </c>
      <c r="I603">
        <v>2190</v>
      </c>
      <c r="J603">
        <v>477.8</v>
      </c>
    </row>
    <row r="604" spans="1:10" x14ac:dyDescent="0.25">
      <c r="A604" s="1">
        <v>45576</v>
      </c>
      <c r="B604" t="s">
        <v>18</v>
      </c>
      <c r="C604" t="s">
        <v>19</v>
      </c>
      <c r="D604" t="s">
        <v>12</v>
      </c>
      <c r="E604" t="s">
        <v>105</v>
      </c>
      <c r="F604" t="s">
        <v>23</v>
      </c>
      <c r="G604" t="s">
        <v>24</v>
      </c>
      <c r="H604">
        <v>7</v>
      </c>
      <c r="I604">
        <v>3500</v>
      </c>
      <c r="J604">
        <v>919.35</v>
      </c>
    </row>
    <row r="605" spans="1:10" x14ac:dyDescent="0.25">
      <c r="A605" s="1">
        <v>44674</v>
      </c>
      <c r="B605" t="s">
        <v>29</v>
      </c>
      <c r="C605" t="s">
        <v>17</v>
      </c>
      <c r="D605" t="s">
        <v>12</v>
      </c>
      <c r="E605" t="s">
        <v>74</v>
      </c>
      <c r="F605" t="s">
        <v>23</v>
      </c>
      <c r="G605" t="s">
        <v>24</v>
      </c>
      <c r="H605">
        <v>2</v>
      </c>
      <c r="I605">
        <v>1098</v>
      </c>
      <c r="J605">
        <v>239.92</v>
      </c>
    </row>
    <row r="606" spans="1:10" x14ac:dyDescent="0.25">
      <c r="A606" s="1">
        <v>45078</v>
      </c>
      <c r="B606" t="s">
        <v>16</v>
      </c>
      <c r="C606" t="s">
        <v>17</v>
      </c>
      <c r="D606" t="s">
        <v>12</v>
      </c>
      <c r="E606" t="s">
        <v>252</v>
      </c>
      <c r="F606" t="s">
        <v>94</v>
      </c>
      <c r="G606" t="s">
        <v>24</v>
      </c>
      <c r="H606">
        <v>5</v>
      </c>
      <c r="I606">
        <v>945</v>
      </c>
      <c r="J606">
        <v>194.03</v>
      </c>
    </row>
    <row r="607" spans="1:10" x14ac:dyDescent="0.25">
      <c r="A607" s="1">
        <v>44611</v>
      </c>
      <c r="B607" t="s">
        <v>16</v>
      </c>
      <c r="C607" t="s">
        <v>17</v>
      </c>
      <c r="D607" t="s">
        <v>12</v>
      </c>
      <c r="E607" t="s">
        <v>253</v>
      </c>
      <c r="F607" t="s">
        <v>183</v>
      </c>
      <c r="G607" t="s">
        <v>15</v>
      </c>
      <c r="H607">
        <v>6</v>
      </c>
      <c r="I607">
        <v>5622</v>
      </c>
      <c r="J607">
        <v>1382.67</v>
      </c>
    </row>
    <row r="608" spans="1:10" x14ac:dyDescent="0.25">
      <c r="A608" s="1">
        <v>45120</v>
      </c>
      <c r="B608" t="s">
        <v>25</v>
      </c>
      <c r="C608" t="s">
        <v>19</v>
      </c>
      <c r="D608" t="s">
        <v>12</v>
      </c>
      <c r="E608" t="s">
        <v>134</v>
      </c>
      <c r="F608" t="s">
        <v>42</v>
      </c>
      <c r="G608" t="s">
        <v>28</v>
      </c>
      <c r="H608">
        <v>3</v>
      </c>
      <c r="I608">
        <v>2325</v>
      </c>
      <c r="J608">
        <v>309.49</v>
      </c>
    </row>
    <row r="609" spans="1:10" x14ac:dyDescent="0.25">
      <c r="A609" s="1">
        <v>44776</v>
      </c>
      <c r="B609" t="s">
        <v>49</v>
      </c>
      <c r="C609" t="s">
        <v>17</v>
      </c>
      <c r="D609" t="s">
        <v>12</v>
      </c>
      <c r="E609" t="s">
        <v>37</v>
      </c>
      <c r="F609" t="s">
        <v>34</v>
      </c>
      <c r="G609" t="s">
        <v>35</v>
      </c>
      <c r="H609">
        <v>1</v>
      </c>
      <c r="I609">
        <v>1157</v>
      </c>
      <c r="J609">
        <v>252.08</v>
      </c>
    </row>
    <row r="610" spans="1:10" x14ac:dyDescent="0.25">
      <c r="A610" s="1">
        <v>45321</v>
      </c>
      <c r="B610" t="s">
        <v>10</v>
      </c>
      <c r="C610" t="s">
        <v>11</v>
      </c>
      <c r="D610" t="s">
        <v>12</v>
      </c>
      <c r="E610" t="s">
        <v>254</v>
      </c>
      <c r="F610" t="s">
        <v>44</v>
      </c>
      <c r="G610" t="s">
        <v>35</v>
      </c>
      <c r="H610">
        <v>3</v>
      </c>
      <c r="I610">
        <v>531</v>
      </c>
      <c r="J610">
        <v>126.24</v>
      </c>
    </row>
    <row r="611" spans="1:10" x14ac:dyDescent="0.25">
      <c r="A611" s="1">
        <v>45130</v>
      </c>
      <c r="B611" t="s">
        <v>18</v>
      </c>
      <c r="C611" t="s">
        <v>19</v>
      </c>
      <c r="D611" t="s">
        <v>12</v>
      </c>
      <c r="E611" t="s">
        <v>26</v>
      </c>
      <c r="F611" t="s">
        <v>27</v>
      </c>
      <c r="G611" t="s">
        <v>28</v>
      </c>
      <c r="H611">
        <v>2</v>
      </c>
      <c r="I611">
        <v>1760</v>
      </c>
      <c r="J611">
        <v>278.08999999999997</v>
      </c>
    </row>
    <row r="612" spans="1:10" x14ac:dyDescent="0.25">
      <c r="A612" s="1">
        <v>45242</v>
      </c>
      <c r="B612" t="s">
        <v>32</v>
      </c>
      <c r="C612" t="s">
        <v>19</v>
      </c>
      <c r="D612" t="s">
        <v>12</v>
      </c>
      <c r="E612" t="s">
        <v>26</v>
      </c>
      <c r="F612" t="s">
        <v>27</v>
      </c>
      <c r="G612" t="s">
        <v>28</v>
      </c>
      <c r="H612">
        <v>1</v>
      </c>
      <c r="I612">
        <v>371</v>
      </c>
      <c r="J612">
        <v>108.58</v>
      </c>
    </row>
    <row r="613" spans="1:10" x14ac:dyDescent="0.25">
      <c r="A613" s="1">
        <v>45580</v>
      </c>
      <c r="B613" t="s">
        <v>40</v>
      </c>
      <c r="C613" t="s">
        <v>19</v>
      </c>
      <c r="D613" t="s">
        <v>12</v>
      </c>
      <c r="E613" t="s">
        <v>177</v>
      </c>
      <c r="F613" t="s">
        <v>42</v>
      </c>
      <c r="G613" t="s">
        <v>28</v>
      </c>
      <c r="H613">
        <v>4</v>
      </c>
      <c r="I613">
        <v>1896</v>
      </c>
      <c r="J613">
        <v>191.7</v>
      </c>
    </row>
    <row r="614" spans="1:10" x14ac:dyDescent="0.25">
      <c r="A614" s="1">
        <v>45147</v>
      </c>
      <c r="B614" t="s">
        <v>32</v>
      </c>
      <c r="C614" t="s">
        <v>19</v>
      </c>
      <c r="D614" t="s">
        <v>12</v>
      </c>
      <c r="E614" t="s">
        <v>75</v>
      </c>
      <c r="F614" t="s">
        <v>108</v>
      </c>
      <c r="G614" t="s">
        <v>15</v>
      </c>
      <c r="H614">
        <v>2</v>
      </c>
      <c r="I614">
        <v>514</v>
      </c>
      <c r="J614">
        <v>106.75</v>
      </c>
    </row>
    <row r="615" spans="1:10" x14ac:dyDescent="0.25">
      <c r="A615" s="1">
        <v>44791</v>
      </c>
      <c r="B615" t="s">
        <v>36</v>
      </c>
      <c r="C615" t="s">
        <v>17</v>
      </c>
      <c r="D615" t="s">
        <v>12</v>
      </c>
      <c r="E615" t="s">
        <v>255</v>
      </c>
      <c r="F615" t="s">
        <v>71</v>
      </c>
      <c r="G615" t="s">
        <v>35</v>
      </c>
      <c r="H615">
        <v>7</v>
      </c>
      <c r="I615">
        <v>1876</v>
      </c>
      <c r="J615">
        <v>129.25</v>
      </c>
    </row>
    <row r="616" spans="1:10" x14ac:dyDescent="0.25">
      <c r="A616" s="1">
        <v>45157</v>
      </c>
      <c r="B616" t="s">
        <v>25</v>
      </c>
      <c r="C616" t="s">
        <v>19</v>
      </c>
      <c r="D616" t="s">
        <v>12</v>
      </c>
      <c r="E616" t="s">
        <v>74</v>
      </c>
      <c r="F616" t="s">
        <v>23</v>
      </c>
      <c r="G616" t="s">
        <v>24</v>
      </c>
      <c r="H616">
        <v>6</v>
      </c>
      <c r="I616">
        <v>1182</v>
      </c>
      <c r="J616">
        <v>236.12</v>
      </c>
    </row>
    <row r="617" spans="1:10" x14ac:dyDescent="0.25">
      <c r="A617" s="1">
        <v>44634</v>
      </c>
      <c r="B617" t="s">
        <v>40</v>
      </c>
      <c r="C617" t="s">
        <v>19</v>
      </c>
      <c r="D617" t="s">
        <v>12</v>
      </c>
      <c r="E617" t="s">
        <v>136</v>
      </c>
      <c r="F617" t="s">
        <v>65</v>
      </c>
      <c r="G617" t="s">
        <v>35</v>
      </c>
      <c r="H617">
        <v>5</v>
      </c>
      <c r="I617">
        <v>4255</v>
      </c>
      <c r="J617">
        <v>961.41</v>
      </c>
    </row>
    <row r="618" spans="1:10" x14ac:dyDescent="0.25">
      <c r="A618" s="1">
        <v>44819</v>
      </c>
      <c r="B618" t="s">
        <v>36</v>
      </c>
      <c r="C618" t="s">
        <v>17</v>
      </c>
      <c r="D618" t="s">
        <v>12</v>
      </c>
      <c r="E618" t="s">
        <v>136</v>
      </c>
      <c r="F618" t="s">
        <v>65</v>
      </c>
      <c r="G618" t="s">
        <v>35</v>
      </c>
      <c r="H618">
        <v>9</v>
      </c>
      <c r="I618">
        <v>1341</v>
      </c>
      <c r="J618">
        <v>150.69999999999999</v>
      </c>
    </row>
    <row r="619" spans="1:10" x14ac:dyDescent="0.25">
      <c r="A619" s="1">
        <v>44827</v>
      </c>
      <c r="B619" t="s">
        <v>49</v>
      </c>
      <c r="C619" t="s">
        <v>17</v>
      </c>
      <c r="D619" t="s">
        <v>12</v>
      </c>
      <c r="E619" t="s">
        <v>136</v>
      </c>
      <c r="F619" t="s">
        <v>65</v>
      </c>
      <c r="G619" t="s">
        <v>35</v>
      </c>
      <c r="H619">
        <v>1</v>
      </c>
      <c r="I619">
        <v>644</v>
      </c>
      <c r="J619">
        <v>49.25</v>
      </c>
    </row>
    <row r="620" spans="1:10" x14ac:dyDescent="0.25">
      <c r="A620" s="1">
        <v>45429</v>
      </c>
      <c r="B620" t="s">
        <v>36</v>
      </c>
      <c r="C620" t="s">
        <v>17</v>
      </c>
      <c r="D620" t="s">
        <v>12</v>
      </c>
      <c r="E620" t="s">
        <v>22</v>
      </c>
      <c r="F620" t="s">
        <v>23</v>
      </c>
      <c r="G620" t="s">
        <v>24</v>
      </c>
      <c r="H620">
        <v>3</v>
      </c>
      <c r="I620">
        <v>1827</v>
      </c>
      <c r="J620">
        <v>94.4</v>
      </c>
    </row>
    <row r="621" spans="1:10" x14ac:dyDescent="0.25">
      <c r="A621" s="1">
        <v>45592</v>
      </c>
      <c r="B621" t="s">
        <v>25</v>
      </c>
      <c r="C621" t="s">
        <v>19</v>
      </c>
      <c r="D621" t="s">
        <v>12</v>
      </c>
      <c r="E621" t="s">
        <v>74</v>
      </c>
      <c r="F621" t="s">
        <v>23</v>
      </c>
      <c r="G621" t="s">
        <v>24</v>
      </c>
      <c r="H621">
        <v>1</v>
      </c>
      <c r="I621">
        <v>930</v>
      </c>
      <c r="J621">
        <v>136.16</v>
      </c>
    </row>
    <row r="622" spans="1:10" x14ac:dyDescent="0.25">
      <c r="A622" s="1">
        <v>44607</v>
      </c>
      <c r="B622" t="s">
        <v>25</v>
      </c>
      <c r="C622" t="s">
        <v>19</v>
      </c>
      <c r="D622" t="s">
        <v>12</v>
      </c>
      <c r="E622" t="s">
        <v>105</v>
      </c>
      <c r="F622" t="s">
        <v>23</v>
      </c>
      <c r="G622" t="s">
        <v>24</v>
      </c>
      <c r="H622">
        <v>4</v>
      </c>
      <c r="I622">
        <v>528</v>
      </c>
      <c r="J622">
        <v>152.80000000000001</v>
      </c>
    </row>
    <row r="623" spans="1:10" x14ac:dyDescent="0.25">
      <c r="A623" s="1">
        <v>44615</v>
      </c>
      <c r="B623" t="s">
        <v>36</v>
      </c>
      <c r="C623" t="s">
        <v>17</v>
      </c>
      <c r="D623" t="s">
        <v>12</v>
      </c>
      <c r="E623" t="s">
        <v>171</v>
      </c>
      <c r="F623" t="s">
        <v>94</v>
      </c>
      <c r="G623" t="s">
        <v>24</v>
      </c>
      <c r="H623">
        <v>6</v>
      </c>
      <c r="I623">
        <v>4236</v>
      </c>
      <c r="J623">
        <v>739.22</v>
      </c>
    </row>
    <row r="624" spans="1:10" x14ac:dyDescent="0.25">
      <c r="A624" s="1">
        <v>44940</v>
      </c>
      <c r="B624" t="s">
        <v>29</v>
      </c>
      <c r="C624" t="s">
        <v>17</v>
      </c>
      <c r="D624" t="s">
        <v>12</v>
      </c>
      <c r="E624" t="s">
        <v>171</v>
      </c>
      <c r="F624" t="s">
        <v>94</v>
      </c>
      <c r="G624" t="s">
        <v>24</v>
      </c>
      <c r="H624">
        <v>4</v>
      </c>
      <c r="I624">
        <v>1664</v>
      </c>
      <c r="J624">
        <v>190.82</v>
      </c>
    </row>
    <row r="625" spans="1:10" x14ac:dyDescent="0.25">
      <c r="A625" s="1">
        <v>44938</v>
      </c>
      <c r="B625" t="s">
        <v>32</v>
      </c>
      <c r="C625" t="s">
        <v>19</v>
      </c>
      <c r="D625" t="s">
        <v>12</v>
      </c>
      <c r="E625" t="s">
        <v>177</v>
      </c>
      <c r="F625" t="s">
        <v>42</v>
      </c>
      <c r="G625" t="s">
        <v>28</v>
      </c>
      <c r="H625">
        <v>3</v>
      </c>
      <c r="I625">
        <v>2727</v>
      </c>
      <c r="J625">
        <v>554.46</v>
      </c>
    </row>
    <row r="626" spans="1:10" x14ac:dyDescent="0.25">
      <c r="A626" s="1">
        <v>44600</v>
      </c>
      <c r="B626" t="s">
        <v>32</v>
      </c>
      <c r="C626" t="s">
        <v>19</v>
      </c>
      <c r="D626" t="s">
        <v>12</v>
      </c>
      <c r="E626" t="s">
        <v>118</v>
      </c>
      <c r="F626" t="s">
        <v>23</v>
      </c>
      <c r="G626" t="s">
        <v>24</v>
      </c>
      <c r="H626">
        <v>2</v>
      </c>
      <c r="I626">
        <v>522</v>
      </c>
      <c r="J626">
        <v>52.73</v>
      </c>
    </row>
    <row r="627" spans="1:10" x14ac:dyDescent="0.25">
      <c r="A627" s="1">
        <v>45632</v>
      </c>
      <c r="B627" t="s">
        <v>16</v>
      </c>
      <c r="C627" t="s">
        <v>17</v>
      </c>
      <c r="D627" t="s">
        <v>12</v>
      </c>
      <c r="E627" t="s">
        <v>118</v>
      </c>
      <c r="F627" t="s">
        <v>23</v>
      </c>
      <c r="G627" t="s">
        <v>24</v>
      </c>
      <c r="H627">
        <v>7</v>
      </c>
      <c r="I627">
        <v>8288</v>
      </c>
      <c r="J627">
        <v>1945.03</v>
      </c>
    </row>
    <row r="628" spans="1:10" x14ac:dyDescent="0.25">
      <c r="A628" s="1">
        <v>45363</v>
      </c>
      <c r="B628" t="s">
        <v>55</v>
      </c>
      <c r="C628" t="s">
        <v>19</v>
      </c>
      <c r="D628" t="s">
        <v>12</v>
      </c>
      <c r="E628" t="s">
        <v>118</v>
      </c>
      <c r="F628" t="s">
        <v>23</v>
      </c>
      <c r="G628" t="s">
        <v>24</v>
      </c>
      <c r="H628">
        <v>9</v>
      </c>
      <c r="I628">
        <v>1062</v>
      </c>
      <c r="J628">
        <v>73.58</v>
      </c>
    </row>
    <row r="629" spans="1:10" x14ac:dyDescent="0.25">
      <c r="A629" s="1">
        <v>45200</v>
      </c>
      <c r="B629" t="s">
        <v>40</v>
      </c>
      <c r="C629" t="s">
        <v>19</v>
      </c>
      <c r="D629" t="s">
        <v>12</v>
      </c>
      <c r="E629" t="s">
        <v>256</v>
      </c>
      <c r="F629" t="s">
        <v>44</v>
      </c>
      <c r="G629" t="s">
        <v>35</v>
      </c>
      <c r="H629">
        <v>3</v>
      </c>
      <c r="I629">
        <v>1140</v>
      </c>
      <c r="J629">
        <v>226.52</v>
      </c>
    </row>
    <row r="630" spans="1:10" x14ac:dyDescent="0.25">
      <c r="A630" s="1">
        <v>45394</v>
      </c>
      <c r="B630" t="s">
        <v>49</v>
      </c>
      <c r="C630" t="s">
        <v>17</v>
      </c>
      <c r="D630" t="s">
        <v>12</v>
      </c>
      <c r="E630" t="s">
        <v>229</v>
      </c>
      <c r="F630" t="s">
        <v>149</v>
      </c>
      <c r="G630" t="s">
        <v>15</v>
      </c>
      <c r="H630">
        <v>8</v>
      </c>
      <c r="I630">
        <v>3488</v>
      </c>
      <c r="J630">
        <v>712.24</v>
      </c>
    </row>
    <row r="631" spans="1:10" x14ac:dyDescent="0.25">
      <c r="A631" s="1">
        <v>45282</v>
      </c>
      <c r="B631" t="s">
        <v>18</v>
      </c>
      <c r="C631" t="s">
        <v>19</v>
      </c>
      <c r="D631" t="s">
        <v>12</v>
      </c>
      <c r="E631" t="s">
        <v>257</v>
      </c>
      <c r="F631" t="s">
        <v>34</v>
      </c>
      <c r="G631" t="s">
        <v>35</v>
      </c>
      <c r="H631">
        <v>8</v>
      </c>
      <c r="I631">
        <v>5920</v>
      </c>
      <c r="J631">
        <v>1436.7</v>
      </c>
    </row>
    <row r="632" spans="1:10" x14ac:dyDescent="0.25">
      <c r="A632" s="1">
        <v>45357</v>
      </c>
      <c r="B632" t="s">
        <v>36</v>
      </c>
      <c r="C632" t="s">
        <v>17</v>
      </c>
      <c r="D632" t="s">
        <v>12</v>
      </c>
      <c r="E632" t="s">
        <v>26</v>
      </c>
      <c r="F632" t="s">
        <v>27</v>
      </c>
      <c r="G632" t="s">
        <v>28</v>
      </c>
      <c r="H632">
        <v>9</v>
      </c>
      <c r="I632">
        <v>3096</v>
      </c>
      <c r="J632">
        <v>362.89</v>
      </c>
    </row>
    <row r="633" spans="1:10" x14ac:dyDescent="0.25">
      <c r="A633" s="1">
        <v>45414</v>
      </c>
      <c r="B633" t="s">
        <v>36</v>
      </c>
      <c r="C633" t="s">
        <v>17</v>
      </c>
      <c r="D633" t="s">
        <v>12</v>
      </c>
      <c r="E633" t="s">
        <v>258</v>
      </c>
      <c r="F633" t="s">
        <v>48</v>
      </c>
      <c r="G633" t="s">
        <v>15</v>
      </c>
      <c r="H633">
        <v>5</v>
      </c>
      <c r="I633">
        <v>3490</v>
      </c>
      <c r="J633">
        <v>205.04</v>
      </c>
    </row>
    <row r="634" spans="1:10" x14ac:dyDescent="0.25">
      <c r="A634" s="1">
        <v>44653</v>
      </c>
      <c r="B634" t="s">
        <v>32</v>
      </c>
      <c r="C634" t="s">
        <v>19</v>
      </c>
      <c r="D634" t="s">
        <v>12</v>
      </c>
      <c r="E634" t="s">
        <v>26</v>
      </c>
      <c r="F634" t="s">
        <v>27</v>
      </c>
      <c r="G634" t="s">
        <v>28</v>
      </c>
      <c r="H634">
        <v>6</v>
      </c>
      <c r="I634">
        <v>4374</v>
      </c>
      <c r="J634">
        <v>702.62</v>
      </c>
    </row>
    <row r="635" spans="1:10" x14ac:dyDescent="0.25">
      <c r="A635" s="1">
        <v>45333</v>
      </c>
      <c r="B635" t="s">
        <v>40</v>
      </c>
      <c r="C635" t="s">
        <v>19</v>
      </c>
      <c r="D635" t="s">
        <v>12</v>
      </c>
      <c r="E635" t="s">
        <v>56</v>
      </c>
      <c r="F635" t="s">
        <v>57</v>
      </c>
      <c r="G635" t="s">
        <v>24</v>
      </c>
      <c r="H635">
        <v>6</v>
      </c>
      <c r="I635">
        <v>3366</v>
      </c>
      <c r="J635">
        <v>541.86</v>
      </c>
    </row>
    <row r="636" spans="1:10" x14ac:dyDescent="0.25">
      <c r="A636" s="1">
        <v>45384</v>
      </c>
      <c r="B636" t="s">
        <v>10</v>
      </c>
      <c r="C636" t="s">
        <v>11</v>
      </c>
      <c r="D636" t="s">
        <v>12</v>
      </c>
      <c r="E636" t="s">
        <v>132</v>
      </c>
      <c r="F636" t="s">
        <v>189</v>
      </c>
      <c r="G636" t="s">
        <v>24</v>
      </c>
      <c r="H636">
        <v>6</v>
      </c>
      <c r="I636">
        <v>822</v>
      </c>
      <c r="J636">
        <v>231.62</v>
      </c>
    </row>
    <row r="637" spans="1:10" x14ac:dyDescent="0.25">
      <c r="A637" s="1">
        <v>45623</v>
      </c>
      <c r="B637" t="s">
        <v>36</v>
      </c>
      <c r="C637" t="s">
        <v>17</v>
      </c>
      <c r="D637" t="s">
        <v>12</v>
      </c>
      <c r="E637" t="s">
        <v>75</v>
      </c>
      <c r="F637" t="s">
        <v>108</v>
      </c>
      <c r="G637" t="s">
        <v>15</v>
      </c>
      <c r="H637">
        <v>2</v>
      </c>
      <c r="I637">
        <v>340</v>
      </c>
      <c r="J637">
        <v>39.119999999999997</v>
      </c>
    </row>
    <row r="638" spans="1:10" x14ac:dyDescent="0.25">
      <c r="A638" s="1">
        <v>44803</v>
      </c>
      <c r="B638" t="s">
        <v>16</v>
      </c>
      <c r="C638" t="s">
        <v>17</v>
      </c>
      <c r="D638" t="s">
        <v>12</v>
      </c>
      <c r="E638" t="s">
        <v>26</v>
      </c>
      <c r="F638" t="s">
        <v>27</v>
      </c>
      <c r="G638" t="s">
        <v>28</v>
      </c>
      <c r="H638">
        <v>1</v>
      </c>
      <c r="I638">
        <v>763</v>
      </c>
      <c r="J638">
        <v>217.94</v>
      </c>
    </row>
    <row r="639" spans="1:10" x14ac:dyDescent="0.25">
      <c r="A639" s="1">
        <v>44757</v>
      </c>
      <c r="B639" t="s">
        <v>29</v>
      </c>
      <c r="C639" t="s">
        <v>17</v>
      </c>
      <c r="D639" t="s">
        <v>12</v>
      </c>
      <c r="E639" t="s">
        <v>259</v>
      </c>
      <c r="F639" t="s">
        <v>14</v>
      </c>
      <c r="G639" t="s">
        <v>15</v>
      </c>
      <c r="H639">
        <v>4</v>
      </c>
      <c r="I639">
        <v>3408</v>
      </c>
      <c r="J639">
        <v>856.98</v>
      </c>
    </row>
    <row r="640" spans="1:10" x14ac:dyDescent="0.25">
      <c r="A640" s="1">
        <v>44613</v>
      </c>
      <c r="B640" t="s">
        <v>18</v>
      </c>
      <c r="C640" t="s">
        <v>19</v>
      </c>
      <c r="D640" t="s">
        <v>12</v>
      </c>
      <c r="E640" t="s">
        <v>52</v>
      </c>
      <c r="F640" t="s">
        <v>42</v>
      </c>
      <c r="G640" t="s">
        <v>28</v>
      </c>
      <c r="H640">
        <v>7</v>
      </c>
      <c r="I640">
        <v>2282</v>
      </c>
      <c r="J640">
        <v>537.71</v>
      </c>
    </row>
    <row r="641" spans="1:10" x14ac:dyDescent="0.25">
      <c r="A641" s="1">
        <v>45183</v>
      </c>
      <c r="B641" t="s">
        <v>25</v>
      </c>
      <c r="C641" t="s">
        <v>19</v>
      </c>
      <c r="D641" t="s">
        <v>12</v>
      </c>
      <c r="E641" t="s">
        <v>260</v>
      </c>
      <c r="F641" t="s">
        <v>34</v>
      </c>
      <c r="G641" t="s">
        <v>35</v>
      </c>
      <c r="H641">
        <v>7</v>
      </c>
      <c r="I641">
        <v>4151</v>
      </c>
      <c r="J641">
        <v>1047.43</v>
      </c>
    </row>
    <row r="642" spans="1:10" x14ac:dyDescent="0.25">
      <c r="A642" s="1">
        <v>45390</v>
      </c>
      <c r="B642" t="s">
        <v>55</v>
      </c>
      <c r="C642" t="s">
        <v>19</v>
      </c>
      <c r="D642" t="s">
        <v>12</v>
      </c>
      <c r="E642" t="s">
        <v>261</v>
      </c>
      <c r="F642" t="s">
        <v>31</v>
      </c>
      <c r="G642" t="s">
        <v>24</v>
      </c>
      <c r="H642">
        <v>7</v>
      </c>
      <c r="I642">
        <v>6279</v>
      </c>
      <c r="J642">
        <v>1689.55</v>
      </c>
    </row>
    <row r="643" spans="1:10" x14ac:dyDescent="0.25">
      <c r="A643" s="1">
        <v>45223</v>
      </c>
      <c r="B643" t="s">
        <v>36</v>
      </c>
      <c r="C643" t="s">
        <v>17</v>
      </c>
      <c r="D643" t="s">
        <v>12</v>
      </c>
      <c r="E643" t="s">
        <v>262</v>
      </c>
      <c r="F643" t="s">
        <v>34</v>
      </c>
      <c r="G643" t="s">
        <v>35</v>
      </c>
      <c r="H643">
        <v>3</v>
      </c>
      <c r="I643">
        <v>474</v>
      </c>
      <c r="J643">
        <v>83.32</v>
      </c>
    </row>
    <row r="644" spans="1:10" x14ac:dyDescent="0.25">
      <c r="A644" s="1">
        <v>45032</v>
      </c>
      <c r="B644" t="s">
        <v>36</v>
      </c>
      <c r="C644" t="s">
        <v>17</v>
      </c>
      <c r="D644" t="s">
        <v>12</v>
      </c>
      <c r="E644" t="s">
        <v>26</v>
      </c>
      <c r="F644" t="s">
        <v>27</v>
      </c>
      <c r="G644" t="s">
        <v>28</v>
      </c>
      <c r="H644">
        <v>5</v>
      </c>
      <c r="I644">
        <v>680</v>
      </c>
      <c r="J644">
        <v>176.44</v>
      </c>
    </row>
    <row r="645" spans="1:10" x14ac:dyDescent="0.25">
      <c r="A645" s="1">
        <v>45214</v>
      </c>
      <c r="B645" t="s">
        <v>29</v>
      </c>
      <c r="C645" t="s">
        <v>17</v>
      </c>
      <c r="D645" t="s">
        <v>12</v>
      </c>
      <c r="E645" t="s">
        <v>249</v>
      </c>
      <c r="F645" t="s">
        <v>115</v>
      </c>
      <c r="G645" t="s">
        <v>15</v>
      </c>
      <c r="H645">
        <v>9</v>
      </c>
      <c r="I645">
        <v>8496</v>
      </c>
      <c r="J645">
        <v>1721.6</v>
      </c>
    </row>
    <row r="646" spans="1:10" x14ac:dyDescent="0.25">
      <c r="A646" s="1">
        <v>45158</v>
      </c>
      <c r="B646" t="s">
        <v>49</v>
      </c>
      <c r="C646" t="s">
        <v>17</v>
      </c>
      <c r="D646" t="s">
        <v>12</v>
      </c>
      <c r="E646" t="s">
        <v>263</v>
      </c>
      <c r="F646" t="s">
        <v>71</v>
      </c>
      <c r="G646" t="s">
        <v>35</v>
      </c>
      <c r="H646">
        <v>7</v>
      </c>
      <c r="I646">
        <v>7826</v>
      </c>
      <c r="J646">
        <v>714.68</v>
      </c>
    </row>
    <row r="647" spans="1:10" x14ac:dyDescent="0.25">
      <c r="A647" s="1">
        <v>45223</v>
      </c>
      <c r="B647" t="s">
        <v>16</v>
      </c>
      <c r="C647" t="s">
        <v>17</v>
      </c>
      <c r="D647" t="s">
        <v>12</v>
      </c>
      <c r="E647" t="s">
        <v>264</v>
      </c>
      <c r="F647" t="s">
        <v>189</v>
      </c>
      <c r="G647" t="s">
        <v>24</v>
      </c>
      <c r="H647">
        <v>6</v>
      </c>
      <c r="I647">
        <v>4014</v>
      </c>
      <c r="J647">
        <v>717.44</v>
      </c>
    </row>
    <row r="648" spans="1:10" x14ac:dyDescent="0.25">
      <c r="A648" s="1">
        <v>45499</v>
      </c>
      <c r="B648" t="s">
        <v>55</v>
      </c>
      <c r="C648" t="s">
        <v>19</v>
      </c>
      <c r="D648" t="s">
        <v>12</v>
      </c>
      <c r="E648" t="s">
        <v>148</v>
      </c>
      <c r="F648" t="s">
        <v>183</v>
      </c>
      <c r="G648" t="s">
        <v>15</v>
      </c>
      <c r="H648">
        <v>1</v>
      </c>
      <c r="I648">
        <v>687</v>
      </c>
      <c r="J648">
        <v>62.82</v>
      </c>
    </row>
    <row r="649" spans="1:10" x14ac:dyDescent="0.25">
      <c r="A649" s="1">
        <v>45596</v>
      </c>
      <c r="B649" t="s">
        <v>32</v>
      </c>
      <c r="C649" t="s">
        <v>19</v>
      </c>
      <c r="D649" t="s">
        <v>12</v>
      </c>
      <c r="E649" t="s">
        <v>162</v>
      </c>
      <c r="F649" t="s">
        <v>23</v>
      </c>
      <c r="G649" t="s">
        <v>24</v>
      </c>
      <c r="H649">
        <v>3</v>
      </c>
      <c r="I649">
        <v>2943</v>
      </c>
      <c r="J649">
        <v>234.27</v>
      </c>
    </row>
    <row r="650" spans="1:10" x14ac:dyDescent="0.25">
      <c r="A650" s="1">
        <v>44679</v>
      </c>
      <c r="B650" t="s">
        <v>10</v>
      </c>
      <c r="C650" t="s">
        <v>11</v>
      </c>
      <c r="D650" t="s">
        <v>12</v>
      </c>
      <c r="E650" t="s">
        <v>265</v>
      </c>
      <c r="F650" t="s">
        <v>46</v>
      </c>
      <c r="G650" t="s">
        <v>15</v>
      </c>
      <c r="H650">
        <v>7</v>
      </c>
      <c r="I650">
        <v>5649</v>
      </c>
      <c r="J650">
        <v>660.37</v>
      </c>
    </row>
    <row r="651" spans="1:10" x14ac:dyDescent="0.25">
      <c r="A651" s="1">
        <v>45519</v>
      </c>
      <c r="B651" t="s">
        <v>18</v>
      </c>
      <c r="C651" t="s">
        <v>19</v>
      </c>
      <c r="D651" t="s">
        <v>12</v>
      </c>
      <c r="E651" t="s">
        <v>116</v>
      </c>
      <c r="F651" t="s">
        <v>23</v>
      </c>
      <c r="G651" t="s">
        <v>24</v>
      </c>
      <c r="H651">
        <v>8</v>
      </c>
      <c r="I651">
        <v>3296</v>
      </c>
      <c r="J651">
        <v>623.66999999999996</v>
      </c>
    </row>
    <row r="652" spans="1:10" x14ac:dyDescent="0.25">
      <c r="A652" s="1">
        <v>45563</v>
      </c>
      <c r="B652" t="s">
        <v>29</v>
      </c>
      <c r="C652" t="s">
        <v>17</v>
      </c>
      <c r="D652" t="s">
        <v>12</v>
      </c>
      <c r="E652" t="s">
        <v>75</v>
      </c>
      <c r="F652" t="s">
        <v>108</v>
      </c>
      <c r="G652" t="s">
        <v>15</v>
      </c>
      <c r="H652">
        <v>3</v>
      </c>
      <c r="I652">
        <v>1137</v>
      </c>
      <c r="J652">
        <v>173.92</v>
      </c>
    </row>
    <row r="653" spans="1:10" x14ac:dyDescent="0.25">
      <c r="A653" s="1">
        <v>45491</v>
      </c>
      <c r="B653" t="s">
        <v>40</v>
      </c>
      <c r="C653" t="s">
        <v>19</v>
      </c>
      <c r="D653" t="s">
        <v>12</v>
      </c>
      <c r="E653" t="s">
        <v>266</v>
      </c>
      <c r="F653" t="s">
        <v>267</v>
      </c>
      <c r="G653" t="s">
        <v>24</v>
      </c>
      <c r="H653">
        <v>2</v>
      </c>
      <c r="I653">
        <v>380</v>
      </c>
      <c r="J653">
        <v>101.7</v>
      </c>
    </row>
    <row r="654" spans="1:10" x14ac:dyDescent="0.25">
      <c r="A654" s="1">
        <v>44856</v>
      </c>
      <c r="B654" t="s">
        <v>55</v>
      </c>
      <c r="C654" t="s">
        <v>19</v>
      </c>
      <c r="D654" t="s">
        <v>12</v>
      </c>
      <c r="E654" t="s">
        <v>74</v>
      </c>
      <c r="F654" t="s">
        <v>23</v>
      </c>
      <c r="G654" t="s">
        <v>24</v>
      </c>
      <c r="H654">
        <v>5</v>
      </c>
      <c r="I654">
        <v>4405</v>
      </c>
      <c r="J654">
        <v>1247.8599999999999</v>
      </c>
    </row>
    <row r="655" spans="1:10" x14ac:dyDescent="0.25">
      <c r="A655" s="1">
        <v>44866</v>
      </c>
      <c r="B655" t="s">
        <v>18</v>
      </c>
      <c r="C655" t="s">
        <v>19</v>
      </c>
      <c r="D655" t="s">
        <v>12</v>
      </c>
      <c r="E655" t="s">
        <v>74</v>
      </c>
      <c r="F655" t="s">
        <v>23</v>
      </c>
      <c r="G655" t="s">
        <v>24</v>
      </c>
      <c r="H655">
        <v>1</v>
      </c>
      <c r="I655">
        <v>120</v>
      </c>
      <c r="J655">
        <v>9.43</v>
      </c>
    </row>
    <row r="656" spans="1:10" x14ac:dyDescent="0.25">
      <c r="A656" s="1">
        <v>45090</v>
      </c>
      <c r="B656" t="s">
        <v>10</v>
      </c>
      <c r="C656" t="s">
        <v>11</v>
      </c>
      <c r="D656" t="s">
        <v>12</v>
      </c>
      <c r="E656" t="s">
        <v>62</v>
      </c>
      <c r="F656" t="s">
        <v>59</v>
      </c>
      <c r="G656" t="s">
        <v>28</v>
      </c>
      <c r="H656">
        <v>1</v>
      </c>
      <c r="I656">
        <v>1176</v>
      </c>
      <c r="J656">
        <v>182.07</v>
      </c>
    </row>
    <row r="657" spans="1:10" x14ac:dyDescent="0.25">
      <c r="A657" s="1">
        <v>44977</v>
      </c>
      <c r="B657" t="s">
        <v>25</v>
      </c>
      <c r="C657" t="s">
        <v>19</v>
      </c>
      <c r="D657" t="s">
        <v>12</v>
      </c>
      <c r="E657" t="s">
        <v>22</v>
      </c>
      <c r="F657" t="s">
        <v>23</v>
      </c>
      <c r="G657" t="s">
        <v>24</v>
      </c>
      <c r="H657">
        <v>3</v>
      </c>
      <c r="I657">
        <v>1770</v>
      </c>
      <c r="J657">
        <v>366.58</v>
      </c>
    </row>
    <row r="658" spans="1:10" x14ac:dyDescent="0.25">
      <c r="A658" s="1">
        <v>45066</v>
      </c>
      <c r="B658" t="s">
        <v>25</v>
      </c>
      <c r="C658" t="s">
        <v>19</v>
      </c>
      <c r="D658" t="s">
        <v>12</v>
      </c>
      <c r="E658" t="s">
        <v>210</v>
      </c>
      <c r="F658" t="s">
        <v>34</v>
      </c>
      <c r="G658" t="s">
        <v>35</v>
      </c>
      <c r="H658">
        <v>6</v>
      </c>
      <c r="I658">
        <v>4302</v>
      </c>
      <c r="J658">
        <v>965.02</v>
      </c>
    </row>
    <row r="659" spans="1:10" x14ac:dyDescent="0.25">
      <c r="A659" s="1">
        <v>45279</v>
      </c>
      <c r="B659" t="s">
        <v>25</v>
      </c>
      <c r="C659" t="s">
        <v>19</v>
      </c>
      <c r="D659" t="s">
        <v>12</v>
      </c>
      <c r="E659" t="s">
        <v>210</v>
      </c>
      <c r="F659" t="s">
        <v>34</v>
      </c>
      <c r="G659" t="s">
        <v>35</v>
      </c>
      <c r="H659">
        <v>3</v>
      </c>
      <c r="I659">
        <v>2988</v>
      </c>
      <c r="J659">
        <v>362.68</v>
      </c>
    </row>
    <row r="660" spans="1:10" x14ac:dyDescent="0.25">
      <c r="A660" s="1">
        <v>45460</v>
      </c>
      <c r="B660" t="s">
        <v>29</v>
      </c>
      <c r="C660" t="s">
        <v>17</v>
      </c>
      <c r="D660" t="s">
        <v>12</v>
      </c>
      <c r="E660" t="s">
        <v>37</v>
      </c>
      <c r="F660" t="s">
        <v>34</v>
      </c>
      <c r="G660" t="s">
        <v>35</v>
      </c>
      <c r="H660">
        <v>3</v>
      </c>
      <c r="I660">
        <v>3033</v>
      </c>
      <c r="J660">
        <v>458.41</v>
      </c>
    </row>
    <row r="661" spans="1:10" x14ac:dyDescent="0.25">
      <c r="A661" s="1">
        <v>45121</v>
      </c>
      <c r="B661" t="s">
        <v>16</v>
      </c>
      <c r="C661" t="s">
        <v>17</v>
      </c>
      <c r="D661" t="s">
        <v>12</v>
      </c>
      <c r="E661" t="s">
        <v>13</v>
      </c>
      <c r="F661" t="s">
        <v>14</v>
      </c>
      <c r="G661" t="s">
        <v>15</v>
      </c>
      <c r="H661">
        <v>9</v>
      </c>
      <c r="I661">
        <v>6363</v>
      </c>
      <c r="J661">
        <v>1752.65</v>
      </c>
    </row>
    <row r="662" spans="1:10" x14ac:dyDescent="0.25">
      <c r="A662" s="1">
        <v>44746</v>
      </c>
      <c r="B662" t="s">
        <v>18</v>
      </c>
      <c r="C662" t="s">
        <v>19</v>
      </c>
      <c r="D662" t="s">
        <v>12</v>
      </c>
      <c r="E662" t="s">
        <v>102</v>
      </c>
      <c r="F662" t="s">
        <v>34</v>
      </c>
      <c r="G662" t="s">
        <v>35</v>
      </c>
      <c r="H662">
        <v>6</v>
      </c>
      <c r="I662">
        <v>3402</v>
      </c>
      <c r="J662">
        <v>501.29</v>
      </c>
    </row>
    <row r="663" spans="1:10" x14ac:dyDescent="0.25">
      <c r="A663" s="1">
        <v>44643</v>
      </c>
      <c r="B663" t="s">
        <v>49</v>
      </c>
      <c r="C663" t="s">
        <v>17</v>
      </c>
      <c r="D663" t="s">
        <v>12</v>
      </c>
      <c r="E663" t="s">
        <v>52</v>
      </c>
      <c r="F663" t="s">
        <v>42</v>
      </c>
      <c r="G663" t="s">
        <v>28</v>
      </c>
      <c r="H663">
        <v>4</v>
      </c>
      <c r="I663">
        <v>3496</v>
      </c>
      <c r="J663">
        <v>1032.81</v>
      </c>
    </row>
    <row r="664" spans="1:10" x14ac:dyDescent="0.25">
      <c r="A664" s="1">
        <v>44884</v>
      </c>
      <c r="B664" t="s">
        <v>36</v>
      </c>
      <c r="C664" t="s">
        <v>17</v>
      </c>
      <c r="D664" t="s">
        <v>12</v>
      </c>
      <c r="E664" t="s">
        <v>199</v>
      </c>
      <c r="F664" t="s">
        <v>200</v>
      </c>
      <c r="G664" t="s">
        <v>28</v>
      </c>
      <c r="H664">
        <v>4</v>
      </c>
      <c r="I664">
        <v>1080</v>
      </c>
      <c r="J664">
        <v>204.95</v>
      </c>
    </row>
    <row r="665" spans="1:10" x14ac:dyDescent="0.25">
      <c r="A665" s="1">
        <v>44620</v>
      </c>
      <c r="B665" t="s">
        <v>29</v>
      </c>
      <c r="C665" t="s">
        <v>17</v>
      </c>
      <c r="D665" t="s">
        <v>12</v>
      </c>
      <c r="E665" t="s">
        <v>56</v>
      </c>
      <c r="F665" t="s">
        <v>57</v>
      </c>
      <c r="G665" t="s">
        <v>24</v>
      </c>
      <c r="H665">
        <v>6</v>
      </c>
      <c r="I665">
        <v>1530</v>
      </c>
      <c r="J665">
        <v>218.99</v>
      </c>
    </row>
    <row r="666" spans="1:10" x14ac:dyDescent="0.25">
      <c r="A666" s="1">
        <v>45180</v>
      </c>
      <c r="B666" t="s">
        <v>49</v>
      </c>
      <c r="C666" t="s">
        <v>17</v>
      </c>
      <c r="D666" t="s">
        <v>12</v>
      </c>
      <c r="E666" t="s">
        <v>101</v>
      </c>
      <c r="F666" t="s">
        <v>21</v>
      </c>
      <c r="G666" t="s">
        <v>15</v>
      </c>
      <c r="H666">
        <v>4</v>
      </c>
      <c r="I666">
        <v>3568</v>
      </c>
      <c r="J666">
        <v>764.2</v>
      </c>
    </row>
    <row r="667" spans="1:10" x14ac:dyDescent="0.25">
      <c r="A667" s="1">
        <v>44878</v>
      </c>
      <c r="B667" t="s">
        <v>40</v>
      </c>
      <c r="C667" t="s">
        <v>19</v>
      </c>
      <c r="D667" t="s">
        <v>12</v>
      </c>
      <c r="E667" t="s">
        <v>101</v>
      </c>
      <c r="F667" t="s">
        <v>21</v>
      </c>
      <c r="G667" t="s">
        <v>15</v>
      </c>
      <c r="H667">
        <v>1</v>
      </c>
      <c r="I667">
        <v>954</v>
      </c>
      <c r="J667">
        <v>48.97</v>
      </c>
    </row>
    <row r="668" spans="1:10" x14ac:dyDescent="0.25">
      <c r="A668" s="1">
        <v>45368</v>
      </c>
      <c r="B668" t="s">
        <v>25</v>
      </c>
      <c r="C668" t="s">
        <v>19</v>
      </c>
      <c r="D668" t="s">
        <v>12</v>
      </c>
      <c r="E668" t="s">
        <v>22</v>
      </c>
      <c r="F668" t="s">
        <v>23</v>
      </c>
      <c r="G668" t="s">
        <v>24</v>
      </c>
      <c r="H668">
        <v>4</v>
      </c>
      <c r="I668">
        <v>1196</v>
      </c>
      <c r="J668">
        <v>223.66</v>
      </c>
    </row>
    <row r="669" spans="1:10" x14ac:dyDescent="0.25">
      <c r="A669" s="1">
        <v>44605</v>
      </c>
      <c r="B669" t="s">
        <v>32</v>
      </c>
      <c r="C669" t="s">
        <v>19</v>
      </c>
      <c r="D669" t="s">
        <v>12</v>
      </c>
      <c r="E669" t="s">
        <v>22</v>
      </c>
      <c r="F669" t="s">
        <v>23</v>
      </c>
      <c r="G669" t="s">
        <v>24</v>
      </c>
      <c r="H669">
        <v>4</v>
      </c>
      <c r="I669">
        <v>2136</v>
      </c>
      <c r="J669">
        <v>217.47</v>
      </c>
    </row>
    <row r="670" spans="1:10" x14ac:dyDescent="0.25">
      <c r="A670" s="1">
        <v>45486</v>
      </c>
      <c r="B670" t="s">
        <v>10</v>
      </c>
      <c r="C670" t="s">
        <v>11</v>
      </c>
      <c r="D670" t="s">
        <v>12</v>
      </c>
      <c r="E670" t="s">
        <v>118</v>
      </c>
      <c r="F670" t="s">
        <v>42</v>
      </c>
      <c r="G670" t="s">
        <v>28</v>
      </c>
      <c r="H670">
        <v>9</v>
      </c>
      <c r="I670">
        <v>8496</v>
      </c>
      <c r="J670">
        <v>2316.0300000000002</v>
      </c>
    </row>
    <row r="671" spans="1:10" x14ac:dyDescent="0.25">
      <c r="A671" s="1">
        <v>45419</v>
      </c>
      <c r="B671" t="s">
        <v>55</v>
      </c>
      <c r="C671" t="s">
        <v>19</v>
      </c>
      <c r="D671" t="s">
        <v>12</v>
      </c>
      <c r="E671" t="s">
        <v>210</v>
      </c>
      <c r="F671" t="s">
        <v>34</v>
      </c>
      <c r="G671" t="s">
        <v>35</v>
      </c>
      <c r="H671">
        <v>7</v>
      </c>
      <c r="I671">
        <v>7280</v>
      </c>
      <c r="J671">
        <v>1450.82</v>
      </c>
    </row>
    <row r="672" spans="1:10" x14ac:dyDescent="0.25">
      <c r="A672" s="1">
        <v>44828</v>
      </c>
      <c r="B672" t="s">
        <v>32</v>
      </c>
      <c r="C672" t="s">
        <v>19</v>
      </c>
      <c r="D672" t="s">
        <v>12</v>
      </c>
      <c r="E672" t="s">
        <v>268</v>
      </c>
      <c r="F672" t="s">
        <v>34</v>
      </c>
      <c r="G672" t="s">
        <v>35</v>
      </c>
      <c r="H672">
        <v>5</v>
      </c>
      <c r="I672">
        <v>4935</v>
      </c>
      <c r="J672">
        <v>625.39</v>
      </c>
    </row>
    <row r="673" spans="1:10" x14ac:dyDescent="0.25">
      <c r="A673" s="1">
        <v>45516</v>
      </c>
      <c r="B673" t="s">
        <v>18</v>
      </c>
      <c r="C673" t="s">
        <v>19</v>
      </c>
      <c r="D673" t="s">
        <v>12</v>
      </c>
      <c r="E673" t="s">
        <v>56</v>
      </c>
      <c r="F673" t="s">
        <v>57</v>
      </c>
      <c r="G673" t="s">
        <v>24</v>
      </c>
      <c r="H673">
        <v>8</v>
      </c>
      <c r="I673">
        <v>9056</v>
      </c>
      <c r="J673">
        <v>872.48</v>
      </c>
    </row>
    <row r="674" spans="1:10" x14ac:dyDescent="0.25">
      <c r="A674" s="1">
        <v>44932</v>
      </c>
      <c r="B674" t="s">
        <v>32</v>
      </c>
      <c r="C674" t="s">
        <v>19</v>
      </c>
      <c r="D674" t="s">
        <v>12</v>
      </c>
      <c r="E674" t="s">
        <v>62</v>
      </c>
      <c r="F674" t="s">
        <v>63</v>
      </c>
      <c r="G674" t="s">
        <v>28</v>
      </c>
      <c r="H674">
        <v>1</v>
      </c>
      <c r="I674">
        <v>563</v>
      </c>
      <c r="J674">
        <v>46.96</v>
      </c>
    </row>
    <row r="675" spans="1:10" x14ac:dyDescent="0.25">
      <c r="A675" s="1">
        <v>44623</v>
      </c>
      <c r="B675" t="s">
        <v>10</v>
      </c>
      <c r="C675" t="s">
        <v>11</v>
      </c>
      <c r="D675" t="s">
        <v>12</v>
      </c>
      <c r="E675" t="s">
        <v>52</v>
      </c>
      <c r="F675" t="s">
        <v>42</v>
      </c>
      <c r="G675" t="s">
        <v>28</v>
      </c>
      <c r="H675">
        <v>2</v>
      </c>
      <c r="I675">
        <v>1570</v>
      </c>
      <c r="J675">
        <v>247.7</v>
      </c>
    </row>
    <row r="676" spans="1:10" x14ac:dyDescent="0.25">
      <c r="A676" s="1">
        <v>44622</v>
      </c>
      <c r="B676" t="s">
        <v>25</v>
      </c>
      <c r="C676" t="s">
        <v>19</v>
      </c>
      <c r="D676" t="s">
        <v>12</v>
      </c>
      <c r="E676" t="s">
        <v>206</v>
      </c>
      <c r="F676" t="s">
        <v>71</v>
      </c>
      <c r="G676" t="s">
        <v>35</v>
      </c>
      <c r="H676">
        <v>3</v>
      </c>
      <c r="I676">
        <v>2181</v>
      </c>
      <c r="J676">
        <v>517.02</v>
      </c>
    </row>
    <row r="677" spans="1:10" x14ac:dyDescent="0.25">
      <c r="A677" s="1">
        <v>45560</v>
      </c>
      <c r="B677" t="s">
        <v>16</v>
      </c>
      <c r="C677" t="s">
        <v>17</v>
      </c>
      <c r="D677" t="s">
        <v>12</v>
      </c>
      <c r="E677" t="s">
        <v>269</v>
      </c>
      <c r="F677" t="s">
        <v>21</v>
      </c>
      <c r="G677" t="s">
        <v>15</v>
      </c>
      <c r="H677">
        <v>4</v>
      </c>
      <c r="I677">
        <v>3808</v>
      </c>
      <c r="J677">
        <v>442.33</v>
      </c>
    </row>
    <row r="678" spans="1:10" x14ac:dyDescent="0.25">
      <c r="A678" s="1">
        <v>44901</v>
      </c>
      <c r="B678" t="s">
        <v>49</v>
      </c>
      <c r="C678" t="s">
        <v>17</v>
      </c>
      <c r="D678" t="s">
        <v>12</v>
      </c>
      <c r="E678" t="s">
        <v>43</v>
      </c>
      <c r="F678" t="s">
        <v>44</v>
      </c>
      <c r="G678" t="s">
        <v>35</v>
      </c>
      <c r="H678">
        <v>7</v>
      </c>
      <c r="I678">
        <v>6552</v>
      </c>
      <c r="J678">
        <v>635.09</v>
      </c>
    </row>
    <row r="679" spans="1:10" x14ac:dyDescent="0.25">
      <c r="A679" s="1">
        <v>45095</v>
      </c>
      <c r="B679" t="s">
        <v>55</v>
      </c>
      <c r="C679" t="s">
        <v>19</v>
      </c>
      <c r="D679" t="s">
        <v>12</v>
      </c>
      <c r="E679" t="s">
        <v>270</v>
      </c>
      <c r="F679" t="s">
        <v>54</v>
      </c>
      <c r="G679" t="s">
        <v>24</v>
      </c>
      <c r="H679">
        <v>8</v>
      </c>
      <c r="I679">
        <v>6544</v>
      </c>
      <c r="J679">
        <v>1086.29</v>
      </c>
    </row>
    <row r="680" spans="1:10" x14ac:dyDescent="0.25">
      <c r="A680" s="1">
        <v>45251</v>
      </c>
      <c r="B680" t="s">
        <v>16</v>
      </c>
      <c r="C680" t="s">
        <v>17</v>
      </c>
      <c r="D680" t="s">
        <v>12</v>
      </c>
      <c r="E680" t="s">
        <v>52</v>
      </c>
      <c r="F680" t="s">
        <v>42</v>
      </c>
      <c r="G680" t="s">
        <v>28</v>
      </c>
      <c r="H680">
        <v>3</v>
      </c>
      <c r="I680">
        <v>2631</v>
      </c>
      <c r="J680">
        <v>157.19</v>
      </c>
    </row>
    <row r="681" spans="1:10" x14ac:dyDescent="0.25">
      <c r="A681" s="1">
        <v>45016</v>
      </c>
      <c r="B681" t="s">
        <v>36</v>
      </c>
      <c r="C681" t="s">
        <v>17</v>
      </c>
      <c r="D681" t="s">
        <v>12</v>
      </c>
      <c r="E681" t="s">
        <v>52</v>
      </c>
      <c r="F681" t="s">
        <v>42</v>
      </c>
      <c r="G681" t="s">
        <v>28</v>
      </c>
      <c r="H681">
        <v>9</v>
      </c>
      <c r="I681">
        <v>945</v>
      </c>
      <c r="J681">
        <v>94.75</v>
      </c>
    </row>
    <row r="682" spans="1:10" x14ac:dyDescent="0.25">
      <c r="A682" s="1">
        <v>45454</v>
      </c>
      <c r="B682" t="s">
        <v>36</v>
      </c>
      <c r="C682" t="s">
        <v>17</v>
      </c>
      <c r="D682" t="s">
        <v>12</v>
      </c>
      <c r="E682" t="s">
        <v>90</v>
      </c>
      <c r="F682" t="s">
        <v>63</v>
      </c>
      <c r="G682" t="s">
        <v>28</v>
      </c>
      <c r="H682">
        <v>2</v>
      </c>
      <c r="I682">
        <v>760</v>
      </c>
      <c r="J682">
        <v>192.42</v>
      </c>
    </row>
    <row r="683" spans="1:10" x14ac:dyDescent="0.25">
      <c r="A683" s="1">
        <v>45041</v>
      </c>
      <c r="B683" t="s">
        <v>36</v>
      </c>
      <c r="C683" t="s">
        <v>17</v>
      </c>
      <c r="D683" t="s">
        <v>12</v>
      </c>
      <c r="E683" t="s">
        <v>105</v>
      </c>
      <c r="F683" t="s">
        <v>23</v>
      </c>
      <c r="G683" t="s">
        <v>24</v>
      </c>
      <c r="H683">
        <v>4</v>
      </c>
      <c r="I683">
        <v>1392</v>
      </c>
      <c r="J683">
        <v>394.48</v>
      </c>
    </row>
    <row r="684" spans="1:10" x14ac:dyDescent="0.25">
      <c r="A684" s="1">
        <v>44912</v>
      </c>
      <c r="B684" t="s">
        <v>32</v>
      </c>
      <c r="C684" t="s">
        <v>19</v>
      </c>
      <c r="D684" t="s">
        <v>12</v>
      </c>
      <c r="E684" t="s">
        <v>105</v>
      </c>
      <c r="F684" t="s">
        <v>23</v>
      </c>
      <c r="G684" t="s">
        <v>24</v>
      </c>
      <c r="H684">
        <v>3</v>
      </c>
      <c r="I684">
        <v>1242</v>
      </c>
      <c r="J684">
        <v>206.74</v>
      </c>
    </row>
    <row r="685" spans="1:10" x14ac:dyDescent="0.25">
      <c r="A685" s="1">
        <v>45478</v>
      </c>
      <c r="B685" t="s">
        <v>55</v>
      </c>
      <c r="C685" t="s">
        <v>19</v>
      </c>
      <c r="D685" t="s">
        <v>12</v>
      </c>
      <c r="E685" t="s">
        <v>52</v>
      </c>
      <c r="F685" t="s">
        <v>42</v>
      </c>
      <c r="G685" t="s">
        <v>28</v>
      </c>
      <c r="H685">
        <v>3</v>
      </c>
      <c r="I685">
        <v>3183</v>
      </c>
      <c r="J685">
        <v>868.73</v>
      </c>
    </row>
    <row r="686" spans="1:10" x14ac:dyDescent="0.25">
      <c r="A686" s="1">
        <v>45023</v>
      </c>
      <c r="B686" t="s">
        <v>36</v>
      </c>
      <c r="C686" t="s">
        <v>17</v>
      </c>
      <c r="D686" t="s">
        <v>12</v>
      </c>
      <c r="E686" t="s">
        <v>195</v>
      </c>
      <c r="F686" t="s">
        <v>83</v>
      </c>
      <c r="G686" t="s">
        <v>28</v>
      </c>
      <c r="H686">
        <v>5</v>
      </c>
      <c r="I686">
        <v>4260</v>
      </c>
      <c r="J686">
        <v>229.77</v>
      </c>
    </row>
    <row r="687" spans="1:10" x14ac:dyDescent="0.25">
      <c r="A687" s="1">
        <v>44768</v>
      </c>
      <c r="B687" t="s">
        <v>40</v>
      </c>
      <c r="C687" t="s">
        <v>19</v>
      </c>
      <c r="D687" t="s">
        <v>12</v>
      </c>
      <c r="E687" t="s">
        <v>37</v>
      </c>
      <c r="F687" t="s">
        <v>34</v>
      </c>
      <c r="G687" t="s">
        <v>35</v>
      </c>
      <c r="H687">
        <v>1</v>
      </c>
      <c r="I687">
        <v>1041</v>
      </c>
      <c r="J687">
        <v>132.46</v>
      </c>
    </row>
    <row r="688" spans="1:10" x14ac:dyDescent="0.25">
      <c r="A688" s="1">
        <v>44699</v>
      </c>
      <c r="B688" t="s">
        <v>32</v>
      </c>
      <c r="C688" t="s">
        <v>19</v>
      </c>
      <c r="D688" t="s">
        <v>12</v>
      </c>
      <c r="E688" t="s">
        <v>37</v>
      </c>
      <c r="F688" t="s">
        <v>34</v>
      </c>
      <c r="G688" t="s">
        <v>35</v>
      </c>
      <c r="H688">
        <v>3</v>
      </c>
      <c r="I688">
        <v>1692</v>
      </c>
      <c r="J688">
        <v>348.81</v>
      </c>
    </row>
    <row r="689" spans="1:10" x14ac:dyDescent="0.25">
      <c r="A689" s="1">
        <v>44635</v>
      </c>
      <c r="B689" t="s">
        <v>25</v>
      </c>
      <c r="C689" t="s">
        <v>19</v>
      </c>
      <c r="D689" t="s">
        <v>12</v>
      </c>
      <c r="E689" t="s">
        <v>207</v>
      </c>
      <c r="F689" t="s">
        <v>34</v>
      </c>
      <c r="G689" t="s">
        <v>35</v>
      </c>
      <c r="H689">
        <v>4</v>
      </c>
      <c r="I689">
        <v>1728</v>
      </c>
      <c r="J689">
        <v>403.06</v>
      </c>
    </row>
    <row r="690" spans="1:10" x14ac:dyDescent="0.25">
      <c r="A690" s="1">
        <v>45212</v>
      </c>
      <c r="B690" t="s">
        <v>25</v>
      </c>
      <c r="C690" t="s">
        <v>19</v>
      </c>
      <c r="D690" t="s">
        <v>12</v>
      </c>
      <c r="E690" t="s">
        <v>56</v>
      </c>
      <c r="F690" t="s">
        <v>57</v>
      </c>
      <c r="G690" t="s">
        <v>24</v>
      </c>
      <c r="H690">
        <v>4</v>
      </c>
      <c r="I690">
        <v>4484</v>
      </c>
      <c r="J690">
        <v>893.27</v>
      </c>
    </row>
    <row r="691" spans="1:10" x14ac:dyDescent="0.25">
      <c r="A691" s="1">
        <v>45462</v>
      </c>
      <c r="B691" t="s">
        <v>40</v>
      </c>
      <c r="C691" t="s">
        <v>19</v>
      </c>
      <c r="D691" t="s">
        <v>12</v>
      </c>
      <c r="E691" t="s">
        <v>26</v>
      </c>
      <c r="F691" t="s">
        <v>27</v>
      </c>
      <c r="G691" t="s">
        <v>28</v>
      </c>
      <c r="H691">
        <v>7</v>
      </c>
      <c r="I691">
        <v>4123</v>
      </c>
      <c r="J691">
        <v>750.05</v>
      </c>
    </row>
    <row r="692" spans="1:10" x14ac:dyDescent="0.25">
      <c r="A692" s="1">
        <v>45599</v>
      </c>
      <c r="B692" t="s">
        <v>16</v>
      </c>
      <c r="C692" t="s">
        <v>17</v>
      </c>
      <c r="D692" t="s">
        <v>12</v>
      </c>
      <c r="E692" t="s">
        <v>64</v>
      </c>
      <c r="F692" t="s">
        <v>46</v>
      </c>
      <c r="G692" t="s">
        <v>15</v>
      </c>
      <c r="H692">
        <v>2</v>
      </c>
      <c r="I692">
        <v>2372</v>
      </c>
      <c r="J692">
        <v>392.07</v>
      </c>
    </row>
    <row r="693" spans="1:10" x14ac:dyDescent="0.25">
      <c r="A693" s="1">
        <v>45032</v>
      </c>
      <c r="B693" t="s">
        <v>40</v>
      </c>
      <c r="C693" t="s">
        <v>19</v>
      </c>
      <c r="D693" t="s">
        <v>12</v>
      </c>
      <c r="E693" t="s">
        <v>22</v>
      </c>
      <c r="F693" t="s">
        <v>23</v>
      </c>
      <c r="G693" t="s">
        <v>24</v>
      </c>
      <c r="H693">
        <v>7</v>
      </c>
      <c r="I693">
        <v>5201</v>
      </c>
      <c r="J693">
        <v>745.2</v>
      </c>
    </row>
    <row r="694" spans="1:10" x14ac:dyDescent="0.25">
      <c r="A694" s="1">
        <v>45562</v>
      </c>
      <c r="B694" t="s">
        <v>16</v>
      </c>
      <c r="C694" t="s">
        <v>17</v>
      </c>
      <c r="D694" t="s">
        <v>12</v>
      </c>
      <c r="E694" t="s">
        <v>52</v>
      </c>
      <c r="F694" t="s">
        <v>42</v>
      </c>
      <c r="G694" t="s">
        <v>28</v>
      </c>
      <c r="H694">
        <v>5</v>
      </c>
      <c r="I694">
        <v>3100</v>
      </c>
      <c r="J694">
        <v>695.28</v>
      </c>
    </row>
    <row r="695" spans="1:10" x14ac:dyDescent="0.25">
      <c r="A695" s="1">
        <v>44754</v>
      </c>
      <c r="B695" t="s">
        <v>32</v>
      </c>
      <c r="C695" t="s">
        <v>19</v>
      </c>
      <c r="D695" t="s">
        <v>12</v>
      </c>
      <c r="E695" t="s">
        <v>105</v>
      </c>
      <c r="F695" t="s">
        <v>23</v>
      </c>
      <c r="G695" t="s">
        <v>24</v>
      </c>
      <c r="H695">
        <v>6</v>
      </c>
      <c r="I695">
        <v>5292</v>
      </c>
      <c r="J695">
        <v>1105.95</v>
      </c>
    </row>
    <row r="696" spans="1:10" x14ac:dyDescent="0.25">
      <c r="A696" s="1">
        <v>44991</v>
      </c>
      <c r="B696" t="s">
        <v>18</v>
      </c>
      <c r="C696" t="s">
        <v>19</v>
      </c>
      <c r="D696" t="s">
        <v>12</v>
      </c>
      <c r="E696" t="s">
        <v>26</v>
      </c>
      <c r="F696" t="s">
        <v>27</v>
      </c>
      <c r="G696" t="s">
        <v>28</v>
      </c>
      <c r="H696">
        <v>6</v>
      </c>
      <c r="I696">
        <v>5952</v>
      </c>
      <c r="J696">
        <v>971.53</v>
      </c>
    </row>
    <row r="697" spans="1:10" x14ac:dyDescent="0.25">
      <c r="A697" s="1">
        <v>44936</v>
      </c>
      <c r="B697" t="s">
        <v>40</v>
      </c>
      <c r="C697" t="s">
        <v>19</v>
      </c>
      <c r="D697" t="s">
        <v>12</v>
      </c>
      <c r="E697" t="s">
        <v>271</v>
      </c>
      <c r="F697" t="s">
        <v>88</v>
      </c>
      <c r="G697" t="s">
        <v>15</v>
      </c>
      <c r="H697">
        <v>4</v>
      </c>
      <c r="I697">
        <v>1932</v>
      </c>
      <c r="J697">
        <v>472.91</v>
      </c>
    </row>
    <row r="698" spans="1:10" x14ac:dyDescent="0.25">
      <c r="A698" s="1">
        <v>45204</v>
      </c>
      <c r="B698" t="s">
        <v>18</v>
      </c>
      <c r="C698" t="s">
        <v>19</v>
      </c>
      <c r="D698" t="s">
        <v>12</v>
      </c>
      <c r="E698" t="s">
        <v>105</v>
      </c>
      <c r="F698" t="s">
        <v>23</v>
      </c>
      <c r="G698" t="s">
        <v>24</v>
      </c>
      <c r="H698">
        <v>6</v>
      </c>
      <c r="I698">
        <v>3486</v>
      </c>
      <c r="J698">
        <v>1011.74</v>
      </c>
    </row>
    <row r="699" spans="1:10" x14ac:dyDescent="0.25">
      <c r="A699" s="1">
        <v>45437</v>
      </c>
      <c r="B699" t="s">
        <v>18</v>
      </c>
      <c r="C699" t="s">
        <v>19</v>
      </c>
      <c r="D699" t="s">
        <v>12</v>
      </c>
      <c r="E699" t="s">
        <v>118</v>
      </c>
      <c r="F699" t="s">
        <v>42</v>
      </c>
      <c r="G699" t="s">
        <v>28</v>
      </c>
      <c r="H699">
        <v>2</v>
      </c>
      <c r="I699">
        <v>1708</v>
      </c>
      <c r="J699">
        <v>441.43</v>
      </c>
    </row>
    <row r="700" spans="1:10" x14ac:dyDescent="0.25">
      <c r="A700" s="1">
        <v>45547</v>
      </c>
      <c r="B700" t="s">
        <v>36</v>
      </c>
      <c r="C700" t="s">
        <v>17</v>
      </c>
      <c r="D700" t="s">
        <v>12</v>
      </c>
      <c r="E700" t="s">
        <v>139</v>
      </c>
      <c r="F700" t="s">
        <v>34</v>
      </c>
      <c r="G700" t="s">
        <v>35</v>
      </c>
      <c r="H700">
        <v>4</v>
      </c>
      <c r="I700">
        <v>4324</v>
      </c>
      <c r="J700">
        <v>288.12</v>
      </c>
    </row>
    <row r="701" spans="1:10" x14ac:dyDescent="0.25">
      <c r="A701" s="1">
        <v>45503</v>
      </c>
      <c r="B701" t="s">
        <v>55</v>
      </c>
      <c r="C701" t="s">
        <v>19</v>
      </c>
      <c r="D701" t="s">
        <v>12</v>
      </c>
      <c r="E701" t="s">
        <v>47</v>
      </c>
      <c r="F701" t="s">
        <v>46</v>
      </c>
      <c r="G701" t="s">
        <v>15</v>
      </c>
      <c r="H701">
        <v>4</v>
      </c>
      <c r="I701">
        <v>2708</v>
      </c>
      <c r="J701">
        <v>302.14</v>
      </c>
    </row>
    <row r="702" spans="1:10" x14ac:dyDescent="0.25">
      <c r="A702" s="1">
        <v>44649</v>
      </c>
      <c r="B702" t="s">
        <v>10</v>
      </c>
      <c r="C702" t="s">
        <v>11</v>
      </c>
      <c r="D702" t="s">
        <v>12</v>
      </c>
      <c r="E702" t="s">
        <v>52</v>
      </c>
      <c r="F702" t="s">
        <v>42</v>
      </c>
      <c r="G702" t="s">
        <v>28</v>
      </c>
      <c r="H702">
        <v>8</v>
      </c>
      <c r="I702">
        <v>7944</v>
      </c>
      <c r="J702">
        <v>1142.83</v>
      </c>
    </row>
    <row r="703" spans="1:10" x14ac:dyDescent="0.25">
      <c r="A703" s="1">
        <v>45026</v>
      </c>
      <c r="B703" t="s">
        <v>25</v>
      </c>
      <c r="C703" t="s">
        <v>19</v>
      </c>
      <c r="D703" t="s">
        <v>12</v>
      </c>
      <c r="E703" t="s">
        <v>43</v>
      </c>
      <c r="F703" t="s">
        <v>44</v>
      </c>
      <c r="G703" t="s">
        <v>35</v>
      </c>
      <c r="H703">
        <v>3</v>
      </c>
      <c r="I703">
        <v>684</v>
      </c>
      <c r="J703">
        <v>39.33</v>
      </c>
    </row>
    <row r="704" spans="1:10" x14ac:dyDescent="0.25">
      <c r="A704" s="1">
        <v>44927</v>
      </c>
      <c r="B704" t="s">
        <v>10</v>
      </c>
      <c r="C704" t="s">
        <v>11</v>
      </c>
      <c r="D704" t="s">
        <v>12</v>
      </c>
      <c r="E704" t="s">
        <v>184</v>
      </c>
      <c r="F704" t="s">
        <v>23</v>
      </c>
      <c r="G704" t="s">
        <v>24</v>
      </c>
      <c r="H704">
        <v>9</v>
      </c>
      <c r="I704">
        <v>5904</v>
      </c>
      <c r="J704">
        <v>1440.45</v>
      </c>
    </row>
    <row r="705" spans="1:10" x14ac:dyDescent="0.25">
      <c r="A705" s="1">
        <v>45371</v>
      </c>
      <c r="B705" t="s">
        <v>10</v>
      </c>
      <c r="C705" t="s">
        <v>11</v>
      </c>
      <c r="D705" t="s">
        <v>12</v>
      </c>
      <c r="E705" t="s">
        <v>184</v>
      </c>
      <c r="F705" t="s">
        <v>23</v>
      </c>
      <c r="G705" t="s">
        <v>24</v>
      </c>
      <c r="H705">
        <v>5</v>
      </c>
      <c r="I705">
        <v>4970</v>
      </c>
      <c r="J705">
        <v>1080.1199999999999</v>
      </c>
    </row>
    <row r="706" spans="1:10" x14ac:dyDescent="0.25">
      <c r="A706" s="1">
        <v>45324</v>
      </c>
      <c r="B706" t="s">
        <v>29</v>
      </c>
      <c r="C706" t="s">
        <v>17</v>
      </c>
      <c r="D706" t="s">
        <v>12</v>
      </c>
      <c r="E706" t="s">
        <v>272</v>
      </c>
      <c r="F706" t="s">
        <v>84</v>
      </c>
      <c r="G706" t="s">
        <v>28</v>
      </c>
      <c r="H706">
        <v>2</v>
      </c>
      <c r="I706">
        <v>2288</v>
      </c>
      <c r="J706">
        <v>234.97</v>
      </c>
    </row>
    <row r="707" spans="1:10" x14ac:dyDescent="0.25">
      <c r="A707" s="1">
        <v>45125</v>
      </c>
      <c r="B707" t="s">
        <v>40</v>
      </c>
      <c r="C707" t="s">
        <v>19</v>
      </c>
      <c r="D707" t="s">
        <v>12</v>
      </c>
      <c r="E707" t="s">
        <v>105</v>
      </c>
      <c r="F707" t="s">
        <v>23</v>
      </c>
      <c r="G707" t="s">
        <v>24</v>
      </c>
      <c r="H707">
        <v>6</v>
      </c>
      <c r="I707">
        <v>4662</v>
      </c>
      <c r="J707">
        <v>350.79</v>
      </c>
    </row>
    <row r="708" spans="1:10" x14ac:dyDescent="0.25">
      <c r="A708" s="1">
        <v>44617</v>
      </c>
      <c r="B708" t="s">
        <v>16</v>
      </c>
      <c r="C708" t="s">
        <v>17</v>
      </c>
      <c r="D708" t="s">
        <v>12</v>
      </c>
      <c r="E708" t="s">
        <v>273</v>
      </c>
      <c r="F708" t="s">
        <v>83</v>
      </c>
      <c r="G708" t="s">
        <v>28</v>
      </c>
      <c r="H708">
        <v>4</v>
      </c>
      <c r="I708">
        <v>2532</v>
      </c>
      <c r="J708">
        <v>404.96</v>
      </c>
    </row>
    <row r="709" spans="1:10" x14ac:dyDescent="0.25">
      <c r="A709" s="1">
        <v>45645</v>
      </c>
      <c r="B709" t="s">
        <v>18</v>
      </c>
      <c r="C709" t="s">
        <v>19</v>
      </c>
      <c r="D709" t="s">
        <v>12</v>
      </c>
      <c r="E709" t="s">
        <v>52</v>
      </c>
      <c r="F709" t="s">
        <v>42</v>
      </c>
      <c r="G709" t="s">
        <v>28</v>
      </c>
      <c r="H709">
        <v>8</v>
      </c>
      <c r="I709">
        <v>9328</v>
      </c>
      <c r="J709">
        <v>1008.6</v>
      </c>
    </row>
    <row r="710" spans="1:10" x14ac:dyDescent="0.25">
      <c r="A710" s="1">
        <v>44597</v>
      </c>
      <c r="B710" t="s">
        <v>10</v>
      </c>
      <c r="C710" t="s">
        <v>11</v>
      </c>
      <c r="D710" t="s">
        <v>12</v>
      </c>
      <c r="E710" t="s">
        <v>37</v>
      </c>
      <c r="F710" t="s">
        <v>34</v>
      </c>
      <c r="G710" t="s">
        <v>35</v>
      </c>
      <c r="H710">
        <v>1</v>
      </c>
      <c r="I710">
        <v>686</v>
      </c>
      <c r="J710">
        <v>86.18</v>
      </c>
    </row>
    <row r="711" spans="1:10" x14ac:dyDescent="0.25">
      <c r="A711" s="1">
        <v>45351</v>
      </c>
      <c r="B711" t="s">
        <v>32</v>
      </c>
      <c r="C711" t="s">
        <v>19</v>
      </c>
      <c r="D711" t="s">
        <v>12</v>
      </c>
      <c r="E711" t="s">
        <v>274</v>
      </c>
      <c r="F711" t="s">
        <v>23</v>
      </c>
      <c r="G711" t="s">
        <v>24</v>
      </c>
      <c r="H711">
        <v>6</v>
      </c>
      <c r="I711">
        <v>1290</v>
      </c>
      <c r="J711">
        <v>343.35</v>
      </c>
    </row>
    <row r="712" spans="1:10" x14ac:dyDescent="0.25">
      <c r="A712" s="1">
        <v>44799</v>
      </c>
      <c r="B712" t="s">
        <v>10</v>
      </c>
      <c r="C712" t="s">
        <v>11</v>
      </c>
      <c r="D712" t="s">
        <v>12</v>
      </c>
      <c r="E712" t="s">
        <v>275</v>
      </c>
      <c r="F712" t="s">
        <v>173</v>
      </c>
      <c r="G712" t="s">
        <v>24</v>
      </c>
      <c r="H712">
        <v>5</v>
      </c>
      <c r="I712">
        <v>1205</v>
      </c>
      <c r="J712">
        <v>235.19</v>
      </c>
    </row>
    <row r="713" spans="1:10" x14ac:dyDescent="0.25">
      <c r="A713" s="1">
        <v>45552</v>
      </c>
      <c r="B713" t="s">
        <v>29</v>
      </c>
      <c r="C713" t="s">
        <v>17</v>
      </c>
      <c r="D713" t="s">
        <v>12</v>
      </c>
      <c r="E713" t="s">
        <v>276</v>
      </c>
      <c r="F713" t="s">
        <v>42</v>
      </c>
      <c r="G713" t="s">
        <v>28</v>
      </c>
      <c r="H713">
        <v>7</v>
      </c>
      <c r="I713">
        <v>7966</v>
      </c>
      <c r="J713">
        <v>1313.56</v>
      </c>
    </row>
    <row r="714" spans="1:10" x14ac:dyDescent="0.25">
      <c r="A714" s="1">
        <v>44787</v>
      </c>
      <c r="B714" t="s">
        <v>25</v>
      </c>
      <c r="C714" t="s">
        <v>19</v>
      </c>
      <c r="D714" t="s">
        <v>12</v>
      </c>
      <c r="E714" t="s">
        <v>276</v>
      </c>
      <c r="F714" t="s">
        <v>42</v>
      </c>
      <c r="G714" t="s">
        <v>28</v>
      </c>
      <c r="H714">
        <v>7</v>
      </c>
      <c r="I714">
        <v>1085</v>
      </c>
      <c r="J714">
        <v>130.72</v>
      </c>
    </row>
    <row r="715" spans="1:10" x14ac:dyDescent="0.25">
      <c r="A715" s="1">
        <v>45533</v>
      </c>
      <c r="B715" t="s">
        <v>36</v>
      </c>
      <c r="C715" t="s">
        <v>17</v>
      </c>
      <c r="D715" t="s">
        <v>12</v>
      </c>
      <c r="E715" t="s">
        <v>276</v>
      </c>
      <c r="F715" t="s">
        <v>42</v>
      </c>
      <c r="G715" t="s">
        <v>28</v>
      </c>
      <c r="H715">
        <v>9</v>
      </c>
      <c r="I715">
        <v>6633</v>
      </c>
      <c r="J715">
        <v>1239.1099999999999</v>
      </c>
    </row>
    <row r="716" spans="1:10" x14ac:dyDescent="0.25">
      <c r="A716" s="1">
        <v>45617</v>
      </c>
      <c r="B716" t="s">
        <v>55</v>
      </c>
      <c r="C716" t="s">
        <v>19</v>
      </c>
      <c r="D716" t="s">
        <v>12</v>
      </c>
      <c r="E716" t="s">
        <v>26</v>
      </c>
      <c r="F716" t="s">
        <v>27</v>
      </c>
      <c r="G716" t="s">
        <v>28</v>
      </c>
      <c r="H716">
        <v>7</v>
      </c>
      <c r="I716">
        <v>5096</v>
      </c>
      <c r="J716">
        <v>971.5</v>
      </c>
    </row>
    <row r="717" spans="1:10" x14ac:dyDescent="0.25">
      <c r="A717" s="1">
        <v>44762</v>
      </c>
      <c r="B717" t="s">
        <v>18</v>
      </c>
      <c r="C717" t="s">
        <v>19</v>
      </c>
      <c r="D717" t="s">
        <v>12</v>
      </c>
      <c r="E717" t="s">
        <v>52</v>
      </c>
      <c r="F717" t="s">
        <v>42</v>
      </c>
      <c r="G717" t="s">
        <v>28</v>
      </c>
      <c r="H717">
        <v>4</v>
      </c>
      <c r="I717">
        <v>4120</v>
      </c>
      <c r="J717">
        <v>710.07</v>
      </c>
    </row>
    <row r="718" spans="1:10" x14ac:dyDescent="0.25">
      <c r="A718" s="1">
        <v>44788</v>
      </c>
      <c r="B718" t="s">
        <v>36</v>
      </c>
      <c r="C718" t="s">
        <v>17</v>
      </c>
      <c r="D718" t="s">
        <v>12</v>
      </c>
      <c r="E718" t="s">
        <v>192</v>
      </c>
      <c r="F718" t="s">
        <v>149</v>
      </c>
      <c r="G718" t="s">
        <v>15</v>
      </c>
      <c r="H718">
        <v>3</v>
      </c>
      <c r="I718">
        <v>1479</v>
      </c>
      <c r="J718">
        <v>207.58</v>
      </c>
    </row>
    <row r="719" spans="1:10" x14ac:dyDescent="0.25">
      <c r="A719" s="1">
        <v>45391</v>
      </c>
      <c r="B719" t="s">
        <v>40</v>
      </c>
      <c r="C719" t="s">
        <v>19</v>
      </c>
      <c r="D719" t="s">
        <v>12</v>
      </c>
      <c r="E719" t="s">
        <v>277</v>
      </c>
      <c r="F719" t="s">
        <v>44</v>
      </c>
      <c r="G719" t="s">
        <v>35</v>
      </c>
      <c r="H719">
        <v>7</v>
      </c>
      <c r="I719">
        <v>1652</v>
      </c>
      <c r="J719">
        <v>397.49</v>
      </c>
    </row>
    <row r="720" spans="1:10" x14ac:dyDescent="0.25">
      <c r="A720" s="1">
        <v>44749</v>
      </c>
      <c r="B720" t="s">
        <v>55</v>
      </c>
      <c r="C720" t="s">
        <v>19</v>
      </c>
      <c r="D720" t="s">
        <v>12</v>
      </c>
      <c r="E720" t="s">
        <v>37</v>
      </c>
      <c r="F720" t="s">
        <v>34</v>
      </c>
      <c r="G720" t="s">
        <v>35</v>
      </c>
      <c r="H720">
        <v>1</v>
      </c>
      <c r="I720">
        <v>1028</v>
      </c>
      <c r="J720">
        <v>240.61</v>
      </c>
    </row>
    <row r="721" spans="1:10" x14ac:dyDescent="0.25">
      <c r="A721" s="1">
        <v>45047</v>
      </c>
      <c r="B721" t="s">
        <v>36</v>
      </c>
      <c r="C721" t="s">
        <v>17</v>
      </c>
      <c r="D721" t="s">
        <v>12</v>
      </c>
      <c r="E721" t="s">
        <v>75</v>
      </c>
      <c r="F721" t="s">
        <v>63</v>
      </c>
      <c r="G721" t="s">
        <v>28</v>
      </c>
      <c r="H721">
        <v>4</v>
      </c>
      <c r="I721">
        <v>4580</v>
      </c>
      <c r="J721">
        <v>655.14</v>
      </c>
    </row>
    <row r="722" spans="1:10" x14ac:dyDescent="0.25">
      <c r="A722" s="1">
        <v>45319</v>
      </c>
      <c r="B722" t="s">
        <v>36</v>
      </c>
      <c r="C722" t="s">
        <v>17</v>
      </c>
      <c r="D722" t="s">
        <v>12</v>
      </c>
      <c r="E722" t="s">
        <v>75</v>
      </c>
      <c r="F722" t="s">
        <v>63</v>
      </c>
      <c r="G722" t="s">
        <v>28</v>
      </c>
      <c r="H722">
        <v>8</v>
      </c>
      <c r="I722">
        <v>2152</v>
      </c>
      <c r="J722">
        <v>196.53</v>
      </c>
    </row>
    <row r="723" spans="1:10" x14ac:dyDescent="0.25">
      <c r="A723" s="1">
        <v>44746</v>
      </c>
      <c r="B723" t="s">
        <v>36</v>
      </c>
      <c r="C723" t="s">
        <v>17</v>
      </c>
      <c r="D723" t="s">
        <v>12</v>
      </c>
      <c r="E723" t="s">
        <v>75</v>
      </c>
      <c r="F723" t="s">
        <v>63</v>
      </c>
      <c r="G723" t="s">
        <v>28</v>
      </c>
      <c r="H723">
        <v>6</v>
      </c>
      <c r="I723">
        <v>4566</v>
      </c>
      <c r="J723">
        <v>866.13</v>
      </c>
    </row>
    <row r="724" spans="1:10" x14ac:dyDescent="0.25">
      <c r="A724" s="1">
        <v>45388</v>
      </c>
      <c r="B724" t="s">
        <v>29</v>
      </c>
      <c r="C724" t="s">
        <v>17</v>
      </c>
      <c r="D724" t="s">
        <v>12</v>
      </c>
      <c r="E724" t="s">
        <v>52</v>
      </c>
      <c r="F724" t="s">
        <v>42</v>
      </c>
      <c r="G724" t="s">
        <v>28</v>
      </c>
      <c r="H724">
        <v>3</v>
      </c>
      <c r="I724">
        <v>2244</v>
      </c>
      <c r="J724">
        <v>301.52999999999997</v>
      </c>
    </row>
    <row r="725" spans="1:10" x14ac:dyDescent="0.25">
      <c r="A725" s="1">
        <v>45323</v>
      </c>
      <c r="B725" t="s">
        <v>16</v>
      </c>
      <c r="C725" t="s">
        <v>17</v>
      </c>
      <c r="D725" t="s">
        <v>12</v>
      </c>
      <c r="E725" t="s">
        <v>278</v>
      </c>
      <c r="F725" t="s">
        <v>122</v>
      </c>
      <c r="G725" t="s">
        <v>35</v>
      </c>
      <c r="H725">
        <v>4</v>
      </c>
      <c r="I725">
        <v>1344</v>
      </c>
      <c r="J725">
        <v>140.52000000000001</v>
      </c>
    </row>
    <row r="726" spans="1:10" x14ac:dyDescent="0.25">
      <c r="A726" s="1">
        <v>45200</v>
      </c>
      <c r="B726" t="s">
        <v>10</v>
      </c>
      <c r="C726" t="s">
        <v>11</v>
      </c>
      <c r="D726" t="s">
        <v>12</v>
      </c>
      <c r="E726" t="s">
        <v>123</v>
      </c>
      <c r="F726" t="s">
        <v>63</v>
      </c>
      <c r="G726" t="s">
        <v>28</v>
      </c>
      <c r="H726">
        <v>6</v>
      </c>
      <c r="I726">
        <v>2622</v>
      </c>
      <c r="J726">
        <v>131.53</v>
      </c>
    </row>
    <row r="727" spans="1:10" x14ac:dyDescent="0.25">
      <c r="A727" s="1">
        <v>44898</v>
      </c>
      <c r="B727" t="s">
        <v>40</v>
      </c>
      <c r="C727" t="s">
        <v>19</v>
      </c>
      <c r="D727" t="s">
        <v>12</v>
      </c>
      <c r="E727" t="s">
        <v>279</v>
      </c>
      <c r="F727" t="s">
        <v>23</v>
      </c>
      <c r="G727" t="s">
        <v>24</v>
      </c>
      <c r="H727">
        <v>1</v>
      </c>
      <c r="I727">
        <v>325</v>
      </c>
      <c r="J727">
        <v>46.84</v>
      </c>
    </row>
    <row r="728" spans="1:10" x14ac:dyDescent="0.25">
      <c r="A728" s="1">
        <v>45643</v>
      </c>
      <c r="B728" t="s">
        <v>49</v>
      </c>
      <c r="C728" t="s">
        <v>17</v>
      </c>
      <c r="D728" t="s">
        <v>12</v>
      </c>
      <c r="E728" t="s">
        <v>43</v>
      </c>
      <c r="F728" t="s">
        <v>44</v>
      </c>
      <c r="G728" t="s">
        <v>35</v>
      </c>
      <c r="H728">
        <v>1</v>
      </c>
      <c r="I728">
        <v>960</v>
      </c>
      <c r="J728">
        <v>95.88</v>
      </c>
    </row>
    <row r="729" spans="1:10" x14ac:dyDescent="0.25">
      <c r="A729" s="1">
        <v>45260</v>
      </c>
      <c r="B729" t="s">
        <v>40</v>
      </c>
      <c r="C729" t="s">
        <v>19</v>
      </c>
      <c r="D729" t="s">
        <v>12</v>
      </c>
      <c r="E729" t="s">
        <v>210</v>
      </c>
      <c r="F729" t="s">
        <v>34</v>
      </c>
      <c r="G729" t="s">
        <v>35</v>
      </c>
      <c r="H729">
        <v>7</v>
      </c>
      <c r="I729">
        <v>2639</v>
      </c>
      <c r="J729">
        <v>268.88</v>
      </c>
    </row>
    <row r="730" spans="1:10" x14ac:dyDescent="0.25">
      <c r="A730" s="1">
        <v>45448</v>
      </c>
      <c r="B730" t="s">
        <v>10</v>
      </c>
      <c r="C730" t="s">
        <v>11</v>
      </c>
      <c r="D730" t="s">
        <v>12</v>
      </c>
      <c r="E730" t="s">
        <v>210</v>
      </c>
      <c r="F730" t="s">
        <v>34</v>
      </c>
      <c r="G730" t="s">
        <v>35</v>
      </c>
      <c r="H730">
        <v>5</v>
      </c>
      <c r="I730">
        <v>1025</v>
      </c>
      <c r="J730">
        <v>246.15</v>
      </c>
    </row>
    <row r="731" spans="1:10" x14ac:dyDescent="0.25">
      <c r="A731" s="1">
        <v>44574</v>
      </c>
      <c r="B731" t="s">
        <v>36</v>
      </c>
      <c r="C731" t="s">
        <v>17</v>
      </c>
      <c r="D731" t="s">
        <v>12</v>
      </c>
      <c r="E731" t="s">
        <v>26</v>
      </c>
      <c r="F731" t="s">
        <v>27</v>
      </c>
      <c r="G731" t="s">
        <v>28</v>
      </c>
      <c r="H731">
        <v>2</v>
      </c>
      <c r="I731">
        <v>1924</v>
      </c>
      <c r="J731">
        <v>434.86</v>
      </c>
    </row>
    <row r="732" spans="1:10" x14ac:dyDescent="0.25">
      <c r="A732" s="1">
        <v>45167</v>
      </c>
      <c r="B732" t="s">
        <v>40</v>
      </c>
      <c r="C732" t="s">
        <v>19</v>
      </c>
      <c r="D732" t="s">
        <v>12</v>
      </c>
      <c r="E732" t="s">
        <v>280</v>
      </c>
      <c r="F732" t="s">
        <v>84</v>
      </c>
      <c r="G732" t="s">
        <v>28</v>
      </c>
      <c r="H732">
        <v>2</v>
      </c>
      <c r="I732">
        <v>1660</v>
      </c>
      <c r="J732">
        <v>362.88</v>
      </c>
    </row>
    <row r="733" spans="1:10" x14ac:dyDescent="0.25">
      <c r="A733" s="1">
        <v>44704</v>
      </c>
      <c r="B733" t="s">
        <v>10</v>
      </c>
      <c r="C733" t="s">
        <v>11</v>
      </c>
      <c r="D733" t="s">
        <v>12</v>
      </c>
      <c r="E733" t="s">
        <v>87</v>
      </c>
      <c r="F733" t="s">
        <v>88</v>
      </c>
      <c r="G733" t="s">
        <v>15</v>
      </c>
      <c r="H733">
        <v>1</v>
      </c>
      <c r="I733">
        <v>985</v>
      </c>
      <c r="J733">
        <v>105.09</v>
      </c>
    </row>
    <row r="734" spans="1:10" x14ac:dyDescent="0.25">
      <c r="A734" s="1">
        <v>45487</v>
      </c>
      <c r="B734" t="s">
        <v>49</v>
      </c>
      <c r="C734" t="s">
        <v>17</v>
      </c>
      <c r="D734" t="s">
        <v>12</v>
      </c>
      <c r="E734" t="s">
        <v>74</v>
      </c>
      <c r="F734" t="s">
        <v>23</v>
      </c>
      <c r="G734" t="s">
        <v>24</v>
      </c>
      <c r="H734">
        <v>5</v>
      </c>
      <c r="I734">
        <v>2600</v>
      </c>
      <c r="J734">
        <v>537.11</v>
      </c>
    </row>
    <row r="735" spans="1:10" x14ac:dyDescent="0.25">
      <c r="A735" s="1">
        <v>45586</v>
      </c>
      <c r="B735" t="s">
        <v>25</v>
      </c>
      <c r="C735" t="s">
        <v>19</v>
      </c>
      <c r="D735" t="s">
        <v>12</v>
      </c>
      <c r="E735" t="s">
        <v>281</v>
      </c>
      <c r="F735" t="s">
        <v>71</v>
      </c>
      <c r="G735" t="s">
        <v>35</v>
      </c>
      <c r="H735">
        <v>4</v>
      </c>
      <c r="I735">
        <v>2792</v>
      </c>
      <c r="J735">
        <v>725.35</v>
      </c>
    </row>
    <row r="736" spans="1:10" x14ac:dyDescent="0.25">
      <c r="A736" s="1">
        <v>45535</v>
      </c>
      <c r="B736" t="s">
        <v>29</v>
      </c>
      <c r="C736" t="s">
        <v>17</v>
      </c>
      <c r="D736" t="s">
        <v>12</v>
      </c>
      <c r="E736" t="s">
        <v>74</v>
      </c>
      <c r="F736" t="s">
        <v>23</v>
      </c>
      <c r="G736" t="s">
        <v>24</v>
      </c>
      <c r="H736">
        <v>2</v>
      </c>
      <c r="I736">
        <v>378</v>
      </c>
      <c r="J736">
        <v>87.37</v>
      </c>
    </row>
    <row r="737" spans="1:10" x14ac:dyDescent="0.25">
      <c r="A737" s="1">
        <v>44668</v>
      </c>
      <c r="B737" t="s">
        <v>25</v>
      </c>
      <c r="C737" t="s">
        <v>19</v>
      </c>
      <c r="D737" t="s">
        <v>12</v>
      </c>
      <c r="E737" t="s">
        <v>282</v>
      </c>
      <c r="F737" t="s">
        <v>168</v>
      </c>
      <c r="G737" t="s">
        <v>15</v>
      </c>
      <c r="H737">
        <v>8</v>
      </c>
      <c r="I737">
        <v>968</v>
      </c>
      <c r="J737">
        <v>271.61</v>
      </c>
    </row>
    <row r="738" spans="1:10" x14ac:dyDescent="0.25">
      <c r="A738" s="1">
        <v>45424</v>
      </c>
      <c r="B738" t="s">
        <v>32</v>
      </c>
      <c r="C738" t="s">
        <v>19</v>
      </c>
      <c r="D738" t="s">
        <v>12</v>
      </c>
      <c r="E738" t="s">
        <v>132</v>
      </c>
      <c r="F738" t="s">
        <v>115</v>
      </c>
      <c r="G738" t="s">
        <v>15</v>
      </c>
      <c r="H738">
        <v>3</v>
      </c>
      <c r="I738">
        <v>564</v>
      </c>
      <c r="J738">
        <v>108.35</v>
      </c>
    </row>
    <row r="739" spans="1:10" x14ac:dyDescent="0.25">
      <c r="A739" s="1">
        <v>44951</v>
      </c>
      <c r="B739" t="s">
        <v>55</v>
      </c>
      <c r="C739" t="s">
        <v>19</v>
      </c>
      <c r="D739" t="s">
        <v>12</v>
      </c>
      <c r="E739" t="s">
        <v>132</v>
      </c>
      <c r="F739" t="s">
        <v>115</v>
      </c>
      <c r="G739" t="s">
        <v>15</v>
      </c>
      <c r="H739">
        <v>5</v>
      </c>
      <c r="I739">
        <v>2365</v>
      </c>
      <c r="J739">
        <v>667.61</v>
      </c>
    </row>
    <row r="740" spans="1:10" x14ac:dyDescent="0.25">
      <c r="A740" s="1">
        <v>45383</v>
      </c>
      <c r="B740" t="s">
        <v>40</v>
      </c>
      <c r="C740" t="s">
        <v>19</v>
      </c>
      <c r="D740" t="s">
        <v>12</v>
      </c>
      <c r="E740" t="s">
        <v>283</v>
      </c>
      <c r="F740" t="s">
        <v>44</v>
      </c>
      <c r="G740" t="s">
        <v>35</v>
      </c>
      <c r="H740">
        <v>6</v>
      </c>
      <c r="I740">
        <v>3252</v>
      </c>
      <c r="J740">
        <v>834.84</v>
      </c>
    </row>
    <row r="741" spans="1:10" x14ac:dyDescent="0.25">
      <c r="A741" s="1">
        <v>45417</v>
      </c>
      <c r="B741" t="s">
        <v>25</v>
      </c>
      <c r="C741" t="s">
        <v>19</v>
      </c>
      <c r="D741" t="s">
        <v>12</v>
      </c>
      <c r="E741" t="s">
        <v>283</v>
      </c>
      <c r="F741" t="s">
        <v>44</v>
      </c>
      <c r="G741" t="s">
        <v>35</v>
      </c>
      <c r="H741">
        <v>1</v>
      </c>
      <c r="I741">
        <v>276</v>
      </c>
      <c r="J741">
        <v>42.68</v>
      </c>
    </row>
    <row r="742" spans="1:10" x14ac:dyDescent="0.25">
      <c r="A742" s="1">
        <v>45432</v>
      </c>
      <c r="B742" t="s">
        <v>16</v>
      </c>
      <c r="C742" t="s">
        <v>17</v>
      </c>
      <c r="D742" t="s">
        <v>12</v>
      </c>
      <c r="E742" t="s">
        <v>284</v>
      </c>
      <c r="F742" t="s">
        <v>51</v>
      </c>
      <c r="G742" t="s">
        <v>35</v>
      </c>
      <c r="H742">
        <v>3</v>
      </c>
      <c r="I742">
        <v>3408</v>
      </c>
      <c r="J742">
        <v>205.76</v>
      </c>
    </row>
    <row r="743" spans="1:10" x14ac:dyDescent="0.25">
      <c r="A743" s="1">
        <v>44854</v>
      </c>
      <c r="B743" t="s">
        <v>55</v>
      </c>
      <c r="C743" t="s">
        <v>19</v>
      </c>
      <c r="D743" t="s">
        <v>12</v>
      </c>
      <c r="E743" t="s">
        <v>22</v>
      </c>
      <c r="F743" t="s">
        <v>23</v>
      </c>
      <c r="G743" t="s">
        <v>24</v>
      </c>
      <c r="H743">
        <v>6</v>
      </c>
      <c r="I743">
        <v>1398</v>
      </c>
      <c r="J743">
        <v>180.88</v>
      </c>
    </row>
    <row r="744" spans="1:10" x14ac:dyDescent="0.25">
      <c r="A744" s="1">
        <v>44619</v>
      </c>
      <c r="B744" t="s">
        <v>49</v>
      </c>
      <c r="C744" t="s">
        <v>17</v>
      </c>
      <c r="D744" t="s">
        <v>12</v>
      </c>
      <c r="E744" t="s">
        <v>285</v>
      </c>
      <c r="F744" t="s">
        <v>34</v>
      </c>
      <c r="G744" t="s">
        <v>35</v>
      </c>
      <c r="H744">
        <v>4</v>
      </c>
      <c r="I744">
        <v>904</v>
      </c>
      <c r="J744">
        <v>108.85</v>
      </c>
    </row>
    <row r="745" spans="1:10" x14ac:dyDescent="0.25">
      <c r="A745" s="1">
        <v>45261</v>
      </c>
      <c r="B745" t="s">
        <v>49</v>
      </c>
      <c r="C745" t="s">
        <v>17</v>
      </c>
      <c r="D745" t="s">
        <v>12</v>
      </c>
      <c r="E745" t="s">
        <v>43</v>
      </c>
      <c r="F745" t="s">
        <v>44</v>
      </c>
      <c r="G745" t="s">
        <v>35</v>
      </c>
      <c r="H745">
        <v>1</v>
      </c>
      <c r="I745">
        <v>1178</v>
      </c>
      <c r="J745">
        <v>161.06</v>
      </c>
    </row>
    <row r="746" spans="1:10" x14ac:dyDescent="0.25">
      <c r="A746" s="1">
        <v>44771</v>
      </c>
      <c r="B746" t="s">
        <v>29</v>
      </c>
      <c r="C746" t="s">
        <v>17</v>
      </c>
      <c r="D746" t="s">
        <v>12</v>
      </c>
      <c r="E746" t="s">
        <v>53</v>
      </c>
      <c r="F746" t="s">
        <v>44</v>
      </c>
      <c r="G746" t="s">
        <v>35</v>
      </c>
      <c r="H746">
        <v>3</v>
      </c>
      <c r="I746">
        <v>2535</v>
      </c>
      <c r="J746">
        <v>292.19</v>
      </c>
    </row>
    <row r="747" spans="1:10" x14ac:dyDescent="0.25">
      <c r="A747" s="1">
        <v>45033</v>
      </c>
      <c r="B747" t="s">
        <v>18</v>
      </c>
      <c r="C747" t="s">
        <v>19</v>
      </c>
      <c r="D747" t="s">
        <v>12</v>
      </c>
      <c r="E747" t="s">
        <v>75</v>
      </c>
      <c r="F747" t="s">
        <v>63</v>
      </c>
      <c r="G747" t="s">
        <v>28</v>
      </c>
      <c r="H747">
        <v>1</v>
      </c>
      <c r="I747">
        <v>496</v>
      </c>
      <c r="J747">
        <v>146.91999999999999</v>
      </c>
    </row>
    <row r="748" spans="1:10" x14ac:dyDescent="0.25">
      <c r="A748" s="1">
        <v>45473</v>
      </c>
      <c r="B748" t="s">
        <v>40</v>
      </c>
      <c r="C748" t="s">
        <v>19</v>
      </c>
      <c r="D748" t="s">
        <v>12</v>
      </c>
      <c r="E748" t="s">
        <v>75</v>
      </c>
      <c r="F748" t="s">
        <v>63</v>
      </c>
      <c r="G748" t="s">
        <v>28</v>
      </c>
      <c r="H748">
        <v>4</v>
      </c>
      <c r="I748">
        <v>3888</v>
      </c>
      <c r="J748">
        <v>284.17</v>
      </c>
    </row>
    <row r="749" spans="1:10" x14ac:dyDescent="0.25">
      <c r="A749" s="1">
        <v>45363</v>
      </c>
      <c r="B749" t="s">
        <v>18</v>
      </c>
      <c r="C749" t="s">
        <v>19</v>
      </c>
      <c r="D749" t="s">
        <v>12</v>
      </c>
      <c r="E749" t="s">
        <v>104</v>
      </c>
      <c r="F749" t="s">
        <v>14</v>
      </c>
      <c r="G749" t="s">
        <v>15</v>
      </c>
      <c r="H749">
        <v>7</v>
      </c>
      <c r="I749">
        <v>4921</v>
      </c>
      <c r="J749">
        <v>798.16</v>
      </c>
    </row>
    <row r="750" spans="1:10" x14ac:dyDescent="0.25">
      <c r="A750" s="1">
        <v>45477</v>
      </c>
      <c r="B750" t="s">
        <v>32</v>
      </c>
      <c r="C750" t="s">
        <v>19</v>
      </c>
      <c r="D750" t="s">
        <v>12</v>
      </c>
      <c r="E750" t="s">
        <v>43</v>
      </c>
      <c r="F750" t="s">
        <v>44</v>
      </c>
      <c r="G750" t="s">
        <v>35</v>
      </c>
      <c r="H750">
        <v>8</v>
      </c>
      <c r="I750">
        <v>4472</v>
      </c>
      <c r="J750">
        <v>290.79000000000002</v>
      </c>
    </row>
    <row r="751" spans="1:10" x14ac:dyDescent="0.25">
      <c r="A751" s="1">
        <v>45025</v>
      </c>
      <c r="B751" t="s">
        <v>18</v>
      </c>
      <c r="C751" t="s">
        <v>19</v>
      </c>
      <c r="D751" t="s">
        <v>12</v>
      </c>
      <c r="E751" t="s">
        <v>210</v>
      </c>
      <c r="F751" t="s">
        <v>34</v>
      </c>
      <c r="G751" t="s">
        <v>35</v>
      </c>
      <c r="H751">
        <v>3</v>
      </c>
      <c r="I751">
        <v>603</v>
      </c>
      <c r="J751">
        <v>153.37</v>
      </c>
    </row>
    <row r="752" spans="1:10" x14ac:dyDescent="0.25">
      <c r="A752" s="1">
        <v>44995</v>
      </c>
      <c r="B752" t="s">
        <v>29</v>
      </c>
      <c r="C752" t="s">
        <v>17</v>
      </c>
      <c r="D752" t="s">
        <v>12</v>
      </c>
      <c r="E752" t="s">
        <v>87</v>
      </c>
      <c r="F752" t="s">
        <v>88</v>
      </c>
      <c r="G752" t="s">
        <v>15</v>
      </c>
      <c r="H752">
        <v>9</v>
      </c>
      <c r="I752">
        <v>1899</v>
      </c>
      <c r="J752">
        <v>501.4</v>
      </c>
    </row>
    <row r="753" spans="1:10" x14ac:dyDescent="0.25">
      <c r="A753" s="1">
        <v>44929</v>
      </c>
      <c r="B753" t="s">
        <v>10</v>
      </c>
      <c r="C753" t="s">
        <v>11</v>
      </c>
      <c r="D753" t="s">
        <v>12</v>
      </c>
      <c r="E753" t="s">
        <v>87</v>
      </c>
      <c r="F753" t="s">
        <v>71</v>
      </c>
      <c r="G753" t="s">
        <v>35</v>
      </c>
      <c r="H753">
        <v>4</v>
      </c>
      <c r="I753">
        <v>544</v>
      </c>
      <c r="J753">
        <v>67.84</v>
      </c>
    </row>
    <row r="754" spans="1:10" x14ac:dyDescent="0.25">
      <c r="A754" s="1">
        <v>44710</v>
      </c>
      <c r="B754" t="s">
        <v>36</v>
      </c>
      <c r="C754" t="s">
        <v>17</v>
      </c>
      <c r="D754" t="s">
        <v>12</v>
      </c>
      <c r="E754" t="s">
        <v>87</v>
      </c>
      <c r="F754" t="s">
        <v>71</v>
      </c>
      <c r="G754" t="s">
        <v>35</v>
      </c>
      <c r="H754">
        <v>9</v>
      </c>
      <c r="I754">
        <v>6471</v>
      </c>
      <c r="J754">
        <v>1844.59</v>
      </c>
    </row>
    <row r="755" spans="1:10" x14ac:dyDescent="0.25">
      <c r="A755" s="1">
        <v>45007</v>
      </c>
      <c r="B755" t="s">
        <v>49</v>
      </c>
      <c r="C755" t="s">
        <v>17</v>
      </c>
      <c r="D755" t="s">
        <v>12</v>
      </c>
      <c r="E755" t="s">
        <v>26</v>
      </c>
      <c r="F755" t="s">
        <v>27</v>
      </c>
      <c r="G755" t="s">
        <v>28</v>
      </c>
      <c r="H755">
        <v>1</v>
      </c>
      <c r="I755">
        <v>677</v>
      </c>
      <c r="J755">
        <v>54.14</v>
      </c>
    </row>
    <row r="756" spans="1:10" x14ac:dyDescent="0.25">
      <c r="A756" s="1">
        <v>44811</v>
      </c>
      <c r="B756" t="s">
        <v>55</v>
      </c>
      <c r="C756" t="s">
        <v>19</v>
      </c>
      <c r="D756" t="s">
        <v>12</v>
      </c>
      <c r="E756" t="s">
        <v>26</v>
      </c>
      <c r="F756" t="s">
        <v>27</v>
      </c>
      <c r="G756" t="s">
        <v>28</v>
      </c>
      <c r="H756">
        <v>4</v>
      </c>
      <c r="I756">
        <v>1372</v>
      </c>
      <c r="J756">
        <v>302.58</v>
      </c>
    </row>
    <row r="757" spans="1:10" x14ac:dyDescent="0.25">
      <c r="A757" s="1">
        <v>45451</v>
      </c>
      <c r="B757" t="s">
        <v>49</v>
      </c>
      <c r="C757" t="s">
        <v>17</v>
      </c>
      <c r="D757" t="s">
        <v>12</v>
      </c>
      <c r="E757" t="s">
        <v>47</v>
      </c>
      <c r="F757" t="s">
        <v>156</v>
      </c>
      <c r="G757" t="s">
        <v>28</v>
      </c>
      <c r="H757">
        <v>9</v>
      </c>
      <c r="I757">
        <v>7542</v>
      </c>
      <c r="J757">
        <v>1477.49</v>
      </c>
    </row>
    <row r="758" spans="1:10" x14ac:dyDescent="0.25">
      <c r="A758" s="1">
        <v>45032</v>
      </c>
      <c r="B758" t="s">
        <v>36</v>
      </c>
      <c r="C758" t="s">
        <v>17</v>
      </c>
      <c r="D758" t="s">
        <v>12</v>
      </c>
      <c r="E758" t="s">
        <v>47</v>
      </c>
      <c r="F758" t="s">
        <v>156</v>
      </c>
      <c r="G758" t="s">
        <v>28</v>
      </c>
      <c r="H758">
        <v>1</v>
      </c>
      <c r="I758">
        <v>924</v>
      </c>
      <c r="J758">
        <v>125.65</v>
      </c>
    </row>
    <row r="759" spans="1:10" x14ac:dyDescent="0.25">
      <c r="A759" s="1">
        <v>44753</v>
      </c>
      <c r="B759" t="s">
        <v>40</v>
      </c>
      <c r="C759" t="s">
        <v>19</v>
      </c>
      <c r="D759" t="s">
        <v>12</v>
      </c>
      <c r="E759" t="s">
        <v>66</v>
      </c>
      <c r="F759" t="s">
        <v>34</v>
      </c>
      <c r="G759" t="s">
        <v>35</v>
      </c>
      <c r="H759">
        <v>5</v>
      </c>
      <c r="I759">
        <v>3940</v>
      </c>
      <c r="J759">
        <v>755.11</v>
      </c>
    </row>
    <row r="760" spans="1:10" x14ac:dyDescent="0.25">
      <c r="A760" s="1">
        <v>45570</v>
      </c>
      <c r="B760" t="s">
        <v>18</v>
      </c>
      <c r="C760" t="s">
        <v>19</v>
      </c>
      <c r="D760" t="s">
        <v>12</v>
      </c>
      <c r="E760" t="s">
        <v>286</v>
      </c>
      <c r="F760" t="s">
        <v>108</v>
      </c>
      <c r="G760" t="s">
        <v>15</v>
      </c>
      <c r="H760">
        <v>2</v>
      </c>
      <c r="I760">
        <v>374</v>
      </c>
      <c r="J760">
        <v>49.26</v>
      </c>
    </row>
    <row r="761" spans="1:10" x14ac:dyDescent="0.25">
      <c r="A761" s="1">
        <v>45004</v>
      </c>
      <c r="B761" t="s">
        <v>10</v>
      </c>
      <c r="C761" t="s">
        <v>11</v>
      </c>
      <c r="D761" t="s">
        <v>12</v>
      </c>
      <c r="E761" t="s">
        <v>74</v>
      </c>
      <c r="F761" t="s">
        <v>23</v>
      </c>
      <c r="G761" t="s">
        <v>24</v>
      </c>
      <c r="H761">
        <v>5</v>
      </c>
      <c r="I761">
        <v>1800</v>
      </c>
      <c r="J761">
        <v>252.69</v>
      </c>
    </row>
    <row r="762" spans="1:10" x14ac:dyDescent="0.25">
      <c r="A762" s="1">
        <v>44921</v>
      </c>
      <c r="B762" t="s">
        <v>36</v>
      </c>
      <c r="C762" t="s">
        <v>17</v>
      </c>
      <c r="D762" t="s">
        <v>12</v>
      </c>
      <c r="E762" t="s">
        <v>132</v>
      </c>
      <c r="F762" t="s">
        <v>63</v>
      </c>
      <c r="G762" t="s">
        <v>28</v>
      </c>
      <c r="H762">
        <v>5</v>
      </c>
      <c r="I762">
        <v>3170</v>
      </c>
      <c r="J762">
        <v>868.34</v>
      </c>
    </row>
    <row r="763" spans="1:10" x14ac:dyDescent="0.25">
      <c r="A763" s="1">
        <v>45521</v>
      </c>
      <c r="B763" t="s">
        <v>29</v>
      </c>
      <c r="C763" t="s">
        <v>17</v>
      </c>
      <c r="D763" t="s">
        <v>12</v>
      </c>
      <c r="E763" t="s">
        <v>287</v>
      </c>
      <c r="F763" t="s">
        <v>21</v>
      </c>
      <c r="G763" t="s">
        <v>15</v>
      </c>
      <c r="H763">
        <v>7</v>
      </c>
      <c r="I763">
        <v>5362</v>
      </c>
      <c r="J763">
        <v>1029.47</v>
      </c>
    </row>
    <row r="764" spans="1:10" x14ac:dyDescent="0.25">
      <c r="A764" s="1">
        <v>45235</v>
      </c>
      <c r="B764" t="s">
        <v>36</v>
      </c>
      <c r="C764" t="s">
        <v>17</v>
      </c>
      <c r="D764" t="s">
        <v>12</v>
      </c>
      <c r="E764" t="s">
        <v>287</v>
      </c>
      <c r="F764" t="s">
        <v>21</v>
      </c>
      <c r="G764" t="s">
        <v>15</v>
      </c>
      <c r="H764">
        <v>9</v>
      </c>
      <c r="I764">
        <v>5976</v>
      </c>
      <c r="J764">
        <v>1747.57</v>
      </c>
    </row>
    <row r="765" spans="1:10" x14ac:dyDescent="0.25">
      <c r="A765" s="1">
        <v>45113</v>
      </c>
      <c r="B765" t="s">
        <v>49</v>
      </c>
      <c r="C765" t="s">
        <v>17</v>
      </c>
      <c r="D765" t="s">
        <v>12</v>
      </c>
      <c r="E765" t="s">
        <v>26</v>
      </c>
      <c r="F765" t="s">
        <v>27</v>
      </c>
      <c r="G765" t="s">
        <v>28</v>
      </c>
      <c r="H765">
        <v>9</v>
      </c>
      <c r="I765">
        <v>8514</v>
      </c>
      <c r="J765">
        <v>1400.4</v>
      </c>
    </row>
    <row r="766" spans="1:10" x14ac:dyDescent="0.25">
      <c r="A766" s="1">
        <v>45255</v>
      </c>
      <c r="B766" t="s">
        <v>55</v>
      </c>
      <c r="C766" t="s">
        <v>19</v>
      </c>
      <c r="D766" t="s">
        <v>12</v>
      </c>
      <c r="E766" t="s">
        <v>105</v>
      </c>
      <c r="F766" t="s">
        <v>23</v>
      </c>
      <c r="G766" t="s">
        <v>24</v>
      </c>
      <c r="H766">
        <v>1</v>
      </c>
      <c r="I766">
        <v>810</v>
      </c>
      <c r="J766">
        <v>157.47</v>
      </c>
    </row>
    <row r="767" spans="1:10" x14ac:dyDescent="0.25">
      <c r="A767" s="1">
        <v>44569</v>
      </c>
      <c r="B767" t="s">
        <v>16</v>
      </c>
      <c r="C767" t="s">
        <v>17</v>
      </c>
      <c r="D767" t="s">
        <v>12</v>
      </c>
      <c r="E767" t="s">
        <v>288</v>
      </c>
      <c r="F767" t="s">
        <v>156</v>
      </c>
      <c r="G767" t="s">
        <v>28</v>
      </c>
      <c r="H767">
        <v>1</v>
      </c>
      <c r="I767">
        <v>71</v>
      </c>
      <c r="J767">
        <v>12.02</v>
      </c>
    </row>
    <row r="768" spans="1:10" x14ac:dyDescent="0.25">
      <c r="A768" s="1">
        <v>44727</v>
      </c>
      <c r="B768" t="s">
        <v>55</v>
      </c>
      <c r="C768" t="s">
        <v>19</v>
      </c>
      <c r="D768" t="s">
        <v>12</v>
      </c>
      <c r="E768" t="s">
        <v>67</v>
      </c>
      <c r="F768" t="s">
        <v>54</v>
      </c>
      <c r="G768" t="s">
        <v>24</v>
      </c>
      <c r="H768">
        <v>1</v>
      </c>
      <c r="I768">
        <v>651</v>
      </c>
      <c r="J768">
        <v>57.94</v>
      </c>
    </row>
    <row r="769" spans="1:10" x14ac:dyDescent="0.25">
      <c r="A769" s="1">
        <v>44633</v>
      </c>
      <c r="B769" t="s">
        <v>36</v>
      </c>
      <c r="C769" t="s">
        <v>17</v>
      </c>
      <c r="D769" t="s">
        <v>12</v>
      </c>
      <c r="E769" t="s">
        <v>56</v>
      </c>
      <c r="F769" t="s">
        <v>57</v>
      </c>
      <c r="G769" t="s">
        <v>24</v>
      </c>
      <c r="H769">
        <v>3</v>
      </c>
      <c r="I769">
        <v>1245</v>
      </c>
      <c r="J769">
        <v>119.11</v>
      </c>
    </row>
    <row r="770" spans="1:10" x14ac:dyDescent="0.25">
      <c r="A770" s="1">
        <v>45236</v>
      </c>
      <c r="B770" t="s">
        <v>36</v>
      </c>
      <c r="C770" t="s">
        <v>17</v>
      </c>
      <c r="D770" t="s">
        <v>12</v>
      </c>
      <c r="E770" t="s">
        <v>134</v>
      </c>
      <c r="F770" t="s">
        <v>42</v>
      </c>
      <c r="G770" t="s">
        <v>28</v>
      </c>
      <c r="H770">
        <v>1</v>
      </c>
      <c r="I770">
        <v>464</v>
      </c>
      <c r="J770">
        <v>58.38</v>
      </c>
    </row>
    <row r="771" spans="1:10" x14ac:dyDescent="0.25">
      <c r="A771" s="1">
        <v>44968</v>
      </c>
      <c r="B771" t="s">
        <v>36</v>
      </c>
      <c r="C771" t="s">
        <v>17</v>
      </c>
      <c r="D771" t="s">
        <v>12</v>
      </c>
      <c r="E771" t="s">
        <v>289</v>
      </c>
      <c r="F771" t="s">
        <v>63</v>
      </c>
      <c r="G771" t="s">
        <v>28</v>
      </c>
      <c r="H771">
        <v>5</v>
      </c>
      <c r="I771">
        <v>5155</v>
      </c>
      <c r="J771">
        <v>356.43</v>
      </c>
    </row>
    <row r="772" spans="1:10" x14ac:dyDescent="0.25">
      <c r="A772" s="1">
        <v>45271</v>
      </c>
      <c r="B772" t="s">
        <v>40</v>
      </c>
      <c r="C772" t="s">
        <v>19</v>
      </c>
      <c r="D772" t="s">
        <v>12</v>
      </c>
      <c r="E772" t="s">
        <v>290</v>
      </c>
      <c r="F772" t="s">
        <v>34</v>
      </c>
      <c r="G772" t="s">
        <v>35</v>
      </c>
      <c r="H772">
        <v>5</v>
      </c>
      <c r="I772">
        <v>5175</v>
      </c>
      <c r="J772">
        <v>786.27</v>
      </c>
    </row>
    <row r="773" spans="1:10" x14ac:dyDescent="0.25">
      <c r="A773" s="1">
        <v>44574</v>
      </c>
      <c r="B773" t="s">
        <v>40</v>
      </c>
      <c r="C773" t="s">
        <v>19</v>
      </c>
      <c r="D773" t="s">
        <v>12</v>
      </c>
      <c r="E773" t="s">
        <v>22</v>
      </c>
      <c r="F773" t="s">
        <v>23</v>
      </c>
      <c r="G773" t="s">
        <v>24</v>
      </c>
      <c r="H773">
        <v>2</v>
      </c>
      <c r="I773">
        <v>1668</v>
      </c>
      <c r="J773">
        <v>470.42</v>
      </c>
    </row>
    <row r="774" spans="1:10" x14ac:dyDescent="0.25">
      <c r="A774" s="1">
        <v>45565</v>
      </c>
      <c r="B774" t="s">
        <v>10</v>
      </c>
      <c r="C774" t="s">
        <v>11</v>
      </c>
      <c r="D774" t="s">
        <v>12</v>
      </c>
      <c r="E774" t="s">
        <v>56</v>
      </c>
      <c r="F774" t="s">
        <v>57</v>
      </c>
      <c r="G774" t="s">
        <v>24</v>
      </c>
      <c r="H774">
        <v>3</v>
      </c>
      <c r="I774">
        <v>1872</v>
      </c>
      <c r="J774">
        <v>532.80999999999995</v>
      </c>
    </row>
    <row r="775" spans="1:10" x14ac:dyDescent="0.25">
      <c r="A775" s="1">
        <v>44942</v>
      </c>
      <c r="B775" t="s">
        <v>55</v>
      </c>
      <c r="C775" t="s">
        <v>19</v>
      </c>
      <c r="D775" t="s">
        <v>12</v>
      </c>
      <c r="E775" t="s">
        <v>141</v>
      </c>
      <c r="F775" t="s">
        <v>57</v>
      </c>
      <c r="G775" t="s">
        <v>24</v>
      </c>
      <c r="H775">
        <v>3</v>
      </c>
      <c r="I775">
        <v>513</v>
      </c>
      <c r="J775">
        <v>132.56</v>
      </c>
    </row>
    <row r="776" spans="1:10" x14ac:dyDescent="0.25">
      <c r="A776" s="1">
        <v>45387</v>
      </c>
      <c r="B776" t="s">
        <v>10</v>
      </c>
      <c r="C776" t="s">
        <v>11</v>
      </c>
      <c r="D776" t="s">
        <v>12</v>
      </c>
      <c r="E776" t="s">
        <v>87</v>
      </c>
      <c r="F776" t="s">
        <v>88</v>
      </c>
      <c r="G776" t="s">
        <v>15</v>
      </c>
      <c r="H776">
        <v>2</v>
      </c>
      <c r="I776">
        <v>2276</v>
      </c>
      <c r="J776">
        <v>366.5</v>
      </c>
    </row>
    <row r="777" spans="1:10" x14ac:dyDescent="0.25">
      <c r="A777" s="1">
        <v>45293</v>
      </c>
      <c r="B777" t="s">
        <v>16</v>
      </c>
      <c r="C777" t="s">
        <v>17</v>
      </c>
      <c r="D777" t="s">
        <v>12</v>
      </c>
      <c r="E777" t="s">
        <v>52</v>
      </c>
      <c r="F777" t="s">
        <v>42</v>
      </c>
      <c r="G777" t="s">
        <v>28</v>
      </c>
      <c r="H777">
        <v>4</v>
      </c>
      <c r="I777">
        <v>3428</v>
      </c>
      <c r="J777">
        <v>305.79000000000002</v>
      </c>
    </row>
    <row r="778" spans="1:10" x14ac:dyDescent="0.25">
      <c r="A778" s="1">
        <v>45353</v>
      </c>
      <c r="B778" t="s">
        <v>49</v>
      </c>
      <c r="C778" t="s">
        <v>17</v>
      </c>
      <c r="D778" t="s">
        <v>12</v>
      </c>
      <c r="E778" t="s">
        <v>75</v>
      </c>
      <c r="F778" t="s">
        <v>108</v>
      </c>
      <c r="G778" t="s">
        <v>15</v>
      </c>
      <c r="H778">
        <v>2</v>
      </c>
      <c r="I778">
        <v>1640</v>
      </c>
      <c r="J778">
        <v>176.87</v>
      </c>
    </row>
    <row r="779" spans="1:10" x14ac:dyDescent="0.25">
      <c r="A779" s="1">
        <v>45437</v>
      </c>
      <c r="B779" t="s">
        <v>25</v>
      </c>
      <c r="C779" t="s">
        <v>19</v>
      </c>
      <c r="D779" t="s">
        <v>12</v>
      </c>
      <c r="E779" t="s">
        <v>279</v>
      </c>
      <c r="F779" t="s">
        <v>23</v>
      </c>
      <c r="G779" t="s">
        <v>24</v>
      </c>
      <c r="H779">
        <v>7</v>
      </c>
      <c r="I779">
        <v>7077</v>
      </c>
      <c r="J779">
        <v>1921.73</v>
      </c>
    </row>
    <row r="780" spans="1:10" x14ac:dyDescent="0.25">
      <c r="A780" s="1">
        <v>45219</v>
      </c>
      <c r="B780" t="s">
        <v>10</v>
      </c>
      <c r="C780" t="s">
        <v>11</v>
      </c>
      <c r="D780" t="s">
        <v>12</v>
      </c>
      <c r="E780" t="s">
        <v>279</v>
      </c>
      <c r="F780" t="s">
        <v>23</v>
      </c>
      <c r="G780" t="s">
        <v>24</v>
      </c>
      <c r="H780">
        <v>9</v>
      </c>
      <c r="I780">
        <v>9225</v>
      </c>
      <c r="J780">
        <v>1391.15</v>
      </c>
    </row>
    <row r="781" spans="1:10" x14ac:dyDescent="0.25">
      <c r="A781" s="1">
        <v>44732</v>
      </c>
      <c r="B781" t="s">
        <v>16</v>
      </c>
      <c r="C781" t="s">
        <v>17</v>
      </c>
      <c r="D781" t="s">
        <v>12</v>
      </c>
      <c r="E781" t="s">
        <v>291</v>
      </c>
      <c r="F781" t="s">
        <v>34</v>
      </c>
      <c r="G781" t="s">
        <v>35</v>
      </c>
      <c r="H781">
        <v>5</v>
      </c>
      <c r="I781">
        <v>3910</v>
      </c>
      <c r="J781">
        <v>584.77</v>
      </c>
    </row>
    <row r="782" spans="1:10" x14ac:dyDescent="0.25">
      <c r="A782" s="1">
        <v>45055</v>
      </c>
      <c r="B782" t="s">
        <v>10</v>
      </c>
      <c r="C782" t="s">
        <v>11</v>
      </c>
      <c r="D782" t="s">
        <v>12</v>
      </c>
      <c r="E782" t="s">
        <v>22</v>
      </c>
      <c r="F782" t="s">
        <v>23</v>
      </c>
      <c r="G782" t="s">
        <v>24</v>
      </c>
      <c r="H782">
        <v>5</v>
      </c>
      <c r="I782">
        <v>1995</v>
      </c>
      <c r="J782">
        <v>369.22</v>
      </c>
    </row>
    <row r="783" spans="1:10" x14ac:dyDescent="0.25">
      <c r="A783" s="1">
        <v>45169</v>
      </c>
      <c r="B783" t="s">
        <v>49</v>
      </c>
      <c r="C783" t="s">
        <v>17</v>
      </c>
      <c r="D783" t="s">
        <v>12</v>
      </c>
      <c r="E783" t="s">
        <v>292</v>
      </c>
      <c r="F783" t="s">
        <v>65</v>
      </c>
      <c r="G783" t="s">
        <v>35</v>
      </c>
      <c r="H783">
        <v>7</v>
      </c>
      <c r="I783">
        <v>385</v>
      </c>
      <c r="J783">
        <v>43.43</v>
      </c>
    </row>
    <row r="784" spans="1:10" x14ac:dyDescent="0.25">
      <c r="A784" s="1">
        <v>45008</v>
      </c>
      <c r="B784" t="s">
        <v>16</v>
      </c>
      <c r="C784" t="s">
        <v>17</v>
      </c>
      <c r="D784" t="s">
        <v>12</v>
      </c>
      <c r="E784" t="s">
        <v>37</v>
      </c>
      <c r="F784" t="s">
        <v>34</v>
      </c>
      <c r="G784" t="s">
        <v>35</v>
      </c>
      <c r="H784">
        <v>4</v>
      </c>
      <c r="I784">
        <v>4316</v>
      </c>
      <c r="J784">
        <v>566.70000000000005</v>
      </c>
    </row>
    <row r="785" spans="1:10" x14ac:dyDescent="0.25">
      <c r="A785" s="1">
        <v>45410</v>
      </c>
      <c r="B785" t="s">
        <v>32</v>
      </c>
      <c r="C785" t="s">
        <v>19</v>
      </c>
      <c r="D785" t="s">
        <v>12</v>
      </c>
      <c r="E785" t="s">
        <v>242</v>
      </c>
      <c r="F785" t="s">
        <v>21</v>
      </c>
      <c r="G785" t="s">
        <v>15</v>
      </c>
      <c r="H785">
        <v>1</v>
      </c>
      <c r="I785">
        <v>1169</v>
      </c>
      <c r="J785">
        <v>340.69</v>
      </c>
    </row>
    <row r="786" spans="1:10" x14ac:dyDescent="0.25">
      <c r="A786" s="1">
        <v>45015</v>
      </c>
      <c r="B786" t="s">
        <v>29</v>
      </c>
      <c r="C786" t="s">
        <v>17</v>
      </c>
      <c r="D786" t="s">
        <v>12</v>
      </c>
      <c r="E786" t="s">
        <v>74</v>
      </c>
      <c r="F786" t="s">
        <v>23</v>
      </c>
      <c r="G786" t="s">
        <v>24</v>
      </c>
      <c r="H786">
        <v>5</v>
      </c>
      <c r="I786">
        <v>2325</v>
      </c>
      <c r="J786">
        <v>506.32</v>
      </c>
    </row>
    <row r="787" spans="1:10" x14ac:dyDescent="0.25">
      <c r="A787" s="1">
        <v>45340</v>
      </c>
      <c r="B787" t="s">
        <v>36</v>
      </c>
      <c r="C787" t="s">
        <v>17</v>
      </c>
      <c r="D787" t="s">
        <v>12</v>
      </c>
      <c r="E787" t="s">
        <v>293</v>
      </c>
      <c r="F787" t="s">
        <v>23</v>
      </c>
      <c r="G787" t="s">
        <v>24</v>
      </c>
      <c r="H787">
        <v>1</v>
      </c>
      <c r="I787">
        <v>199</v>
      </c>
      <c r="J787">
        <v>48.92</v>
      </c>
    </row>
    <row r="788" spans="1:10" x14ac:dyDescent="0.25">
      <c r="A788" s="1">
        <v>44786</v>
      </c>
      <c r="B788" t="s">
        <v>32</v>
      </c>
      <c r="C788" t="s">
        <v>19</v>
      </c>
      <c r="D788" t="s">
        <v>12</v>
      </c>
      <c r="E788" t="s">
        <v>105</v>
      </c>
      <c r="F788" t="s">
        <v>23</v>
      </c>
      <c r="G788" t="s">
        <v>24</v>
      </c>
      <c r="H788">
        <v>3</v>
      </c>
      <c r="I788">
        <v>375</v>
      </c>
      <c r="J788">
        <v>80.58</v>
      </c>
    </row>
    <row r="789" spans="1:10" x14ac:dyDescent="0.25">
      <c r="A789" s="1">
        <v>44686</v>
      </c>
      <c r="B789" t="s">
        <v>55</v>
      </c>
      <c r="C789" t="s">
        <v>19</v>
      </c>
      <c r="D789" t="s">
        <v>12</v>
      </c>
      <c r="E789" t="s">
        <v>294</v>
      </c>
      <c r="F789" t="s">
        <v>149</v>
      </c>
      <c r="G789" t="s">
        <v>15</v>
      </c>
      <c r="H789">
        <v>9</v>
      </c>
      <c r="I789">
        <v>8010</v>
      </c>
      <c r="J789">
        <v>763.32</v>
      </c>
    </row>
    <row r="790" spans="1:10" x14ac:dyDescent="0.25">
      <c r="A790" s="1">
        <v>44929</v>
      </c>
      <c r="B790" t="s">
        <v>16</v>
      </c>
      <c r="C790" t="s">
        <v>17</v>
      </c>
      <c r="D790" t="s">
        <v>12</v>
      </c>
      <c r="E790" t="s">
        <v>103</v>
      </c>
      <c r="F790" t="s">
        <v>149</v>
      </c>
      <c r="G790" t="s">
        <v>15</v>
      </c>
      <c r="H790">
        <v>4</v>
      </c>
      <c r="I790">
        <v>316</v>
      </c>
      <c r="J790">
        <v>77.13</v>
      </c>
    </row>
    <row r="791" spans="1:10" x14ac:dyDescent="0.25">
      <c r="A791" s="1">
        <v>45610</v>
      </c>
      <c r="B791" t="s">
        <v>25</v>
      </c>
      <c r="C791" t="s">
        <v>19</v>
      </c>
      <c r="D791" t="s">
        <v>12</v>
      </c>
      <c r="E791" t="s">
        <v>287</v>
      </c>
      <c r="F791" t="s">
        <v>21</v>
      </c>
      <c r="G791" t="s">
        <v>15</v>
      </c>
      <c r="H791">
        <v>9</v>
      </c>
      <c r="I791">
        <v>5895</v>
      </c>
      <c r="J791">
        <v>442.49</v>
      </c>
    </row>
    <row r="792" spans="1:10" x14ac:dyDescent="0.25">
      <c r="A792" s="1">
        <v>44660</v>
      </c>
      <c r="B792" t="s">
        <v>29</v>
      </c>
      <c r="C792" t="s">
        <v>17</v>
      </c>
      <c r="D792" t="s">
        <v>12</v>
      </c>
      <c r="E792" t="s">
        <v>287</v>
      </c>
      <c r="F792" t="s">
        <v>21</v>
      </c>
      <c r="G792" t="s">
        <v>15</v>
      </c>
      <c r="H792">
        <v>4</v>
      </c>
      <c r="I792">
        <v>388</v>
      </c>
      <c r="J792">
        <v>35.21</v>
      </c>
    </row>
    <row r="793" spans="1:10" x14ac:dyDescent="0.25">
      <c r="A793" s="1">
        <v>45455</v>
      </c>
      <c r="B793" t="s">
        <v>16</v>
      </c>
      <c r="C793" t="s">
        <v>17</v>
      </c>
      <c r="D793" t="s">
        <v>12</v>
      </c>
      <c r="E793" t="s">
        <v>282</v>
      </c>
      <c r="F793" t="s">
        <v>168</v>
      </c>
      <c r="G793" t="s">
        <v>15</v>
      </c>
      <c r="H793">
        <v>5</v>
      </c>
      <c r="I793">
        <v>3670</v>
      </c>
      <c r="J793">
        <v>462.97</v>
      </c>
    </row>
    <row r="794" spans="1:10" x14ac:dyDescent="0.25">
      <c r="A794" s="1">
        <v>45580</v>
      </c>
      <c r="B794" t="s">
        <v>40</v>
      </c>
      <c r="C794" t="s">
        <v>19</v>
      </c>
      <c r="D794" t="s">
        <v>12</v>
      </c>
      <c r="E794" t="s">
        <v>282</v>
      </c>
      <c r="F794" t="s">
        <v>168</v>
      </c>
      <c r="G794" t="s">
        <v>15</v>
      </c>
      <c r="H794">
        <v>9</v>
      </c>
      <c r="I794">
        <v>7731</v>
      </c>
      <c r="J794">
        <v>2178.0500000000002</v>
      </c>
    </row>
    <row r="795" spans="1:10" x14ac:dyDescent="0.25">
      <c r="A795" s="1">
        <v>45217</v>
      </c>
      <c r="B795" t="s">
        <v>55</v>
      </c>
      <c r="C795" t="s">
        <v>19</v>
      </c>
      <c r="D795" t="s">
        <v>12</v>
      </c>
      <c r="E795" t="s">
        <v>52</v>
      </c>
      <c r="F795" t="s">
        <v>42</v>
      </c>
      <c r="G795" t="s">
        <v>28</v>
      </c>
      <c r="H795">
        <v>3</v>
      </c>
      <c r="I795">
        <v>1596</v>
      </c>
      <c r="J795">
        <v>91.23</v>
      </c>
    </row>
    <row r="796" spans="1:10" x14ac:dyDescent="0.25">
      <c r="A796" s="1">
        <v>45388</v>
      </c>
      <c r="B796" t="s">
        <v>25</v>
      </c>
      <c r="C796" t="s">
        <v>19</v>
      </c>
      <c r="D796" t="s">
        <v>12</v>
      </c>
      <c r="E796" t="s">
        <v>70</v>
      </c>
      <c r="F796" t="s">
        <v>71</v>
      </c>
      <c r="G796" t="s">
        <v>35</v>
      </c>
      <c r="H796">
        <v>4</v>
      </c>
      <c r="I796">
        <v>4192</v>
      </c>
      <c r="J796">
        <v>216.16</v>
      </c>
    </row>
    <row r="797" spans="1:10" x14ac:dyDescent="0.25">
      <c r="A797" s="1">
        <v>45136</v>
      </c>
      <c r="B797" t="s">
        <v>18</v>
      </c>
      <c r="C797" t="s">
        <v>19</v>
      </c>
      <c r="D797" t="s">
        <v>12</v>
      </c>
      <c r="E797" t="s">
        <v>70</v>
      </c>
      <c r="F797" t="s">
        <v>71</v>
      </c>
      <c r="G797" t="s">
        <v>35</v>
      </c>
      <c r="H797">
        <v>7</v>
      </c>
      <c r="I797">
        <v>5264</v>
      </c>
      <c r="J797">
        <v>756.33</v>
      </c>
    </row>
    <row r="798" spans="1:10" x14ac:dyDescent="0.25">
      <c r="A798" s="1">
        <v>45081</v>
      </c>
      <c r="B798" t="s">
        <v>55</v>
      </c>
      <c r="C798" t="s">
        <v>19</v>
      </c>
      <c r="D798" t="s">
        <v>12</v>
      </c>
      <c r="E798" t="s">
        <v>70</v>
      </c>
      <c r="F798" t="s">
        <v>71</v>
      </c>
      <c r="G798" t="s">
        <v>35</v>
      </c>
      <c r="H798">
        <v>1</v>
      </c>
      <c r="I798">
        <v>425</v>
      </c>
      <c r="J798">
        <v>48.81</v>
      </c>
    </row>
    <row r="799" spans="1:10" x14ac:dyDescent="0.25">
      <c r="A799" s="1">
        <v>44637</v>
      </c>
      <c r="B799" t="s">
        <v>32</v>
      </c>
      <c r="C799" t="s">
        <v>19</v>
      </c>
      <c r="D799" t="s">
        <v>12</v>
      </c>
      <c r="E799" t="s">
        <v>117</v>
      </c>
      <c r="F799" t="s">
        <v>59</v>
      </c>
      <c r="G799" t="s">
        <v>28</v>
      </c>
      <c r="H799">
        <v>4</v>
      </c>
      <c r="I799">
        <v>3380</v>
      </c>
      <c r="J799">
        <v>211.72</v>
      </c>
    </row>
    <row r="800" spans="1:10" x14ac:dyDescent="0.25">
      <c r="A800" s="1">
        <v>45358</v>
      </c>
      <c r="B800" t="s">
        <v>10</v>
      </c>
      <c r="C800" t="s">
        <v>11</v>
      </c>
      <c r="D800" t="s">
        <v>12</v>
      </c>
      <c r="E800" t="s">
        <v>75</v>
      </c>
      <c r="F800" t="s">
        <v>63</v>
      </c>
      <c r="G800" t="s">
        <v>28</v>
      </c>
      <c r="H800">
        <v>7</v>
      </c>
      <c r="I800">
        <v>8379</v>
      </c>
      <c r="J800">
        <v>2009.05</v>
      </c>
    </row>
    <row r="801" spans="1:10" x14ac:dyDescent="0.25">
      <c r="A801" s="1">
        <v>44625</v>
      </c>
      <c r="B801" t="s">
        <v>49</v>
      </c>
      <c r="C801" t="s">
        <v>17</v>
      </c>
      <c r="D801" t="s">
        <v>12</v>
      </c>
      <c r="E801" t="s">
        <v>172</v>
      </c>
      <c r="F801" t="s">
        <v>173</v>
      </c>
      <c r="G801" t="s">
        <v>24</v>
      </c>
      <c r="H801">
        <v>4</v>
      </c>
      <c r="I801">
        <v>2040</v>
      </c>
      <c r="J801">
        <v>393.72</v>
      </c>
    </row>
    <row r="802" spans="1:10" x14ac:dyDescent="0.25">
      <c r="A802" s="1">
        <v>45399</v>
      </c>
      <c r="B802" t="s">
        <v>10</v>
      </c>
      <c r="C802" t="s">
        <v>11</v>
      </c>
      <c r="D802" t="s">
        <v>12</v>
      </c>
      <c r="E802" t="s">
        <v>172</v>
      </c>
      <c r="F802" t="s">
        <v>173</v>
      </c>
      <c r="G802" t="s">
        <v>24</v>
      </c>
      <c r="H802">
        <v>4</v>
      </c>
      <c r="I802">
        <v>1336</v>
      </c>
      <c r="J802">
        <v>116.65</v>
      </c>
    </row>
    <row r="803" spans="1:10" x14ac:dyDescent="0.25">
      <c r="A803" s="1">
        <v>45526</v>
      </c>
      <c r="B803" t="s">
        <v>49</v>
      </c>
      <c r="C803" t="s">
        <v>17</v>
      </c>
      <c r="D803" t="s">
        <v>12</v>
      </c>
      <c r="E803" t="s">
        <v>273</v>
      </c>
      <c r="F803" t="s">
        <v>46</v>
      </c>
      <c r="G803" t="s">
        <v>15</v>
      </c>
      <c r="H803">
        <v>2</v>
      </c>
      <c r="I803">
        <v>1934</v>
      </c>
      <c r="J803">
        <v>157.41</v>
      </c>
    </row>
    <row r="804" spans="1:10" x14ac:dyDescent="0.25">
      <c r="A804" s="1">
        <v>45391</v>
      </c>
      <c r="B804" t="s">
        <v>49</v>
      </c>
      <c r="C804" t="s">
        <v>17</v>
      </c>
      <c r="D804" t="s">
        <v>12</v>
      </c>
      <c r="E804" t="s">
        <v>22</v>
      </c>
      <c r="F804" t="s">
        <v>23</v>
      </c>
      <c r="G804" t="s">
        <v>24</v>
      </c>
      <c r="H804">
        <v>3</v>
      </c>
      <c r="I804">
        <v>1560</v>
      </c>
      <c r="J804">
        <v>391.11</v>
      </c>
    </row>
    <row r="805" spans="1:10" x14ac:dyDescent="0.25">
      <c r="A805" s="1">
        <v>45493</v>
      </c>
      <c r="B805" t="s">
        <v>49</v>
      </c>
      <c r="C805" t="s">
        <v>17</v>
      </c>
      <c r="D805" t="s">
        <v>12</v>
      </c>
      <c r="E805" t="s">
        <v>272</v>
      </c>
      <c r="F805" t="s">
        <v>84</v>
      </c>
      <c r="G805" t="s">
        <v>28</v>
      </c>
      <c r="H805">
        <v>6</v>
      </c>
      <c r="I805">
        <v>4446</v>
      </c>
      <c r="J805">
        <v>1217.8599999999999</v>
      </c>
    </row>
    <row r="806" spans="1:10" x14ac:dyDescent="0.25">
      <c r="A806" s="1">
        <v>45002</v>
      </c>
      <c r="B806" t="s">
        <v>10</v>
      </c>
      <c r="C806" t="s">
        <v>11</v>
      </c>
      <c r="D806" t="s">
        <v>12</v>
      </c>
      <c r="E806" t="s">
        <v>74</v>
      </c>
      <c r="F806" t="s">
        <v>23</v>
      </c>
      <c r="G806" t="s">
        <v>24</v>
      </c>
      <c r="H806">
        <v>3</v>
      </c>
      <c r="I806">
        <v>1893</v>
      </c>
      <c r="J806">
        <v>508.8</v>
      </c>
    </row>
    <row r="807" spans="1:10" x14ac:dyDescent="0.25">
      <c r="A807" s="1">
        <v>45477</v>
      </c>
      <c r="B807" t="s">
        <v>25</v>
      </c>
      <c r="C807" t="s">
        <v>19</v>
      </c>
      <c r="D807" t="s">
        <v>12</v>
      </c>
      <c r="E807" t="s">
        <v>43</v>
      </c>
      <c r="F807" t="s">
        <v>44</v>
      </c>
      <c r="G807" t="s">
        <v>35</v>
      </c>
      <c r="H807">
        <v>4</v>
      </c>
      <c r="I807">
        <v>4492</v>
      </c>
      <c r="J807">
        <v>670.42</v>
      </c>
    </row>
    <row r="808" spans="1:10" x14ac:dyDescent="0.25">
      <c r="A808" s="1">
        <v>45150</v>
      </c>
      <c r="B808" t="s">
        <v>16</v>
      </c>
      <c r="C808" t="s">
        <v>17</v>
      </c>
      <c r="D808" t="s">
        <v>12</v>
      </c>
      <c r="E808" t="s">
        <v>295</v>
      </c>
      <c r="F808" t="s">
        <v>44</v>
      </c>
      <c r="G808" t="s">
        <v>35</v>
      </c>
      <c r="H808">
        <v>6</v>
      </c>
      <c r="I808">
        <v>6228</v>
      </c>
      <c r="J808">
        <v>1852.45</v>
      </c>
    </row>
    <row r="809" spans="1:10" x14ac:dyDescent="0.25">
      <c r="A809" s="1">
        <v>45039</v>
      </c>
      <c r="B809" t="s">
        <v>25</v>
      </c>
      <c r="C809" t="s">
        <v>19</v>
      </c>
      <c r="D809" t="s">
        <v>12</v>
      </c>
      <c r="E809" t="s">
        <v>105</v>
      </c>
      <c r="F809" t="s">
        <v>23</v>
      </c>
      <c r="G809" t="s">
        <v>24</v>
      </c>
      <c r="H809">
        <v>7</v>
      </c>
      <c r="I809">
        <v>4403</v>
      </c>
      <c r="J809">
        <v>1295.8900000000001</v>
      </c>
    </row>
    <row r="810" spans="1:10" x14ac:dyDescent="0.25">
      <c r="A810" s="1">
        <v>44849</v>
      </c>
      <c r="B810" t="s">
        <v>29</v>
      </c>
      <c r="C810" t="s">
        <v>17</v>
      </c>
      <c r="D810" t="s">
        <v>12</v>
      </c>
      <c r="E810" t="s">
        <v>105</v>
      </c>
      <c r="F810" t="s">
        <v>23</v>
      </c>
      <c r="G810" t="s">
        <v>24</v>
      </c>
      <c r="H810">
        <v>9</v>
      </c>
      <c r="I810">
        <v>4176</v>
      </c>
      <c r="J810">
        <v>510.97</v>
      </c>
    </row>
    <row r="811" spans="1:10" x14ac:dyDescent="0.25">
      <c r="A811" s="1">
        <v>44705</v>
      </c>
      <c r="B811" t="s">
        <v>49</v>
      </c>
      <c r="C811" t="s">
        <v>17</v>
      </c>
      <c r="D811" t="s">
        <v>12</v>
      </c>
      <c r="E811" t="s">
        <v>105</v>
      </c>
      <c r="F811" t="s">
        <v>23</v>
      </c>
      <c r="G811" t="s">
        <v>24</v>
      </c>
      <c r="H811">
        <v>2</v>
      </c>
      <c r="I811">
        <v>486</v>
      </c>
      <c r="J811">
        <v>64.430000000000007</v>
      </c>
    </row>
    <row r="812" spans="1:10" x14ac:dyDescent="0.25">
      <c r="A812" s="1">
        <v>44690</v>
      </c>
      <c r="B812" t="s">
        <v>10</v>
      </c>
      <c r="C812" t="s">
        <v>11</v>
      </c>
      <c r="D812" t="s">
        <v>12</v>
      </c>
      <c r="E812" t="s">
        <v>240</v>
      </c>
      <c r="F812" t="s">
        <v>94</v>
      </c>
      <c r="G812" t="s">
        <v>24</v>
      </c>
      <c r="H812">
        <v>5</v>
      </c>
      <c r="I812">
        <v>4880</v>
      </c>
      <c r="J812">
        <v>1084.69</v>
      </c>
    </row>
    <row r="813" spans="1:10" x14ac:dyDescent="0.25">
      <c r="A813" s="1">
        <v>44867</v>
      </c>
      <c r="B813" t="s">
        <v>10</v>
      </c>
      <c r="C813" t="s">
        <v>11</v>
      </c>
      <c r="D813" t="s">
        <v>12</v>
      </c>
      <c r="E813" t="s">
        <v>240</v>
      </c>
      <c r="F813" t="s">
        <v>94</v>
      </c>
      <c r="G813" t="s">
        <v>24</v>
      </c>
      <c r="H813">
        <v>5</v>
      </c>
      <c r="I813">
        <v>265</v>
      </c>
      <c r="J813">
        <v>53.21</v>
      </c>
    </row>
    <row r="814" spans="1:10" x14ac:dyDescent="0.25">
      <c r="A814" s="1">
        <v>45179</v>
      </c>
      <c r="B814" t="s">
        <v>55</v>
      </c>
      <c r="C814" t="s">
        <v>19</v>
      </c>
      <c r="D814" t="s">
        <v>12</v>
      </c>
      <c r="E814" t="s">
        <v>22</v>
      </c>
      <c r="F814" t="s">
        <v>23</v>
      </c>
      <c r="G814" t="s">
        <v>24</v>
      </c>
      <c r="H814">
        <v>1</v>
      </c>
      <c r="I814">
        <v>1041</v>
      </c>
      <c r="J814">
        <v>128.58000000000001</v>
      </c>
    </row>
    <row r="815" spans="1:10" x14ac:dyDescent="0.25">
      <c r="A815" s="1">
        <v>45379</v>
      </c>
      <c r="B815" t="s">
        <v>40</v>
      </c>
      <c r="C815" t="s">
        <v>19</v>
      </c>
      <c r="D815" t="s">
        <v>12</v>
      </c>
      <c r="E815" t="s">
        <v>26</v>
      </c>
      <c r="F815" t="s">
        <v>27</v>
      </c>
      <c r="G815" t="s">
        <v>28</v>
      </c>
      <c r="H815">
        <v>8</v>
      </c>
      <c r="I815">
        <v>9448</v>
      </c>
      <c r="J815">
        <v>616.5</v>
      </c>
    </row>
    <row r="816" spans="1:10" x14ac:dyDescent="0.25">
      <c r="A816" s="1">
        <v>44743</v>
      </c>
      <c r="B816" t="s">
        <v>29</v>
      </c>
      <c r="C816" t="s">
        <v>17</v>
      </c>
      <c r="D816" t="s">
        <v>12</v>
      </c>
      <c r="E816" t="s">
        <v>26</v>
      </c>
      <c r="F816" t="s">
        <v>27</v>
      </c>
      <c r="G816" t="s">
        <v>28</v>
      </c>
      <c r="H816">
        <v>3</v>
      </c>
      <c r="I816">
        <v>1617</v>
      </c>
      <c r="J816">
        <v>440.46</v>
      </c>
    </row>
    <row r="817" spans="1:10" x14ac:dyDescent="0.25">
      <c r="A817" s="1">
        <v>45339</v>
      </c>
      <c r="B817" t="s">
        <v>55</v>
      </c>
      <c r="C817" t="s">
        <v>19</v>
      </c>
      <c r="D817" t="s">
        <v>12</v>
      </c>
      <c r="E817" t="s">
        <v>26</v>
      </c>
      <c r="F817" t="s">
        <v>27</v>
      </c>
      <c r="G817" t="s">
        <v>28</v>
      </c>
      <c r="H817">
        <v>2</v>
      </c>
      <c r="I817">
        <v>1486</v>
      </c>
      <c r="J817">
        <v>233.7</v>
      </c>
    </row>
    <row r="818" spans="1:10" x14ac:dyDescent="0.25">
      <c r="A818" s="1">
        <v>45115</v>
      </c>
      <c r="B818" t="s">
        <v>32</v>
      </c>
      <c r="C818" t="s">
        <v>19</v>
      </c>
      <c r="D818" t="s">
        <v>12</v>
      </c>
      <c r="E818" t="s">
        <v>52</v>
      </c>
      <c r="F818" t="s">
        <v>42</v>
      </c>
      <c r="G818" t="s">
        <v>28</v>
      </c>
      <c r="H818">
        <v>8</v>
      </c>
      <c r="I818">
        <v>7152</v>
      </c>
      <c r="J818">
        <v>1539.72</v>
      </c>
    </row>
    <row r="819" spans="1:10" x14ac:dyDescent="0.25">
      <c r="A819" s="1">
        <v>44924</v>
      </c>
      <c r="B819" t="s">
        <v>16</v>
      </c>
      <c r="C819" t="s">
        <v>17</v>
      </c>
      <c r="D819" t="s">
        <v>12</v>
      </c>
      <c r="E819" t="s">
        <v>93</v>
      </c>
      <c r="F819" t="s">
        <v>94</v>
      </c>
      <c r="G819" t="s">
        <v>24</v>
      </c>
      <c r="H819">
        <v>6</v>
      </c>
      <c r="I819">
        <v>1404</v>
      </c>
      <c r="J819">
        <v>368.36</v>
      </c>
    </row>
    <row r="820" spans="1:10" x14ac:dyDescent="0.25">
      <c r="A820" s="1">
        <v>45149</v>
      </c>
      <c r="B820" t="s">
        <v>25</v>
      </c>
      <c r="C820" t="s">
        <v>19</v>
      </c>
      <c r="D820" t="s">
        <v>12</v>
      </c>
      <c r="E820" t="s">
        <v>93</v>
      </c>
      <c r="F820" t="s">
        <v>94</v>
      </c>
      <c r="G820" t="s">
        <v>24</v>
      </c>
      <c r="H820">
        <v>2</v>
      </c>
      <c r="I820">
        <v>122</v>
      </c>
      <c r="J820">
        <v>16.23</v>
      </c>
    </row>
    <row r="821" spans="1:10" x14ac:dyDescent="0.25">
      <c r="A821" s="1">
        <v>45139</v>
      </c>
      <c r="B821" t="s">
        <v>25</v>
      </c>
      <c r="C821" t="s">
        <v>19</v>
      </c>
      <c r="D821" t="s">
        <v>12</v>
      </c>
      <c r="E821" t="s">
        <v>93</v>
      </c>
      <c r="F821" t="s">
        <v>94</v>
      </c>
      <c r="G821" t="s">
        <v>24</v>
      </c>
      <c r="H821">
        <v>9</v>
      </c>
      <c r="I821">
        <v>7533</v>
      </c>
      <c r="J821">
        <v>1285.72</v>
      </c>
    </row>
    <row r="822" spans="1:10" x14ac:dyDescent="0.25">
      <c r="A822" s="1">
        <v>45130</v>
      </c>
      <c r="B822" t="s">
        <v>29</v>
      </c>
      <c r="C822" t="s">
        <v>17</v>
      </c>
      <c r="D822" t="s">
        <v>12</v>
      </c>
      <c r="E822" t="s">
        <v>56</v>
      </c>
      <c r="F822" t="s">
        <v>57</v>
      </c>
      <c r="G822" t="s">
        <v>24</v>
      </c>
      <c r="H822">
        <v>4</v>
      </c>
      <c r="I822">
        <v>3888</v>
      </c>
      <c r="J822">
        <v>810.08</v>
      </c>
    </row>
    <row r="823" spans="1:10" x14ac:dyDescent="0.25">
      <c r="A823" s="1">
        <v>45478</v>
      </c>
      <c r="B823" t="s">
        <v>40</v>
      </c>
      <c r="C823" t="s">
        <v>19</v>
      </c>
      <c r="D823" t="s">
        <v>12</v>
      </c>
      <c r="E823" t="s">
        <v>296</v>
      </c>
      <c r="F823" t="s">
        <v>34</v>
      </c>
      <c r="G823" t="s">
        <v>35</v>
      </c>
      <c r="H823">
        <v>5</v>
      </c>
      <c r="I823">
        <v>870</v>
      </c>
      <c r="J823">
        <v>48.87</v>
      </c>
    </row>
    <row r="824" spans="1:10" x14ac:dyDescent="0.25">
      <c r="A824" s="1">
        <v>44893</v>
      </c>
      <c r="B824" t="s">
        <v>16</v>
      </c>
      <c r="C824" t="s">
        <v>17</v>
      </c>
      <c r="D824" t="s">
        <v>12</v>
      </c>
      <c r="E824" t="s">
        <v>207</v>
      </c>
      <c r="F824" t="s">
        <v>34</v>
      </c>
      <c r="G824" t="s">
        <v>35</v>
      </c>
      <c r="H824">
        <v>2</v>
      </c>
      <c r="I824">
        <v>1446</v>
      </c>
      <c r="J824">
        <v>403.89</v>
      </c>
    </row>
    <row r="825" spans="1:10" x14ac:dyDescent="0.25">
      <c r="A825" s="1">
        <v>45607</v>
      </c>
      <c r="B825" t="s">
        <v>18</v>
      </c>
      <c r="C825" t="s">
        <v>19</v>
      </c>
      <c r="D825" t="s">
        <v>12</v>
      </c>
      <c r="E825" t="s">
        <v>297</v>
      </c>
      <c r="F825" t="s">
        <v>39</v>
      </c>
      <c r="G825" t="s">
        <v>35</v>
      </c>
      <c r="H825">
        <v>6</v>
      </c>
      <c r="I825">
        <v>510</v>
      </c>
      <c r="J825">
        <v>151.91</v>
      </c>
    </row>
    <row r="826" spans="1:10" x14ac:dyDescent="0.25">
      <c r="A826" s="1">
        <v>45502</v>
      </c>
      <c r="B826" t="s">
        <v>49</v>
      </c>
      <c r="C826" t="s">
        <v>17</v>
      </c>
      <c r="D826" t="s">
        <v>12</v>
      </c>
      <c r="E826" t="s">
        <v>52</v>
      </c>
      <c r="F826" t="s">
        <v>42</v>
      </c>
      <c r="G826" t="s">
        <v>28</v>
      </c>
      <c r="H826">
        <v>8</v>
      </c>
      <c r="I826">
        <v>6224</v>
      </c>
      <c r="J826">
        <v>790.27</v>
      </c>
    </row>
    <row r="827" spans="1:10" x14ac:dyDescent="0.25">
      <c r="A827" s="1">
        <v>45041</v>
      </c>
      <c r="B827" t="s">
        <v>49</v>
      </c>
      <c r="C827" t="s">
        <v>17</v>
      </c>
      <c r="D827" t="s">
        <v>12</v>
      </c>
      <c r="E827" t="s">
        <v>162</v>
      </c>
      <c r="F827" t="s">
        <v>34</v>
      </c>
      <c r="G827" t="s">
        <v>35</v>
      </c>
      <c r="H827">
        <v>2</v>
      </c>
      <c r="I827">
        <v>686</v>
      </c>
      <c r="J827">
        <v>85.03</v>
      </c>
    </row>
    <row r="828" spans="1:10" x14ac:dyDescent="0.25">
      <c r="A828" s="1">
        <v>45271</v>
      </c>
      <c r="B828" t="s">
        <v>16</v>
      </c>
      <c r="C828" t="s">
        <v>17</v>
      </c>
      <c r="D828" t="s">
        <v>12</v>
      </c>
      <c r="E828" t="s">
        <v>70</v>
      </c>
      <c r="F828" t="s">
        <v>71</v>
      </c>
      <c r="G828" t="s">
        <v>35</v>
      </c>
      <c r="H828">
        <v>4</v>
      </c>
      <c r="I828">
        <v>2840</v>
      </c>
      <c r="J828">
        <v>591.94000000000005</v>
      </c>
    </row>
    <row r="829" spans="1:10" x14ac:dyDescent="0.25">
      <c r="A829" s="1">
        <v>45242</v>
      </c>
      <c r="B829" t="s">
        <v>55</v>
      </c>
      <c r="C829" t="s">
        <v>19</v>
      </c>
      <c r="D829" t="s">
        <v>12</v>
      </c>
      <c r="E829" t="s">
        <v>74</v>
      </c>
      <c r="F829" t="s">
        <v>23</v>
      </c>
      <c r="G829" t="s">
        <v>24</v>
      </c>
      <c r="H829">
        <v>7</v>
      </c>
      <c r="I829">
        <v>2562</v>
      </c>
      <c r="J829">
        <v>347.62</v>
      </c>
    </row>
    <row r="830" spans="1:10" x14ac:dyDescent="0.25">
      <c r="A830" s="1">
        <v>45416</v>
      </c>
      <c r="B830" t="s">
        <v>40</v>
      </c>
      <c r="C830" t="s">
        <v>19</v>
      </c>
      <c r="D830" t="s">
        <v>12</v>
      </c>
      <c r="E830" t="s">
        <v>298</v>
      </c>
      <c r="F830" t="s">
        <v>46</v>
      </c>
      <c r="G830" t="s">
        <v>15</v>
      </c>
      <c r="H830">
        <v>5</v>
      </c>
      <c r="I830">
        <v>790</v>
      </c>
      <c r="J830">
        <v>216.12</v>
      </c>
    </row>
    <row r="831" spans="1:10" x14ac:dyDescent="0.25">
      <c r="A831" s="1">
        <v>44751</v>
      </c>
      <c r="B831" t="s">
        <v>55</v>
      </c>
      <c r="C831" t="s">
        <v>19</v>
      </c>
      <c r="D831" t="s">
        <v>12</v>
      </c>
      <c r="E831" t="s">
        <v>22</v>
      </c>
      <c r="F831" t="s">
        <v>23</v>
      </c>
      <c r="G831" t="s">
        <v>24</v>
      </c>
      <c r="H831">
        <v>5</v>
      </c>
      <c r="I831">
        <v>4170</v>
      </c>
      <c r="J831">
        <v>786.42</v>
      </c>
    </row>
    <row r="832" spans="1:10" x14ac:dyDescent="0.25">
      <c r="A832" s="1">
        <v>44887</v>
      </c>
      <c r="B832" t="s">
        <v>18</v>
      </c>
      <c r="C832" t="s">
        <v>19</v>
      </c>
      <c r="D832" t="s">
        <v>12</v>
      </c>
      <c r="E832" t="s">
        <v>52</v>
      </c>
      <c r="F832" t="s">
        <v>42</v>
      </c>
      <c r="G832" t="s">
        <v>28</v>
      </c>
      <c r="H832">
        <v>4</v>
      </c>
      <c r="I832">
        <v>1360</v>
      </c>
      <c r="J832">
        <v>373.59</v>
      </c>
    </row>
    <row r="833" spans="1:10" x14ac:dyDescent="0.25">
      <c r="A833" s="1">
        <v>44633</v>
      </c>
      <c r="B833" t="s">
        <v>25</v>
      </c>
      <c r="C833" t="s">
        <v>19</v>
      </c>
      <c r="D833" t="s">
        <v>12</v>
      </c>
      <c r="E833" t="s">
        <v>104</v>
      </c>
      <c r="F833" t="s">
        <v>115</v>
      </c>
      <c r="G833" t="s">
        <v>15</v>
      </c>
      <c r="H833">
        <v>6</v>
      </c>
      <c r="I833">
        <v>5316</v>
      </c>
      <c r="J833">
        <v>782.42</v>
      </c>
    </row>
    <row r="834" spans="1:10" x14ac:dyDescent="0.25">
      <c r="A834" s="1">
        <v>45127</v>
      </c>
      <c r="B834" t="s">
        <v>55</v>
      </c>
      <c r="C834" t="s">
        <v>19</v>
      </c>
      <c r="D834" t="s">
        <v>12</v>
      </c>
      <c r="E834" t="s">
        <v>52</v>
      </c>
      <c r="F834" t="s">
        <v>42</v>
      </c>
      <c r="G834" t="s">
        <v>28</v>
      </c>
      <c r="H834">
        <v>4</v>
      </c>
      <c r="I834">
        <v>3956</v>
      </c>
      <c r="J834">
        <v>293.38</v>
      </c>
    </row>
    <row r="835" spans="1:10" x14ac:dyDescent="0.25">
      <c r="A835" s="1">
        <v>44690</v>
      </c>
      <c r="B835" t="s">
        <v>36</v>
      </c>
      <c r="C835" t="s">
        <v>17</v>
      </c>
      <c r="D835" t="s">
        <v>12</v>
      </c>
      <c r="E835" t="s">
        <v>56</v>
      </c>
      <c r="F835" t="s">
        <v>57</v>
      </c>
      <c r="G835" t="s">
        <v>24</v>
      </c>
      <c r="H835">
        <v>3</v>
      </c>
      <c r="I835">
        <v>726</v>
      </c>
      <c r="J835">
        <v>94.38</v>
      </c>
    </row>
    <row r="836" spans="1:10" x14ac:dyDescent="0.25">
      <c r="A836" s="1">
        <v>45508</v>
      </c>
      <c r="B836" t="s">
        <v>40</v>
      </c>
      <c r="C836" t="s">
        <v>19</v>
      </c>
      <c r="D836" t="s">
        <v>12</v>
      </c>
      <c r="E836" t="s">
        <v>22</v>
      </c>
      <c r="F836" t="s">
        <v>23</v>
      </c>
      <c r="G836" t="s">
        <v>24</v>
      </c>
      <c r="H836">
        <v>4</v>
      </c>
      <c r="I836">
        <v>228</v>
      </c>
      <c r="J836">
        <v>29.37</v>
      </c>
    </row>
    <row r="837" spans="1:10" x14ac:dyDescent="0.25">
      <c r="A837" s="1">
        <v>44773</v>
      </c>
      <c r="B837" t="s">
        <v>29</v>
      </c>
      <c r="C837" t="s">
        <v>17</v>
      </c>
      <c r="D837" t="s">
        <v>12</v>
      </c>
      <c r="E837" t="s">
        <v>243</v>
      </c>
      <c r="F837" t="s">
        <v>23</v>
      </c>
      <c r="G837" t="s">
        <v>24</v>
      </c>
      <c r="H837">
        <v>3</v>
      </c>
      <c r="I837">
        <v>2274</v>
      </c>
      <c r="J837">
        <v>442.57</v>
      </c>
    </row>
    <row r="838" spans="1:10" x14ac:dyDescent="0.25">
      <c r="A838" s="1">
        <v>45548</v>
      </c>
      <c r="B838" t="s">
        <v>49</v>
      </c>
      <c r="C838" t="s">
        <v>17</v>
      </c>
      <c r="D838" t="s">
        <v>12</v>
      </c>
      <c r="E838" t="s">
        <v>47</v>
      </c>
      <c r="F838" t="s">
        <v>46</v>
      </c>
      <c r="G838" t="s">
        <v>15</v>
      </c>
      <c r="H838">
        <v>9</v>
      </c>
      <c r="I838">
        <v>2628</v>
      </c>
      <c r="J838">
        <v>459.87</v>
      </c>
    </row>
    <row r="839" spans="1:10" x14ac:dyDescent="0.25">
      <c r="A839" s="1">
        <v>45438</v>
      </c>
      <c r="B839" t="s">
        <v>25</v>
      </c>
      <c r="C839" t="s">
        <v>19</v>
      </c>
      <c r="D839" t="s">
        <v>12</v>
      </c>
      <c r="E839" t="s">
        <v>299</v>
      </c>
      <c r="F839" t="s">
        <v>200</v>
      </c>
      <c r="G839" t="s">
        <v>28</v>
      </c>
      <c r="H839">
        <v>6</v>
      </c>
      <c r="I839">
        <v>606</v>
      </c>
      <c r="J839">
        <v>104.85</v>
      </c>
    </row>
    <row r="840" spans="1:10" x14ac:dyDescent="0.25">
      <c r="A840" s="1">
        <v>45611</v>
      </c>
      <c r="B840" t="s">
        <v>29</v>
      </c>
      <c r="C840" t="s">
        <v>17</v>
      </c>
      <c r="D840" t="s">
        <v>12</v>
      </c>
      <c r="E840" t="s">
        <v>72</v>
      </c>
      <c r="F840" t="s">
        <v>21</v>
      </c>
      <c r="G840" t="s">
        <v>15</v>
      </c>
      <c r="H840">
        <v>8</v>
      </c>
      <c r="I840">
        <v>7256</v>
      </c>
      <c r="J840">
        <v>558.79</v>
      </c>
    </row>
    <row r="841" spans="1:10" x14ac:dyDescent="0.25">
      <c r="A841" s="1">
        <v>44996</v>
      </c>
      <c r="B841" t="s">
        <v>25</v>
      </c>
      <c r="C841" t="s">
        <v>19</v>
      </c>
      <c r="D841" t="s">
        <v>12</v>
      </c>
      <c r="E841" t="s">
        <v>300</v>
      </c>
      <c r="F841" t="s">
        <v>65</v>
      </c>
      <c r="G841" t="s">
        <v>35</v>
      </c>
      <c r="H841">
        <v>4</v>
      </c>
      <c r="I841">
        <v>1956</v>
      </c>
      <c r="J841">
        <v>125.69</v>
      </c>
    </row>
    <row r="842" spans="1:10" x14ac:dyDescent="0.25">
      <c r="A842" s="1">
        <v>45463</v>
      </c>
      <c r="B842" t="s">
        <v>10</v>
      </c>
      <c r="C842" t="s">
        <v>11</v>
      </c>
      <c r="D842" t="s">
        <v>12</v>
      </c>
      <c r="E842" t="s">
        <v>300</v>
      </c>
      <c r="F842" t="s">
        <v>65</v>
      </c>
      <c r="G842" t="s">
        <v>35</v>
      </c>
      <c r="H842">
        <v>6</v>
      </c>
      <c r="I842">
        <v>3954</v>
      </c>
      <c r="J842">
        <v>690.1</v>
      </c>
    </row>
    <row r="843" spans="1:10" x14ac:dyDescent="0.25">
      <c r="A843" s="1">
        <v>44937</v>
      </c>
      <c r="B843" t="s">
        <v>49</v>
      </c>
      <c r="C843" t="s">
        <v>17</v>
      </c>
      <c r="D843" t="s">
        <v>12</v>
      </c>
      <c r="E843" t="s">
        <v>300</v>
      </c>
      <c r="F843" t="s">
        <v>65</v>
      </c>
      <c r="G843" t="s">
        <v>35</v>
      </c>
      <c r="H843">
        <v>6</v>
      </c>
      <c r="I843">
        <v>2262</v>
      </c>
      <c r="J843">
        <v>442.86</v>
      </c>
    </row>
    <row r="844" spans="1:10" x14ac:dyDescent="0.25">
      <c r="A844" s="1">
        <v>44607</v>
      </c>
      <c r="B844" t="s">
        <v>10</v>
      </c>
      <c r="C844" t="s">
        <v>11</v>
      </c>
      <c r="D844" t="s">
        <v>12</v>
      </c>
      <c r="E844" t="s">
        <v>301</v>
      </c>
      <c r="F844" t="s">
        <v>21</v>
      </c>
      <c r="G844" t="s">
        <v>15</v>
      </c>
      <c r="H844">
        <v>4</v>
      </c>
      <c r="I844">
        <v>2804</v>
      </c>
      <c r="J844">
        <v>391.59</v>
      </c>
    </row>
    <row r="845" spans="1:10" x14ac:dyDescent="0.25">
      <c r="A845" s="1">
        <v>44677</v>
      </c>
      <c r="B845" t="s">
        <v>18</v>
      </c>
      <c r="C845" t="s">
        <v>19</v>
      </c>
      <c r="D845" t="s">
        <v>12</v>
      </c>
      <c r="E845" t="s">
        <v>56</v>
      </c>
      <c r="F845" t="s">
        <v>57</v>
      </c>
      <c r="G845" t="s">
        <v>24</v>
      </c>
      <c r="H845">
        <v>9</v>
      </c>
      <c r="I845">
        <v>5850</v>
      </c>
      <c r="J845">
        <v>1511.06</v>
      </c>
    </row>
    <row r="846" spans="1:10" x14ac:dyDescent="0.25">
      <c r="A846" s="1">
        <v>45084</v>
      </c>
      <c r="B846" t="s">
        <v>49</v>
      </c>
      <c r="C846" t="s">
        <v>17</v>
      </c>
      <c r="D846" t="s">
        <v>12</v>
      </c>
      <c r="E846" t="s">
        <v>66</v>
      </c>
      <c r="F846" t="s">
        <v>34</v>
      </c>
      <c r="G846" t="s">
        <v>35</v>
      </c>
      <c r="H846">
        <v>1</v>
      </c>
      <c r="I846">
        <v>56</v>
      </c>
      <c r="J846">
        <v>9.16</v>
      </c>
    </row>
    <row r="847" spans="1:10" x14ac:dyDescent="0.25">
      <c r="A847" s="1">
        <v>45308</v>
      </c>
      <c r="B847" t="s">
        <v>36</v>
      </c>
      <c r="C847" t="s">
        <v>17</v>
      </c>
      <c r="D847" t="s">
        <v>12</v>
      </c>
      <c r="E847" t="s">
        <v>22</v>
      </c>
      <c r="F847" t="s">
        <v>23</v>
      </c>
      <c r="G847" t="s">
        <v>24</v>
      </c>
      <c r="H847">
        <v>9</v>
      </c>
      <c r="I847">
        <v>4302</v>
      </c>
      <c r="J847">
        <v>344.64</v>
      </c>
    </row>
    <row r="848" spans="1:10" x14ac:dyDescent="0.25">
      <c r="A848" s="1">
        <v>45426</v>
      </c>
      <c r="B848" t="s">
        <v>25</v>
      </c>
      <c r="C848" t="s">
        <v>19</v>
      </c>
      <c r="D848" t="s">
        <v>12</v>
      </c>
      <c r="E848" t="s">
        <v>160</v>
      </c>
      <c r="F848" t="s">
        <v>27</v>
      </c>
      <c r="G848" t="s">
        <v>28</v>
      </c>
      <c r="H848">
        <v>9</v>
      </c>
      <c r="I848">
        <v>10143</v>
      </c>
      <c r="J848">
        <v>1690.66</v>
      </c>
    </row>
    <row r="849" spans="1:10" x14ac:dyDescent="0.25">
      <c r="A849" s="1">
        <v>45061</v>
      </c>
      <c r="B849" t="s">
        <v>29</v>
      </c>
      <c r="C849" t="s">
        <v>17</v>
      </c>
      <c r="D849" t="s">
        <v>12</v>
      </c>
      <c r="E849" t="s">
        <v>160</v>
      </c>
      <c r="F849" t="s">
        <v>27</v>
      </c>
      <c r="G849" t="s">
        <v>28</v>
      </c>
      <c r="H849">
        <v>1</v>
      </c>
      <c r="I849">
        <v>1012</v>
      </c>
      <c r="J849">
        <v>164.89</v>
      </c>
    </row>
    <row r="850" spans="1:10" x14ac:dyDescent="0.25">
      <c r="A850" s="1">
        <v>45068</v>
      </c>
      <c r="B850" t="s">
        <v>18</v>
      </c>
      <c r="C850" t="s">
        <v>19</v>
      </c>
      <c r="D850" t="s">
        <v>12</v>
      </c>
      <c r="E850" t="s">
        <v>74</v>
      </c>
      <c r="F850" t="s">
        <v>23</v>
      </c>
      <c r="G850" t="s">
        <v>24</v>
      </c>
      <c r="H850">
        <v>9</v>
      </c>
      <c r="I850">
        <v>8964</v>
      </c>
      <c r="J850">
        <v>448.62</v>
      </c>
    </row>
    <row r="851" spans="1:10" x14ac:dyDescent="0.25">
      <c r="A851" s="1">
        <v>44778</v>
      </c>
      <c r="B851" t="s">
        <v>16</v>
      </c>
      <c r="C851" t="s">
        <v>17</v>
      </c>
      <c r="D851" t="s">
        <v>12</v>
      </c>
      <c r="E851" t="s">
        <v>182</v>
      </c>
      <c r="F851" t="s">
        <v>183</v>
      </c>
      <c r="G851" t="s">
        <v>15</v>
      </c>
      <c r="H851">
        <v>6</v>
      </c>
      <c r="I851">
        <v>1758</v>
      </c>
      <c r="J851">
        <v>262.36</v>
      </c>
    </row>
    <row r="852" spans="1:10" x14ac:dyDescent="0.25">
      <c r="A852" s="1">
        <v>45211</v>
      </c>
      <c r="B852" t="s">
        <v>10</v>
      </c>
      <c r="C852" t="s">
        <v>11</v>
      </c>
      <c r="D852" t="s">
        <v>12</v>
      </c>
      <c r="E852" t="s">
        <v>74</v>
      </c>
      <c r="F852" t="s">
        <v>23</v>
      </c>
      <c r="G852" t="s">
        <v>24</v>
      </c>
      <c r="H852">
        <v>6</v>
      </c>
      <c r="I852">
        <v>6348</v>
      </c>
      <c r="J852">
        <v>557.72</v>
      </c>
    </row>
    <row r="853" spans="1:10" x14ac:dyDescent="0.25">
      <c r="A853" s="1">
        <v>45234</v>
      </c>
      <c r="B853" t="s">
        <v>10</v>
      </c>
      <c r="C853" t="s">
        <v>11</v>
      </c>
      <c r="D853" t="s">
        <v>12</v>
      </c>
      <c r="E853" t="s">
        <v>74</v>
      </c>
      <c r="F853" t="s">
        <v>23</v>
      </c>
      <c r="G853" t="s">
        <v>24</v>
      </c>
      <c r="H853">
        <v>2</v>
      </c>
      <c r="I853">
        <v>1582</v>
      </c>
      <c r="J853">
        <v>422.46</v>
      </c>
    </row>
    <row r="854" spans="1:10" x14ac:dyDescent="0.25">
      <c r="A854" s="1">
        <v>45063</v>
      </c>
      <c r="B854" t="s">
        <v>16</v>
      </c>
      <c r="C854" t="s">
        <v>17</v>
      </c>
      <c r="D854" t="s">
        <v>12</v>
      </c>
      <c r="E854" t="s">
        <v>74</v>
      </c>
      <c r="F854" t="s">
        <v>23</v>
      </c>
      <c r="G854" t="s">
        <v>24</v>
      </c>
      <c r="H854">
        <v>2</v>
      </c>
      <c r="I854">
        <v>1924</v>
      </c>
      <c r="J854">
        <v>394.4</v>
      </c>
    </row>
    <row r="855" spans="1:10" x14ac:dyDescent="0.25">
      <c r="A855" s="1">
        <v>45018</v>
      </c>
      <c r="B855" t="s">
        <v>49</v>
      </c>
      <c r="C855" t="s">
        <v>17</v>
      </c>
      <c r="D855" t="s">
        <v>12</v>
      </c>
      <c r="E855" t="s">
        <v>52</v>
      </c>
      <c r="F855" t="s">
        <v>42</v>
      </c>
      <c r="G855" t="s">
        <v>28</v>
      </c>
      <c r="H855">
        <v>1</v>
      </c>
      <c r="I855">
        <v>120</v>
      </c>
      <c r="J855">
        <v>23.86</v>
      </c>
    </row>
    <row r="856" spans="1:10" x14ac:dyDescent="0.25">
      <c r="A856" s="1">
        <v>45317</v>
      </c>
      <c r="B856" t="s">
        <v>29</v>
      </c>
      <c r="C856" t="s">
        <v>17</v>
      </c>
      <c r="D856" t="s">
        <v>12</v>
      </c>
      <c r="E856" t="s">
        <v>52</v>
      </c>
      <c r="F856" t="s">
        <v>42</v>
      </c>
      <c r="G856" t="s">
        <v>28</v>
      </c>
      <c r="H856">
        <v>8</v>
      </c>
      <c r="I856">
        <v>7752</v>
      </c>
      <c r="J856">
        <v>1943.84</v>
      </c>
    </row>
    <row r="857" spans="1:10" x14ac:dyDescent="0.25">
      <c r="A857" s="1">
        <v>45120</v>
      </c>
      <c r="B857" t="s">
        <v>25</v>
      </c>
      <c r="C857" t="s">
        <v>19</v>
      </c>
      <c r="D857" t="s">
        <v>12</v>
      </c>
      <c r="E857" t="s">
        <v>26</v>
      </c>
      <c r="F857" t="s">
        <v>27</v>
      </c>
      <c r="G857" t="s">
        <v>28</v>
      </c>
      <c r="H857">
        <v>2</v>
      </c>
      <c r="I857">
        <v>1114</v>
      </c>
      <c r="J857">
        <v>300.44</v>
      </c>
    </row>
    <row r="858" spans="1:10" x14ac:dyDescent="0.25">
      <c r="A858" s="1">
        <v>45624</v>
      </c>
      <c r="B858" t="s">
        <v>49</v>
      </c>
      <c r="C858" t="s">
        <v>17</v>
      </c>
      <c r="D858" t="s">
        <v>12</v>
      </c>
      <c r="E858" t="s">
        <v>26</v>
      </c>
      <c r="F858" t="s">
        <v>27</v>
      </c>
      <c r="G858" t="s">
        <v>28</v>
      </c>
      <c r="H858">
        <v>5</v>
      </c>
      <c r="I858">
        <v>1765</v>
      </c>
      <c r="J858">
        <v>229.06</v>
      </c>
    </row>
    <row r="859" spans="1:10" x14ac:dyDescent="0.25">
      <c r="A859" s="1">
        <v>44783</v>
      </c>
      <c r="B859" t="s">
        <v>49</v>
      </c>
      <c r="C859" t="s">
        <v>17</v>
      </c>
      <c r="D859" t="s">
        <v>12</v>
      </c>
      <c r="E859" t="s">
        <v>184</v>
      </c>
      <c r="F859" t="s">
        <v>23</v>
      </c>
      <c r="G859" t="s">
        <v>24</v>
      </c>
      <c r="H859">
        <v>6</v>
      </c>
      <c r="I859">
        <v>6834</v>
      </c>
      <c r="J859">
        <v>1418.21</v>
      </c>
    </row>
    <row r="860" spans="1:10" x14ac:dyDescent="0.25">
      <c r="A860" s="1">
        <v>44818</v>
      </c>
      <c r="B860" t="s">
        <v>40</v>
      </c>
      <c r="C860" t="s">
        <v>19</v>
      </c>
      <c r="D860" t="s">
        <v>12</v>
      </c>
      <c r="E860" t="s">
        <v>210</v>
      </c>
      <c r="F860" t="s">
        <v>34</v>
      </c>
      <c r="G860" t="s">
        <v>35</v>
      </c>
      <c r="H860">
        <v>5</v>
      </c>
      <c r="I860">
        <v>1520</v>
      </c>
      <c r="J860">
        <v>433.53</v>
      </c>
    </row>
    <row r="861" spans="1:10" x14ac:dyDescent="0.25">
      <c r="A861" s="1">
        <v>45143</v>
      </c>
      <c r="B861" t="s">
        <v>32</v>
      </c>
      <c r="C861" t="s">
        <v>19</v>
      </c>
      <c r="D861" t="s">
        <v>12</v>
      </c>
      <c r="E861" t="s">
        <v>302</v>
      </c>
      <c r="F861" t="s">
        <v>21</v>
      </c>
      <c r="G861" t="s">
        <v>15</v>
      </c>
      <c r="H861">
        <v>7</v>
      </c>
      <c r="I861">
        <v>8141</v>
      </c>
      <c r="J861">
        <v>767.6</v>
      </c>
    </row>
    <row r="862" spans="1:10" x14ac:dyDescent="0.25">
      <c r="A862" s="1">
        <v>45168</v>
      </c>
      <c r="B862" t="s">
        <v>18</v>
      </c>
      <c r="C862" t="s">
        <v>19</v>
      </c>
      <c r="D862" t="s">
        <v>12</v>
      </c>
      <c r="E862" t="s">
        <v>302</v>
      </c>
      <c r="F862" t="s">
        <v>21</v>
      </c>
      <c r="G862" t="s">
        <v>15</v>
      </c>
      <c r="H862">
        <v>8</v>
      </c>
      <c r="I862">
        <v>5176</v>
      </c>
      <c r="J862">
        <v>866.36</v>
      </c>
    </row>
    <row r="863" spans="1:10" x14ac:dyDescent="0.25">
      <c r="A863" s="1">
        <v>45423</v>
      </c>
      <c r="B863" t="s">
        <v>16</v>
      </c>
      <c r="C863" t="s">
        <v>17</v>
      </c>
      <c r="D863" t="s">
        <v>12</v>
      </c>
      <c r="E863" t="s">
        <v>151</v>
      </c>
      <c r="F863" t="s">
        <v>152</v>
      </c>
      <c r="G863" t="s">
        <v>15</v>
      </c>
      <c r="H863">
        <v>9</v>
      </c>
      <c r="I863">
        <v>738</v>
      </c>
      <c r="J863">
        <v>64.42</v>
      </c>
    </row>
    <row r="864" spans="1:10" x14ac:dyDescent="0.25">
      <c r="A864" s="1">
        <v>45308</v>
      </c>
      <c r="B864" t="s">
        <v>10</v>
      </c>
      <c r="C864" t="s">
        <v>11</v>
      </c>
      <c r="D864" t="s">
        <v>12</v>
      </c>
      <c r="E864" t="s">
        <v>303</v>
      </c>
      <c r="F864" t="s">
        <v>126</v>
      </c>
      <c r="G864" t="s">
        <v>35</v>
      </c>
      <c r="H864">
        <v>9</v>
      </c>
      <c r="I864">
        <v>4086</v>
      </c>
      <c r="J864">
        <v>217.48</v>
      </c>
    </row>
    <row r="865" spans="1:10" x14ac:dyDescent="0.25">
      <c r="A865" s="1">
        <v>44820</v>
      </c>
      <c r="B865" t="s">
        <v>16</v>
      </c>
      <c r="C865" t="s">
        <v>17</v>
      </c>
      <c r="D865" t="s">
        <v>12</v>
      </c>
      <c r="E865" t="s">
        <v>52</v>
      </c>
      <c r="F865" t="s">
        <v>42</v>
      </c>
      <c r="G865" t="s">
        <v>28</v>
      </c>
      <c r="H865">
        <v>2</v>
      </c>
      <c r="I865">
        <v>442</v>
      </c>
      <c r="J865">
        <v>28.13</v>
      </c>
    </row>
    <row r="866" spans="1:10" x14ac:dyDescent="0.25">
      <c r="A866" s="1">
        <v>44939</v>
      </c>
      <c r="B866" t="s">
        <v>40</v>
      </c>
      <c r="C866" t="s">
        <v>19</v>
      </c>
      <c r="D866" t="s">
        <v>12</v>
      </c>
      <c r="E866" t="s">
        <v>70</v>
      </c>
      <c r="F866" t="s">
        <v>71</v>
      </c>
      <c r="G866" t="s">
        <v>35</v>
      </c>
      <c r="H866">
        <v>6</v>
      </c>
      <c r="I866">
        <v>2478</v>
      </c>
      <c r="J866">
        <v>153.86000000000001</v>
      </c>
    </row>
    <row r="867" spans="1:10" x14ac:dyDescent="0.25">
      <c r="A867" s="1">
        <v>44583</v>
      </c>
      <c r="B867" t="s">
        <v>49</v>
      </c>
      <c r="C867" t="s">
        <v>17</v>
      </c>
      <c r="D867" t="s">
        <v>12</v>
      </c>
      <c r="E867" t="s">
        <v>103</v>
      </c>
      <c r="F867" t="s">
        <v>21</v>
      </c>
      <c r="G867" t="s">
        <v>15</v>
      </c>
      <c r="H867">
        <v>2</v>
      </c>
      <c r="I867">
        <v>1860</v>
      </c>
      <c r="J867">
        <v>327.14999999999998</v>
      </c>
    </row>
    <row r="868" spans="1:10" x14ac:dyDescent="0.25">
      <c r="A868" s="1">
        <v>44705</v>
      </c>
      <c r="B868" t="s">
        <v>36</v>
      </c>
      <c r="C868" t="s">
        <v>17</v>
      </c>
      <c r="D868" t="s">
        <v>12</v>
      </c>
      <c r="E868" t="s">
        <v>26</v>
      </c>
      <c r="F868" t="s">
        <v>27</v>
      </c>
      <c r="G868" t="s">
        <v>28</v>
      </c>
      <c r="H868">
        <v>9</v>
      </c>
      <c r="I868">
        <v>4968</v>
      </c>
      <c r="J868">
        <v>991.82</v>
      </c>
    </row>
    <row r="869" spans="1:10" x14ac:dyDescent="0.25">
      <c r="A869" s="1">
        <v>44990</v>
      </c>
      <c r="B869" t="s">
        <v>10</v>
      </c>
      <c r="C869" t="s">
        <v>11</v>
      </c>
      <c r="D869" t="s">
        <v>12</v>
      </c>
      <c r="E869" t="s">
        <v>74</v>
      </c>
      <c r="F869" t="s">
        <v>23</v>
      </c>
      <c r="G869" t="s">
        <v>24</v>
      </c>
      <c r="H869">
        <v>3</v>
      </c>
      <c r="I869">
        <v>1446</v>
      </c>
      <c r="J869">
        <v>278.94</v>
      </c>
    </row>
    <row r="870" spans="1:10" x14ac:dyDescent="0.25">
      <c r="A870" s="1">
        <v>45041</v>
      </c>
      <c r="B870" t="s">
        <v>16</v>
      </c>
      <c r="C870" t="s">
        <v>17</v>
      </c>
      <c r="D870" t="s">
        <v>12</v>
      </c>
      <c r="E870" t="s">
        <v>304</v>
      </c>
      <c r="F870" t="s">
        <v>42</v>
      </c>
      <c r="G870" t="s">
        <v>28</v>
      </c>
      <c r="H870">
        <v>7</v>
      </c>
      <c r="I870">
        <v>1722</v>
      </c>
      <c r="J870">
        <v>414.87</v>
      </c>
    </row>
    <row r="871" spans="1:10" x14ac:dyDescent="0.25">
      <c r="A871" s="1">
        <v>45486</v>
      </c>
      <c r="B871" t="s">
        <v>32</v>
      </c>
      <c r="C871" t="s">
        <v>19</v>
      </c>
      <c r="D871" t="s">
        <v>12</v>
      </c>
      <c r="E871" t="s">
        <v>162</v>
      </c>
      <c r="F871" t="s">
        <v>23</v>
      </c>
      <c r="G871" t="s">
        <v>24</v>
      </c>
      <c r="H871">
        <v>7</v>
      </c>
      <c r="I871">
        <v>6573</v>
      </c>
      <c r="J871">
        <v>460.28</v>
      </c>
    </row>
    <row r="872" spans="1:10" x14ac:dyDescent="0.25">
      <c r="A872" s="1">
        <v>45536</v>
      </c>
      <c r="B872" t="s">
        <v>29</v>
      </c>
      <c r="C872" t="s">
        <v>17</v>
      </c>
      <c r="D872" t="s">
        <v>12</v>
      </c>
      <c r="E872" t="s">
        <v>64</v>
      </c>
      <c r="F872" t="s">
        <v>84</v>
      </c>
      <c r="G872" t="s">
        <v>28</v>
      </c>
      <c r="H872">
        <v>3</v>
      </c>
      <c r="I872">
        <v>2481</v>
      </c>
      <c r="J872">
        <v>249.52</v>
      </c>
    </row>
    <row r="873" spans="1:10" x14ac:dyDescent="0.25">
      <c r="A873" s="1">
        <v>45652</v>
      </c>
      <c r="B873" t="s">
        <v>36</v>
      </c>
      <c r="C873" t="s">
        <v>17</v>
      </c>
      <c r="D873" t="s">
        <v>12</v>
      </c>
      <c r="E873" t="s">
        <v>305</v>
      </c>
      <c r="F873" t="s">
        <v>267</v>
      </c>
      <c r="G873" t="s">
        <v>24</v>
      </c>
      <c r="H873">
        <v>6</v>
      </c>
      <c r="I873">
        <v>3828</v>
      </c>
      <c r="J873">
        <v>1102.8599999999999</v>
      </c>
    </row>
    <row r="874" spans="1:10" x14ac:dyDescent="0.25">
      <c r="A874" s="1">
        <v>45158</v>
      </c>
      <c r="B874" t="s">
        <v>18</v>
      </c>
      <c r="C874" t="s">
        <v>19</v>
      </c>
      <c r="D874" t="s">
        <v>12</v>
      </c>
      <c r="E874" t="s">
        <v>22</v>
      </c>
      <c r="F874" t="s">
        <v>23</v>
      </c>
      <c r="G874" t="s">
        <v>24</v>
      </c>
      <c r="H874">
        <v>7</v>
      </c>
      <c r="I874">
        <v>1197</v>
      </c>
      <c r="J874">
        <v>103.34</v>
      </c>
    </row>
    <row r="875" spans="1:10" x14ac:dyDescent="0.25">
      <c r="A875" s="1">
        <v>44570</v>
      </c>
      <c r="B875" t="s">
        <v>18</v>
      </c>
      <c r="C875" t="s">
        <v>19</v>
      </c>
      <c r="D875" t="s">
        <v>12</v>
      </c>
      <c r="E875" t="s">
        <v>306</v>
      </c>
      <c r="F875" t="s">
        <v>200</v>
      </c>
      <c r="G875" t="s">
        <v>28</v>
      </c>
      <c r="H875">
        <v>7</v>
      </c>
      <c r="I875">
        <v>7623</v>
      </c>
      <c r="J875">
        <v>1459.84</v>
      </c>
    </row>
    <row r="876" spans="1:10" x14ac:dyDescent="0.25">
      <c r="A876" s="1">
        <v>44787</v>
      </c>
      <c r="B876" t="s">
        <v>16</v>
      </c>
      <c r="C876" t="s">
        <v>17</v>
      </c>
      <c r="D876" t="s">
        <v>12</v>
      </c>
      <c r="E876" t="s">
        <v>306</v>
      </c>
      <c r="F876" t="s">
        <v>200</v>
      </c>
      <c r="G876" t="s">
        <v>28</v>
      </c>
      <c r="H876">
        <v>9</v>
      </c>
      <c r="I876">
        <v>3384</v>
      </c>
      <c r="J876">
        <v>252.11</v>
      </c>
    </row>
    <row r="877" spans="1:10" x14ac:dyDescent="0.25">
      <c r="A877" s="1">
        <v>44562</v>
      </c>
      <c r="B877" t="s">
        <v>36</v>
      </c>
      <c r="C877" t="s">
        <v>17</v>
      </c>
      <c r="D877" t="s">
        <v>12</v>
      </c>
      <c r="E877" t="s">
        <v>306</v>
      </c>
      <c r="F877" t="s">
        <v>200</v>
      </c>
      <c r="G877" t="s">
        <v>28</v>
      </c>
      <c r="H877">
        <v>8</v>
      </c>
      <c r="I877">
        <v>1296</v>
      </c>
      <c r="J877">
        <v>273.97000000000003</v>
      </c>
    </row>
    <row r="878" spans="1:10" x14ac:dyDescent="0.25">
      <c r="A878" s="1">
        <v>45498</v>
      </c>
      <c r="B878" t="s">
        <v>18</v>
      </c>
      <c r="C878" t="s">
        <v>19</v>
      </c>
      <c r="D878" t="s">
        <v>12</v>
      </c>
      <c r="E878" t="s">
        <v>306</v>
      </c>
      <c r="F878" t="s">
        <v>200</v>
      </c>
      <c r="G878" t="s">
        <v>28</v>
      </c>
      <c r="H878">
        <v>8</v>
      </c>
      <c r="I878">
        <v>2840</v>
      </c>
      <c r="J878">
        <v>262.62</v>
      </c>
    </row>
    <row r="879" spans="1:10" x14ac:dyDescent="0.25">
      <c r="A879" s="1">
        <v>45526</v>
      </c>
      <c r="B879" t="s">
        <v>25</v>
      </c>
      <c r="C879" t="s">
        <v>19</v>
      </c>
      <c r="D879" t="s">
        <v>12</v>
      </c>
      <c r="E879" t="s">
        <v>74</v>
      </c>
      <c r="F879" t="s">
        <v>23</v>
      </c>
      <c r="G879" t="s">
        <v>24</v>
      </c>
      <c r="H879">
        <v>7</v>
      </c>
      <c r="I879">
        <v>1540</v>
      </c>
      <c r="J879">
        <v>342.93</v>
      </c>
    </row>
    <row r="880" spans="1:10" x14ac:dyDescent="0.25">
      <c r="A880" s="1">
        <v>44740</v>
      </c>
      <c r="B880" t="s">
        <v>25</v>
      </c>
      <c r="C880" t="s">
        <v>19</v>
      </c>
      <c r="D880" t="s">
        <v>12</v>
      </c>
      <c r="E880" t="s">
        <v>56</v>
      </c>
      <c r="F880" t="s">
        <v>57</v>
      </c>
      <c r="G880" t="s">
        <v>24</v>
      </c>
      <c r="H880">
        <v>2</v>
      </c>
      <c r="I880">
        <v>1414</v>
      </c>
      <c r="J880">
        <v>308.39</v>
      </c>
    </row>
    <row r="881" spans="1:10" x14ac:dyDescent="0.25">
      <c r="A881" s="1">
        <v>45042</v>
      </c>
      <c r="B881" t="s">
        <v>25</v>
      </c>
      <c r="C881" t="s">
        <v>19</v>
      </c>
      <c r="D881" t="s">
        <v>12</v>
      </c>
      <c r="E881" t="s">
        <v>43</v>
      </c>
      <c r="F881" t="s">
        <v>44</v>
      </c>
      <c r="G881" t="s">
        <v>35</v>
      </c>
      <c r="H881">
        <v>8</v>
      </c>
      <c r="I881">
        <v>8328</v>
      </c>
      <c r="J881">
        <v>466.38</v>
      </c>
    </row>
    <row r="882" spans="1:10" x14ac:dyDescent="0.25">
      <c r="A882" s="1">
        <v>45167</v>
      </c>
      <c r="B882" t="s">
        <v>25</v>
      </c>
      <c r="C882" t="s">
        <v>19</v>
      </c>
      <c r="D882" t="s">
        <v>12</v>
      </c>
      <c r="E882" t="s">
        <v>56</v>
      </c>
      <c r="F882" t="s">
        <v>57</v>
      </c>
      <c r="G882" t="s">
        <v>24</v>
      </c>
      <c r="H882">
        <v>2</v>
      </c>
      <c r="I882">
        <v>744</v>
      </c>
      <c r="J882">
        <v>217.21</v>
      </c>
    </row>
    <row r="883" spans="1:10" x14ac:dyDescent="0.25">
      <c r="A883" s="1">
        <v>44928</v>
      </c>
      <c r="B883" t="s">
        <v>16</v>
      </c>
      <c r="C883" t="s">
        <v>17</v>
      </c>
      <c r="D883" t="s">
        <v>12</v>
      </c>
      <c r="E883" t="s">
        <v>210</v>
      </c>
      <c r="F883" t="s">
        <v>34</v>
      </c>
      <c r="G883" t="s">
        <v>35</v>
      </c>
      <c r="H883">
        <v>9</v>
      </c>
      <c r="I883">
        <v>1773</v>
      </c>
      <c r="J883">
        <v>168.01</v>
      </c>
    </row>
    <row r="884" spans="1:10" x14ac:dyDescent="0.25">
      <c r="A884" s="1">
        <v>45149</v>
      </c>
      <c r="B884" t="s">
        <v>40</v>
      </c>
      <c r="C884" t="s">
        <v>19</v>
      </c>
      <c r="D884" t="s">
        <v>12</v>
      </c>
      <c r="E884" t="s">
        <v>307</v>
      </c>
      <c r="F884" t="s">
        <v>156</v>
      </c>
      <c r="G884" t="s">
        <v>28</v>
      </c>
      <c r="H884">
        <v>7</v>
      </c>
      <c r="I884">
        <v>6034</v>
      </c>
      <c r="J884">
        <v>1018.37</v>
      </c>
    </row>
    <row r="885" spans="1:10" x14ac:dyDescent="0.25">
      <c r="A885" s="1">
        <v>45099</v>
      </c>
      <c r="B885" t="s">
        <v>40</v>
      </c>
      <c r="C885" t="s">
        <v>19</v>
      </c>
      <c r="D885" t="s">
        <v>12</v>
      </c>
      <c r="E885" t="s">
        <v>307</v>
      </c>
      <c r="F885" t="s">
        <v>156</v>
      </c>
      <c r="G885" t="s">
        <v>28</v>
      </c>
      <c r="H885">
        <v>9</v>
      </c>
      <c r="I885">
        <v>756</v>
      </c>
      <c r="J885">
        <v>99.21</v>
      </c>
    </row>
    <row r="886" spans="1:10" x14ac:dyDescent="0.25">
      <c r="A886" s="1">
        <v>45500</v>
      </c>
      <c r="B886" t="s">
        <v>36</v>
      </c>
      <c r="C886" t="s">
        <v>17</v>
      </c>
      <c r="D886" t="s">
        <v>12</v>
      </c>
      <c r="E886" t="s">
        <v>195</v>
      </c>
      <c r="F886" t="s">
        <v>83</v>
      </c>
      <c r="G886" t="s">
        <v>28</v>
      </c>
      <c r="H886">
        <v>8</v>
      </c>
      <c r="I886">
        <v>2256</v>
      </c>
      <c r="J886">
        <v>468.52</v>
      </c>
    </row>
    <row r="887" spans="1:10" x14ac:dyDescent="0.25">
      <c r="A887" s="1">
        <v>45260</v>
      </c>
      <c r="B887" t="s">
        <v>36</v>
      </c>
      <c r="C887" t="s">
        <v>17</v>
      </c>
      <c r="D887" t="s">
        <v>12</v>
      </c>
      <c r="E887" t="s">
        <v>52</v>
      </c>
      <c r="F887" t="s">
        <v>42</v>
      </c>
      <c r="G887" t="s">
        <v>28</v>
      </c>
      <c r="H887">
        <v>7</v>
      </c>
      <c r="I887">
        <v>875</v>
      </c>
      <c r="J887">
        <v>203.63</v>
      </c>
    </row>
    <row r="888" spans="1:10" x14ac:dyDescent="0.25">
      <c r="A888" s="1">
        <v>45622</v>
      </c>
      <c r="B888" t="s">
        <v>29</v>
      </c>
      <c r="C888" t="s">
        <v>17</v>
      </c>
      <c r="D888" t="s">
        <v>12</v>
      </c>
      <c r="E888" t="s">
        <v>304</v>
      </c>
      <c r="F888" t="s">
        <v>44</v>
      </c>
      <c r="G888" t="s">
        <v>35</v>
      </c>
      <c r="H888">
        <v>4</v>
      </c>
      <c r="I888">
        <v>1208</v>
      </c>
      <c r="J888">
        <v>115.13</v>
      </c>
    </row>
    <row r="889" spans="1:10" x14ac:dyDescent="0.25">
      <c r="A889" s="1">
        <v>45153</v>
      </c>
      <c r="B889" t="s">
        <v>29</v>
      </c>
      <c r="C889" t="s">
        <v>17</v>
      </c>
      <c r="D889" t="s">
        <v>12</v>
      </c>
      <c r="E889" t="s">
        <v>56</v>
      </c>
      <c r="F889" t="s">
        <v>57</v>
      </c>
      <c r="G889" t="s">
        <v>24</v>
      </c>
      <c r="H889">
        <v>2</v>
      </c>
      <c r="I889">
        <v>352</v>
      </c>
      <c r="J889">
        <v>54.19</v>
      </c>
    </row>
    <row r="890" spans="1:10" x14ac:dyDescent="0.25">
      <c r="A890" s="1">
        <v>44980</v>
      </c>
      <c r="B890" t="s">
        <v>10</v>
      </c>
      <c r="C890" t="s">
        <v>11</v>
      </c>
      <c r="D890" t="s">
        <v>12</v>
      </c>
      <c r="E890" t="s">
        <v>37</v>
      </c>
      <c r="F890" t="s">
        <v>34</v>
      </c>
      <c r="G890" t="s">
        <v>35</v>
      </c>
      <c r="H890">
        <v>6</v>
      </c>
      <c r="I890">
        <v>4266</v>
      </c>
      <c r="J890">
        <v>357.51</v>
      </c>
    </row>
    <row r="891" spans="1:10" x14ac:dyDescent="0.25">
      <c r="A891" s="1">
        <v>44646</v>
      </c>
      <c r="B891" t="s">
        <v>18</v>
      </c>
      <c r="C891" t="s">
        <v>19</v>
      </c>
      <c r="D891" t="s">
        <v>12</v>
      </c>
      <c r="E891" t="s">
        <v>37</v>
      </c>
      <c r="F891" t="s">
        <v>34</v>
      </c>
      <c r="G891" t="s">
        <v>35</v>
      </c>
      <c r="H891">
        <v>7</v>
      </c>
      <c r="I891">
        <v>1841</v>
      </c>
      <c r="J891">
        <v>496.89</v>
      </c>
    </row>
    <row r="892" spans="1:10" x14ac:dyDescent="0.25">
      <c r="A892" s="1">
        <v>45500</v>
      </c>
      <c r="B892" t="s">
        <v>25</v>
      </c>
      <c r="C892" t="s">
        <v>19</v>
      </c>
      <c r="D892" t="s">
        <v>12</v>
      </c>
      <c r="E892" t="s">
        <v>56</v>
      </c>
      <c r="F892" t="s">
        <v>57</v>
      </c>
      <c r="G892" t="s">
        <v>24</v>
      </c>
      <c r="H892">
        <v>1</v>
      </c>
      <c r="I892">
        <v>712</v>
      </c>
      <c r="J892">
        <v>89.5</v>
      </c>
    </row>
    <row r="893" spans="1:10" x14ac:dyDescent="0.25">
      <c r="A893" s="1">
        <v>45374</v>
      </c>
      <c r="B893" t="s">
        <v>10</v>
      </c>
      <c r="C893" t="s">
        <v>11</v>
      </c>
      <c r="D893" t="s">
        <v>12</v>
      </c>
      <c r="E893" t="s">
        <v>87</v>
      </c>
      <c r="F893" t="s">
        <v>46</v>
      </c>
      <c r="G893" t="s">
        <v>15</v>
      </c>
      <c r="H893">
        <v>2</v>
      </c>
      <c r="I893">
        <v>724</v>
      </c>
      <c r="J893">
        <v>72.19</v>
      </c>
    </row>
    <row r="894" spans="1:10" x14ac:dyDescent="0.25">
      <c r="A894" s="1">
        <v>45635</v>
      </c>
      <c r="B894" t="s">
        <v>40</v>
      </c>
      <c r="C894" t="s">
        <v>19</v>
      </c>
      <c r="D894" t="s">
        <v>12</v>
      </c>
      <c r="E894" t="s">
        <v>307</v>
      </c>
      <c r="F894" t="s">
        <v>156</v>
      </c>
      <c r="G894" t="s">
        <v>28</v>
      </c>
      <c r="H894">
        <v>8</v>
      </c>
      <c r="I894">
        <v>5832</v>
      </c>
      <c r="J894">
        <v>662.72</v>
      </c>
    </row>
    <row r="895" spans="1:10" x14ac:dyDescent="0.25">
      <c r="A895" s="1">
        <v>45094</v>
      </c>
      <c r="B895" t="s">
        <v>49</v>
      </c>
      <c r="C895" t="s">
        <v>17</v>
      </c>
      <c r="D895" t="s">
        <v>12</v>
      </c>
      <c r="E895" t="s">
        <v>243</v>
      </c>
      <c r="F895" t="s">
        <v>78</v>
      </c>
      <c r="G895" t="s">
        <v>28</v>
      </c>
      <c r="H895">
        <v>6</v>
      </c>
      <c r="I895">
        <v>4188</v>
      </c>
      <c r="J895">
        <v>989.14</v>
      </c>
    </row>
    <row r="896" spans="1:10" x14ac:dyDescent="0.25">
      <c r="A896" s="1">
        <v>45190</v>
      </c>
      <c r="B896" t="s">
        <v>18</v>
      </c>
      <c r="C896" t="s">
        <v>19</v>
      </c>
      <c r="D896" t="s">
        <v>12</v>
      </c>
      <c r="E896" t="s">
        <v>52</v>
      </c>
      <c r="F896" t="s">
        <v>42</v>
      </c>
      <c r="G896" t="s">
        <v>28</v>
      </c>
      <c r="H896">
        <v>1</v>
      </c>
      <c r="I896">
        <v>392</v>
      </c>
      <c r="J896">
        <v>50.7</v>
      </c>
    </row>
    <row r="897" spans="1:10" x14ac:dyDescent="0.25">
      <c r="A897" s="1">
        <v>44695</v>
      </c>
      <c r="B897" t="s">
        <v>55</v>
      </c>
      <c r="C897" t="s">
        <v>19</v>
      </c>
      <c r="D897" t="s">
        <v>12</v>
      </c>
      <c r="E897" t="s">
        <v>308</v>
      </c>
      <c r="F897" t="s">
        <v>34</v>
      </c>
      <c r="G897" t="s">
        <v>35</v>
      </c>
      <c r="H897">
        <v>9</v>
      </c>
      <c r="I897">
        <v>963</v>
      </c>
      <c r="J897">
        <v>49.71</v>
      </c>
    </row>
    <row r="898" spans="1:10" x14ac:dyDescent="0.25">
      <c r="A898" s="1">
        <v>45395</v>
      </c>
      <c r="B898" t="s">
        <v>25</v>
      </c>
      <c r="C898" t="s">
        <v>19</v>
      </c>
      <c r="D898" t="s">
        <v>12</v>
      </c>
      <c r="E898" t="s">
        <v>22</v>
      </c>
      <c r="F898" t="s">
        <v>23</v>
      </c>
      <c r="G898" t="s">
        <v>24</v>
      </c>
      <c r="H898">
        <v>6</v>
      </c>
      <c r="I898">
        <v>5706</v>
      </c>
      <c r="J898">
        <v>319.45999999999998</v>
      </c>
    </row>
    <row r="899" spans="1:10" x14ac:dyDescent="0.25">
      <c r="A899" s="1">
        <v>45454</v>
      </c>
      <c r="B899" t="s">
        <v>29</v>
      </c>
      <c r="C899" t="s">
        <v>17</v>
      </c>
      <c r="D899" t="s">
        <v>12</v>
      </c>
      <c r="E899" t="s">
        <v>188</v>
      </c>
      <c r="F899" t="s">
        <v>189</v>
      </c>
      <c r="G899" t="s">
        <v>24</v>
      </c>
      <c r="H899">
        <v>7</v>
      </c>
      <c r="I899">
        <v>1365</v>
      </c>
      <c r="J899">
        <v>312.04000000000002</v>
      </c>
    </row>
    <row r="900" spans="1:10" x14ac:dyDescent="0.25">
      <c r="A900" s="1">
        <v>45069</v>
      </c>
      <c r="B900" t="s">
        <v>29</v>
      </c>
      <c r="C900" t="s">
        <v>17</v>
      </c>
      <c r="D900" t="s">
        <v>12</v>
      </c>
      <c r="E900" t="s">
        <v>309</v>
      </c>
      <c r="F900" t="s">
        <v>23</v>
      </c>
      <c r="G900" t="s">
        <v>24</v>
      </c>
      <c r="H900">
        <v>1</v>
      </c>
      <c r="I900">
        <v>202</v>
      </c>
      <c r="J900">
        <v>11.24</v>
      </c>
    </row>
    <row r="901" spans="1:10" x14ac:dyDescent="0.25">
      <c r="A901" s="1">
        <v>45284</v>
      </c>
      <c r="B901" t="s">
        <v>40</v>
      </c>
      <c r="C901" t="s">
        <v>19</v>
      </c>
      <c r="D901" t="s">
        <v>12</v>
      </c>
      <c r="E901" t="s">
        <v>269</v>
      </c>
      <c r="F901" t="s">
        <v>21</v>
      </c>
      <c r="G901" t="s">
        <v>15</v>
      </c>
      <c r="H901">
        <v>9</v>
      </c>
      <c r="I901">
        <v>2430</v>
      </c>
      <c r="J901">
        <v>613.66999999999996</v>
      </c>
    </row>
    <row r="902" spans="1:10" x14ac:dyDescent="0.25">
      <c r="A902" s="1">
        <v>45042</v>
      </c>
      <c r="B902" t="s">
        <v>36</v>
      </c>
      <c r="C902" t="s">
        <v>17</v>
      </c>
      <c r="D902" t="s">
        <v>12</v>
      </c>
      <c r="E902" t="s">
        <v>56</v>
      </c>
      <c r="F902" t="s">
        <v>57</v>
      </c>
      <c r="G902" t="s">
        <v>24</v>
      </c>
      <c r="H902">
        <v>3</v>
      </c>
      <c r="I902">
        <v>2670</v>
      </c>
      <c r="J902">
        <v>515.39</v>
      </c>
    </row>
    <row r="903" spans="1:10" x14ac:dyDescent="0.25">
      <c r="A903" s="1">
        <v>44582</v>
      </c>
      <c r="B903" t="s">
        <v>18</v>
      </c>
      <c r="C903" t="s">
        <v>19</v>
      </c>
      <c r="D903" t="s">
        <v>12</v>
      </c>
      <c r="E903" t="s">
        <v>22</v>
      </c>
      <c r="F903" t="s">
        <v>23</v>
      </c>
      <c r="G903" t="s">
        <v>24</v>
      </c>
      <c r="H903">
        <v>7</v>
      </c>
      <c r="I903">
        <v>2758</v>
      </c>
      <c r="J903">
        <v>520.66</v>
      </c>
    </row>
    <row r="904" spans="1:10" x14ac:dyDescent="0.25">
      <c r="A904" s="1">
        <v>44848</v>
      </c>
      <c r="B904" t="s">
        <v>36</v>
      </c>
      <c r="C904" t="s">
        <v>17</v>
      </c>
      <c r="D904" t="s">
        <v>12</v>
      </c>
      <c r="E904" t="s">
        <v>104</v>
      </c>
      <c r="F904" t="s">
        <v>115</v>
      </c>
      <c r="G904" t="s">
        <v>15</v>
      </c>
      <c r="H904">
        <v>9</v>
      </c>
      <c r="I904">
        <v>873</v>
      </c>
      <c r="J904">
        <v>82.35</v>
      </c>
    </row>
    <row r="905" spans="1:10" x14ac:dyDescent="0.25">
      <c r="A905" s="1">
        <v>45161</v>
      </c>
      <c r="B905" t="s">
        <v>32</v>
      </c>
      <c r="C905" t="s">
        <v>19</v>
      </c>
      <c r="D905" t="s">
        <v>12</v>
      </c>
      <c r="E905" t="s">
        <v>310</v>
      </c>
      <c r="F905" t="s">
        <v>94</v>
      </c>
      <c r="G905" t="s">
        <v>24</v>
      </c>
      <c r="H905">
        <v>9</v>
      </c>
      <c r="I905">
        <v>7245</v>
      </c>
      <c r="J905">
        <v>1410.92</v>
      </c>
    </row>
    <row r="906" spans="1:10" x14ac:dyDescent="0.25">
      <c r="A906" s="1">
        <v>45182</v>
      </c>
      <c r="B906" t="s">
        <v>25</v>
      </c>
      <c r="C906" t="s">
        <v>19</v>
      </c>
      <c r="D906" t="s">
        <v>12</v>
      </c>
      <c r="E906" t="s">
        <v>311</v>
      </c>
      <c r="F906" t="s">
        <v>42</v>
      </c>
      <c r="G906" t="s">
        <v>28</v>
      </c>
      <c r="H906">
        <v>4</v>
      </c>
      <c r="I906">
        <v>960</v>
      </c>
      <c r="J906">
        <v>255.24</v>
      </c>
    </row>
    <row r="907" spans="1:10" x14ac:dyDescent="0.25">
      <c r="A907" s="1">
        <v>45654</v>
      </c>
      <c r="B907" t="s">
        <v>32</v>
      </c>
      <c r="C907" t="s">
        <v>19</v>
      </c>
      <c r="D907" t="s">
        <v>12</v>
      </c>
      <c r="E907" t="s">
        <v>311</v>
      </c>
      <c r="F907" t="s">
        <v>42</v>
      </c>
      <c r="G907" t="s">
        <v>28</v>
      </c>
      <c r="H907">
        <v>4</v>
      </c>
      <c r="I907">
        <v>1284</v>
      </c>
      <c r="J907">
        <v>171.02</v>
      </c>
    </row>
    <row r="908" spans="1:10" x14ac:dyDescent="0.25">
      <c r="A908" s="1">
        <v>45086</v>
      </c>
      <c r="B908" t="s">
        <v>16</v>
      </c>
      <c r="C908" t="s">
        <v>17</v>
      </c>
      <c r="D908" t="s">
        <v>12</v>
      </c>
      <c r="E908" t="s">
        <v>53</v>
      </c>
      <c r="F908" t="s">
        <v>44</v>
      </c>
      <c r="G908" t="s">
        <v>35</v>
      </c>
      <c r="H908">
        <v>4</v>
      </c>
      <c r="I908">
        <v>512</v>
      </c>
      <c r="J908">
        <v>110.47</v>
      </c>
    </row>
    <row r="909" spans="1:10" x14ac:dyDescent="0.25">
      <c r="A909" s="1">
        <v>44752</v>
      </c>
      <c r="B909" t="s">
        <v>32</v>
      </c>
      <c r="C909" t="s">
        <v>19</v>
      </c>
      <c r="D909" t="s">
        <v>12</v>
      </c>
      <c r="E909" t="s">
        <v>53</v>
      </c>
      <c r="F909" t="s">
        <v>44</v>
      </c>
      <c r="G909" t="s">
        <v>35</v>
      </c>
      <c r="H909">
        <v>9</v>
      </c>
      <c r="I909">
        <v>9729</v>
      </c>
      <c r="J909">
        <v>2039.41</v>
      </c>
    </row>
    <row r="910" spans="1:10" x14ac:dyDescent="0.25">
      <c r="A910" s="1">
        <v>44937</v>
      </c>
      <c r="B910" t="s">
        <v>25</v>
      </c>
      <c r="C910" t="s">
        <v>19</v>
      </c>
      <c r="D910" t="s">
        <v>12</v>
      </c>
      <c r="E910" t="s">
        <v>312</v>
      </c>
      <c r="F910" t="s">
        <v>23</v>
      </c>
      <c r="G910" t="s">
        <v>24</v>
      </c>
      <c r="H910">
        <v>5</v>
      </c>
      <c r="I910">
        <v>1580</v>
      </c>
      <c r="J910">
        <v>166.16</v>
      </c>
    </row>
    <row r="911" spans="1:10" x14ac:dyDescent="0.25">
      <c r="A911" s="1">
        <v>45133</v>
      </c>
      <c r="B911" t="s">
        <v>16</v>
      </c>
      <c r="C911" t="s">
        <v>17</v>
      </c>
      <c r="D911" t="s">
        <v>12</v>
      </c>
      <c r="E911" t="s">
        <v>312</v>
      </c>
      <c r="F911" t="s">
        <v>23</v>
      </c>
      <c r="G911" t="s">
        <v>24</v>
      </c>
      <c r="H911">
        <v>8</v>
      </c>
      <c r="I911">
        <v>976</v>
      </c>
      <c r="J911">
        <v>234.24</v>
      </c>
    </row>
    <row r="912" spans="1:10" x14ac:dyDescent="0.25">
      <c r="A912" s="1">
        <v>45296</v>
      </c>
      <c r="B912" t="s">
        <v>10</v>
      </c>
      <c r="C912" t="s">
        <v>11</v>
      </c>
      <c r="D912" t="s">
        <v>12</v>
      </c>
      <c r="E912" t="s">
        <v>74</v>
      </c>
      <c r="F912" t="s">
        <v>23</v>
      </c>
      <c r="G912" t="s">
        <v>24</v>
      </c>
      <c r="H912">
        <v>8</v>
      </c>
      <c r="I912">
        <v>1824</v>
      </c>
      <c r="J912">
        <v>495.35</v>
      </c>
    </row>
    <row r="913" spans="1:10" x14ac:dyDescent="0.25">
      <c r="A913" s="1">
        <v>45054</v>
      </c>
      <c r="B913" t="s">
        <v>40</v>
      </c>
      <c r="C913" t="s">
        <v>19</v>
      </c>
      <c r="D913" t="s">
        <v>12</v>
      </c>
      <c r="E913" t="s">
        <v>254</v>
      </c>
      <c r="F913" t="s">
        <v>44</v>
      </c>
      <c r="G913" t="s">
        <v>35</v>
      </c>
      <c r="H913">
        <v>4</v>
      </c>
      <c r="I913">
        <v>3188</v>
      </c>
      <c r="J913">
        <v>202.81</v>
      </c>
    </row>
    <row r="914" spans="1:10" x14ac:dyDescent="0.25">
      <c r="A914" s="1">
        <v>45259</v>
      </c>
      <c r="B914" t="s">
        <v>25</v>
      </c>
      <c r="C914" t="s">
        <v>19</v>
      </c>
      <c r="D914" t="s">
        <v>12</v>
      </c>
      <c r="E914" t="s">
        <v>254</v>
      </c>
      <c r="F914" t="s">
        <v>44</v>
      </c>
      <c r="G914" t="s">
        <v>35</v>
      </c>
      <c r="H914">
        <v>7</v>
      </c>
      <c r="I914">
        <v>5467</v>
      </c>
      <c r="J914">
        <v>556.02</v>
      </c>
    </row>
    <row r="915" spans="1:10" x14ac:dyDescent="0.25">
      <c r="A915" s="1">
        <v>45540</v>
      </c>
      <c r="B915" t="s">
        <v>40</v>
      </c>
      <c r="C915" t="s">
        <v>19</v>
      </c>
      <c r="D915" t="s">
        <v>12</v>
      </c>
      <c r="E915" t="s">
        <v>52</v>
      </c>
      <c r="F915" t="s">
        <v>42</v>
      </c>
      <c r="G915" t="s">
        <v>28</v>
      </c>
      <c r="H915">
        <v>6</v>
      </c>
      <c r="I915">
        <v>5406</v>
      </c>
      <c r="J915">
        <v>1277.46</v>
      </c>
    </row>
    <row r="916" spans="1:10" x14ac:dyDescent="0.25">
      <c r="A916" s="1">
        <v>45512</v>
      </c>
      <c r="B916" t="s">
        <v>29</v>
      </c>
      <c r="C916" t="s">
        <v>17</v>
      </c>
      <c r="D916" t="s">
        <v>12</v>
      </c>
      <c r="E916" t="s">
        <v>26</v>
      </c>
      <c r="F916" t="s">
        <v>27</v>
      </c>
      <c r="G916" t="s">
        <v>28</v>
      </c>
      <c r="H916">
        <v>8</v>
      </c>
      <c r="I916">
        <v>2984</v>
      </c>
      <c r="J916">
        <v>742.31</v>
      </c>
    </row>
    <row r="917" spans="1:10" x14ac:dyDescent="0.25">
      <c r="A917" s="1">
        <v>45028</v>
      </c>
      <c r="B917" t="s">
        <v>10</v>
      </c>
      <c r="C917" t="s">
        <v>11</v>
      </c>
      <c r="D917" t="s">
        <v>12</v>
      </c>
      <c r="E917" t="s">
        <v>26</v>
      </c>
      <c r="F917" t="s">
        <v>27</v>
      </c>
      <c r="G917" t="s">
        <v>28</v>
      </c>
      <c r="H917">
        <v>1</v>
      </c>
      <c r="I917">
        <v>919</v>
      </c>
      <c r="J917">
        <v>193.35</v>
      </c>
    </row>
    <row r="918" spans="1:10" x14ac:dyDescent="0.25">
      <c r="A918" s="1">
        <v>45156</v>
      </c>
      <c r="B918" t="s">
        <v>25</v>
      </c>
      <c r="C918" t="s">
        <v>19</v>
      </c>
      <c r="D918" t="s">
        <v>12</v>
      </c>
      <c r="E918" t="s">
        <v>47</v>
      </c>
      <c r="F918" t="s">
        <v>156</v>
      </c>
      <c r="G918" t="s">
        <v>28</v>
      </c>
      <c r="H918">
        <v>6</v>
      </c>
      <c r="I918">
        <v>1686</v>
      </c>
      <c r="J918">
        <v>426.72</v>
      </c>
    </row>
    <row r="919" spans="1:10" x14ac:dyDescent="0.25">
      <c r="A919" s="1">
        <v>45079</v>
      </c>
      <c r="B919" t="s">
        <v>55</v>
      </c>
      <c r="C919" t="s">
        <v>19</v>
      </c>
      <c r="D919" t="s">
        <v>12</v>
      </c>
      <c r="E919" t="s">
        <v>313</v>
      </c>
      <c r="F919" t="s">
        <v>63</v>
      </c>
      <c r="G919" t="s">
        <v>28</v>
      </c>
      <c r="H919">
        <v>7</v>
      </c>
      <c r="I919">
        <v>4165</v>
      </c>
      <c r="J919">
        <v>493.24</v>
      </c>
    </row>
    <row r="920" spans="1:10" x14ac:dyDescent="0.25">
      <c r="A920" s="1">
        <v>45247</v>
      </c>
      <c r="B920" t="s">
        <v>40</v>
      </c>
      <c r="C920" t="s">
        <v>19</v>
      </c>
      <c r="D920" t="s">
        <v>12</v>
      </c>
      <c r="E920" t="s">
        <v>314</v>
      </c>
      <c r="F920" t="s">
        <v>108</v>
      </c>
      <c r="G920" t="s">
        <v>15</v>
      </c>
      <c r="H920">
        <v>7</v>
      </c>
      <c r="I920">
        <v>1281</v>
      </c>
      <c r="J920">
        <v>282.63</v>
      </c>
    </row>
    <row r="921" spans="1:10" x14ac:dyDescent="0.25">
      <c r="A921" s="1">
        <v>45460</v>
      </c>
      <c r="B921" t="s">
        <v>32</v>
      </c>
      <c r="C921" t="s">
        <v>19</v>
      </c>
      <c r="D921" t="s">
        <v>12</v>
      </c>
      <c r="E921" t="s">
        <v>238</v>
      </c>
      <c r="F921" t="s">
        <v>191</v>
      </c>
      <c r="G921" t="s">
        <v>35</v>
      </c>
      <c r="H921">
        <v>3</v>
      </c>
      <c r="I921">
        <v>2829</v>
      </c>
      <c r="J921">
        <v>362.16</v>
      </c>
    </row>
    <row r="922" spans="1:10" x14ac:dyDescent="0.25">
      <c r="A922" s="1">
        <v>45388</v>
      </c>
      <c r="B922" t="s">
        <v>36</v>
      </c>
      <c r="C922" t="s">
        <v>17</v>
      </c>
      <c r="D922" t="s">
        <v>12</v>
      </c>
      <c r="E922" t="s">
        <v>13</v>
      </c>
      <c r="F922" t="s">
        <v>14</v>
      </c>
      <c r="G922" t="s">
        <v>15</v>
      </c>
      <c r="H922">
        <v>3</v>
      </c>
      <c r="I922">
        <v>2211</v>
      </c>
      <c r="J922">
        <v>292.31</v>
      </c>
    </row>
    <row r="923" spans="1:10" x14ac:dyDescent="0.25">
      <c r="A923" s="1">
        <v>45644</v>
      </c>
      <c r="B923" t="s">
        <v>29</v>
      </c>
      <c r="C923" t="s">
        <v>17</v>
      </c>
      <c r="D923" t="s">
        <v>12</v>
      </c>
      <c r="E923" t="s">
        <v>13</v>
      </c>
      <c r="F923" t="s">
        <v>14</v>
      </c>
      <c r="G923" t="s">
        <v>15</v>
      </c>
      <c r="H923">
        <v>4</v>
      </c>
      <c r="I923">
        <v>4740</v>
      </c>
      <c r="J923">
        <v>607.80999999999995</v>
      </c>
    </row>
    <row r="924" spans="1:10" x14ac:dyDescent="0.25">
      <c r="A924" s="1">
        <v>45269</v>
      </c>
      <c r="B924" t="s">
        <v>25</v>
      </c>
      <c r="C924" t="s">
        <v>19</v>
      </c>
      <c r="D924" t="s">
        <v>12</v>
      </c>
      <c r="E924" t="s">
        <v>22</v>
      </c>
      <c r="F924" t="s">
        <v>23</v>
      </c>
      <c r="G924" t="s">
        <v>24</v>
      </c>
      <c r="H924">
        <v>1</v>
      </c>
      <c r="I924">
        <v>718</v>
      </c>
      <c r="J924">
        <v>169.09</v>
      </c>
    </row>
    <row r="925" spans="1:10" x14ac:dyDescent="0.25">
      <c r="A925" s="1">
        <v>44844</v>
      </c>
      <c r="B925" t="s">
        <v>29</v>
      </c>
      <c r="C925" t="s">
        <v>17</v>
      </c>
      <c r="D925" t="s">
        <v>12</v>
      </c>
      <c r="E925" t="s">
        <v>74</v>
      </c>
      <c r="F925" t="s">
        <v>23</v>
      </c>
      <c r="G925" t="s">
        <v>24</v>
      </c>
      <c r="H925">
        <v>6</v>
      </c>
      <c r="I925">
        <v>1716</v>
      </c>
      <c r="J925">
        <v>108.81</v>
      </c>
    </row>
    <row r="926" spans="1:10" x14ac:dyDescent="0.25">
      <c r="A926" s="1">
        <v>45404</v>
      </c>
      <c r="B926" t="s">
        <v>36</v>
      </c>
      <c r="C926" t="s">
        <v>17</v>
      </c>
      <c r="D926" t="s">
        <v>12</v>
      </c>
      <c r="E926" t="s">
        <v>74</v>
      </c>
      <c r="F926" t="s">
        <v>23</v>
      </c>
      <c r="G926" t="s">
        <v>24</v>
      </c>
      <c r="H926">
        <v>7</v>
      </c>
      <c r="I926">
        <v>1547</v>
      </c>
      <c r="J926">
        <v>152.59</v>
      </c>
    </row>
    <row r="927" spans="1:10" x14ac:dyDescent="0.25">
      <c r="A927" s="1">
        <v>44726</v>
      </c>
      <c r="B927" t="s">
        <v>16</v>
      </c>
      <c r="C927" t="s">
        <v>17</v>
      </c>
      <c r="D927" t="s">
        <v>12</v>
      </c>
      <c r="E927" t="s">
        <v>74</v>
      </c>
      <c r="F927" t="s">
        <v>23</v>
      </c>
      <c r="G927" t="s">
        <v>24</v>
      </c>
      <c r="H927">
        <v>1</v>
      </c>
      <c r="I927">
        <v>739</v>
      </c>
      <c r="J927">
        <v>111.18</v>
      </c>
    </row>
    <row r="928" spans="1:10" x14ac:dyDescent="0.25">
      <c r="A928" s="1">
        <v>45172</v>
      </c>
      <c r="B928" t="s">
        <v>55</v>
      </c>
      <c r="C928" t="s">
        <v>19</v>
      </c>
      <c r="D928" t="s">
        <v>12</v>
      </c>
      <c r="E928" t="s">
        <v>53</v>
      </c>
      <c r="F928" t="s">
        <v>54</v>
      </c>
      <c r="G928" t="s">
        <v>24</v>
      </c>
      <c r="H928">
        <v>3</v>
      </c>
      <c r="I928">
        <v>819</v>
      </c>
      <c r="J928">
        <v>231.88</v>
      </c>
    </row>
    <row r="929" spans="1:10" x14ac:dyDescent="0.25">
      <c r="A929" s="1">
        <v>45279</v>
      </c>
      <c r="B929" t="s">
        <v>55</v>
      </c>
      <c r="C929" t="s">
        <v>19</v>
      </c>
      <c r="D929" t="s">
        <v>12</v>
      </c>
      <c r="E929" t="s">
        <v>52</v>
      </c>
      <c r="F929" t="s">
        <v>42</v>
      </c>
      <c r="G929" t="s">
        <v>28</v>
      </c>
      <c r="H929">
        <v>8</v>
      </c>
      <c r="I929">
        <v>5696</v>
      </c>
      <c r="J929">
        <v>1156.3</v>
      </c>
    </row>
    <row r="930" spans="1:10" x14ac:dyDescent="0.25">
      <c r="A930" s="1">
        <v>44948</v>
      </c>
      <c r="B930" t="s">
        <v>36</v>
      </c>
      <c r="C930" t="s">
        <v>17</v>
      </c>
      <c r="D930" t="s">
        <v>12</v>
      </c>
      <c r="E930" t="s">
        <v>26</v>
      </c>
      <c r="F930" t="s">
        <v>27</v>
      </c>
      <c r="G930" t="s">
        <v>28</v>
      </c>
      <c r="H930">
        <v>2</v>
      </c>
      <c r="I930">
        <v>1706</v>
      </c>
      <c r="J930">
        <v>184.71</v>
      </c>
    </row>
    <row r="931" spans="1:10" x14ac:dyDescent="0.25">
      <c r="A931" s="1">
        <v>45314</v>
      </c>
      <c r="B931" t="s">
        <v>25</v>
      </c>
      <c r="C931" t="s">
        <v>19</v>
      </c>
      <c r="D931" t="s">
        <v>12</v>
      </c>
      <c r="E931" t="s">
        <v>315</v>
      </c>
      <c r="F931" t="s">
        <v>63</v>
      </c>
      <c r="G931" t="s">
        <v>28</v>
      </c>
      <c r="H931">
        <v>2</v>
      </c>
      <c r="I931">
        <v>2066</v>
      </c>
      <c r="J931">
        <v>608.23</v>
      </c>
    </row>
    <row r="932" spans="1:10" x14ac:dyDescent="0.25">
      <c r="A932" s="1">
        <v>45450</v>
      </c>
      <c r="B932" t="s">
        <v>55</v>
      </c>
      <c r="C932" t="s">
        <v>19</v>
      </c>
      <c r="D932" t="s">
        <v>12</v>
      </c>
      <c r="E932" t="s">
        <v>315</v>
      </c>
      <c r="F932" t="s">
        <v>63</v>
      </c>
      <c r="G932" t="s">
        <v>28</v>
      </c>
      <c r="H932">
        <v>2</v>
      </c>
      <c r="I932">
        <v>256</v>
      </c>
      <c r="J932">
        <v>35.659999999999997</v>
      </c>
    </row>
    <row r="933" spans="1:10" x14ac:dyDescent="0.25">
      <c r="A933" s="1">
        <v>45326</v>
      </c>
      <c r="B933" t="s">
        <v>40</v>
      </c>
      <c r="C933" t="s">
        <v>19</v>
      </c>
      <c r="D933" t="s">
        <v>12</v>
      </c>
      <c r="E933" t="s">
        <v>315</v>
      </c>
      <c r="F933" t="s">
        <v>63</v>
      </c>
      <c r="G933" t="s">
        <v>28</v>
      </c>
      <c r="H933">
        <v>2</v>
      </c>
      <c r="I933">
        <v>1102</v>
      </c>
      <c r="J933">
        <v>182.54</v>
      </c>
    </row>
    <row r="934" spans="1:10" x14ac:dyDescent="0.25">
      <c r="A934" s="1">
        <v>45535</v>
      </c>
      <c r="B934" t="s">
        <v>36</v>
      </c>
      <c r="C934" t="s">
        <v>17</v>
      </c>
      <c r="D934" t="s">
        <v>12</v>
      </c>
      <c r="E934" t="s">
        <v>316</v>
      </c>
      <c r="F934" t="s">
        <v>191</v>
      </c>
      <c r="G934" t="s">
        <v>35</v>
      </c>
      <c r="H934">
        <v>8</v>
      </c>
      <c r="I934">
        <v>2872</v>
      </c>
      <c r="J934">
        <v>483.94</v>
      </c>
    </row>
    <row r="935" spans="1:10" x14ac:dyDescent="0.25">
      <c r="A935" s="1">
        <v>45607</v>
      </c>
      <c r="B935" t="s">
        <v>18</v>
      </c>
      <c r="C935" t="s">
        <v>19</v>
      </c>
      <c r="D935" t="s">
        <v>12</v>
      </c>
      <c r="E935" t="s">
        <v>22</v>
      </c>
      <c r="F935" t="s">
        <v>23</v>
      </c>
      <c r="G935" t="s">
        <v>24</v>
      </c>
      <c r="H935">
        <v>4</v>
      </c>
      <c r="I935">
        <v>2584</v>
      </c>
      <c r="J935">
        <v>394.52</v>
      </c>
    </row>
    <row r="936" spans="1:10" x14ac:dyDescent="0.25">
      <c r="A936" s="1">
        <v>45500</v>
      </c>
      <c r="B936" t="s">
        <v>16</v>
      </c>
      <c r="C936" t="s">
        <v>17</v>
      </c>
      <c r="D936" t="s">
        <v>12</v>
      </c>
      <c r="E936" t="s">
        <v>75</v>
      </c>
      <c r="F936" t="s">
        <v>63</v>
      </c>
      <c r="G936" t="s">
        <v>28</v>
      </c>
      <c r="H936">
        <v>2</v>
      </c>
      <c r="I936">
        <v>1366</v>
      </c>
      <c r="J936">
        <v>298.32</v>
      </c>
    </row>
    <row r="937" spans="1:10" x14ac:dyDescent="0.25">
      <c r="A937" s="1">
        <v>45423</v>
      </c>
      <c r="B937" t="s">
        <v>32</v>
      </c>
      <c r="C937" t="s">
        <v>19</v>
      </c>
      <c r="D937" t="s">
        <v>12</v>
      </c>
      <c r="E937" t="s">
        <v>75</v>
      </c>
      <c r="F937" t="s">
        <v>63</v>
      </c>
      <c r="G937" t="s">
        <v>28</v>
      </c>
      <c r="H937">
        <v>7</v>
      </c>
      <c r="I937">
        <v>1253</v>
      </c>
      <c r="J937">
        <v>354.23</v>
      </c>
    </row>
    <row r="938" spans="1:10" x14ac:dyDescent="0.25">
      <c r="A938" s="1">
        <v>45009</v>
      </c>
      <c r="B938" t="s">
        <v>55</v>
      </c>
      <c r="C938" t="s">
        <v>19</v>
      </c>
      <c r="D938" t="s">
        <v>12</v>
      </c>
      <c r="E938" t="s">
        <v>22</v>
      </c>
      <c r="F938" t="s">
        <v>23</v>
      </c>
      <c r="G938" t="s">
        <v>24</v>
      </c>
      <c r="H938">
        <v>7</v>
      </c>
      <c r="I938">
        <v>2618</v>
      </c>
      <c r="J938">
        <v>300.81</v>
      </c>
    </row>
    <row r="939" spans="1:10" x14ac:dyDescent="0.25">
      <c r="A939" s="1">
        <v>44826</v>
      </c>
      <c r="B939" t="s">
        <v>29</v>
      </c>
      <c r="C939" t="s">
        <v>17</v>
      </c>
      <c r="D939" t="s">
        <v>12</v>
      </c>
      <c r="E939" t="s">
        <v>22</v>
      </c>
      <c r="F939" t="s">
        <v>23</v>
      </c>
      <c r="G939" t="s">
        <v>24</v>
      </c>
      <c r="H939">
        <v>9</v>
      </c>
      <c r="I939">
        <v>6822</v>
      </c>
      <c r="J939">
        <v>1811.37</v>
      </c>
    </row>
    <row r="940" spans="1:10" x14ac:dyDescent="0.25">
      <c r="A940" s="1">
        <v>45235</v>
      </c>
      <c r="B940" t="s">
        <v>49</v>
      </c>
      <c r="C940" t="s">
        <v>17</v>
      </c>
      <c r="D940" t="s">
        <v>12</v>
      </c>
      <c r="E940" t="s">
        <v>22</v>
      </c>
      <c r="F940" t="s">
        <v>23</v>
      </c>
      <c r="G940" t="s">
        <v>24</v>
      </c>
      <c r="H940">
        <v>6</v>
      </c>
      <c r="I940">
        <v>5286</v>
      </c>
      <c r="J940">
        <v>636.16</v>
      </c>
    </row>
    <row r="941" spans="1:10" x14ac:dyDescent="0.25">
      <c r="A941" s="1">
        <v>45456</v>
      </c>
      <c r="B941" t="s">
        <v>36</v>
      </c>
      <c r="C941" t="s">
        <v>17</v>
      </c>
      <c r="D941" t="s">
        <v>12</v>
      </c>
      <c r="E941" t="s">
        <v>132</v>
      </c>
      <c r="F941" t="s">
        <v>100</v>
      </c>
      <c r="G941" t="s">
        <v>35</v>
      </c>
      <c r="H941">
        <v>1</v>
      </c>
      <c r="I941">
        <v>579</v>
      </c>
      <c r="J941">
        <v>133.57</v>
      </c>
    </row>
    <row r="942" spans="1:10" x14ac:dyDescent="0.25">
      <c r="A942" s="1">
        <v>44620</v>
      </c>
      <c r="B942" t="s">
        <v>55</v>
      </c>
      <c r="C942" t="s">
        <v>19</v>
      </c>
      <c r="D942" t="s">
        <v>12</v>
      </c>
      <c r="E942" t="s">
        <v>317</v>
      </c>
      <c r="F942" t="s">
        <v>115</v>
      </c>
      <c r="G942" t="s">
        <v>15</v>
      </c>
      <c r="H942">
        <v>8</v>
      </c>
      <c r="I942">
        <v>1392</v>
      </c>
      <c r="J942">
        <v>190.99</v>
      </c>
    </row>
    <row r="943" spans="1:10" x14ac:dyDescent="0.25">
      <c r="A943" s="1">
        <v>44879</v>
      </c>
      <c r="B943" t="s">
        <v>55</v>
      </c>
      <c r="C943" t="s">
        <v>19</v>
      </c>
      <c r="D943" t="s">
        <v>12</v>
      </c>
      <c r="E943" t="s">
        <v>104</v>
      </c>
      <c r="F943" t="s">
        <v>39</v>
      </c>
      <c r="G943" t="s">
        <v>35</v>
      </c>
      <c r="H943">
        <v>9</v>
      </c>
      <c r="I943">
        <v>2493</v>
      </c>
      <c r="J943">
        <v>696.69</v>
      </c>
    </row>
    <row r="944" spans="1:10" x14ac:dyDescent="0.25">
      <c r="A944" s="1">
        <v>45186</v>
      </c>
      <c r="B944" t="s">
        <v>40</v>
      </c>
      <c r="C944" t="s">
        <v>19</v>
      </c>
      <c r="D944" t="s">
        <v>12</v>
      </c>
      <c r="E944" t="s">
        <v>52</v>
      </c>
      <c r="F944" t="s">
        <v>42</v>
      </c>
      <c r="G944" t="s">
        <v>28</v>
      </c>
      <c r="H944">
        <v>7</v>
      </c>
      <c r="I944">
        <v>6461</v>
      </c>
      <c r="J944">
        <v>766.45</v>
      </c>
    </row>
    <row r="945" spans="1:10" x14ac:dyDescent="0.25">
      <c r="A945" s="1">
        <v>44790</v>
      </c>
      <c r="B945" t="s">
        <v>18</v>
      </c>
      <c r="C945" t="s">
        <v>19</v>
      </c>
      <c r="D945" t="s">
        <v>12</v>
      </c>
      <c r="E945" t="s">
        <v>318</v>
      </c>
      <c r="F945" t="s">
        <v>42</v>
      </c>
      <c r="G945" t="s">
        <v>28</v>
      </c>
      <c r="H945">
        <v>2</v>
      </c>
      <c r="I945">
        <v>1486</v>
      </c>
      <c r="J945">
        <v>201.07</v>
      </c>
    </row>
    <row r="946" spans="1:10" x14ac:dyDescent="0.25">
      <c r="A946" s="1">
        <v>45060</v>
      </c>
      <c r="B946" t="s">
        <v>10</v>
      </c>
      <c r="C946" t="s">
        <v>11</v>
      </c>
      <c r="D946" t="s">
        <v>12</v>
      </c>
      <c r="E946" t="s">
        <v>52</v>
      </c>
      <c r="F946" t="s">
        <v>42</v>
      </c>
      <c r="G946" t="s">
        <v>28</v>
      </c>
      <c r="H946">
        <v>1</v>
      </c>
      <c r="I946">
        <v>1152</v>
      </c>
      <c r="J946">
        <v>280.27999999999997</v>
      </c>
    </row>
    <row r="947" spans="1:10" x14ac:dyDescent="0.25">
      <c r="A947" s="1">
        <v>44632</v>
      </c>
      <c r="B947" t="s">
        <v>32</v>
      </c>
      <c r="C947" t="s">
        <v>19</v>
      </c>
      <c r="D947" t="s">
        <v>12</v>
      </c>
      <c r="E947" t="s">
        <v>319</v>
      </c>
      <c r="F947" t="s">
        <v>23</v>
      </c>
      <c r="G947" t="s">
        <v>24</v>
      </c>
      <c r="H947">
        <v>2</v>
      </c>
      <c r="I947">
        <v>1750</v>
      </c>
      <c r="J947">
        <v>103.99</v>
      </c>
    </row>
    <row r="948" spans="1:10" x14ac:dyDescent="0.25">
      <c r="A948" s="1">
        <v>44754</v>
      </c>
      <c r="B948" t="s">
        <v>40</v>
      </c>
      <c r="C948" t="s">
        <v>19</v>
      </c>
      <c r="D948" t="s">
        <v>12</v>
      </c>
      <c r="E948" t="s">
        <v>56</v>
      </c>
      <c r="F948" t="s">
        <v>57</v>
      </c>
      <c r="G948" t="s">
        <v>24</v>
      </c>
      <c r="H948">
        <v>7</v>
      </c>
      <c r="I948">
        <v>4417</v>
      </c>
      <c r="J948">
        <v>495.37</v>
      </c>
    </row>
    <row r="949" spans="1:10" x14ac:dyDescent="0.25">
      <c r="A949" s="1">
        <v>45478</v>
      </c>
      <c r="B949" t="s">
        <v>55</v>
      </c>
      <c r="C949" t="s">
        <v>19</v>
      </c>
      <c r="D949" t="s">
        <v>12</v>
      </c>
      <c r="E949" t="s">
        <v>199</v>
      </c>
      <c r="F949" t="s">
        <v>200</v>
      </c>
      <c r="G949" t="s">
        <v>28</v>
      </c>
      <c r="H949">
        <v>4</v>
      </c>
      <c r="I949">
        <v>3724</v>
      </c>
      <c r="J949">
        <v>276.85000000000002</v>
      </c>
    </row>
    <row r="950" spans="1:10" x14ac:dyDescent="0.25">
      <c r="A950" s="1">
        <v>45093</v>
      </c>
      <c r="B950" t="s">
        <v>25</v>
      </c>
      <c r="C950" t="s">
        <v>19</v>
      </c>
      <c r="D950" t="s">
        <v>12</v>
      </c>
      <c r="E950" t="s">
        <v>43</v>
      </c>
      <c r="F950" t="s">
        <v>44</v>
      </c>
      <c r="G950" t="s">
        <v>35</v>
      </c>
      <c r="H950">
        <v>3</v>
      </c>
      <c r="I950">
        <v>2220</v>
      </c>
      <c r="J950">
        <v>121.14</v>
      </c>
    </row>
    <row r="951" spans="1:10" x14ac:dyDescent="0.25">
      <c r="A951" s="1">
        <v>45097</v>
      </c>
      <c r="B951" t="s">
        <v>36</v>
      </c>
      <c r="C951" t="s">
        <v>17</v>
      </c>
      <c r="D951" t="s">
        <v>12</v>
      </c>
      <c r="E951" t="s">
        <v>43</v>
      </c>
      <c r="F951" t="s">
        <v>44</v>
      </c>
      <c r="G951" t="s">
        <v>35</v>
      </c>
      <c r="H951">
        <v>8</v>
      </c>
      <c r="I951">
        <v>9104</v>
      </c>
      <c r="J951">
        <v>2620.58</v>
      </c>
    </row>
    <row r="952" spans="1:10" x14ac:dyDescent="0.25">
      <c r="A952" s="1">
        <v>45512</v>
      </c>
      <c r="B952" t="s">
        <v>10</v>
      </c>
      <c r="C952" t="s">
        <v>11</v>
      </c>
      <c r="D952" t="s">
        <v>12</v>
      </c>
      <c r="E952" t="s">
        <v>22</v>
      </c>
      <c r="F952" t="s">
        <v>23</v>
      </c>
      <c r="G952" t="s">
        <v>24</v>
      </c>
      <c r="H952">
        <v>3</v>
      </c>
      <c r="I952">
        <v>3093</v>
      </c>
      <c r="J952">
        <v>584.23</v>
      </c>
    </row>
    <row r="953" spans="1:10" x14ac:dyDescent="0.25">
      <c r="A953" s="1">
        <v>44986</v>
      </c>
      <c r="B953" t="s">
        <v>29</v>
      </c>
      <c r="C953" t="s">
        <v>17</v>
      </c>
      <c r="D953" t="s">
        <v>12</v>
      </c>
      <c r="E953" t="s">
        <v>74</v>
      </c>
      <c r="F953" t="s">
        <v>23</v>
      </c>
      <c r="G953" t="s">
        <v>24</v>
      </c>
      <c r="H953">
        <v>6</v>
      </c>
      <c r="I953">
        <v>3048</v>
      </c>
      <c r="J953">
        <v>842.24</v>
      </c>
    </row>
    <row r="954" spans="1:10" x14ac:dyDescent="0.25">
      <c r="A954" s="1">
        <v>44683</v>
      </c>
      <c r="B954" t="s">
        <v>40</v>
      </c>
      <c r="C954" t="s">
        <v>19</v>
      </c>
      <c r="D954" t="s">
        <v>12</v>
      </c>
      <c r="E954" t="s">
        <v>66</v>
      </c>
      <c r="F954" t="s">
        <v>34</v>
      </c>
      <c r="G954" t="s">
        <v>35</v>
      </c>
      <c r="H954">
        <v>1</v>
      </c>
      <c r="I954">
        <v>161</v>
      </c>
      <c r="J954">
        <v>36.58</v>
      </c>
    </row>
    <row r="955" spans="1:10" x14ac:dyDescent="0.25">
      <c r="A955" s="1">
        <v>45130</v>
      </c>
      <c r="B955" t="s">
        <v>36</v>
      </c>
      <c r="C955" t="s">
        <v>17</v>
      </c>
      <c r="D955" t="s">
        <v>12</v>
      </c>
      <c r="E955" t="s">
        <v>22</v>
      </c>
      <c r="F955" t="s">
        <v>23</v>
      </c>
      <c r="G955" t="s">
        <v>24</v>
      </c>
      <c r="H955">
        <v>7</v>
      </c>
      <c r="I955">
        <v>7238</v>
      </c>
      <c r="J955">
        <v>1889.69</v>
      </c>
    </row>
    <row r="956" spans="1:10" x14ac:dyDescent="0.25">
      <c r="A956" s="1">
        <v>45381</v>
      </c>
      <c r="B956" t="s">
        <v>40</v>
      </c>
      <c r="C956" t="s">
        <v>19</v>
      </c>
      <c r="D956" t="s">
        <v>12</v>
      </c>
      <c r="E956" t="s">
        <v>302</v>
      </c>
      <c r="F956" t="s">
        <v>21</v>
      </c>
      <c r="G956" t="s">
        <v>15</v>
      </c>
      <c r="H956">
        <v>3</v>
      </c>
      <c r="I956">
        <v>3561</v>
      </c>
      <c r="J956">
        <v>347.31</v>
      </c>
    </row>
    <row r="957" spans="1:10" x14ac:dyDescent="0.25">
      <c r="A957" s="1">
        <v>44780</v>
      </c>
      <c r="B957" t="s">
        <v>36</v>
      </c>
      <c r="C957" t="s">
        <v>17</v>
      </c>
      <c r="D957" t="s">
        <v>12</v>
      </c>
      <c r="E957" t="s">
        <v>187</v>
      </c>
      <c r="F957" t="s">
        <v>23</v>
      </c>
      <c r="G957" t="s">
        <v>24</v>
      </c>
      <c r="H957">
        <v>5</v>
      </c>
      <c r="I957">
        <v>1850</v>
      </c>
      <c r="J957">
        <v>534.39</v>
      </c>
    </row>
    <row r="958" spans="1:10" x14ac:dyDescent="0.25">
      <c r="A958" s="1">
        <v>44626</v>
      </c>
      <c r="B958" t="s">
        <v>16</v>
      </c>
      <c r="C958" t="s">
        <v>17</v>
      </c>
      <c r="D958" t="s">
        <v>12</v>
      </c>
      <c r="E958" t="s">
        <v>87</v>
      </c>
      <c r="F958" t="s">
        <v>71</v>
      </c>
      <c r="G958" t="s">
        <v>35</v>
      </c>
      <c r="H958">
        <v>6</v>
      </c>
      <c r="I958">
        <v>3522</v>
      </c>
      <c r="J958">
        <v>626.72</v>
      </c>
    </row>
    <row r="959" spans="1:10" x14ac:dyDescent="0.25">
      <c r="A959" s="1">
        <v>45254</v>
      </c>
      <c r="B959" t="s">
        <v>32</v>
      </c>
      <c r="C959" t="s">
        <v>19</v>
      </c>
      <c r="D959" t="s">
        <v>12</v>
      </c>
      <c r="E959" t="s">
        <v>26</v>
      </c>
      <c r="F959" t="s">
        <v>27</v>
      </c>
      <c r="G959" t="s">
        <v>28</v>
      </c>
      <c r="H959">
        <v>1</v>
      </c>
      <c r="I959">
        <v>584</v>
      </c>
      <c r="J959">
        <v>172.4</v>
      </c>
    </row>
    <row r="960" spans="1:10" x14ac:dyDescent="0.25">
      <c r="A960" s="1">
        <v>45169</v>
      </c>
      <c r="B960" t="s">
        <v>40</v>
      </c>
      <c r="C960" t="s">
        <v>19</v>
      </c>
      <c r="D960" t="s">
        <v>12</v>
      </c>
      <c r="E960" t="s">
        <v>320</v>
      </c>
      <c r="F960" t="s">
        <v>23</v>
      </c>
      <c r="G960" t="s">
        <v>24</v>
      </c>
      <c r="H960">
        <v>4</v>
      </c>
      <c r="I960">
        <v>2556</v>
      </c>
      <c r="J960">
        <v>412.44</v>
      </c>
    </row>
    <row r="961" spans="1:10" x14ac:dyDescent="0.25">
      <c r="A961" s="1">
        <v>45213</v>
      </c>
      <c r="B961" t="s">
        <v>40</v>
      </c>
      <c r="C961" t="s">
        <v>19</v>
      </c>
      <c r="D961" t="s">
        <v>12</v>
      </c>
      <c r="E961" t="s">
        <v>22</v>
      </c>
      <c r="F961" t="s">
        <v>23</v>
      </c>
      <c r="G961" t="s">
        <v>24</v>
      </c>
      <c r="H961">
        <v>2</v>
      </c>
      <c r="I961">
        <v>348</v>
      </c>
      <c r="J961">
        <v>56.31</v>
      </c>
    </row>
    <row r="962" spans="1:10" x14ac:dyDescent="0.25">
      <c r="A962" s="1">
        <v>45062</v>
      </c>
      <c r="B962" t="s">
        <v>36</v>
      </c>
      <c r="C962" t="s">
        <v>17</v>
      </c>
      <c r="D962" t="s">
        <v>12</v>
      </c>
      <c r="E962" t="s">
        <v>22</v>
      </c>
      <c r="F962" t="s">
        <v>23</v>
      </c>
      <c r="G962" t="s">
        <v>24</v>
      </c>
      <c r="H962">
        <v>9</v>
      </c>
      <c r="I962">
        <v>1602</v>
      </c>
      <c r="J962">
        <v>142.49</v>
      </c>
    </row>
    <row r="963" spans="1:10" x14ac:dyDescent="0.25">
      <c r="A963" s="1">
        <v>45096</v>
      </c>
      <c r="B963" t="s">
        <v>36</v>
      </c>
      <c r="C963" t="s">
        <v>17</v>
      </c>
      <c r="D963" t="s">
        <v>12</v>
      </c>
      <c r="E963" t="s">
        <v>307</v>
      </c>
      <c r="F963" t="s">
        <v>156</v>
      </c>
      <c r="G963" t="s">
        <v>28</v>
      </c>
      <c r="H963">
        <v>3</v>
      </c>
      <c r="I963">
        <v>2853</v>
      </c>
      <c r="J963">
        <v>437.59</v>
      </c>
    </row>
    <row r="964" spans="1:10" x14ac:dyDescent="0.25">
      <c r="A964" s="1">
        <v>45128</v>
      </c>
      <c r="B964" t="s">
        <v>10</v>
      </c>
      <c r="C964" t="s">
        <v>11</v>
      </c>
      <c r="D964" t="s">
        <v>12</v>
      </c>
      <c r="E964" t="s">
        <v>118</v>
      </c>
      <c r="F964" t="s">
        <v>23</v>
      </c>
      <c r="G964" t="s">
        <v>24</v>
      </c>
      <c r="H964">
        <v>1</v>
      </c>
      <c r="I964">
        <v>1024</v>
      </c>
      <c r="J964">
        <v>230.3</v>
      </c>
    </row>
    <row r="965" spans="1:10" x14ac:dyDescent="0.25">
      <c r="A965" s="1">
        <v>44640</v>
      </c>
      <c r="B965" t="s">
        <v>25</v>
      </c>
      <c r="C965" t="s">
        <v>19</v>
      </c>
      <c r="D965" t="s">
        <v>12</v>
      </c>
      <c r="E965" t="s">
        <v>176</v>
      </c>
      <c r="F965" t="s">
        <v>84</v>
      </c>
      <c r="G965" t="s">
        <v>28</v>
      </c>
      <c r="H965">
        <v>5</v>
      </c>
      <c r="I965">
        <v>4485</v>
      </c>
      <c r="J965">
        <v>1324.49</v>
      </c>
    </row>
    <row r="966" spans="1:10" x14ac:dyDescent="0.25">
      <c r="A966" s="1">
        <v>45144</v>
      </c>
      <c r="B966" t="s">
        <v>10</v>
      </c>
      <c r="C966" t="s">
        <v>11</v>
      </c>
      <c r="D966" t="s">
        <v>12</v>
      </c>
      <c r="E966" t="s">
        <v>47</v>
      </c>
      <c r="F966" t="s">
        <v>46</v>
      </c>
      <c r="G966" t="s">
        <v>15</v>
      </c>
      <c r="H966">
        <v>2</v>
      </c>
      <c r="I966">
        <v>436</v>
      </c>
      <c r="J966">
        <v>79.69</v>
      </c>
    </row>
    <row r="967" spans="1:10" x14ac:dyDescent="0.25">
      <c r="A967" s="1">
        <v>45586</v>
      </c>
      <c r="B967" t="s">
        <v>32</v>
      </c>
      <c r="C967" t="s">
        <v>19</v>
      </c>
      <c r="D967" t="s">
        <v>12</v>
      </c>
      <c r="E967" t="s">
        <v>258</v>
      </c>
      <c r="F967" t="s">
        <v>71</v>
      </c>
      <c r="G967" t="s">
        <v>35</v>
      </c>
      <c r="H967">
        <v>2</v>
      </c>
      <c r="I967">
        <v>2232</v>
      </c>
      <c r="J967">
        <v>150.12</v>
      </c>
    </row>
    <row r="968" spans="1:10" x14ac:dyDescent="0.25">
      <c r="A968" s="1">
        <v>44787</v>
      </c>
      <c r="B968" t="s">
        <v>49</v>
      </c>
      <c r="C968" t="s">
        <v>17</v>
      </c>
      <c r="D968" t="s">
        <v>12</v>
      </c>
      <c r="E968" t="s">
        <v>74</v>
      </c>
      <c r="F968" t="s">
        <v>23</v>
      </c>
      <c r="G968" t="s">
        <v>24</v>
      </c>
      <c r="H968">
        <v>6</v>
      </c>
      <c r="I968">
        <v>7056</v>
      </c>
      <c r="J968">
        <v>1445.01</v>
      </c>
    </row>
    <row r="969" spans="1:10" x14ac:dyDescent="0.25">
      <c r="A969" s="1">
        <v>44635</v>
      </c>
      <c r="B969" t="s">
        <v>49</v>
      </c>
      <c r="C969" t="s">
        <v>17</v>
      </c>
      <c r="D969" t="s">
        <v>12</v>
      </c>
      <c r="E969" t="s">
        <v>74</v>
      </c>
      <c r="F969" t="s">
        <v>23</v>
      </c>
      <c r="G969" t="s">
        <v>24</v>
      </c>
      <c r="H969">
        <v>5</v>
      </c>
      <c r="I969">
        <v>875</v>
      </c>
      <c r="J969">
        <v>96.65</v>
      </c>
    </row>
    <row r="970" spans="1:10" x14ac:dyDescent="0.25">
      <c r="A970" s="1">
        <v>44593</v>
      </c>
      <c r="B970" t="s">
        <v>32</v>
      </c>
      <c r="C970" t="s">
        <v>19</v>
      </c>
      <c r="D970" t="s">
        <v>12</v>
      </c>
      <c r="E970" t="s">
        <v>270</v>
      </c>
      <c r="F970" t="s">
        <v>54</v>
      </c>
      <c r="G970" t="s">
        <v>24</v>
      </c>
      <c r="H970">
        <v>3</v>
      </c>
      <c r="I970">
        <v>315</v>
      </c>
      <c r="J970">
        <v>61.94</v>
      </c>
    </row>
    <row r="971" spans="1:10" x14ac:dyDescent="0.25">
      <c r="A971" s="1">
        <v>44675</v>
      </c>
      <c r="B971" t="s">
        <v>55</v>
      </c>
      <c r="C971" t="s">
        <v>19</v>
      </c>
      <c r="D971" t="s">
        <v>12</v>
      </c>
      <c r="E971" t="s">
        <v>52</v>
      </c>
      <c r="F971" t="s">
        <v>42</v>
      </c>
      <c r="G971" t="s">
        <v>28</v>
      </c>
      <c r="H971">
        <v>2</v>
      </c>
      <c r="I971">
        <v>358</v>
      </c>
      <c r="J971">
        <v>51.75</v>
      </c>
    </row>
    <row r="972" spans="1:10" x14ac:dyDescent="0.25">
      <c r="A972" s="1">
        <v>45008</v>
      </c>
      <c r="B972" t="s">
        <v>25</v>
      </c>
      <c r="C972" t="s">
        <v>19</v>
      </c>
      <c r="D972" t="s">
        <v>12</v>
      </c>
      <c r="E972" t="s">
        <v>52</v>
      </c>
      <c r="F972" t="s">
        <v>42</v>
      </c>
      <c r="G972" t="s">
        <v>28</v>
      </c>
      <c r="H972">
        <v>7</v>
      </c>
      <c r="I972">
        <v>3451</v>
      </c>
      <c r="J972">
        <v>194.42</v>
      </c>
    </row>
    <row r="973" spans="1:10" x14ac:dyDescent="0.25">
      <c r="A973" s="1">
        <v>44602</v>
      </c>
      <c r="B973" t="s">
        <v>55</v>
      </c>
      <c r="C973" t="s">
        <v>19</v>
      </c>
      <c r="D973" t="s">
        <v>12</v>
      </c>
      <c r="E973" t="s">
        <v>26</v>
      </c>
      <c r="F973" t="s">
        <v>27</v>
      </c>
      <c r="G973" t="s">
        <v>28</v>
      </c>
      <c r="H973">
        <v>9</v>
      </c>
      <c r="I973">
        <v>1350</v>
      </c>
      <c r="J973">
        <v>189.13</v>
      </c>
    </row>
    <row r="974" spans="1:10" x14ac:dyDescent="0.25">
      <c r="A974" s="1">
        <v>45218</v>
      </c>
      <c r="B974" t="s">
        <v>18</v>
      </c>
      <c r="C974" t="s">
        <v>19</v>
      </c>
      <c r="D974" t="s">
        <v>12</v>
      </c>
      <c r="E974" t="s">
        <v>56</v>
      </c>
      <c r="F974" t="s">
        <v>57</v>
      </c>
      <c r="G974" t="s">
        <v>24</v>
      </c>
      <c r="H974">
        <v>8</v>
      </c>
      <c r="I974">
        <v>3320</v>
      </c>
      <c r="J974">
        <v>413.32</v>
      </c>
    </row>
    <row r="975" spans="1:10" x14ac:dyDescent="0.25">
      <c r="A975" s="1">
        <v>45545</v>
      </c>
      <c r="B975" t="s">
        <v>16</v>
      </c>
      <c r="C975" t="s">
        <v>17</v>
      </c>
      <c r="D975" t="s">
        <v>12</v>
      </c>
      <c r="E975" t="s">
        <v>102</v>
      </c>
      <c r="F975" t="s">
        <v>34</v>
      </c>
      <c r="G975" t="s">
        <v>35</v>
      </c>
      <c r="H975">
        <v>9</v>
      </c>
      <c r="I975">
        <v>8442</v>
      </c>
      <c r="J975">
        <v>940.33</v>
      </c>
    </row>
    <row r="976" spans="1:10" x14ac:dyDescent="0.25">
      <c r="A976" s="1">
        <v>44729</v>
      </c>
      <c r="B976" t="s">
        <v>49</v>
      </c>
      <c r="C976" t="s">
        <v>17</v>
      </c>
      <c r="D976" t="s">
        <v>12</v>
      </c>
      <c r="E976" t="s">
        <v>70</v>
      </c>
      <c r="F976" t="s">
        <v>71</v>
      </c>
      <c r="G976" t="s">
        <v>35</v>
      </c>
      <c r="H976">
        <v>1</v>
      </c>
      <c r="I976">
        <v>166</v>
      </c>
      <c r="J976">
        <v>31.97</v>
      </c>
    </row>
    <row r="977" spans="1:10" x14ac:dyDescent="0.25">
      <c r="A977" s="1">
        <v>45147</v>
      </c>
      <c r="B977" t="s">
        <v>16</v>
      </c>
      <c r="C977" t="s">
        <v>17</v>
      </c>
      <c r="D977" t="s">
        <v>12</v>
      </c>
      <c r="E977" t="s">
        <v>26</v>
      </c>
      <c r="F977" t="s">
        <v>27</v>
      </c>
      <c r="G977" t="s">
        <v>28</v>
      </c>
      <c r="H977">
        <v>5</v>
      </c>
      <c r="I977">
        <v>3720</v>
      </c>
      <c r="J977">
        <v>448.6</v>
      </c>
    </row>
    <row r="978" spans="1:10" x14ac:dyDescent="0.25">
      <c r="A978" s="1">
        <v>45118</v>
      </c>
      <c r="B978" t="s">
        <v>55</v>
      </c>
      <c r="C978" t="s">
        <v>19</v>
      </c>
      <c r="D978" t="s">
        <v>12</v>
      </c>
      <c r="E978" t="s">
        <v>26</v>
      </c>
      <c r="F978" t="s">
        <v>27</v>
      </c>
      <c r="G978" t="s">
        <v>28</v>
      </c>
      <c r="H978">
        <v>2</v>
      </c>
      <c r="I978">
        <v>1090</v>
      </c>
      <c r="J978">
        <v>136.65</v>
      </c>
    </row>
    <row r="979" spans="1:10" x14ac:dyDescent="0.25">
      <c r="A979" s="1">
        <v>45296</v>
      </c>
      <c r="B979" t="s">
        <v>55</v>
      </c>
      <c r="C979" t="s">
        <v>19</v>
      </c>
      <c r="D979" t="s">
        <v>12</v>
      </c>
      <c r="E979" t="s">
        <v>26</v>
      </c>
      <c r="F979" t="s">
        <v>27</v>
      </c>
      <c r="G979" t="s">
        <v>28</v>
      </c>
      <c r="H979">
        <v>9</v>
      </c>
      <c r="I979">
        <v>9783</v>
      </c>
      <c r="J979">
        <v>2347.4899999999998</v>
      </c>
    </row>
    <row r="980" spans="1:10" x14ac:dyDescent="0.25">
      <c r="A980" s="1">
        <v>44826</v>
      </c>
      <c r="B980" t="s">
        <v>40</v>
      </c>
      <c r="C980" t="s">
        <v>19</v>
      </c>
      <c r="D980" t="s">
        <v>12</v>
      </c>
      <c r="E980" t="s">
        <v>164</v>
      </c>
      <c r="F980" t="s">
        <v>94</v>
      </c>
      <c r="G980" t="s">
        <v>24</v>
      </c>
      <c r="H980">
        <v>4</v>
      </c>
      <c r="I980">
        <v>2432</v>
      </c>
      <c r="J980">
        <v>657.18</v>
      </c>
    </row>
    <row r="981" spans="1:10" x14ac:dyDescent="0.25">
      <c r="A981" s="1">
        <v>45099</v>
      </c>
      <c r="B981" t="s">
        <v>16</v>
      </c>
      <c r="C981" t="s">
        <v>17</v>
      </c>
      <c r="D981" t="s">
        <v>12</v>
      </c>
      <c r="E981" t="s">
        <v>164</v>
      </c>
      <c r="F981" t="s">
        <v>94</v>
      </c>
      <c r="G981" t="s">
        <v>24</v>
      </c>
      <c r="H981">
        <v>7</v>
      </c>
      <c r="I981">
        <v>4060</v>
      </c>
      <c r="J981">
        <v>291.42</v>
      </c>
    </row>
    <row r="982" spans="1:10" x14ac:dyDescent="0.25">
      <c r="A982" s="1">
        <v>45011</v>
      </c>
      <c r="B982" t="s">
        <v>32</v>
      </c>
      <c r="C982" t="s">
        <v>19</v>
      </c>
      <c r="D982" t="s">
        <v>12</v>
      </c>
      <c r="E982" t="s">
        <v>70</v>
      </c>
      <c r="F982" t="s">
        <v>71</v>
      </c>
      <c r="G982" t="s">
        <v>35</v>
      </c>
      <c r="H982">
        <v>1</v>
      </c>
      <c r="I982">
        <v>387</v>
      </c>
      <c r="J982">
        <v>99.59</v>
      </c>
    </row>
    <row r="983" spans="1:10" x14ac:dyDescent="0.25">
      <c r="A983" s="1">
        <v>45149</v>
      </c>
      <c r="B983" t="s">
        <v>32</v>
      </c>
      <c r="C983" t="s">
        <v>19</v>
      </c>
      <c r="D983" t="s">
        <v>12</v>
      </c>
      <c r="E983" t="s">
        <v>70</v>
      </c>
      <c r="F983" t="s">
        <v>71</v>
      </c>
      <c r="G983" t="s">
        <v>35</v>
      </c>
      <c r="H983">
        <v>3</v>
      </c>
      <c r="I983">
        <v>966</v>
      </c>
      <c r="J983">
        <v>120.56</v>
      </c>
    </row>
    <row r="984" spans="1:10" x14ac:dyDescent="0.25">
      <c r="A984" s="1">
        <v>45429</v>
      </c>
      <c r="B984" t="s">
        <v>18</v>
      </c>
      <c r="C984" t="s">
        <v>19</v>
      </c>
      <c r="D984" t="s">
        <v>12</v>
      </c>
      <c r="E984" t="s">
        <v>70</v>
      </c>
      <c r="F984" t="s">
        <v>71</v>
      </c>
      <c r="G984" t="s">
        <v>35</v>
      </c>
      <c r="H984">
        <v>3</v>
      </c>
      <c r="I984">
        <v>3366</v>
      </c>
      <c r="J984">
        <v>882.29</v>
      </c>
    </row>
    <row r="985" spans="1:10" x14ac:dyDescent="0.25">
      <c r="A985" s="1">
        <v>45473</v>
      </c>
      <c r="B985" t="s">
        <v>36</v>
      </c>
      <c r="C985" t="s">
        <v>17</v>
      </c>
      <c r="D985" t="s">
        <v>12</v>
      </c>
      <c r="E985" t="s">
        <v>70</v>
      </c>
      <c r="F985" t="s">
        <v>71</v>
      </c>
      <c r="G985" t="s">
        <v>35</v>
      </c>
      <c r="H985">
        <v>7</v>
      </c>
      <c r="I985">
        <v>7833</v>
      </c>
      <c r="J985">
        <v>1843.94</v>
      </c>
    </row>
    <row r="986" spans="1:10" x14ac:dyDescent="0.25">
      <c r="A986" s="1">
        <v>45025</v>
      </c>
      <c r="B986" t="s">
        <v>36</v>
      </c>
      <c r="C986" t="s">
        <v>17</v>
      </c>
      <c r="D986" t="s">
        <v>12</v>
      </c>
      <c r="E986" t="s">
        <v>268</v>
      </c>
      <c r="F986" t="s">
        <v>34</v>
      </c>
      <c r="G986" t="s">
        <v>35</v>
      </c>
      <c r="H986">
        <v>1</v>
      </c>
      <c r="I986">
        <v>610</v>
      </c>
      <c r="J986">
        <v>33.549999999999997</v>
      </c>
    </row>
    <row r="987" spans="1:10" x14ac:dyDescent="0.25">
      <c r="A987" s="1">
        <v>44709</v>
      </c>
      <c r="B987" t="s">
        <v>32</v>
      </c>
      <c r="C987" t="s">
        <v>19</v>
      </c>
      <c r="D987" t="s">
        <v>12</v>
      </c>
      <c r="E987" t="s">
        <v>321</v>
      </c>
      <c r="F987" t="s">
        <v>83</v>
      </c>
      <c r="G987" t="s">
        <v>28</v>
      </c>
      <c r="H987">
        <v>8</v>
      </c>
      <c r="I987">
        <v>4288</v>
      </c>
      <c r="J987">
        <v>597.09</v>
      </c>
    </row>
    <row r="988" spans="1:10" x14ac:dyDescent="0.25">
      <c r="A988" s="1">
        <v>44760</v>
      </c>
      <c r="B988" t="s">
        <v>10</v>
      </c>
      <c r="C988" t="s">
        <v>11</v>
      </c>
      <c r="D988" t="s">
        <v>12</v>
      </c>
      <c r="E988" t="s">
        <v>224</v>
      </c>
      <c r="F988" t="s">
        <v>34</v>
      </c>
      <c r="G988" t="s">
        <v>35</v>
      </c>
      <c r="H988">
        <v>9</v>
      </c>
      <c r="I988">
        <v>7740</v>
      </c>
      <c r="J988">
        <v>605.35</v>
      </c>
    </row>
    <row r="989" spans="1:10" x14ac:dyDescent="0.25">
      <c r="A989" s="1">
        <v>45524</v>
      </c>
      <c r="B989" t="s">
        <v>32</v>
      </c>
      <c r="C989" t="s">
        <v>19</v>
      </c>
      <c r="D989" t="s">
        <v>12</v>
      </c>
      <c r="E989" t="s">
        <v>56</v>
      </c>
      <c r="F989" t="s">
        <v>57</v>
      </c>
      <c r="G989" t="s">
        <v>24</v>
      </c>
      <c r="H989">
        <v>9</v>
      </c>
      <c r="I989">
        <v>3150</v>
      </c>
      <c r="J989">
        <v>457.13</v>
      </c>
    </row>
    <row r="990" spans="1:10" x14ac:dyDescent="0.25">
      <c r="A990" s="1">
        <v>45291</v>
      </c>
      <c r="B990" t="s">
        <v>49</v>
      </c>
      <c r="C990" t="s">
        <v>17</v>
      </c>
      <c r="D990" t="s">
        <v>12</v>
      </c>
      <c r="E990" t="s">
        <v>53</v>
      </c>
      <c r="F990" t="s">
        <v>44</v>
      </c>
      <c r="G990" t="s">
        <v>35</v>
      </c>
      <c r="H990">
        <v>2</v>
      </c>
      <c r="I990">
        <v>894</v>
      </c>
      <c r="J990">
        <v>224.75</v>
      </c>
    </row>
    <row r="991" spans="1:10" x14ac:dyDescent="0.25">
      <c r="A991" s="1">
        <v>44843</v>
      </c>
      <c r="B991" t="s">
        <v>55</v>
      </c>
      <c r="C991" t="s">
        <v>19</v>
      </c>
      <c r="D991" t="s">
        <v>12</v>
      </c>
      <c r="E991" t="s">
        <v>52</v>
      </c>
      <c r="F991" t="s">
        <v>42</v>
      </c>
      <c r="G991" t="s">
        <v>28</v>
      </c>
      <c r="H991">
        <v>8</v>
      </c>
      <c r="I991">
        <v>7544</v>
      </c>
      <c r="J991">
        <v>1219.73</v>
      </c>
    </row>
    <row r="992" spans="1:10" x14ac:dyDescent="0.25">
      <c r="A992" s="1">
        <v>45352</v>
      </c>
      <c r="B992" t="s">
        <v>49</v>
      </c>
      <c r="C992" t="s">
        <v>17</v>
      </c>
      <c r="D992" t="s">
        <v>12</v>
      </c>
      <c r="E992" t="s">
        <v>105</v>
      </c>
      <c r="F992" t="s">
        <v>23</v>
      </c>
      <c r="G992" t="s">
        <v>24</v>
      </c>
      <c r="H992">
        <v>8</v>
      </c>
      <c r="I992">
        <v>6360</v>
      </c>
      <c r="J992">
        <v>1871.88</v>
      </c>
    </row>
    <row r="993" spans="1:10" x14ac:dyDescent="0.25">
      <c r="A993" s="1">
        <v>44639</v>
      </c>
      <c r="B993" t="s">
        <v>40</v>
      </c>
      <c r="C993" t="s">
        <v>19</v>
      </c>
      <c r="D993" t="s">
        <v>12</v>
      </c>
      <c r="E993" t="s">
        <v>52</v>
      </c>
      <c r="F993" t="s">
        <v>42</v>
      </c>
      <c r="G993" t="s">
        <v>28</v>
      </c>
      <c r="H993">
        <v>4</v>
      </c>
      <c r="I993">
        <v>2428</v>
      </c>
      <c r="J993">
        <v>485.75</v>
      </c>
    </row>
    <row r="994" spans="1:10" x14ac:dyDescent="0.25">
      <c r="A994" s="1">
        <v>44839</v>
      </c>
      <c r="B994" t="s">
        <v>29</v>
      </c>
      <c r="C994" t="s">
        <v>17</v>
      </c>
      <c r="D994" t="s">
        <v>12</v>
      </c>
      <c r="E994" t="s">
        <v>116</v>
      </c>
      <c r="F994" t="s">
        <v>23</v>
      </c>
      <c r="G994" t="s">
        <v>24</v>
      </c>
      <c r="H994">
        <v>2</v>
      </c>
      <c r="I994">
        <v>574</v>
      </c>
      <c r="J994">
        <v>38.520000000000003</v>
      </c>
    </row>
    <row r="995" spans="1:10" x14ac:dyDescent="0.25">
      <c r="A995" s="1">
        <v>45041</v>
      </c>
      <c r="B995" t="s">
        <v>49</v>
      </c>
      <c r="C995" t="s">
        <v>17</v>
      </c>
      <c r="D995" t="s">
        <v>12</v>
      </c>
      <c r="E995" t="s">
        <v>74</v>
      </c>
      <c r="F995" t="s">
        <v>23</v>
      </c>
      <c r="G995" t="s">
        <v>24</v>
      </c>
      <c r="H995">
        <v>6</v>
      </c>
      <c r="I995">
        <v>6744</v>
      </c>
      <c r="J995">
        <v>660.47</v>
      </c>
    </row>
    <row r="996" spans="1:10" x14ac:dyDescent="0.25">
      <c r="A996" s="1">
        <v>45180</v>
      </c>
      <c r="B996" t="s">
        <v>29</v>
      </c>
      <c r="C996" t="s">
        <v>17</v>
      </c>
      <c r="D996" t="s">
        <v>12</v>
      </c>
      <c r="E996" t="s">
        <v>87</v>
      </c>
      <c r="F996" t="s">
        <v>46</v>
      </c>
      <c r="G996" t="s">
        <v>15</v>
      </c>
      <c r="H996">
        <v>6</v>
      </c>
      <c r="I996">
        <v>798</v>
      </c>
      <c r="J996">
        <v>213.4</v>
      </c>
    </row>
    <row r="997" spans="1:10" x14ac:dyDescent="0.25">
      <c r="A997" s="1">
        <v>44939</v>
      </c>
      <c r="B997" t="s">
        <v>10</v>
      </c>
      <c r="C997" t="s">
        <v>11</v>
      </c>
      <c r="D997" t="s">
        <v>12</v>
      </c>
      <c r="E997" t="s">
        <v>43</v>
      </c>
      <c r="F997" t="s">
        <v>44</v>
      </c>
      <c r="G997" t="s">
        <v>35</v>
      </c>
      <c r="H997">
        <v>5</v>
      </c>
      <c r="I997">
        <v>2860</v>
      </c>
      <c r="J997">
        <v>339</v>
      </c>
    </row>
    <row r="998" spans="1:10" x14ac:dyDescent="0.25">
      <c r="A998" s="1">
        <v>44654</v>
      </c>
      <c r="B998" t="s">
        <v>10</v>
      </c>
      <c r="C998" t="s">
        <v>11</v>
      </c>
      <c r="D998" t="s">
        <v>12</v>
      </c>
      <c r="E998" t="s">
        <v>322</v>
      </c>
      <c r="F998" t="s">
        <v>42</v>
      </c>
      <c r="G998" t="s">
        <v>28</v>
      </c>
      <c r="H998">
        <v>5</v>
      </c>
      <c r="I998">
        <v>5410</v>
      </c>
      <c r="J998">
        <v>1129.77</v>
      </c>
    </row>
    <row r="999" spans="1:10" x14ac:dyDescent="0.25">
      <c r="A999" s="1">
        <v>44983</v>
      </c>
      <c r="B999" t="s">
        <v>55</v>
      </c>
      <c r="C999" t="s">
        <v>19</v>
      </c>
      <c r="D999" t="s">
        <v>12</v>
      </c>
      <c r="E999" t="s">
        <v>37</v>
      </c>
      <c r="F999" t="s">
        <v>34</v>
      </c>
      <c r="G999" t="s">
        <v>35</v>
      </c>
      <c r="H999">
        <v>5</v>
      </c>
      <c r="I999">
        <v>4445</v>
      </c>
      <c r="J999">
        <v>580.15</v>
      </c>
    </row>
    <row r="1000" spans="1:10" x14ac:dyDescent="0.25">
      <c r="A1000" s="1">
        <v>45599</v>
      </c>
      <c r="B1000" t="s">
        <v>32</v>
      </c>
      <c r="C1000" t="s">
        <v>19</v>
      </c>
      <c r="D1000" t="s">
        <v>12</v>
      </c>
      <c r="E1000" t="s">
        <v>76</v>
      </c>
      <c r="F1000" t="s">
        <v>54</v>
      </c>
      <c r="G1000" t="s">
        <v>24</v>
      </c>
      <c r="H1000">
        <v>8</v>
      </c>
      <c r="I1000">
        <v>7536</v>
      </c>
      <c r="J1000">
        <v>1197.0899999999999</v>
      </c>
    </row>
    <row r="1001" spans="1:10" x14ac:dyDescent="0.25">
      <c r="A1001" s="1">
        <v>45195</v>
      </c>
      <c r="B1001" t="s">
        <v>36</v>
      </c>
      <c r="C1001" t="s">
        <v>17</v>
      </c>
      <c r="D1001" t="s">
        <v>12</v>
      </c>
      <c r="E1001" t="s">
        <v>76</v>
      </c>
      <c r="F1001" t="s">
        <v>54</v>
      </c>
      <c r="G1001" t="s">
        <v>24</v>
      </c>
      <c r="H1001">
        <v>7</v>
      </c>
      <c r="I1001">
        <v>4165</v>
      </c>
      <c r="J1001">
        <v>263.26</v>
      </c>
    </row>
    <row r="1002" spans="1:10" x14ac:dyDescent="0.25">
      <c r="A1002" s="1">
        <v>45341</v>
      </c>
      <c r="B1002" t="s">
        <v>55</v>
      </c>
      <c r="C1002" t="s">
        <v>19</v>
      </c>
      <c r="D1002" t="s">
        <v>12</v>
      </c>
      <c r="E1002" t="s">
        <v>76</v>
      </c>
      <c r="F1002" t="s">
        <v>54</v>
      </c>
      <c r="G1002" t="s">
        <v>24</v>
      </c>
      <c r="H1002">
        <v>3</v>
      </c>
      <c r="I1002">
        <v>3021</v>
      </c>
      <c r="J1002">
        <v>763.99</v>
      </c>
    </row>
    <row r="1003" spans="1:10" x14ac:dyDescent="0.25">
      <c r="A1003" s="1">
        <v>45411</v>
      </c>
      <c r="B1003" t="s">
        <v>49</v>
      </c>
      <c r="C1003" t="s">
        <v>17</v>
      </c>
      <c r="D1003" t="s">
        <v>12</v>
      </c>
      <c r="E1003" t="s">
        <v>76</v>
      </c>
      <c r="F1003" t="s">
        <v>54</v>
      </c>
      <c r="G1003" t="s">
        <v>24</v>
      </c>
      <c r="H1003">
        <v>2</v>
      </c>
      <c r="I1003">
        <v>310</v>
      </c>
      <c r="J1003">
        <v>70.66</v>
      </c>
    </row>
    <row r="1004" spans="1:10" x14ac:dyDescent="0.25">
      <c r="A1004" s="1">
        <v>45427</v>
      </c>
      <c r="B1004" t="s">
        <v>29</v>
      </c>
      <c r="C1004" t="s">
        <v>17</v>
      </c>
      <c r="D1004" t="s">
        <v>12</v>
      </c>
      <c r="E1004" t="s">
        <v>22</v>
      </c>
      <c r="F1004" t="s">
        <v>23</v>
      </c>
      <c r="G1004" t="s">
        <v>24</v>
      </c>
      <c r="H1004">
        <v>2</v>
      </c>
      <c r="I1004">
        <v>2170</v>
      </c>
      <c r="J1004">
        <v>522</v>
      </c>
    </row>
    <row r="1005" spans="1:10" x14ac:dyDescent="0.25">
      <c r="A1005" s="1">
        <v>45587</v>
      </c>
      <c r="B1005" t="s">
        <v>18</v>
      </c>
      <c r="C1005" t="s">
        <v>19</v>
      </c>
      <c r="D1005" t="s">
        <v>12</v>
      </c>
      <c r="E1005" t="s">
        <v>103</v>
      </c>
      <c r="F1005" t="s">
        <v>21</v>
      </c>
      <c r="G1005" t="s">
        <v>15</v>
      </c>
      <c r="H1005">
        <v>3</v>
      </c>
      <c r="I1005">
        <v>2832</v>
      </c>
      <c r="J1005">
        <v>317.76</v>
      </c>
    </row>
    <row r="1006" spans="1:10" x14ac:dyDescent="0.25">
      <c r="A1006" s="1">
        <v>44773</v>
      </c>
      <c r="B1006" t="s">
        <v>32</v>
      </c>
      <c r="C1006" t="s">
        <v>19</v>
      </c>
      <c r="D1006" t="s">
        <v>12</v>
      </c>
      <c r="E1006" t="s">
        <v>26</v>
      </c>
      <c r="F1006" t="s">
        <v>27</v>
      </c>
      <c r="G1006" t="s">
        <v>28</v>
      </c>
      <c r="H1006">
        <v>5</v>
      </c>
      <c r="I1006">
        <v>3945</v>
      </c>
      <c r="J1006">
        <v>392.09</v>
      </c>
    </row>
    <row r="1007" spans="1:10" x14ac:dyDescent="0.25">
      <c r="A1007" s="1">
        <v>44814</v>
      </c>
      <c r="B1007" t="s">
        <v>18</v>
      </c>
      <c r="C1007" t="s">
        <v>19</v>
      </c>
      <c r="D1007" t="s">
        <v>12</v>
      </c>
      <c r="E1007" t="s">
        <v>26</v>
      </c>
      <c r="F1007" t="s">
        <v>27</v>
      </c>
      <c r="G1007" t="s">
        <v>28</v>
      </c>
      <c r="H1007">
        <v>4</v>
      </c>
      <c r="I1007">
        <v>2104</v>
      </c>
      <c r="J1007">
        <v>308</v>
      </c>
    </row>
    <row r="1008" spans="1:10" x14ac:dyDescent="0.25">
      <c r="A1008" s="1">
        <v>44797</v>
      </c>
      <c r="B1008" t="s">
        <v>36</v>
      </c>
      <c r="C1008" t="s">
        <v>17</v>
      </c>
      <c r="D1008" t="s">
        <v>12</v>
      </c>
      <c r="E1008" t="s">
        <v>26</v>
      </c>
      <c r="F1008" t="s">
        <v>27</v>
      </c>
      <c r="G1008" t="s">
        <v>28</v>
      </c>
      <c r="H1008">
        <v>2</v>
      </c>
      <c r="I1008">
        <v>2060</v>
      </c>
      <c r="J1008">
        <v>517.64</v>
      </c>
    </row>
    <row r="1009" spans="1:10" x14ac:dyDescent="0.25">
      <c r="A1009" s="1">
        <v>45466</v>
      </c>
      <c r="B1009" t="s">
        <v>10</v>
      </c>
      <c r="C1009" t="s">
        <v>11</v>
      </c>
      <c r="D1009" t="s">
        <v>12</v>
      </c>
      <c r="E1009" t="s">
        <v>75</v>
      </c>
      <c r="F1009" t="s">
        <v>63</v>
      </c>
      <c r="G1009" t="s">
        <v>28</v>
      </c>
      <c r="H1009">
        <v>4</v>
      </c>
      <c r="I1009">
        <v>1060</v>
      </c>
      <c r="J1009">
        <v>155.78</v>
      </c>
    </row>
    <row r="1010" spans="1:10" x14ac:dyDescent="0.25">
      <c r="A1010" s="1">
        <v>44939</v>
      </c>
      <c r="B1010" t="s">
        <v>32</v>
      </c>
      <c r="C1010" t="s">
        <v>19</v>
      </c>
      <c r="D1010" t="s">
        <v>12</v>
      </c>
      <c r="E1010" t="s">
        <v>75</v>
      </c>
      <c r="F1010" t="s">
        <v>63</v>
      </c>
      <c r="G1010" t="s">
        <v>28</v>
      </c>
      <c r="H1010">
        <v>6</v>
      </c>
      <c r="I1010">
        <v>810</v>
      </c>
      <c r="J1010">
        <v>108.61</v>
      </c>
    </row>
    <row r="1011" spans="1:10" x14ac:dyDescent="0.25">
      <c r="A1011" s="1">
        <v>44827</v>
      </c>
      <c r="B1011" t="s">
        <v>55</v>
      </c>
      <c r="C1011" t="s">
        <v>19</v>
      </c>
      <c r="D1011" t="s">
        <v>12</v>
      </c>
      <c r="E1011" t="s">
        <v>13</v>
      </c>
      <c r="F1011" t="s">
        <v>14</v>
      </c>
      <c r="G1011" t="s">
        <v>15</v>
      </c>
      <c r="H1011">
        <v>3</v>
      </c>
      <c r="I1011">
        <v>873</v>
      </c>
      <c r="J1011">
        <v>57.42</v>
      </c>
    </row>
    <row r="1012" spans="1:10" x14ac:dyDescent="0.25">
      <c r="A1012" s="1">
        <v>44600</v>
      </c>
      <c r="B1012" t="s">
        <v>18</v>
      </c>
      <c r="C1012" t="s">
        <v>19</v>
      </c>
      <c r="D1012" t="s">
        <v>12</v>
      </c>
      <c r="E1012" t="s">
        <v>323</v>
      </c>
      <c r="F1012" t="s">
        <v>57</v>
      </c>
      <c r="G1012" t="s">
        <v>24</v>
      </c>
      <c r="H1012">
        <v>5</v>
      </c>
      <c r="I1012">
        <v>595</v>
      </c>
      <c r="J1012">
        <v>121.11</v>
      </c>
    </row>
    <row r="1013" spans="1:10" x14ac:dyDescent="0.25">
      <c r="A1013" s="1">
        <v>44913</v>
      </c>
      <c r="B1013" t="s">
        <v>55</v>
      </c>
      <c r="C1013" t="s">
        <v>19</v>
      </c>
      <c r="D1013" t="s">
        <v>12</v>
      </c>
      <c r="E1013" t="s">
        <v>184</v>
      </c>
      <c r="F1013" t="s">
        <v>23</v>
      </c>
      <c r="G1013" t="s">
        <v>24</v>
      </c>
      <c r="H1013">
        <v>2</v>
      </c>
      <c r="I1013">
        <v>1562</v>
      </c>
      <c r="J1013">
        <v>119.56</v>
      </c>
    </row>
    <row r="1014" spans="1:10" x14ac:dyDescent="0.25">
      <c r="A1014" s="1">
        <v>44586</v>
      </c>
      <c r="B1014" t="s">
        <v>32</v>
      </c>
      <c r="C1014" t="s">
        <v>19</v>
      </c>
      <c r="D1014" t="s">
        <v>12</v>
      </c>
      <c r="E1014" t="s">
        <v>184</v>
      </c>
      <c r="F1014" t="s">
        <v>23</v>
      </c>
      <c r="G1014" t="s">
        <v>24</v>
      </c>
      <c r="H1014">
        <v>9</v>
      </c>
      <c r="I1014">
        <v>5337</v>
      </c>
      <c r="J1014">
        <v>1575.99</v>
      </c>
    </row>
    <row r="1015" spans="1:10" x14ac:dyDescent="0.25">
      <c r="A1015" s="1">
        <v>44904</v>
      </c>
      <c r="B1015" t="s">
        <v>10</v>
      </c>
      <c r="C1015" t="s">
        <v>11</v>
      </c>
      <c r="D1015" t="s">
        <v>12</v>
      </c>
      <c r="E1015" t="s">
        <v>22</v>
      </c>
      <c r="F1015" t="s">
        <v>23</v>
      </c>
      <c r="G1015" t="s">
        <v>24</v>
      </c>
      <c r="H1015">
        <v>2</v>
      </c>
      <c r="I1015">
        <v>212</v>
      </c>
      <c r="J1015">
        <v>13.4</v>
      </c>
    </row>
    <row r="1016" spans="1:10" x14ac:dyDescent="0.25">
      <c r="A1016" s="1">
        <v>45091</v>
      </c>
      <c r="B1016" t="s">
        <v>10</v>
      </c>
      <c r="C1016" t="s">
        <v>11</v>
      </c>
      <c r="D1016" t="s">
        <v>12</v>
      </c>
      <c r="E1016" t="s">
        <v>22</v>
      </c>
      <c r="F1016" t="s">
        <v>23</v>
      </c>
      <c r="G1016" t="s">
        <v>24</v>
      </c>
      <c r="H1016">
        <v>8</v>
      </c>
      <c r="I1016">
        <v>2704</v>
      </c>
      <c r="J1016">
        <v>705.74</v>
      </c>
    </row>
    <row r="1017" spans="1:10" x14ac:dyDescent="0.25">
      <c r="A1017" s="1">
        <v>45443</v>
      </c>
      <c r="B1017" t="s">
        <v>55</v>
      </c>
      <c r="C1017" t="s">
        <v>19</v>
      </c>
      <c r="D1017" t="s">
        <v>12</v>
      </c>
      <c r="E1017" t="s">
        <v>56</v>
      </c>
      <c r="F1017" t="s">
        <v>57</v>
      </c>
      <c r="G1017" t="s">
        <v>24</v>
      </c>
      <c r="H1017">
        <v>5</v>
      </c>
      <c r="I1017">
        <v>3225</v>
      </c>
      <c r="J1017">
        <v>523.32000000000005</v>
      </c>
    </row>
    <row r="1018" spans="1:10" x14ac:dyDescent="0.25">
      <c r="A1018" s="1">
        <v>45145</v>
      </c>
      <c r="B1018" t="s">
        <v>36</v>
      </c>
      <c r="C1018" t="s">
        <v>17</v>
      </c>
      <c r="D1018" t="s">
        <v>12</v>
      </c>
      <c r="E1018" t="s">
        <v>13</v>
      </c>
      <c r="F1018" t="s">
        <v>14</v>
      </c>
      <c r="G1018" t="s">
        <v>15</v>
      </c>
      <c r="H1018">
        <v>2</v>
      </c>
      <c r="I1018">
        <v>1342</v>
      </c>
      <c r="J1018">
        <v>184.59</v>
      </c>
    </row>
    <row r="1019" spans="1:10" x14ac:dyDescent="0.25">
      <c r="A1019" s="1">
        <v>44755</v>
      </c>
      <c r="B1019" t="s">
        <v>16</v>
      </c>
      <c r="C1019" t="s">
        <v>17</v>
      </c>
      <c r="D1019" t="s">
        <v>12</v>
      </c>
      <c r="E1019" t="s">
        <v>324</v>
      </c>
      <c r="F1019" t="s">
        <v>108</v>
      </c>
      <c r="G1019" t="s">
        <v>15</v>
      </c>
      <c r="H1019">
        <v>7</v>
      </c>
      <c r="I1019">
        <v>3395</v>
      </c>
      <c r="J1019">
        <v>1012.78</v>
      </c>
    </row>
    <row r="1020" spans="1:10" x14ac:dyDescent="0.25">
      <c r="A1020" s="1">
        <v>45627</v>
      </c>
      <c r="B1020" t="s">
        <v>32</v>
      </c>
      <c r="C1020" t="s">
        <v>19</v>
      </c>
      <c r="D1020" t="s">
        <v>12</v>
      </c>
      <c r="E1020" t="s">
        <v>325</v>
      </c>
      <c r="F1020" t="s">
        <v>63</v>
      </c>
      <c r="G1020" t="s">
        <v>28</v>
      </c>
      <c r="H1020">
        <v>4</v>
      </c>
      <c r="I1020">
        <v>3968</v>
      </c>
      <c r="J1020">
        <v>480.72</v>
      </c>
    </row>
    <row r="1021" spans="1:10" x14ac:dyDescent="0.25">
      <c r="A1021" s="1">
        <v>45394</v>
      </c>
      <c r="B1021" t="s">
        <v>40</v>
      </c>
      <c r="C1021" t="s">
        <v>19</v>
      </c>
      <c r="D1021" t="s">
        <v>12</v>
      </c>
      <c r="E1021" t="s">
        <v>37</v>
      </c>
      <c r="F1021" t="s">
        <v>34</v>
      </c>
      <c r="G1021" t="s">
        <v>35</v>
      </c>
      <c r="H1021">
        <v>5</v>
      </c>
      <c r="I1021">
        <v>4555</v>
      </c>
      <c r="J1021">
        <v>776.65</v>
      </c>
    </row>
    <row r="1022" spans="1:10" x14ac:dyDescent="0.25">
      <c r="A1022" s="1">
        <v>44618</v>
      </c>
      <c r="B1022" t="s">
        <v>18</v>
      </c>
      <c r="C1022" t="s">
        <v>19</v>
      </c>
      <c r="D1022" t="s">
        <v>12</v>
      </c>
      <c r="E1022" t="s">
        <v>326</v>
      </c>
      <c r="F1022" t="s">
        <v>34</v>
      </c>
      <c r="G1022" t="s">
        <v>35</v>
      </c>
      <c r="H1022">
        <v>2</v>
      </c>
      <c r="I1022">
        <v>2132</v>
      </c>
      <c r="J1022">
        <v>365.44</v>
      </c>
    </row>
    <row r="1023" spans="1:10" x14ac:dyDescent="0.25">
      <c r="A1023" s="1">
        <v>44651</v>
      </c>
      <c r="B1023" t="s">
        <v>16</v>
      </c>
      <c r="C1023" t="s">
        <v>17</v>
      </c>
      <c r="D1023" t="s">
        <v>12</v>
      </c>
      <c r="E1023" t="s">
        <v>327</v>
      </c>
      <c r="F1023" t="s">
        <v>156</v>
      </c>
      <c r="G1023" t="s">
        <v>28</v>
      </c>
      <c r="H1023">
        <v>6</v>
      </c>
      <c r="I1023">
        <v>6516</v>
      </c>
      <c r="J1023">
        <v>842.83</v>
      </c>
    </row>
    <row r="1024" spans="1:10" x14ac:dyDescent="0.25">
      <c r="A1024" s="1">
        <v>45155</v>
      </c>
      <c r="B1024" t="s">
        <v>32</v>
      </c>
      <c r="C1024" t="s">
        <v>19</v>
      </c>
      <c r="D1024" t="s">
        <v>12</v>
      </c>
      <c r="E1024" t="s">
        <v>43</v>
      </c>
      <c r="F1024" t="s">
        <v>44</v>
      </c>
      <c r="G1024" t="s">
        <v>35</v>
      </c>
      <c r="H1024">
        <v>2</v>
      </c>
      <c r="I1024">
        <v>2040</v>
      </c>
      <c r="J1024">
        <v>481.15</v>
      </c>
    </row>
    <row r="1025" spans="1:10" x14ac:dyDescent="0.25">
      <c r="A1025" s="1">
        <v>45558</v>
      </c>
      <c r="B1025" t="s">
        <v>16</v>
      </c>
      <c r="C1025" t="s">
        <v>17</v>
      </c>
      <c r="D1025" t="s">
        <v>12</v>
      </c>
      <c r="E1025" t="s">
        <v>195</v>
      </c>
      <c r="F1025" t="s">
        <v>83</v>
      </c>
      <c r="G1025" t="s">
        <v>28</v>
      </c>
      <c r="H1025">
        <v>6</v>
      </c>
      <c r="I1025">
        <v>6126</v>
      </c>
      <c r="J1025">
        <v>428.38</v>
      </c>
    </row>
    <row r="1026" spans="1:10" x14ac:dyDescent="0.25">
      <c r="A1026" s="1">
        <v>44815</v>
      </c>
      <c r="B1026" t="s">
        <v>32</v>
      </c>
      <c r="C1026" t="s">
        <v>19</v>
      </c>
      <c r="D1026" t="s">
        <v>12</v>
      </c>
      <c r="E1026" t="s">
        <v>74</v>
      </c>
      <c r="F1026" t="s">
        <v>23</v>
      </c>
      <c r="G1026" t="s">
        <v>24</v>
      </c>
      <c r="H1026">
        <v>8</v>
      </c>
      <c r="I1026">
        <v>520</v>
      </c>
      <c r="J1026">
        <v>30.58</v>
      </c>
    </row>
    <row r="1027" spans="1:10" x14ac:dyDescent="0.25">
      <c r="A1027" s="1">
        <v>44927</v>
      </c>
      <c r="B1027" t="s">
        <v>25</v>
      </c>
      <c r="C1027" t="s">
        <v>19</v>
      </c>
      <c r="D1027" t="s">
        <v>12</v>
      </c>
      <c r="E1027" t="s">
        <v>58</v>
      </c>
      <c r="F1027" t="s">
        <v>59</v>
      </c>
      <c r="G1027" t="s">
        <v>28</v>
      </c>
      <c r="H1027">
        <v>5</v>
      </c>
      <c r="I1027">
        <v>4470</v>
      </c>
      <c r="J1027">
        <v>526.96</v>
      </c>
    </row>
    <row r="1028" spans="1:10" x14ac:dyDescent="0.25">
      <c r="A1028" s="1">
        <v>45485</v>
      </c>
      <c r="B1028" t="s">
        <v>32</v>
      </c>
      <c r="C1028" t="s">
        <v>19</v>
      </c>
      <c r="D1028" t="s">
        <v>12</v>
      </c>
      <c r="E1028" t="s">
        <v>58</v>
      </c>
      <c r="F1028" t="s">
        <v>59</v>
      </c>
      <c r="G1028" t="s">
        <v>28</v>
      </c>
      <c r="H1028">
        <v>8</v>
      </c>
      <c r="I1028">
        <v>5504</v>
      </c>
      <c r="J1028">
        <v>1196.78</v>
      </c>
    </row>
    <row r="1029" spans="1:10" x14ac:dyDescent="0.25">
      <c r="A1029" s="1">
        <v>44572</v>
      </c>
      <c r="B1029" t="s">
        <v>29</v>
      </c>
      <c r="C1029" t="s">
        <v>17</v>
      </c>
      <c r="D1029" t="s">
        <v>12</v>
      </c>
      <c r="E1029" t="s">
        <v>22</v>
      </c>
      <c r="F1029" t="s">
        <v>23</v>
      </c>
      <c r="G1029" t="s">
        <v>24</v>
      </c>
      <c r="H1029">
        <v>4</v>
      </c>
      <c r="I1029">
        <v>3036</v>
      </c>
      <c r="J1029">
        <v>511.69</v>
      </c>
    </row>
    <row r="1030" spans="1:10" x14ac:dyDescent="0.25">
      <c r="A1030" s="1">
        <v>45570</v>
      </c>
      <c r="B1030" t="s">
        <v>32</v>
      </c>
      <c r="C1030" t="s">
        <v>19</v>
      </c>
      <c r="D1030" t="s">
        <v>12</v>
      </c>
      <c r="E1030" t="s">
        <v>172</v>
      </c>
      <c r="F1030" t="s">
        <v>173</v>
      </c>
      <c r="G1030" t="s">
        <v>24</v>
      </c>
      <c r="H1030">
        <v>5</v>
      </c>
      <c r="I1030">
        <v>2725</v>
      </c>
      <c r="J1030">
        <v>308.29000000000002</v>
      </c>
    </row>
    <row r="1031" spans="1:10" x14ac:dyDescent="0.25">
      <c r="A1031" s="1">
        <v>45551</v>
      </c>
      <c r="B1031" t="s">
        <v>10</v>
      </c>
      <c r="C1031" t="s">
        <v>11</v>
      </c>
      <c r="D1031" t="s">
        <v>12</v>
      </c>
      <c r="E1031" t="s">
        <v>56</v>
      </c>
      <c r="F1031" t="s">
        <v>57</v>
      </c>
      <c r="G1031" t="s">
        <v>24</v>
      </c>
      <c r="H1031">
        <v>8</v>
      </c>
      <c r="I1031">
        <v>4080</v>
      </c>
      <c r="J1031">
        <v>336.96</v>
      </c>
    </row>
    <row r="1032" spans="1:10" x14ac:dyDescent="0.25">
      <c r="A1032" s="1">
        <v>45435</v>
      </c>
      <c r="B1032" t="s">
        <v>49</v>
      </c>
      <c r="C1032" t="s">
        <v>17</v>
      </c>
      <c r="D1032" t="s">
        <v>12</v>
      </c>
      <c r="E1032" t="s">
        <v>199</v>
      </c>
      <c r="F1032" t="s">
        <v>200</v>
      </c>
      <c r="G1032" t="s">
        <v>28</v>
      </c>
      <c r="H1032">
        <v>8</v>
      </c>
      <c r="I1032">
        <v>3080</v>
      </c>
      <c r="J1032">
        <v>776.6</v>
      </c>
    </row>
    <row r="1033" spans="1:10" x14ac:dyDescent="0.25">
      <c r="A1033" s="1">
        <v>45085</v>
      </c>
      <c r="B1033" t="s">
        <v>32</v>
      </c>
      <c r="C1033" t="s">
        <v>19</v>
      </c>
      <c r="D1033" t="s">
        <v>12</v>
      </c>
      <c r="E1033" t="s">
        <v>103</v>
      </c>
      <c r="F1033" t="s">
        <v>21</v>
      </c>
      <c r="G1033" t="s">
        <v>15</v>
      </c>
      <c r="H1033">
        <v>5</v>
      </c>
      <c r="I1033">
        <v>1525</v>
      </c>
      <c r="J1033">
        <v>413.75</v>
      </c>
    </row>
    <row r="1034" spans="1:10" x14ac:dyDescent="0.25">
      <c r="A1034" s="1">
        <v>44758</v>
      </c>
      <c r="B1034" t="s">
        <v>36</v>
      </c>
      <c r="C1034" t="s">
        <v>17</v>
      </c>
      <c r="D1034" t="s">
        <v>12</v>
      </c>
      <c r="E1034" t="s">
        <v>103</v>
      </c>
      <c r="F1034" t="s">
        <v>21</v>
      </c>
      <c r="G1034" t="s">
        <v>15</v>
      </c>
      <c r="H1034">
        <v>4</v>
      </c>
      <c r="I1034">
        <v>1332</v>
      </c>
      <c r="J1034">
        <v>342.85</v>
      </c>
    </row>
    <row r="1035" spans="1:10" x14ac:dyDescent="0.25">
      <c r="A1035" s="1">
        <v>45131</v>
      </c>
      <c r="B1035" t="s">
        <v>40</v>
      </c>
      <c r="C1035" t="s">
        <v>19</v>
      </c>
      <c r="D1035" t="s">
        <v>12</v>
      </c>
      <c r="E1035" t="s">
        <v>76</v>
      </c>
      <c r="F1035" t="s">
        <v>54</v>
      </c>
      <c r="G1035" t="s">
        <v>24</v>
      </c>
      <c r="H1035">
        <v>7</v>
      </c>
      <c r="I1035">
        <v>4669</v>
      </c>
      <c r="J1035">
        <v>803.21</v>
      </c>
    </row>
    <row r="1036" spans="1:10" x14ac:dyDescent="0.25">
      <c r="A1036" s="1">
        <v>44632</v>
      </c>
      <c r="B1036" t="s">
        <v>32</v>
      </c>
      <c r="C1036" t="s">
        <v>19</v>
      </c>
      <c r="D1036" t="s">
        <v>12</v>
      </c>
      <c r="E1036" t="s">
        <v>45</v>
      </c>
      <c r="F1036" t="s">
        <v>46</v>
      </c>
      <c r="G1036" t="s">
        <v>15</v>
      </c>
      <c r="H1036">
        <v>6</v>
      </c>
      <c r="I1036">
        <v>5310</v>
      </c>
      <c r="J1036">
        <v>1099.8399999999999</v>
      </c>
    </row>
    <row r="1037" spans="1:10" x14ac:dyDescent="0.25">
      <c r="A1037" s="1">
        <v>44938</v>
      </c>
      <c r="B1037" t="s">
        <v>25</v>
      </c>
      <c r="C1037" t="s">
        <v>19</v>
      </c>
      <c r="D1037" t="s">
        <v>12</v>
      </c>
      <c r="E1037" t="s">
        <v>93</v>
      </c>
      <c r="F1037" t="s">
        <v>94</v>
      </c>
      <c r="G1037" t="s">
        <v>24</v>
      </c>
      <c r="H1037">
        <v>8</v>
      </c>
      <c r="I1037">
        <v>9392</v>
      </c>
      <c r="J1037">
        <v>2651.84</v>
      </c>
    </row>
    <row r="1038" spans="1:10" x14ac:dyDescent="0.25">
      <c r="A1038" s="1">
        <v>44868</v>
      </c>
      <c r="B1038" t="s">
        <v>36</v>
      </c>
      <c r="C1038" t="s">
        <v>17</v>
      </c>
      <c r="D1038" t="s">
        <v>12</v>
      </c>
      <c r="E1038" t="s">
        <v>289</v>
      </c>
      <c r="F1038" t="s">
        <v>63</v>
      </c>
      <c r="G1038" t="s">
        <v>28</v>
      </c>
      <c r="H1038">
        <v>5</v>
      </c>
      <c r="I1038">
        <v>1350</v>
      </c>
      <c r="J1038">
        <v>198.19</v>
      </c>
    </row>
    <row r="1039" spans="1:10" x14ac:dyDescent="0.25">
      <c r="A1039" s="1">
        <v>45365</v>
      </c>
      <c r="B1039" t="s">
        <v>36</v>
      </c>
      <c r="C1039" t="s">
        <v>17</v>
      </c>
      <c r="D1039" t="s">
        <v>12</v>
      </c>
      <c r="E1039" t="s">
        <v>22</v>
      </c>
      <c r="F1039" t="s">
        <v>23</v>
      </c>
      <c r="G1039" t="s">
        <v>24</v>
      </c>
      <c r="H1039">
        <v>4</v>
      </c>
      <c r="I1039">
        <v>3648</v>
      </c>
      <c r="J1039">
        <v>768.61</v>
      </c>
    </row>
    <row r="1040" spans="1:10" x14ac:dyDescent="0.25">
      <c r="A1040" s="1">
        <v>45134</v>
      </c>
      <c r="B1040" t="s">
        <v>10</v>
      </c>
      <c r="C1040" t="s">
        <v>11</v>
      </c>
      <c r="D1040" t="s">
        <v>12</v>
      </c>
      <c r="E1040" t="s">
        <v>105</v>
      </c>
      <c r="F1040" t="s">
        <v>23</v>
      </c>
      <c r="G1040" t="s">
        <v>24</v>
      </c>
      <c r="H1040">
        <v>2</v>
      </c>
      <c r="I1040">
        <v>300</v>
      </c>
      <c r="J1040">
        <v>47.59</v>
      </c>
    </row>
    <row r="1041" spans="1:10" x14ac:dyDescent="0.25">
      <c r="A1041" s="1">
        <v>44787</v>
      </c>
      <c r="B1041" t="s">
        <v>40</v>
      </c>
      <c r="C1041" t="s">
        <v>19</v>
      </c>
      <c r="D1041" t="s">
        <v>12</v>
      </c>
      <c r="E1041" t="s">
        <v>328</v>
      </c>
      <c r="F1041" t="s">
        <v>191</v>
      </c>
      <c r="G1041" t="s">
        <v>35</v>
      </c>
      <c r="H1041">
        <v>3</v>
      </c>
      <c r="I1041">
        <v>3408</v>
      </c>
      <c r="J1041">
        <v>727.26</v>
      </c>
    </row>
    <row r="1042" spans="1:10" x14ac:dyDescent="0.25">
      <c r="A1042" s="1">
        <v>45613</v>
      </c>
      <c r="B1042" t="s">
        <v>49</v>
      </c>
      <c r="C1042" t="s">
        <v>17</v>
      </c>
      <c r="D1042" t="s">
        <v>12</v>
      </c>
      <c r="E1042" t="s">
        <v>170</v>
      </c>
      <c r="F1042" t="s">
        <v>78</v>
      </c>
      <c r="G1042" t="s">
        <v>28</v>
      </c>
      <c r="H1042">
        <v>9</v>
      </c>
      <c r="I1042">
        <v>4302</v>
      </c>
      <c r="J1042">
        <v>475.96</v>
      </c>
    </row>
    <row r="1043" spans="1:10" x14ac:dyDescent="0.25">
      <c r="A1043" s="1">
        <v>45425</v>
      </c>
      <c r="B1043" t="s">
        <v>49</v>
      </c>
      <c r="C1043" t="s">
        <v>17</v>
      </c>
      <c r="D1043" t="s">
        <v>12</v>
      </c>
      <c r="E1043" t="s">
        <v>136</v>
      </c>
      <c r="F1043" t="s">
        <v>65</v>
      </c>
      <c r="G1043" t="s">
        <v>35</v>
      </c>
      <c r="H1043">
        <v>5</v>
      </c>
      <c r="I1043">
        <v>4575</v>
      </c>
      <c r="J1043">
        <v>771.24</v>
      </c>
    </row>
    <row r="1044" spans="1:10" x14ac:dyDescent="0.25">
      <c r="A1044" s="1">
        <v>44855</v>
      </c>
      <c r="B1044" t="s">
        <v>55</v>
      </c>
      <c r="C1044" t="s">
        <v>19</v>
      </c>
      <c r="D1044" t="s">
        <v>12</v>
      </c>
      <c r="E1044" t="s">
        <v>56</v>
      </c>
      <c r="F1044" t="s">
        <v>57</v>
      </c>
      <c r="G1044" t="s">
        <v>24</v>
      </c>
      <c r="H1044">
        <v>8</v>
      </c>
      <c r="I1044">
        <v>9304</v>
      </c>
      <c r="J1044">
        <v>1855.7</v>
      </c>
    </row>
    <row r="1045" spans="1:10" x14ac:dyDescent="0.25">
      <c r="A1045" s="1">
        <v>45397</v>
      </c>
      <c r="B1045" t="s">
        <v>36</v>
      </c>
      <c r="C1045" t="s">
        <v>17</v>
      </c>
      <c r="D1045" t="s">
        <v>12</v>
      </c>
      <c r="E1045" t="s">
        <v>58</v>
      </c>
      <c r="F1045" t="s">
        <v>59</v>
      </c>
      <c r="G1045" t="s">
        <v>28</v>
      </c>
      <c r="H1045">
        <v>4</v>
      </c>
      <c r="I1045">
        <v>1928</v>
      </c>
      <c r="J1045">
        <v>232.48</v>
      </c>
    </row>
    <row r="1046" spans="1:10" x14ac:dyDescent="0.25">
      <c r="A1046" s="1">
        <v>44943</v>
      </c>
      <c r="B1046" t="s">
        <v>10</v>
      </c>
      <c r="C1046" t="s">
        <v>11</v>
      </c>
      <c r="D1046" t="s">
        <v>12</v>
      </c>
      <c r="E1046" t="s">
        <v>22</v>
      </c>
      <c r="F1046" t="s">
        <v>23</v>
      </c>
      <c r="G1046" t="s">
        <v>24</v>
      </c>
      <c r="H1046">
        <v>2</v>
      </c>
      <c r="I1046">
        <v>1042</v>
      </c>
      <c r="J1046">
        <v>86.24</v>
      </c>
    </row>
    <row r="1047" spans="1:10" x14ac:dyDescent="0.25">
      <c r="A1047" s="1">
        <v>45258</v>
      </c>
      <c r="B1047" t="s">
        <v>18</v>
      </c>
      <c r="C1047" t="s">
        <v>19</v>
      </c>
      <c r="D1047" t="s">
        <v>12</v>
      </c>
      <c r="E1047" t="s">
        <v>210</v>
      </c>
      <c r="F1047" t="s">
        <v>34</v>
      </c>
      <c r="G1047" t="s">
        <v>35</v>
      </c>
      <c r="H1047">
        <v>3</v>
      </c>
      <c r="I1047">
        <v>2214</v>
      </c>
      <c r="J1047">
        <v>507.7</v>
      </c>
    </row>
    <row r="1048" spans="1:10" x14ac:dyDescent="0.25">
      <c r="A1048" s="1">
        <v>45415</v>
      </c>
      <c r="B1048" t="s">
        <v>49</v>
      </c>
      <c r="C1048" t="s">
        <v>17</v>
      </c>
      <c r="D1048" t="s">
        <v>12</v>
      </c>
      <c r="E1048" t="s">
        <v>50</v>
      </c>
      <c r="F1048" t="s">
        <v>51</v>
      </c>
      <c r="G1048" t="s">
        <v>35</v>
      </c>
      <c r="H1048">
        <v>4</v>
      </c>
      <c r="I1048">
        <v>3024</v>
      </c>
      <c r="J1048">
        <v>678.26</v>
      </c>
    </row>
    <row r="1049" spans="1:10" x14ac:dyDescent="0.25">
      <c r="A1049" s="1">
        <v>45149</v>
      </c>
      <c r="B1049" t="s">
        <v>25</v>
      </c>
      <c r="C1049" t="s">
        <v>19</v>
      </c>
      <c r="D1049" t="s">
        <v>12</v>
      </c>
      <c r="E1049" t="s">
        <v>329</v>
      </c>
      <c r="F1049" t="s">
        <v>149</v>
      </c>
      <c r="G1049" t="s">
        <v>15</v>
      </c>
      <c r="H1049">
        <v>2</v>
      </c>
      <c r="I1049">
        <v>1104</v>
      </c>
      <c r="J1049">
        <v>173.01</v>
      </c>
    </row>
    <row r="1050" spans="1:10" x14ac:dyDescent="0.25">
      <c r="A1050" s="1">
        <v>44768</v>
      </c>
      <c r="B1050" t="s">
        <v>16</v>
      </c>
      <c r="C1050" t="s">
        <v>17</v>
      </c>
      <c r="D1050" t="s">
        <v>12</v>
      </c>
      <c r="E1050" t="s">
        <v>119</v>
      </c>
      <c r="F1050" t="s">
        <v>71</v>
      </c>
      <c r="G1050" t="s">
        <v>35</v>
      </c>
      <c r="H1050">
        <v>8</v>
      </c>
      <c r="I1050">
        <v>6056</v>
      </c>
      <c r="J1050">
        <v>1631.71</v>
      </c>
    </row>
    <row r="1051" spans="1:10" x14ac:dyDescent="0.25">
      <c r="A1051" s="1">
        <v>44964</v>
      </c>
      <c r="B1051" t="s">
        <v>16</v>
      </c>
      <c r="C1051" t="s">
        <v>17</v>
      </c>
      <c r="D1051" t="s">
        <v>12</v>
      </c>
      <c r="E1051" t="s">
        <v>37</v>
      </c>
      <c r="F1051" t="s">
        <v>34</v>
      </c>
      <c r="G1051" t="s">
        <v>35</v>
      </c>
      <c r="H1051">
        <v>5</v>
      </c>
      <c r="I1051">
        <v>5295</v>
      </c>
      <c r="J1051">
        <v>1375.98</v>
      </c>
    </row>
    <row r="1052" spans="1:10" x14ac:dyDescent="0.25">
      <c r="A1052" s="1">
        <v>44580</v>
      </c>
      <c r="B1052" t="s">
        <v>40</v>
      </c>
      <c r="C1052" t="s">
        <v>19</v>
      </c>
      <c r="D1052" t="s">
        <v>12</v>
      </c>
      <c r="E1052" t="s">
        <v>37</v>
      </c>
      <c r="F1052" t="s">
        <v>34</v>
      </c>
      <c r="G1052" t="s">
        <v>35</v>
      </c>
      <c r="H1052">
        <v>4</v>
      </c>
      <c r="I1052">
        <v>3668</v>
      </c>
      <c r="J1052">
        <v>839.4</v>
      </c>
    </row>
    <row r="1053" spans="1:10" x14ac:dyDescent="0.25">
      <c r="A1053" s="1">
        <v>45107</v>
      </c>
      <c r="B1053" t="s">
        <v>10</v>
      </c>
      <c r="C1053" t="s">
        <v>11</v>
      </c>
      <c r="D1053" t="s">
        <v>12</v>
      </c>
      <c r="E1053" t="s">
        <v>74</v>
      </c>
      <c r="F1053" t="s">
        <v>23</v>
      </c>
      <c r="G1053" t="s">
        <v>24</v>
      </c>
      <c r="H1053">
        <v>9</v>
      </c>
      <c r="I1053">
        <v>4293</v>
      </c>
      <c r="J1053">
        <v>295.47000000000003</v>
      </c>
    </row>
    <row r="1054" spans="1:10" x14ac:dyDescent="0.25">
      <c r="A1054" s="1">
        <v>44792</v>
      </c>
      <c r="B1054" t="s">
        <v>16</v>
      </c>
      <c r="C1054" t="s">
        <v>17</v>
      </c>
      <c r="D1054" t="s">
        <v>12</v>
      </c>
      <c r="E1054" t="s">
        <v>43</v>
      </c>
      <c r="F1054" t="s">
        <v>44</v>
      </c>
      <c r="G1054" t="s">
        <v>35</v>
      </c>
      <c r="H1054">
        <v>7</v>
      </c>
      <c r="I1054">
        <v>5789</v>
      </c>
      <c r="J1054">
        <v>950.45</v>
      </c>
    </row>
    <row r="1055" spans="1:10" x14ac:dyDescent="0.25">
      <c r="A1055" s="1">
        <v>45165</v>
      </c>
      <c r="B1055" t="s">
        <v>32</v>
      </c>
      <c r="C1055" t="s">
        <v>19</v>
      </c>
      <c r="D1055" t="s">
        <v>12</v>
      </c>
      <c r="E1055" t="s">
        <v>43</v>
      </c>
      <c r="F1055" t="s">
        <v>44</v>
      </c>
      <c r="G1055" t="s">
        <v>35</v>
      </c>
      <c r="H1055">
        <v>6</v>
      </c>
      <c r="I1055">
        <v>4440</v>
      </c>
      <c r="J1055">
        <v>800.92</v>
      </c>
    </row>
    <row r="1056" spans="1:10" x14ac:dyDescent="0.25">
      <c r="A1056" s="1">
        <v>44630</v>
      </c>
      <c r="B1056" t="s">
        <v>10</v>
      </c>
      <c r="C1056" t="s">
        <v>11</v>
      </c>
      <c r="D1056" t="s">
        <v>12</v>
      </c>
      <c r="E1056" t="s">
        <v>330</v>
      </c>
      <c r="F1056" t="s">
        <v>21</v>
      </c>
      <c r="G1056" t="s">
        <v>15</v>
      </c>
      <c r="H1056">
        <v>5</v>
      </c>
      <c r="I1056">
        <v>5515</v>
      </c>
      <c r="J1056">
        <v>330.02</v>
      </c>
    </row>
    <row r="1057" spans="1:10" x14ac:dyDescent="0.25">
      <c r="A1057" s="1">
        <v>45577</v>
      </c>
      <c r="B1057" t="s">
        <v>25</v>
      </c>
      <c r="C1057" t="s">
        <v>19</v>
      </c>
      <c r="D1057" t="s">
        <v>12</v>
      </c>
      <c r="E1057" t="s">
        <v>43</v>
      </c>
      <c r="F1057" t="s">
        <v>44</v>
      </c>
      <c r="G1057" t="s">
        <v>35</v>
      </c>
      <c r="H1057">
        <v>4</v>
      </c>
      <c r="I1057">
        <v>784</v>
      </c>
      <c r="J1057">
        <v>192.77</v>
      </c>
    </row>
    <row r="1058" spans="1:10" x14ac:dyDescent="0.25">
      <c r="A1058" s="1">
        <v>45458</v>
      </c>
      <c r="B1058" t="s">
        <v>55</v>
      </c>
      <c r="C1058" t="s">
        <v>19</v>
      </c>
      <c r="D1058" t="s">
        <v>12</v>
      </c>
      <c r="E1058" t="s">
        <v>52</v>
      </c>
      <c r="F1058" t="s">
        <v>42</v>
      </c>
      <c r="G1058" t="s">
        <v>28</v>
      </c>
      <c r="H1058">
        <v>4</v>
      </c>
      <c r="I1058">
        <v>576</v>
      </c>
      <c r="J1058">
        <v>156.59</v>
      </c>
    </row>
    <row r="1059" spans="1:10" x14ac:dyDescent="0.25">
      <c r="A1059" s="1">
        <v>45544</v>
      </c>
      <c r="B1059" t="s">
        <v>32</v>
      </c>
      <c r="C1059" t="s">
        <v>19</v>
      </c>
      <c r="D1059" t="s">
        <v>12</v>
      </c>
      <c r="E1059" t="s">
        <v>331</v>
      </c>
      <c r="F1059" t="s">
        <v>23</v>
      </c>
      <c r="G1059" t="s">
        <v>24</v>
      </c>
      <c r="H1059">
        <v>5</v>
      </c>
      <c r="I1059">
        <v>705</v>
      </c>
      <c r="J1059">
        <v>198.62</v>
      </c>
    </row>
    <row r="1060" spans="1:10" x14ac:dyDescent="0.25">
      <c r="A1060" s="1">
        <v>45193</v>
      </c>
      <c r="B1060" t="s">
        <v>49</v>
      </c>
      <c r="C1060" t="s">
        <v>17</v>
      </c>
      <c r="D1060" t="s">
        <v>12</v>
      </c>
      <c r="E1060" t="s">
        <v>328</v>
      </c>
      <c r="F1060" t="s">
        <v>191</v>
      </c>
      <c r="G1060" t="s">
        <v>35</v>
      </c>
      <c r="H1060">
        <v>6</v>
      </c>
      <c r="I1060">
        <v>4458</v>
      </c>
      <c r="J1060">
        <v>1215.3</v>
      </c>
    </row>
    <row r="1061" spans="1:10" x14ac:dyDescent="0.25">
      <c r="A1061" s="1">
        <v>44798</v>
      </c>
      <c r="B1061" t="s">
        <v>40</v>
      </c>
      <c r="C1061" t="s">
        <v>19</v>
      </c>
      <c r="D1061" t="s">
        <v>12</v>
      </c>
      <c r="E1061" t="s">
        <v>52</v>
      </c>
      <c r="F1061" t="s">
        <v>42</v>
      </c>
      <c r="G1061" t="s">
        <v>28</v>
      </c>
      <c r="H1061">
        <v>6</v>
      </c>
      <c r="I1061">
        <v>6780</v>
      </c>
      <c r="J1061">
        <v>811.92</v>
      </c>
    </row>
    <row r="1062" spans="1:10" x14ac:dyDescent="0.25">
      <c r="A1062" s="1">
        <v>45200</v>
      </c>
      <c r="B1062" t="s">
        <v>32</v>
      </c>
      <c r="C1062" t="s">
        <v>19</v>
      </c>
      <c r="D1062" t="s">
        <v>12</v>
      </c>
      <c r="E1062" t="s">
        <v>22</v>
      </c>
      <c r="F1062" t="s">
        <v>23</v>
      </c>
      <c r="G1062" t="s">
        <v>24</v>
      </c>
      <c r="H1062">
        <v>5</v>
      </c>
      <c r="I1062">
        <v>3970</v>
      </c>
      <c r="J1062">
        <v>642.70000000000005</v>
      </c>
    </row>
    <row r="1063" spans="1:10" x14ac:dyDescent="0.25">
      <c r="A1063" s="1">
        <v>44934</v>
      </c>
      <c r="B1063" t="s">
        <v>36</v>
      </c>
      <c r="C1063" t="s">
        <v>17</v>
      </c>
      <c r="D1063" t="s">
        <v>12</v>
      </c>
      <c r="E1063" t="s">
        <v>332</v>
      </c>
      <c r="F1063" t="s">
        <v>94</v>
      </c>
      <c r="G1063" t="s">
        <v>24</v>
      </c>
      <c r="H1063">
        <v>7</v>
      </c>
      <c r="I1063">
        <v>5131</v>
      </c>
      <c r="J1063">
        <v>368.11</v>
      </c>
    </row>
    <row r="1064" spans="1:10" x14ac:dyDescent="0.25">
      <c r="A1064" s="1">
        <v>44836</v>
      </c>
      <c r="B1064" t="s">
        <v>55</v>
      </c>
      <c r="C1064" t="s">
        <v>19</v>
      </c>
      <c r="D1064" t="s">
        <v>12</v>
      </c>
      <c r="E1064" t="s">
        <v>332</v>
      </c>
      <c r="F1064" t="s">
        <v>94</v>
      </c>
      <c r="G1064" t="s">
        <v>24</v>
      </c>
      <c r="H1064">
        <v>7</v>
      </c>
      <c r="I1064">
        <v>1750</v>
      </c>
      <c r="J1064">
        <v>90.21</v>
      </c>
    </row>
    <row r="1065" spans="1:10" x14ac:dyDescent="0.25">
      <c r="A1065" s="1">
        <v>44603</v>
      </c>
      <c r="B1065" t="s">
        <v>18</v>
      </c>
      <c r="C1065" t="s">
        <v>19</v>
      </c>
      <c r="D1065" t="s">
        <v>12</v>
      </c>
      <c r="E1065" t="s">
        <v>333</v>
      </c>
      <c r="F1065" t="s">
        <v>100</v>
      </c>
      <c r="G1065" t="s">
        <v>35</v>
      </c>
      <c r="H1065">
        <v>7</v>
      </c>
      <c r="I1065">
        <v>8337</v>
      </c>
      <c r="J1065">
        <v>753.35</v>
      </c>
    </row>
    <row r="1066" spans="1:10" x14ac:dyDescent="0.25">
      <c r="A1066" s="1">
        <v>44819</v>
      </c>
      <c r="B1066" t="s">
        <v>49</v>
      </c>
      <c r="C1066" t="s">
        <v>17</v>
      </c>
      <c r="D1066" t="s">
        <v>12</v>
      </c>
      <c r="E1066" t="s">
        <v>43</v>
      </c>
      <c r="F1066" t="s">
        <v>44</v>
      </c>
      <c r="G1066" t="s">
        <v>35</v>
      </c>
      <c r="H1066">
        <v>9</v>
      </c>
      <c r="I1066">
        <v>9810</v>
      </c>
      <c r="J1066">
        <v>549.46</v>
      </c>
    </row>
    <row r="1067" spans="1:10" x14ac:dyDescent="0.25">
      <c r="A1067" s="1">
        <v>45319</v>
      </c>
      <c r="B1067" t="s">
        <v>49</v>
      </c>
      <c r="C1067" t="s">
        <v>17</v>
      </c>
      <c r="D1067" t="s">
        <v>12</v>
      </c>
      <c r="E1067" t="s">
        <v>43</v>
      </c>
      <c r="F1067" t="s">
        <v>44</v>
      </c>
      <c r="G1067" t="s">
        <v>35</v>
      </c>
      <c r="H1067">
        <v>3</v>
      </c>
      <c r="I1067">
        <v>2658</v>
      </c>
      <c r="J1067">
        <v>794.36</v>
      </c>
    </row>
    <row r="1068" spans="1:10" x14ac:dyDescent="0.25">
      <c r="A1068" s="1">
        <v>44765</v>
      </c>
      <c r="B1068" t="s">
        <v>10</v>
      </c>
      <c r="C1068" t="s">
        <v>11</v>
      </c>
      <c r="D1068" t="s">
        <v>12</v>
      </c>
      <c r="E1068" t="s">
        <v>56</v>
      </c>
      <c r="F1068" t="s">
        <v>57</v>
      </c>
      <c r="G1068" t="s">
        <v>24</v>
      </c>
      <c r="H1068">
        <v>1</v>
      </c>
      <c r="I1068">
        <v>473</v>
      </c>
      <c r="J1068">
        <v>43.65</v>
      </c>
    </row>
    <row r="1069" spans="1:10" x14ac:dyDescent="0.25">
      <c r="A1069" s="1">
        <v>44575</v>
      </c>
      <c r="B1069" t="s">
        <v>18</v>
      </c>
      <c r="C1069" t="s">
        <v>19</v>
      </c>
      <c r="D1069" t="s">
        <v>12</v>
      </c>
      <c r="E1069" t="s">
        <v>334</v>
      </c>
      <c r="F1069" t="s">
        <v>71</v>
      </c>
      <c r="G1069" t="s">
        <v>35</v>
      </c>
      <c r="H1069">
        <v>9</v>
      </c>
      <c r="I1069">
        <v>2205</v>
      </c>
      <c r="J1069">
        <v>410.01</v>
      </c>
    </row>
    <row r="1070" spans="1:10" x14ac:dyDescent="0.25">
      <c r="A1070" s="1">
        <v>45090</v>
      </c>
      <c r="B1070" t="s">
        <v>40</v>
      </c>
      <c r="C1070" t="s">
        <v>19</v>
      </c>
      <c r="D1070" t="s">
        <v>12</v>
      </c>
      <c r="E1070" t="s">
        <v>162</v>
      </c>
      <c r="F1070" t="s">
        <v>23</v>
      </c>
      <c r="G1070" t="s">
        <v>24</v>
      </c>
      <c r="H1070">
        <v>9</v>
      </c>
      <c r="I1070">
        <v>6948</v>
      </c>
      <c r="J1070">
        <v>1409.3</v>
      </c>
    </row>
    <row r="1071" spans="1:10" x14ac:dyDescent="0.25">
      <c r="A1071" s="1">
        <v>44813</v>
      </c>
      <c r="B1071" t="s">
        <v>18</v>
      </c>
      <c r="C1071" t="s">
        <v>19</v>
      </c>
      <c r="D1071" t="s">
        <v>12</v>
      </c>
      <c r="E1071" t="s">
        <v>335</v>
      </c>
      <c r="F1071" t="s">
        <v>71</v>
      </c>
      <c r="G1071" t="s">
        <v>35</v>
      </c>
      <c r="H1071">
        <v>3</v>
      </c>
      <c r="I1071">
        <v>774</v>
      </c>
      <c r="J1071">
        <v>212.02</v>
      </c>
    </row>
    <row r="1072" spans="1:10" x14ac:dyDescent="0.25">
      <c r="A1072" s="1">
        <v>45286</v>
      </c>
      <c r="B1072" t="s">
        <v>18</v>
      </c>
      <c r="C1072" t="s">
        <v>19</v>
      </c>
      <c r="D1072" t="s">
        <v>12</v>
      </c>
      <c r="E1072" t="s">
        <v>70</v>
      </c>
      <c r="F1072" t="s">
        <v>71</v>
      </c>
      <c r="G1072" t="s">
        <v>35</v>
      </c>
      <c r="H1072">
        <v>3</v>
      </c>
      <c r="I1072">
        <v>2532</v>
      </c>
      <c r="J1072">
        <v>343.13</v>
      </c>
    </row>
    <row r="1073" spans="1:10" x14ac:dyDescent="0.25">
      <c r="A1073" s="1">
        <v>45612</v>
      </c>
      <c r="B1073" t="s">
        <v>55</v>
      </c>
      <c r="C1073" t="s">
        <v>19</v>
      </c>
      <c r="D1073" t="s">
        <v>12</v>
      </c>
      <c r="E1073" t="s">
        <v>336</v>
      </c>
      <c r="F1073" t="s">
        <v>34</v>
      </c>
      <c r="G1073" t="s">
        <v>35</v>
      </c>
      <c r="H1073">
        <v>7</v>
      </c>
      <c r="I1073">
        <v>6587</v>
      </c>
      <c r="J1073">
        <v>1173.9100000000001</v>
      </c>
    </row>
    <row r="1074" spans="1:10" x14ac:dyDescent="0.25">
      <c r="A1074" s="1">
        <v>45383</v>
      </c>
      <c r="B1074" t="s">
        <v>40</v>
      </c>
      <c r="C1074" t="s">
        <v>19</v>
      </c>
      <c r="D1074" t="s">
        <v>12</v>
      </c>
      <c r="E1074" t="s">
        <v>22</v>
      </c>
      <c r="F1074" t="s">
        <v>23</v>
      </c>
      <c r="G1074" t="s">
        <v>24</v>
      </c>
      <c r="H1074">
        <v>7</v>
      </c>
      <c r="I1074">
        <v>7266</v>
      </c>
      <c r="J1074">
        <v>806.79</v>
      </c>
    </row>
    <row r="1075" spans="1:10" x14ac:dyDescent="0.25">
      <c r="A1075" s="1">
        <v>45623</v>
      </c>
      <c r="B1075" t="s">
        <v>40</v>
      </c>
      <c r="C1075" t="s">
        <v>19</v>
      </c>
      <c r="D1075" t="s">
        <v>12</v>
      </c>
      <c r="E1075" t="s">
        <v>75</v>
      </c>
      <c r="F1075" t="s">
        <v>39</v>
      </c>
      <c r="G1075" t="s">
        <v>35</v>
      </c>
      <c r="H1075">
        <v>7</v>
      </c>
      <c r="I1075">
        <v>6867</v>
      </c>
      <c r="J1075">
        <v>502.06</v>
      </c>
    </row>
    <row r="1076" spans="1:10" x14ac:dyDescent="0.25">
      <c r="A1076" s="1">
        <v>45108</v>
      </c>
      <c r="B1076" t="s">
        <v>25</v>
      </c>
      <c r="C1076" t="s">
        <v>19</v>
      </c>
      <c r="D1076" t="s">
        <v>12</v>
      </c>
      <c r="E1076" t="s">
        <v>47</v>
      </c>
      <c r="F1076" t="s">
        <v>48</v>
      </c>
      <c r="G1076" t="s">
        <v>15</v>
      </c>
      <c r="H1076">
        <v>9</v>
      </c>
      <c r="I1076">
        <v>4887</v>
      </c>
      <c r="J1076">
        <v>396.36</v>
      </c>
    </row>
    <row r="1077" spans="1:10" x14ac:dyDescent="0.25">
      <c r="A1077" s="1">
        <v>44970</v>
      </c>
      <c r="B1077" t="s">
        <v>16</v>
      </c>
      <c r="C1077" t="s">
        <v>17</v>
      </c>
      <c r="D1077" t="s">
        <v>12</v>
      </c>
      <c r="E1077" t="s">
        <v>184</v>
      </c>
      <c r="F1077" t="s">
        <v>23</v>
      </c>
      <c r="G1077" t="s">
        <v>24</v>
      </c>
      <c r="H1077">
        <v>4</v>
      </c>
      <c r="I1077">
        <v>864</v>
      </c>
      <c r="J1077">
        <v>251.99</v>
      </c>
    </row>
    <row r="1078" spans="1:10" x14ac:dyDescent="0.25">
      <c r="A1078" s="1">
        <v>45239</v>
      </c>
      <c r="B1078" t="s">
        <v>40</v>
      </c>
      <c r="C1078" t="s">
        <v>19</v>
      </c>
      <c r="D1078" t="s">
        <v>12</v>
      </c>
      <c r="E1078" t="s">
        <v>70</v>
      </c>
      <c r="F1078" t="s">
        <v>71</v>
      </c>
      <c r="G1078" t="s">
        <v>35</v>
      </c>
      <c r="H1078">
        <v>6</v>
      </c>
      <c r="I1078">
        <v>5190</v>
      </c>
      <c r="J1078">
        <v>1215.07</v>
      </c>
    </row>
    <row r="1079" spans="1:10" x14ac:dyDescent="0.25">
      <c r="A1079" s="1">
        <v>44701</v>
      </c>
      <c r="B1079" t="s">
        <v>49</v>
      </c>
      <c r="C1079" t="s">
        <v>17</v>
      </c>
      <c r="D1079" t="s">
        <v>12</v>
      </c>
      <c r="E1079" t="s">
        <v>70</v>
      </c>
      <c r="F1079" t="s">
        <v>71</v>
      </c>
      <c r="G1079" t="s">
        <v>35</v>
      </c>
      <c r="H1079">
        <v>8</v>
      </c>
      <c r="I1079">
        <v>2128</v>
      </c>
      <c r="J1079">
        <v>294.45</v>
      </c>
    </row>
    <row r="1080" spans="1:10" x14ac:dyDescent="0.25">
      <c r="A1080" s="1">
        <v>45469</v>
      </c>
      <c r="B1080" t="s">
        <v>16</v>
      </c>
      <c r="C1080" t="s">
        <v>17</v>
      </c>
      <c r="D1080" t="s">
        <v>12</v>
      </c>
      <c r="E1080" t="s">
        <v>52</v>
      </c>
      <c r="F1080" t="s">
        <v>42</v>
      </c>
      <c r="G1080" t="s">
        <v>28</v>
      </c>
      <c r="H1080">
        <v>2</v>
      </c>
      <c r="I1080">
        <v>1718</v>
      </c>
      <c r="J1080">
        <v>218.82</v>
      </c>
    </row>
    <row r="1081" spans="1:10" x14ac:dyDescent="0.25">
      <c r="A1081" s="1">
        <v>44683</v>
      </c>
      <c r="B1081" t="s">
        <v>40</v>
      </c>
      <c r="C1081" t="s">
        <v>19</v>
      </c>
      <c r="D1081" t="s">
        <v>12</v>
      </c>
      <c r="E1081" t="s">
        <v>159</v>
      </c>
      <c r="F1081" t="s">
        <v>23</v>
      </c>
      <c r="G1081" t="s">
        <v>24</v>
      </c>
      <c r="H1081">
        <v>2</v>
      </c>
      <c r="I1081">
        <v>1270</v>
      </c>
      <c r="J1081">
        <v>229.39</v>
      </c>
    </row>
    <row r="1082" spans="1:10" x14ac:dyDescent="0.25">
      <c r="A1082" s="1">
        <v>45064</v>
      </c>
      <c r="B1082" t="s">
        <v>49</v>
      </c>
      <c r="C1082" t="s">
        <v>17</v>
      </c>
      <c r="D1082" t="s">
        <v>12</v>
      </c>
      <c r="E1082" t="s">
        <v>159</v>
      </c>
      <c r="F1082" t="s">
        <v>23</v>
      </c>
      <c r="G1082" t="s">
        <v>24</v>
      </c>
      <c r="H1082">
        <v>7</v>
      </c>
      <c r="I1082">
        <v>2569</v>
      </c>
      <c r="J1082">
        <v>130.19</v>
      </c>
    </row>
    <row r="1083" spans="1:10" x14ac:dyDescent="0.25">
      <c r="A1083" s="1">
        <v>44606</v>
      </c>
      <c r="B1083" t="s">
        <v>10</v>
      </c>
      <c r="C1083" t="s">
        <v>11</v>
      </c>
      <c r="D1083" t="s">
        <v>12</v>
      </c>
      <c r="E1083" t="s">
        <v>337</v>
      </c>
      <c r="F1083" t="s">
        <v>152</v>
      </c>
      <c r="G1083" t="s">
        <v>15</v>
      </c>
      <c r="H1083">
        <v>2</v>
      </c>
      <c r="I1083">
        <v>1518</v>
      </c>
      <c r="J1083">
        <v>262.64999999999998</v>
      </c>
    </row>
    <row r="1084" spans="1:10" x14ac:dyDescent="0.25">
      <c r="A1084" s="1">
        <v>44887</v>
      </c>
      <c r="B1084" t="s">
        <v>29</v>
      </c>
      <c r="C1084" t="s">
        <v>17</v>
      </c>
      <c r="D1084" t="s">
        <v>12</v>
      </c>
      <c r="E1084" t="s">
        <v>74</v>
      </c>
      <c r="F1084" t="s">
        <v>23</v>
      </c>
      <c r="G1084" t="s">
        <v>24</v>
      </c>
      <c r="H1084">
        <v>2</v>
      </c>
      <c r="I1084">
        <v>1210</v>
      </c>
      <c r="J1084">
        <v>268.37</v>
      </c>
    </row>
    <row r="1085" spans="1:10" x14ac:dyDescent="0.25">
      <c r="A1085" s="1">
        <v>44635</v>
      </c>
      <c r="B1085" t="s">
        <v>16</v>
      </c>
      <c r="C1085" t="s">
        <v>17</v>
      </c>
      <c r="D1085" t="s">
        <v>12</v>
      </c>
      <c r="E1085" t="s">
        <v>47</v>
      </c>
      <c r="F1085" t="s">
        <v>156</v>
      </c>
      <c r="G1085" t="s">
        <v>28</v>
      </c>
      <c r="H1085">
        <v>2</v>
      </c>
      <c r="I1085">
        <v>1128</v>
      </c>
      <c r="J1085">
        <v>94.13</v>
      </c>
    </row>
    <row r="1086" spans="1:10" x14ac:dyDescent="0.25">
      <c r="A1086" s="1">
        <v>45161</v>
      </c>
      <c r="B1086" t="s">
        <v>29</v>
      </c>
      <c r="C1086" t="s">
        <v>17</v>
      </c>
      <c r="D1086" t="s">
        <v>12</v>
      </c>
      <c r="E1086" t="s">
        <v>47</v>
      </c>
      <c r="F1086" t="s">
        <v>156</v>
      </c>
      <c r="G1086" t="s">
        <v>28</v>
      </c>
      <c r="H1086">
        <v>1</v>
      </c>
      <c r="I1086">
        <v>1077</v>
      </c>
      <c r="J1086">
        <v>77.97</v>
      </c>
    </row>
    <row r="1087" spans="1:10" x14ac:dyDescent="0.25">
      <c r="A1087" s="1">
        <v>45278</v>
      </c>
      <c r="B1087" t="s">
        <v>49</v>
      </c>
      <c r="C1087" t="s">
        <v>17</v>
      </c>
      <c r="D1087" t="s">
        <v>12</v>
      </c>
      <c r="E1087" t="s">
        <v>22</v>
      </c>
      <c r="F1087" t="s">
        <v>23</v>
      </c>
      <c r="G1087" t="s">
        <v>24</v>
      </c>
      <c r="H1087">
        <v>6</v>
      </c>
      <c r="I1087">
        <v>2244</v>
      </c>
      <c r="J1087">
        <v>517.47</v>
      </c>
    </row>
    <row r="1088" spans="1:10" x14ac:dyDescent="0.25">
      <c r="A1088" s="1">
        <v>44820</v>
      </c>
      <c r="B1088" t="s">
        <v>16</v>
      </c>
      <c r="C1088" t="s">
        <v>17</v>
      </c>
      <c r="D1088" t="s">
        <v>12</v>
      </c>
      <c r="E1088" t="s">
        <v>338</v>
      </c>
      <c r="F1088" t="s">
        <v>27</v>
      </c>
      <c r="G1088" t="s">
        <v>28</v>
      </c>
      <c r="H1088">
        <v>8</v>
      </c>
      <c r="I1088">
        <v>1608</v>
      </c>
      <c r="J1088">
        <v>464.18</v>
      </c>
    </row>
    <row r="1089" spans="1:10" x14ac:dyDescent="0.25">
      <c r="A1089" s="1">
        <v>45641</v>
      </c>
      <c r="B1089" t="s">
        <v>25</v>
      </c>
      <c r="C1089" t="s">
        <v>19</v>
      </c>
      <c r="D1089" t="s">
        <v>12</v>
      </c>
      <c r="E1089" t="s">
        <v>338</v>
      </c>
      <c r="F1089" t="s">
        <v>27</v>
      </c>
      <c r="G1089" t="s">
        <v>28</v>
      </c>
      <c r="H1089">
        <v>5</v>
      </c>
      <c r="I1089">
        <v>3685</v>
      </c>
      <c r="J1089">
        <v>476.2</v>
      </c>
    </row>
    <row r="1090" spans="1:10" x14ac:dyDescent="0.25">
      <c r="A1090" s="1">
        <v>45407</v>
      </c>
      <c r="B1090" t="s">
        <v>25</v>
      </c>
      <c r="C1090" t="s">
        <v>19</v>
      </c>
      <c r="D1090" t="s">
        <v>12</v>
      </c>
      <c r="E1090" t="s">
        <v>37</v>
      </c>
      <c r="F1090" t="s">
        <v>34</v>
      </c>
      <c r="G1090" t="s">
        <v>35</v>
      </c>
      <c r="H1090">
        <v>8</v>
      </c>
      <c r="I1090">
        <v>4080</v>
      </c>
      <c r="J1090">
        <v>1079.49</v>
      </c>
    </row>
    <row r="1091" spans="1:10" x14ac:dyDescent="0.25">
      <c r="A1091" s="1">
        <v>45331</v>
      </c>
      <c r="B1091" t="s">
        <v>36</v>
      </c>
      <c r="C1091" t="s">
        <v>17</v>
      </c>
      <c r="D1091" t="s">
        <v>12</v>
      </c>
      <c r="E1091" t="s">
        <v>74</v>
      </c>
      <c r="F1091" t="s">
        <v>23</v>
      </c>
      <c r="G1091" t="s">
        <v>24</v>
      </c>
      <c r="H1091">
        <v>1</v>
      </c>
      <c r="I1091">
        <v>404</v>
      </c>
      <c r="J1091">
        <v>84.4</v>
      </c>
    </row>
    <row r="1092" spans="1:10" x14ac:dyDescent="0.25">
      <c r="A1092" s="1">
        <v>45035</v>
      </c>
      <c r="B1092" t="s">
        <v>49</v>
      </c>
      <c r="C1092" t="s">
        <v>17</v>
      </c>
      <c r="D1092" t="s">
        <v>12</v>
      </c>
      <c r="E1092" t="s">
        <v>22</v>
      </c>
      <c r="F1092" t="s">
        <v>23</v>
      </c>
      <c r="G1092" t="s">
        <v>24</v>
      </c>
      <c r="H1092">
        <v>2</v>
      </c>
      <c r="I1092">
        <v>1738</v>
      </c>
      <c r="J1092">
        <v>163.38</v>
      </c>
    </row>
    <row r="1093" spans="1:10" x14ac:dyDescent="0.25">
      <c r="A1093" s="1">
        <v>44957</v>
      </c>
      <c r="B1093" t="s">
        <v>10</v>
      </c>
      <c r="C1093" t="s">
        <v>11</v>
      </c>
      <c r="D1093" t="s">
        <v>12</v>
      </c>
      <c r="E1093" t="s">
        <v>22</v>
      </c>
      <c r="F1093" t="s">
        <v>23</v>
      </c>
      <c r="G1093" t="s">
        <v>24</v>
      </c>
      <c r="H1093">
        <v>3</v>
      </c>
      <c r="I1093">
        <v>828</v>
      </c>
      <c r="J1093">
        <v>210.33</v>
      </c>
    </row>
    <row r="1094" spans="1:10" x14ac:dyDescent="0.25">
      <c r="A1094" s="1">
        <v>45254</v>
      </c>
      <c r="B1094" t="s">
        <v>16</v>
      </c>
      <c r="C1094" t="s">
        <v>17</v>
      </c>
      <c r="D1094" t="s">
        <v>12</v>
      </c>
      <c r="E1094" t="s">
        <v>329</v>
      </c>
      <c r="F1094" t="s">
        <v>339</v>
      </c>
      <c r="G1094" t="s">
        <v>28</v>
      </c>
      <c r="H1094">
        <v>4</v>
      </c>
      <c r="I1094">
        <v>4344</v>
      </c>
      <c r="J1094">
        <v>461.72</v>
      </c>
    </row>
    <row r="1095" spans="1:10" x14ac:dyDescent="0.25">
      <c r="A1095" s="1">
        <v>45201</v>
      </c>
      <c r="B1095" t="s">
        <v>18</v>
      </c>
      <c r="C1095" t="s">
        <v>19</v>
      </c>
      <c r="D1095" t="s">
        <v>12</v>
      </c>
      <c r="E1095" t="s">
        <v>291</v>
      </c>
      <c r="F1095" t="s">
        <v>34</v>
      </c>
      <c r="G1095" t="s">
        <v>35</v>
      </c>
      <c r="H1095">
        <v>1</v>
      </c>
      <c r="I1095">
        <v>1130</v>
      </c>
      <c r="J1095">
        <v>268.88</v>
      </c>
    </row>
    <row r="1096" spans="1:10" x14ac:dyDescent="0.25">
      <c r="A1096" s="1">
        <v>45400</v>
      </c>
      <c r="B1096" t="s">
        <v>29</v>
      </c>
      <c r="C1096" t="s">
        <v>17</v>
      </c>
      <c r="D1096" t="s">
        <v>12</v>
      </c>
      <c r="E1096" t="s">
        <v>134</v>
      </c>
      <c r="F1096" t="s">
        <v>51</v>
      </c>
      <c r="G1096" t="s">
        <v>35</v>
      </c>
      <c r="H1096">
        <v>3</v>
      </c>
      <c r="I1096">
        <v>1698</v>
      </c>
      <c r="J1096">
        <v>304.91000000000003</v>
      </c>
    </row>
    <row r="1097" spans="1:10" x14ac:dyDescent="0.25">
      <c r="A1097" s="1">
        <v>45104</v>
      </c>
      <c r="B1097" t="s">
        <v>18</v>
      </c>
      <c r="C1097" t="s">
        <v>19</v>
      </c>
      <c r="D1097" t="s">
        <v>12</v>
      </c>
      <c r="E1097" t="s">
        <v>130</v>
      </c>
      <c r="F1097" t="s">
        <v>54</v>
      </c>
      <c r="G1097" t="s">
        <v>24</v>
      </c>
      <c r="H1097">
        <v>4</v>
      </c>
      <c r="I1097">
        <v>844</v>
      </c>
      <c r="J1097">
        <v>136.02000000000001</v>
      </c>
    </row>
    <row r="1098" spans="1:10" x14ac:dyDescent="0.25">
      <c r="A1098" s="1">
        <v>44977</v>
      </c>
      <c r="B1098" t="s">
        <v>10</v>
      </c>
      <c r="C1098" t="s">
        <v>11</v>
      </c>
      <c r="D1098" t="s">
        <v>12</v>
      </c>
      <c r="E1098" t="s">
        <v>37</v>
      </c>
      <c r="F1098" t="s">
        <v>34</v>
      </c>
      <c r="G1098" t="s">
        <v>35</v>
      </c>
      <c r="H1098">
        <v>2</v>
      </c>
      <c r="I1098">
        <v>2286</v>
      </c>
      <c r="J1098">
        <v>218.18</v>
      </c>
    </row>
    <row r="1099" spans="1:10" x14ac:dyDescent="0.25">
      <c r="A1099" s="1">
        <v>45272</v>
      </c>
      <c r="B1099" t="s">
        <v>25</v>
      </c>
      <c r="C1099" t="s">
        <v>19</v>
      </c>
      <c r="D1099" t="s">
        <v>12</v>
      </c>
      <c r="E1099" t="s">
        <v>68</v>
      </c>
      <c r="F1099" t="s">
        <v>63</v>
      </c>
      <c r="G1099" t="s">
        <v>28</v>
      </c>
      <c r="H1099">
        <v>2</v>
      </c>
      <c r="I1099">
        <v>1026</v>
      </c>
      <c r="J1099">
        <v>170.31</v>
      </c>
    </row>
    <row r="1100" spans="1:10" x14ac:dyDescent="0.25">
      <c r="A1100" s="1">
        <v>45203</v>
      </c>
      <c r="B1100" t="s">
        <v>55</v>
      </c>
      <c r="C1100" t="s">
        <v>19</v>
      </c>
      <c r="D1100" t="s">
        <v>12</v>
      </c>
      <c r="E1100" t="s">
        <v>147</v>
      </c>
      <c r="F1100" t="s">
        <v>42</v>
      </c>
      <c r="G1100" t="s">
        <v>28</v>
      </c>
      <c r="H1100">
        <v>6</v>
      </c>
      <c r="I1100">
        <v>6984</v>
      </c>
      <c r="J1100">
        <v>1433.65</v>
      </c>
    </row>
    <row r="1101" spans="1:10" x14ac:dyDescent="0.25">
      <c r="A1101" s="1">
        <v>44610</v>
      </c>
      <c r="B1101" t="s">
        <v>36</v>
      </c>
      <c r="C1101" t="s">
        <v>17</v>
      </c>
      <c r="D1101" t="s">
        <v>12</v>
      </c>
      <c r="E1101" t="s">
        <v>132</v>
      </c>
      <c r="F1101" t="s">
        <v>115</v>
      </c>
      <c r="G1101" t="s">
        <v>15</v>
      </c>
      <c r="H1101">
        <v>4</v>
      </c>
      <c r="I1101">
        <v>1672</v>
      </c>
      <c r="J1101">
        <v>432.35</v>
      </c>
    </row>
    <row r="1102" spans="1:10" x14ac:dyDescent="0.25">
      <c r="A1102" s="1">
        <v>44934</v>
      </c>
      <c r="B1102" t="s">
        <v>55</v>
      </c>
      <c r="C1102" t="s">
        <v>19</v>
      </c>
      <c r="D1102" t="s">
        <v>12</v>
      </c>
      <c r="E1102" t="s">
        <v>92</v>
      </c>
      <c r="F1102" t="s">
        <v>44</v>
      </c>
      <c r="G1102" t="s">
        <v>35</v>
      </c>
      <c r="H1102">
        <v>6</v>
      </c>
      <c r="I1102">
        <v>1092</v>
      </c>
      <c r="J1102">
        <v>63.98</v>
      </c>
    </row>
    <row r="1103" spans="1:10" x14ac:dyDescent="0.25">
      <c r="A1103" s="1">
        <v>45383</v>
      </c>
      <c r="B1103" t="s">
        <v>29</v>
      </c>
      <c r="C1103" t="s">
        <v>17</v>
      </c>
      <c r="D1103" t="s">
        <v>12</v>
      </c>
      <c r="E1103" t="s">
        <v>340</v>
      </c>
      <c r="F1103" t="s">
        <v>34</v>
      </c>
      <c r="G1103" t="s">
        <v>35</v>
      </c>
      <c r="H1103">
        <v>2</v>
      </c>
      <c r="I1103">
        <v>272</v>
      </c>
      <c r="J1103">
        <v>24.71</v>
      </c>
    </row>
    <row r="1104" spans="1:10" x14ac:dyDescent="0.25">
      <c r="A1104" s="1">
        <v>45242</v>
      </c>
      <c r="B1104" t="s">
        <v>29</v>
      </c>
      <c r="C1104" t="s">
        <v>17</v>
      </c>
      <c r="D1104" t="s">
        <v>12</v>
      </c>
      <c r="E1104" t="s">
        <v>118</v>
      </c>
      <c r="F1104" t="s">
        <v>42</v>
      </c>
      <c r="G1104" t="s">
        <v>28</v>
      </c>
      <c r="H1104">
        <v>2</v>
      </c>
      <c r="I1104">
        <v>1126</v>
      </c>
      <c r="J1104">
        <v>204.99</v>
      </c>
    </row>
    <row r="1105" spans="1:10" x14ac:dyDescent="0.25">
      <c r="A1105" s="1">
        <v>45221</v>
      </c>
      <c r="B1105" t="s">
        <v>16</v>
      </c>
      <c r="C1105" t="s">
        <v>17</v>
      </c>
      <c r="D1105" t="s">
        <v>12</v>
      </c>
      <c r="E1105" t="s">
        <v>37</v>
      </c>
      <c r="F1105" t="s">
        <v>34</v>
      </c>
      <c r="G1105" t="s">
        <v>35</v>
      </c>
      <c r="H1105">
        <v>7</v>
      </c>
      <c r="I1105">
        <v>8155</v>
      </c>
      <c r="J1105">
        <v>2177.38</v>
      </c>
    </row>
    <row r="1106" spans="1:10" x14ac:dyDescent="0.25">
      <c r="A1106" s="1">
        <v>45014</v>
      </c>
      <c r="B1106" t="s">
        <v>32</v>
      </c>
      <c r="C1106" t="s">
        <v>19</v>
      </c>
      <c r="D1106" t="s">
        <v>12</v>
      </c>
      <c r="E1106" t="s">
        <v>74</v>
      </c>
      <c r="F1106" t="s">
        <v>23</v>
      </c>
      <c r="G1106" t="s">
        <v>24</v>
      </c>
      <c r="H1106">
        <v>7</v>
      </c>
      <c r="I1106">
        <v>4298</v>
      </c>
      <c r="J1106">
        <v>358.38</v>
      </c>
    </row>
    <row r="1107" spans="1:10" x14ac:dyDescent="0.25">
      <c r="A1107" s="1">
        <v>44912</v>
      </c>
      <c r="B1107" t="s">
        <v>40</v>
      </c>
      <c r="C1107" t="s">
        <v>19</v>
      </c>
      <c r="D1107" t="s">
        <v>12</v>
      </c>
      <c r="E1107" t="s">
        <v>294</v>
      </c>
      <c r="F1107" t="s">
        <v>149</v>
      </c>
      <c r="G1107" t="s">
        <v>15</v>
      </c>
      <c r="H1107">
        <v>5</v>
      </c>
      <c r="I1107">
        <v>1365</v>
      </c>
      <c r="J1107">
        <v>310.66000000000003</v>
      </c>
    </row>
    <row r="1108" spans="1:10" x14ac:dyDescent="0.25">
      <c r="A1108" s="1">
        <v>45624</v>
      </c>
      <c r="B1108" t="s">
        <v>25</v>
      </c>
      <c r="C1108" t="s">
        <v>19</v>
      </c>
      <c r="D1108" t="s">
        <v>12</v>
      </c>
      <c r="E1108" t="s">
        <v>341</v>
      </c>
      <c r="F1108" t="s">
        <v>46</v>
      </c>
      <c r="G1108" t="s">
        <v>15</v>
      </c>
      <c r="H1108">
        <v>6</v>
      </c>
      <c r="I1108">
        <v>4116</v>
      </c>
      <c r="J1108">
        <v>381.35</v>
      </c>
    </row>
    <row r="1109" spans="1:10" x14ac:dyDescent="0.25">
      <c r="A1109" s="1">
        <v>44658</v>
      </c>
      <c r="B1109" t="s">
        <v>29</v>
      </c>
      <c r="C1109" t="s">
        <v>17</v>
      </c>
      <c r="D1109" t="s">
        <v>12</v>
      </c>
      <c r="E1109" t="s">
        <v>341</v>
      </c>
      <c r="F1109" t="s">
        <v>46</v>
      </c>
      <c r="G1109" t="s">
        <v>15</v>
      </c>
      <c r="H1109">
        <v>8</v>
      </c>
      <c r="I1109">
        <v>904</v>
      </c>
      <c r="J1109">
        <v>181.45</v>
      </c>
    </row>
    <row r="1110" spans="1:10" x14ac:dyDescent="0.25">
      <c r="A1110" s="1">
        <v>45631</v>
      </c>
      <c r="B1110" t="s">
        <v>32</v>
      </c>
      <c r="C1110" t="s">
        <v>19</v>
      </c>
      <c r="D1110" t="s">
        <v>12</v>
      </c>
      <c r="E1110" t="s">
        <v>341</v>
      </c>
      <c r="F1110" t="s">
        <v>46</v>
      </c>
      <c r="G1110" t="s">
        <v>15</v>
      </c>
      <c r="H1110">
        <v>1</v>
      </c>
      <c r="I1110">
        <v>70</v>
      </c>
      <c r="J1110">
        <v>10.64</v>
      </c>
    </row>
    <row r="1111" spans="1:10" x14ac:dyDescent="0.25">
      <c r="A1111" s="1">
        <v>45172</v>
      </c>
      <c r="B1111" t="s">
        <v>49</v>
      </c>
      <c r="C1111" t="s">
        <v>17</v>
      </c>
      <c r="D1111" t="s">
        <v>12</v>
      </c>
      <c r="E1111" t="s">
        <v>341</v>
      </c>
      <c r="F1111" t="s">
        <v>46</v>
      </c>
      <c r="G1111" t="s">
        <v>15</v>
      </c>
      <c r="H1111">
        <v>2</v>
      </c>
      <c r="I1111">
        <v>344</v>
      </c>
      <c r="J1111">
        <v>72.87</v>
      </c>
    </row>
    <row r="1112" spans="1:10" x14ac:dyDescent="0.25">
      <c r="A1112" s="1">
        <v>45157</v>
      </c>
      <c r="B1112" t="s">
        <v>10</v>
      </c>
      <c r="C1112" t="s">
        <v>11</v>
      </c>
      <c r="D1112" t="s">
        <v>12</v>
      </c>
      <c r="E1112" t="s">
        <v>243</v>
      </c>
      <c r="F1112" t="s">
        <v>23</v>
      </c>
      <c r="G1112" t="s">
        <v>24</v>
      </c>
      <c r="H1112">
        <v>1</v>
      </c>
      <c r="I1112">
        <v>330</v>
      </c>
      <c r="J1112">
        <v>78.52</v>
      </c>
    </row>
    <row r="1113" spans="1:10" x14ac:dyDescent="0.25">
      <c r="A1113" s="1">
        <v>45521</v>
      </c>
      <c r="B1113" t="s">
        <v>29</v>
      </c>
      <c r="C1113" t="s">
        <v>17</v>
      </c>
      <c r="D1113" t="s">
        <v>12</v>
      </c>
      <c r="E1113" t="s">
        <v>52</v>
      </c>
      <c r="F1113" t="s">
        <v>42</v>
      </c>
      <c r="G1113" t="s">
        <v>28</v>
      </c>
      <c r="H1113">
        <v>2</v>
      </c>
      <c r="I1113">
        <v>518</v>
      </c>
      <c r="J1113">
        <v>34.22</v>
      </c>
    </row>
    <row r="1114" spans="1:10" x14ac:dyDescent="0.25">
      <c r="A1114" s="1">
        <v>44791</v>
      </c>
      <c r="B1114" t="s">
        <v>16</v>
      </c>
      <c r="C1114" t="s">
        <v>17</v>
      </c>
      <c r="D1114" t="s">
        <v>12</v>
      </c>
      <c r="E1114" t="s">
        <v>62</v>
      </c>
      <c r="F1114" t="s">
        <v>59</v>
      </c>
      <c r="G1114" t="s">
        <v>28</v>
      </c>
      <c r="H1114">
        <v>9</v>
      </c>
      <c r="I1114">
        <v>2763</v>
      </c>
      <c r="J1114">
        <v>458.4</v>
      </c>
    </row>
    <row r="1115" spans="1:10" x14ac:dyDescent="0.25">
      <c r="A1115" s="1">
        <v>44646</v>
      </c>
      <c r="B1115" t="s">
        <v>32</v>
      </c>
      <c r="C1115" t="s">
        <v>19</v>
      </c>
      <c r="D1115" t="s">
        <v>12</v>
      </c>
      <c r="E1115" t="s">
        <v>22</v>
      </c>
      <c r="F1115" t="s">
        <v>23</v>
      </c>
      <c r="G1115" t="s">
        <v>24</v>
      </c>
      <c r="H1115">
        <v>2</v>
      </c>
      <c r="I1115">
        <v>2298</v>
      </c>
      <c r="J1115">
        <v>343.53</v>
      </c>
    </row>
    <row r="1116" spans="1:10" x14ac:dyDescent="0.25">
      <c r="A1116" s="1">
        <v>45567</v>
      </c>
      <c r="B1116" t="s">
        <v>36</v>
      </c>
      <c r="C1116" t="s">
        <v>17</v>
      </c>
      <c r="D1116" t="s">
        <v>12</v>
      </c>
      <c r="E1116" t="s">
        <v>229</v>
      </c>
      <c r="F1116" t="s">
        <v>149</v>
      </c>
      <c r="G1116" t="s">
        <v>15</v>
      </c>
      <c r="H1116">
        <v>1</v>
      </c>
      <c r="I1116">
        <v>436</v>
      </c>
      <c r="J1116">
        <v>73.89</v>
      </c>
    </row>
    <row r="1117" spans="1:10" x14ac:dyDescent="0.25">
      <c r="A1117" s="1">
        <v>44832</v>
      </c>
      <c r="B1117" t="s">
        <v>16</v>
      </c>
      <c r="C1117" t="s">
        <v>17</v>
      </c>
      <c r="D1117" t="s">
        <v>12</v>
      </c>
      <c r="E1117" t="s">
        <v>342</v>
      </c>
      <c r="F1117" t="s">
        <v>343</v>
      </c>
      <c r="G1117" t="s">
        <v>35</v>
      </c>
      <c r="H1117">
        <v>6</v>
      </c>
      <c r="I1117">
        <v>1824</v>
      </c>
      <c r="J1117">
        <v>213.47</v>
      </c>
    </row>
    <row r="1118" spans="1:10" x14ac:dyDescent="0.25">
      <c r="A1118" s="1">
        <v>45424</v>
      </c>
      <c r="B1118" t="s">
        <v>55</v>
      </c>
      <c r="C1118" t="s">
        <v>19</v>
      </c>
      <c r="D1118" t="s">
        <v>12</v>
      </c>
      <c r="E1118" t="s">
        <v>344</v>
      </c>
      <c r="F1118" t="s">
        <v>71</v>
      </c>
      <c r="G1118" t="s">
        <v>35</v>
      </c>
      <c r="H1118">
        <v>5</v>
      </c>
      <c r="I1118">
        <v>1540</v>
      </c>
      <c r="J1118">
        <v>411.83</v>
      </c>
    </row>
    <row r="1119" spans="1:10" x14ac:dyDescent="0.25">
      <c r="A1119" s="1">
        <v>44999</v>
      </c>
      <c r="B1119" t="s">
        <v>18</v>
      </c>
      <c r="C1119" t="s">
        <v>19</v>
      </c>
      <c r="D1119" t="s">
        <v>12</v>
      </c>
      <c r="E1119" t="s">
        <v>344</v>
      </c>
      <c r="F1119" t="s">
        <v>71</v>
      </c>
      <c r="G1119" t="s">
        <v>35</v>
      </c>
      <c r="H1119">
        <v>7</v>
      </c>
      <c r="I1119">
        <v>5572</v>
      </c>
      <c r="J1119">
        <v>385.82</v>
      </c>
    </row>
    <row r="1120" spans="1:10" x14ac:dyDescent="0.25">
      <c r="A1120" s="1">
        <v>45190</v>
      </c>
      <c r="B1120" t="s">
        <v>36</v>
      </c>
      <c r="C1120" t="s">
        <v>17</v>
      </c>
      <c r="D1120" t="s">
        <v>12</v>
      </c>
      <c r="E1120" t="s">
        <v>37</v>
      </c>
      <c r="F1120" t="s">
        <v>34</v>
      </c>
      <c r="G1120" t="s">
        <v>35</v>
      </c>
      <c r="H1120">
        <v>6</v>
      </c>
      <c r="I1120">
        <v>3030</v>
      </c>
      <c r="J1120">
        <v>335.71</v>
      </c>
    </row>
    <row r="1121" spans="1:10" x14ac:dyDescent="0.25">
      <c r="A1121" s="1">
        <v>45414</v>
      </c>
      <c r="B1121" t="s">
        <v>36</v>
      </c>
      <c r="C1121" t="s">
        <v>17</v>
      </c>
      <c r="D1121" t="s">
        <v>12</v>
      </c>
      <c r="E1121" t="s">
        <v>58</v>
      </c>
      <c r="F1121" t="s">
        <v>59</v>
      </c>
      <c r="G1121" t="s">
        <v>28</v>
      </c>
      <c r="H1121">
        <v>5</v>
      </c>
      <c r="I1121">
        <v>1245</v>
      </c>
      <c r="J1121">
        <v>345.84</v>
      </c>
    </row>
    <row r="1122" spans="1:10" x14ac:dyDescent="0.25">
      <c r="A1122" s="1">
        <v>44592</v>
      </c>
      <c r="B1122" t="s">
        <v>18</v>
      </c>
      <c r="C1122" t="s">
        <v>19</v>
      </c>
      <c r="D1122" t="s">
        <v>12</v>
      </c>
      <c r="E1122" t="s">
        <v>74</v>
      </c>
      <c r="F1122" t="s">
        <v>23</v>
      </c>
      <c r="G1122" t="s">
        <v>24</v>
      </c>
      <c r="H1122">
        <v>4</v>
      </c>
      <c r="I1122">
        <v>1252</v>
      </c>
      <c r="J1122">
        <v>326.69</v>
      </c>
    </row>
    <row r="1123" spans="1:10" x14ac:dyDescent="0.25">
      <c r="A1123" s="1">
        <v>45447</v>
      </c>
      <c r="B1123" t="s">
        <v>25</v>
      </c>
      <c r="C1123" t="s">
        <v>19</v>
      </c>
      <c r="D1123" t="s">
        <v>12</v>
      </c>
      <c r="E1123" t="s">
        <v>22</v>
      </c>
      <c r="F1123" t="s">
        <v>23</v>
      </c>
      <c r="G1123" t="s">
        <v>24</v>
      </c>
      <c r="H1123">
        <v>9</v>
      </c>
      <c r="I1123">
        <v>4959</v>
      </c>
      <c r="J1123">
        <v>479.28</v>
      </c>
    </row>
    <row r="1124" spans="1:10" x14ac:dyDescent="0.25">
      <c r="A1124" s="1">
        <v>44973</v>
      </c>
      <c r="B1124" t="s">
        <v>36</v>
      </c>
      <c r="C1124" t="s">
        <v>17</v>
      </c>
      <c r="D1124" t="s">
        <v>12</v>
      </c>
      <c r="E1124" t="s">
        <v>22</v>
      </c>
      <c r="F1124" t="s">
        <v>23</v>
      </c>
      <c r="G1124" t="s">
        <v>24</v>
      </c>
      <c r="H1124">
        <v>7</v>
      </c>
      <c r="I1124">
        <v>8162</v>
      </c>
      <c r="J1124">
        <v>443.81</v>
      </c>
    </row>
    <row r="1125" spans="1:10" x14ac:dyDescent="0.25">
      <c r="A1125" s="1">
        <v>45072</v>
      </c>
      <c r="B1125" t="s">
        <v>36</v>
      </c>
      <c r="C1125" t="s">
        <v>17</v>
      </c>
      <c r="D1125" t="s">
        <v>12</v>
      </c>
      <c r="E1125" t="s">
        <v>22</v>
      </c>
      <c r="F1125" t="s">
        <v>23</v>
      </c>
      <c r="G1125" t="s">
        <v>24</v>
      </c>
      <c r="H1125">
        <v>5</v>
      </c>
      <c r="I1125">
        <v>1370</v>
      </c>
      <c r="J1125">
        <v>253.92</v>
      </c>
    </row>
    <row r="1126" spans="1:10" x14ac:dyDescent="0.25">
      <c r="A1126" s="1">
        <v>45288</v>
      </c>
      <c r="B1126" t="s">
        <v>18</v>
      </c>
      <c r="C1126" t="s">
        <v>19</v>
      </c>
      <c r="D1126" t="s">
        <v>12</v>
      </c>
      <c r="E1126" t="s">
        <v>120</v>
      </c>
      <c r="F1126" t="s">
        <v>21</v>
      </c>
      <c r="G1126" t="s">
        <v>15</v>
      </c>
      <c r="H1126">
        <v>3</v>
      </c>
      <c r="I1126">
        <v>3111</v>
      </c>
      <c r="J1126">
        <v>607.23</v>
      </c>
    </row>
    <row r="1127" spans="1:10" x14ac:dyDescent="0.25">
      <c r="A1127" s="1">
        <v>44844</v>
      </c>
      <c r="B1127" t="s">
        <v>16</v>
      </c>
      <c r="C1127" t="s">
        <v>17</v>
      </c>
      <c r="D1127" t="s">
        <v>12</v>
      </c>
      <c r="E1127" t="s">
        <v>345</v>
      </c>
      <c r="F1127" t="s">
        <v>21</v>
      </c>
      <c r="G1127" t="s">
        <v>15</v>
      </c>
      <c r="H1127">
        <v>7</v>
      </c>
      <c r="I1127">
        <v>7805</v>
      </c>
      <c r="J1127">
        <v>1078.03</v>
      </c>
    </row>
    <row r="1128" spans="1:10" x14ac:dyDescent="0.25">
      <c r="A1128" s="1">
        <v>45403</v>
      </c>
      <c r="B1128" t="s">
        <v>40</v>
      </c>
      <c r="C1128" t="s">
        <v>19</v>
      </c>
      <c r="D1128" t="s">
        <v>12</v>
      </c>
      <c r="E1128" t="s">
        <v>345</v>
      </c>
      <c r="F1128" t="s">
        <v>21</v>
      </c>
      <c r="G1128" t="s">
        <v>15</v>
      </c>
      <c r="H1128">
        <v>9</v>
      </c>
      <c r="I1128">
        <v>10314</v>
      </c>
      <c r="J1128">
        <v>2729.6</v>
      </c>
    </row>
    <row r="1129" spans="1:10" x14ac:dyDescent="0.25">
      <c r="A1129" s="1">
        <v>45198</v>
      </c>
      <c r="B1129" t="s">
        <v>49</v>
      </c>
      <c r="C1129" t="s">
        <v>17</v>
      </c>
      <c r="D1129" t="s">
        <v>12</v>
      </c>
      <c r="E1129" t="s">
        <v>346</v>
      </c>
      <c r="F1129" t="s">
        <v>343</v>
      </c>
      <c r="G1129" t="s">
        <v>35</v>
      </c>
      <c r="H1129">
        <v>9</v>
      </c>
      <c r="I1129">
        <v>10782</v>
      </c>
      <c r="J1129">
        <v>2730.14</v>
      </c>
    </row>
    <row r="1130" spans="1:10" x14ac:dyDescent="0.25">
      <c r="A1130" s="1">
        <v>45587</v>
      </c>
      <c r="B1130" t="s">
        <v>36</v>
      </c>
      <c r="C1130" t="s">
        <v>17</v>
      </c>
      <c r="D1130" t="s">
        <v>12</v>
      </c>
      <c r="E1130" t="s">
        <v>127</v>
      </c>
      <c r="F1130" t="s">
        <v>57</v>
      </c>
      <c r="G1130" t="s">
        <v>24</v>
      </c>
      <c r="H1130">
        <v>5</v>
      </c>
      <c r="I1130">
        <v>4375</v>
      </c>
      <c r="J1130">
        <v>987.96</v>
      </c>
    </row>
    <row r="1131" spans="1:10" x14ac:dyDescent="0.25">
      <c r="A1131" s="1">
        <v>45138</v>
      </c>
      <c r="B1131" t="s">
        <v>36</v>
      </c>
      <c r="C1131" t="s">
        <v>17</v>
      </c>
      <c r="D1131" t="s">
        <v>12</v>
      </c>
      <c r="E1131" t="s">
        <v>74</v>
      </c>
      <c r="F1131" t="s">
        <v>23</v>
      </c>
      <c r="G1131" t="s">
        <v>24</v>
      </c>
      <c r="H1131">
        <v>5</v>
      </c>
      <c r="I1131">
        <v>2265</v>
      </c>
      <c r="J1131">
        <v>595.04999999999995</v>
      </c>
    </row>
    <row r="1132" spans="1:10" x14ac:dyDescent="0.25">
      <c r="A1132" s="1">
        <v>44666</v>
      </c>
      <c r="B1132" t="s">
        <v>55</v>
      </c>
      <c r="C1132" t="s">
        <v>19</v>
      </c>
      <c r="D1132" t="s">
        <v>12</v>
      </c>
      <c r="E1132" t="s">
        <v>22</v>
      </c>
      <c r="F1132" t="s">
        <v>23</v>
      </c>
      <c r="G1132" t="s">
        <v>24</v>
      </c>
      <c r="H1132">
        <v>1</v>
      </c>
      <c r="I1132">
        <v>166</v>
      </c>
      <c r="J1132">
        <v>9.69</v>
      </c>
    </row>
    <row r="1133" spans="1:10" x14ac:dyDescent="0.25">
      <c r="A1133" s="1">
        <v>45406</v>
      </c>
      <c r="B1133" t="s">
        <v>29</v>
      </c>
      <c r="C1133" t="s">
        <v>17</v>
      </c>
      <c r="D1133" t="s">
        <v>12</v>
      </c>
      <c r="E1133" t="s">
        <v>232</v>
      </c>
      <c r="F1133" t="s">
        <v>94</v>
      </c>
      <c r="G1133" t="s">
        <v>24</v>
      </c>
      <c r="H1133">
        <v>7</v>
      </c>
      <c r="I1133">
        <v>7217</v>
      </c>
      <c r="J1133">
        <v>1481.7</v>
      </c>
    </row>
    <row r="1134" spans="1:10" x14ac:dyDescent="0.25">
      <c r="A1134" s="1">
        <v>44577</v>
      </c>
      <c r="B1134" t="s">
        <v>18</v>
      </c>
      <c r="C1134" t="s">
        <v>19</v>
      </c>
      <c r="D1134" t="s">
        <v>12</v>
      </c>
      <c r="E1134" t="s">
        <v>74</v>
      </c>
      <c r="F1134" t="s">
        <v>23</v>
      </c>
      <c r="G1134" t="s">
        <v>24</v>
      </c>
      <c r="H1134">
        <v>3</v>
      </c>
      <c r="I1134">
        <v>1767</v>
      </c>
      <c r="J1134">
        <v>186.54</v>
      </c>
    </row>
    <row r="1135" spans="1:10" x14ac:dyDescent="0.25">
      <c r="A1135" s="1">
        <v>45266</v>
      </c>
      <c r="B1135" t="s">
        <v>55</v>
      </c>
      <c r="C1135" t="s">
        <v>19</v>
      </c>
      <c r="D1135" t="s">
        <v>12</v>
      </c>
      <c r="E1135" t="s">
        <v>105</v>
      </c>
      <c r="F1135" t="s">
        <v>23</v>
      </c>
      <c r="G1135" t="s">
        <v>24</v>
      </c>
      <c r="H1135">
        <v>3</v>
      </c>
      <c r="I1135">
        <v>2883</v>
      </c>
      <c r="J1135">
        <v>557.80999999999995</v>
      </c>
    </row>
    <row r="1136" spans="1:10" x14ac:dyDescent="0.25">
      <c r="A1136" s="1">
        <v>45539</v>
      </c>
      <c r="B1136" t="s">
        <v>32</v>
      </c>
      <c r="C1136" t="s">
        <v>19</v>
      </c>
      <c r="D1136" t="s">
        <v>12</v>
      </c>
      <c r="E1136" t="s">
        <v>98</v>
      </c>
      <c r="F1136" t="s">
        <v>54</v>
      </c>
      <c r="G1136" t="s">
        <v>24</v>
      </c>
      <c r="H1136">
        <v>3</v>
      </c>
      <c r="I1136">
        <v>1338</v>
      </c>
      <c r="J1136">
        <v>396.08</v>
      </c>
    </row>
    <row r="1137" spans="1:10" x14ac:dyDescent="0.25">
      <c r="A1137" s="1">
        <v>45528</v>
      </c>
      <c r="B1137" t="s">
        <v>10</v>
      </c>
      <c r="C1137" t="s">
        <v>11</v>
      </c>
      <c r="D1137" t="s">
        <v>12</v>
      </c>
      <c r="E1137" t="s">
        <v>98</v>
      </c>
      <c r="F1137" t="s">
        <v>54</v>
      </c>
      <c r="G1137" t="s">
        <v>24</v>
      </c>
      <c r="H1137">
        <v>9</v>
      </c>
      <c r="I1137">
        <v>9459</v>
      </c>
      <c r="J1137">
        <v>604.05999999999995</v>
      </c>
    </row>
    <row r="1138" spans="1:10" x14ac:dyDescent="0.25">
      <c r="A1138" s="1">
        <v>44722</v>
      </c>
      <c r="B1138" t="s">
        <v>10</v>
      </c>
      <c r="C1138" t="s">
        <v>11</v>
      </c>
      <c r="D1138" t="s">
        <v>12</v>
      </c>
      <c r="E1138" t="s">
        <v>146</v>
      </c>
      <c r="F1138" t="s">
        <v>21</v>
      </c>
      <c r="G1138" t="s">
        <v>15</v>
      </c>
      <c r="H1138">
        <v>3</v>
      </c>
      <c r="I1138">
        <v>168</v>
      </c>
      <c r="J1138">
        <v>45.31</v>
      </c>
    </row>
    <row r="1139" spans="1:10" x14ac:dyDescent="0.25">
      <c r="A1139" s="1">
        <v>44837</v>
      </c>
      <c r="B1139" t="s">
        <v>40</v>
      </c>
      <c r="C1139" t="s">
        <v>19</v>
      </c>
      <c r="D1139" t="s">
        <v>12</v>
      </c>
      <c r="E1139" t="s">
        <v>103</v>
      </c>
      <c r="F1139" t="s">
        <v>21</v>
      </c>
      <c r="G1139" t="s">
        <v>15</v>
      </c>
      <c r="H1139">
        <v>9</v>
      </c>
      <c r="I1139">
        <v>4536</v>
      </c>
      <c r="J1139">
        <v>479.78</v>
      </c>
    </row>
    <row r="1140" spans="1:10" x14ac:dyDescent="0.25">
      <c r="A1140" s="1">
        <v>44617</v>
      </c>
      <c r="B1140" t="s">
        <v>16</v>
      </c>
      <c r="C1140" t="s">
        <v>17</v>
      </c>
      <c r="D1140" t="s">
        <v>12</v>
      </c>
      <c r="E1140" t="s">
        <v>74</v>
      </c>
      <c r="F1140" t="s">
        <v>23</v>
      </c>
      <c r="G1140" t="s">
        <v>24</v>
      </c>
      <c r="H1140">
        <v>4</v>
      </c>
      <c r="I1140">
        <v>4404</v>
      </c>
      <c r="J1140">
        <v>793.7</v>
      </c>
    </row>
    <row r="1141" spans="1:10" x14ac:dyDescent="0.25">
      <c r="A1141" s="1">
        <v>45156</v>
      </c>
      <c r="B1141" t="s">
        <v>36</v>
      </c>
      <c r="C1141" t="s">
        <v>17</v>
      </c>
      <c r="D1141" t="s">
        <v>12</v>
      </c>
      <c r="E1141" t="s">
        <v>52</v>
      </c>
      <c r="F1141" t="s">
        <v>42</v>
      </c>
      <c r="G1141" t="s">
        <v>28</v>
      </c>
      <c r="H1141">
        <v>4</v>
      </c>
      <c r="I1141">
        <v>1952</v>
      </c>
      <c r="J1141">
        <v>148.66999999999999</v>
      </c>
    </row>
    <row r="1142" spans="1:10" x14ac:dyDescent="0.25">
      <c r="A1142" s="1">
        <v>44918</v>
      </c>
      <c r="B1142" t="s">
        <v>16</v>
      </c>
      <c r="C1142" t="s">
        <v>17</v>
      </c>
      <c r="D1142" t="s">
        <v>12</v>
      </c>
      <c r="E1142" t="s">
        <v>26</v>
      </c>
      <c r="F1142" t="s">
        <v>27</v>
      </c>
      <c r="G1142" t="s">
        <v>28</v>
      </c>
      <c r="H1142">
        <v>3</v>
      </c>
      <c r="I1142">
        <v>2004</v>
      </c>
      <c r="J1142">
        <v>467.76</v>
      </c>
    </row>
    <row r="1143" spans="1:10" x14ac:dyDescent="0.25">
      <c r="A1143" s="1">
        <v>44742</v>
      </c>
      <c r="B1143" t="s">
        <v>49</v>
      </c>
      <c r="C1143" t="s">
        <v>17</v>
      </c>
      <c r="D1143" t="s">
        <v>12</v>
      </c>
      <c r="E1143" t="s">
        <v>74</v>
      </c>
      <c r="F1143" t="s">
        <v>23</v>
      </c>
      <c r="G1143" t="s">
        <v>24</v>
      </c>
      <c r="H1143">
        <v>4</v>
      </c>
      <c r="I1143">
        <v>468</v>
      </c>
      <c r="J1143">
        <v>131.47999999999999</v>
      </c>
    </row>
    <row r="1144" spans="1:10" x14ac:dyDescent="0.25">
      <c r="A1144" s="1">
        <v>45606</v>
      </c>
      <c r="B1144" t="s">
        <v>40</v>
      </c>
      <c r="C1144" t="s">
        <v>19</v>
      </c>
      <c r="D1144" t="s">
        <v>12</v>
      </c>
      <c r="E1144" t="s">
        <v>26</v>
      </c>
      <c r="F1144" t="s">
        <v>27</v>
      </c>
      <c r="G1144" t="s">
        <v>28</v>
      </c>
      <c r="H1144">
        <v>9</v>
      </c>
      <c r="I1144">
        <v>8667</v>
      </c>
      <c r="J1144">
        <v>1597.49</v>
      </c>
    </row>
    <row r="1145" spans="1:10" x14ac:dyDescent="0.25">
      <c r="A1145" s="1">
        <v>45346</v>
      </c>
      <c r="B1145" t="s">
        <v>10</v>
      </c>
      <c r="C1145" t="s">
        <v>11</v>
      </c>
      <c r="D1145" t="s">
        <v>12</v>
      </c>
      <c r="E1145" t="s">
        <v>26</v>
      </c>
      <c r="F1145" t="s">
        <v>27</v>
      </c>
      <c r="G1145" t="s">
        <v>28</v>
      </c>
      <c r="H1145">
        <v>7</v>
      </c>
      <c r="I1145">
        <v>6097</v>
      </c>
      <c r="J1145">
        <v>567.32000000000005</v>
      </c>
    </row>
    <row r="1146" spans="1:10" x14ac:dyDescent="0.25">
      <c r="A1146" s="1">
        <v>44662</v>
      </c>
      <c r="B1146" t="s">
        <v>29</v>
      </c>
      <c r="C1146" t="s">
        <v>17</v>
      </c>
      <c r="D1146" t="s">
        <v>12</v>
      </c>
      <c r="E1146" t="s">
        <v>43</v>
      </c>
      <c r="F1146" t="s">
        <v>44</v>
      </c>
      <c r="G1146" t="s">
        <v>35</v>
      </c>
      <c r="H1146">
        <v>9</v>
      </c>
      <c r="I1146">
        <v>4752</v>
      </c>
      <c r="J1146">
        <v>1415.65</v>
      </c>
    </row>
    <row r="1147" spans="1:10" x14ac:dyDescent="0.25">
      <c r="A1147" s="1">
        <v>45056</v>
      </c>
      <c r="B1147" t="s">
        <v>49</v>
      </c>
      <c r="C1147" t="s">
        <v>17</v>
      </c>
      <c r="D1147" t="s">
        <v>12</v>
      </c>
      <c r="E1147" t="s">
        <v>164</v>
      </c>
      <c r="F1147" t="s">
        <v>94</v>
      </c>
      <c r="G1147" t="s">
        <v>24</v>
      </c>
      <c r="H1147">
        <v>1</v>
      </c>
      <c r="I1147">
        <v>1172</v>
      </c>
      <c r="J1147">
        <v>124.9</v>
      </c>
    </row>
    <row r="1148" spans="1:10" x14ac:dyDescent="0.25">
      <c r="A1148" s="1">
        <v>44701</v>
      </c>
      <c r="B1148" t="s">
        <v>49</v>
      </c>
      <c r="C1148" t="s">
        <v>17</v>
      </c>
      <c r="D1148" t="s">
        <v>12</v>
      </c>
      <c r="E1148" t="s">
        <v>347</v>
      </c>
      <c r="F1148" t="s">
        <v>31</v>
      </c>
      <c r="G1148" t="s">
        <v>24</v>
      </c>
      <c r="H1148">
        <v>2</v>
      </c>
      <c r="I1148">
        <v>1608</v>
      </c>
      <c r="J1148">
        <v>170.29</v>
      </c>
    </row>
    <row r="1149" spans="1:10" x14ac:dyDescent="0.25">
      <c r="A1149" s="1">
        <v>45067</v>
      </c>
      <c r="B1149" t="s">
        <v>10</v>
      </c>
      <c r="C1149" t="s">
        <v>11</v>
      </c>
      <c r="D1149" t="s">
        <v>12</v>
      </c>
      <c r="E1149" t="s">
        <v>37</v>
      </c>
      <c r="F1149" t="s">
        <v>34</v>
      </c>
      <c r="G1149" t="s">
        <v>35</v>
      </c>
      <c r="H1149">
        <v>7</v>
      </c>
      <c r="I1149">
        <v>7595</v>
      </c>
      <c r="J1149">
        <v>969.07</v>
      </c>
    </row>
    <row r="1150" spans="1:10" x14ac:dyDescent="0.25">
      <c r="A1150" s="1">
        <v>45490</v>
      </c>
      <c r="B1150" t="s">
        <v>32</v>
      </c>
      <c r="C1150" t="s">
        <v>19</v>
      </c>
      <c r="D1150" t="s">
        <v>12</v>
      </c>
      <c r="E1150" t="s">
        <v>197</v>
      </c>
      <c r="F1150" t="s">
        <v>168</v>
      </c>
      <c r="G1150" t="s">
        <v>15</v>
      </c>
      <c r="H1150">
        <v>1</v>
      </c>
      <c r="I1150">
        <v>1142</v>
      </c>
      <c r="J1150">
        <v>306.83999999999997</v>
      </c>
    </row>
    <row r="1151" spans="1:10" x14ac:dyDescent="0.25">
      <c r="A1151" s="1">
        <v>45614</v>
      </c>
      <c r="B1151" t="s">
        <v>49</v>
      </c>
      <c r="C1151" t="s">
        <v>17</v>
      </c>
      <c r="D1151" t="s">
        <v>12</v>
      </c>
      <c r="E1151" t="s">
        <v>87</v>
      </c>
      <c r="F1151" t="s">
        <v>88</v>
      </c>
      <c r="G1151" t="s">
        <v>15</v>
      </c>
      <c r="H1151">
        <v>2</v>
      </c>
      <c r="I1151">
        <v>116</v>
      </c>
      <c r="J1151">
        <v>13.67</v>
      </c>
    </row>
    <row r="1152" spans="1:10" x14ac:dyDescent="0.25">
      <c r="A1152" s="1">
        <v>44718</v>
      </c>
      <c r="B1152" t="s">
        <v>40</v>
      </c>
      <c r="C1152" t="s">
        <v>19</v>
      </c>
      <c r="D1152" t="s">
        <v>12</v>
      </c>
      <c r="E1152" t="s">
        <v>43</v>
      </c>
      <c r="F1152" t="s">
        <v>44</v>
      </c>
      <c r="G1152" t="s">
        <v>35</v>
      </c>
      <c r="H1152">
        <v>9</v>
      </c>
      <c r="I1152">
        <v>3951</v>
      </c>
      <c r="J1152">
        <v>908.13</v>
      </c>
    </row>
    <row r="1153" spans="1:10" x14ac:dyDescent="0.25">
      <c r="A1153" s="1">
        <v>45281</v>
      </c>
      <c r="B1153" t="s">
        <v>49</v>
      </c>
      <c r="C1153" t="s">
        <v>17</v>
      </c>
      <c r="D1153" t="s">
        <v>12</v>
      </c>
      <c r="E1153" t="s">
        <v>162</v>
      </c>
      <c r="F1153" t="s">
        <v>23</v>
      </c>
      <c r="G1153" t="s">
        <v>24</v>
      </c>
      <c r="H1153">
        <v>2</v>
      </c>
      <c r="I1153">
        <v>1606</v>
      </c>
      <c r="J1153">
        <v>138.96</v>
      </c>
    </row>
    <row r="1154" spans="1:10" x14ac:dyDescent="0.25">
      <c r="A1154" s="1">
        <v>44881</v>
      </c>
      <c r="B1154" t="s">
        <v>29</v>
      </c>
      <c r="C1154" t="s">
        <v>17</v>
      </c>
      <c r="D1154" t="s">
        <v>12</v>
      </c>
      <c r="E1154" t="s">
        <v>22</v>
      </c>
      <c r="F1154" t="s">
        <v>23</v>
      </c>
      <c r="G1154" t="s">
        <v>24</v>
      </c>
      <c r="H1154">
        <v>3</v>
      </c>
      <c r="I1154">
        <v>2025</v>
      </c>
      <c r="J1154">
        <v>403</v>
      </c>
    </row>
    <row r="1155" spans="1:10" x14ac:dyDescent="0.25">
      <c r="A1155" s="1">
        <v>45131</v>
      </c>
      <c r="B1155" t="s">
        <v>32</v>
      </c>
      <c r="C1155" t="s">
        <v>19</v>
      </c>
      <c r="D1155" t="s">
        <v>12</v>
      </c>
      <c r="E1155" t="s">
        <v>288</v>
      </c>
      <c r="F1155" t="s">
        <v>156</v>
      </c>
      <c r="G1155" t="s">
        <v>28</v>
      </c>
      <c r="H1155">
        <v>2</v>
      </c>
      <c r="I1155">
        <v>2006</v>
      </c>
      <c r="J1155">
        <v>235.52</v>
      </c>
    </row>
    <row r="1156" spans="1:10" x14ac:dyDescent="0.25">
      <c r="A1156" s="1">
        <v>45448</v>
      </c>
      <c r="B1156" t="s">
        <v>25</v>
      </c>
      <c r="C1156" t="s">
        <v>19</v>
      </c>
      <c r="D1156" t="s">
        <v>12</v>
      </c>
      <c r="E1156" t="s">
        <v>105</v>
      </c>
      <c r="F1156" t="s">
        <v>23</v>
      </c>
      <c r="G1156" t="s">
        <v>24</v>
      </c>
      <c r="H1156">
        <v>9</v>
      </c>
      <c r="I1156">
        <v>9423</v>
      </c>
      <c r="J1156">
        <v>652.05999999999995</v>
      </c>
    </row>
    <row r="1157" spans="1:10" x14ac:dyDescent="0.25">
      <c r="A1157" s="1">
        <v>44797</v>
      </c>
      <c r="B1157" t="s">
        <v>55</v>
      </c>
      <c r="C1157" t="s">
        <v>19</v>
      </c>
      <c r="D1157" t="s">
        <v>12</v>
      </c>
      <c r="E1157" t="s">
        <v>243</v>
      </c>
      <c r="F1157" t="s">
        <v>78</v>
      </c>
      <c r="G1157" t="s">
        <v>28</v>
      </c>
      <c r="H1157">
        <v>4</v>
      </c>
      <c r="I1157">
        <v>2276</v>
      </c>
      <c r="J1157">
        <v>399.94</v>
      </c>
    </row>
    <row r="1158" spans="1:10" x14ac:dyDescent="0.25">
      <c r="A1158" s="1">
        <v>44795</v>
      </c>
      <c r="B1158" t="s">
        <v>36</v>
      </c>
      <c r="C1158" t="s">
        <v>17</v>
      </c>
      <c r="D1158" t="s">
        <v>12</v>
      </c>
      <c r="E1158" t="s">
        <v>294</v>
      </c>
      <c r="F1158" t="s">
        <v>149</v>
      </c>
      <c r="G1158" t="s">
        <v>15</v>
      </c>
      <c r="H1158">
        <v>5</v>
      </c>
      <c r="I1158">
        <v>4880</v>
      </c>
      <c r="J1158">
        <v>664.06</v>
      </c>
    </row>
    <row r="1159" spans="1:10" x14ac:dyDescent="0.25">
      <c r="A1159" s="1">
        <v>45614</v>
      </c>
      <c r="B1159" t="s">
        <v>55</v>
      </c>
      <c r="C1159" t="s">
        <v>19</v>
      </c>
      <c r="D1159" t="s">
        <v>12</v>
      </c>
      <c r="E1159" t="s">
        <v>294</v>
      </c>
      <c r="F1159" t="s">
        <v>149</v>
      </c>
      <c r="G1159" t="s">
        <v>15</v>
      </c>
      <c r="H1159">
        <v>3</v>
      </c>
      <c r="I1159">
        <v>1773</v>
      </c>
      <c r="J1159">
        <v>183.15</v>
      </c>
    </row>
    <row r="1160" spans="1:10" x14ac:dyDescent="0.25">
      <c r="A1160" s="1">
        <v>44947</v>
      </c>
      <c r="B1160" t="s">
        <v>32</v>
      </c>
      <c r="C1160" t="s">
        <v>19</v>
      </c>
      <c r="D1160" t="s">
        <v>12</v>
      </c>
      <c r="E1160" t="s">
        <v>45</v>
      </c>
      <c r="F1160" t="s">
        <v>46</v>
      </c>
      <c r="G1160" t="s">
        <v>15</v>
      </c>
      <c r="H1160">
        <v>9</v>
      </c>
      <c r="I1160">
        <v>2718</v>
      </c>
      <c r="J1160">
        <v>195.97</v>
      </c>
    </row>
    <row r="1161" spans="1:10" x14ac:dyDescent="0.25">
      <c r="A1161" s="1">
        <v>44872</v>
      </c>
      <c r="B1161" t="s">
        <v>29</v>
      </c>
      <c r="C1161" t="s">
        <v>17</v>
      </c>
      <c r="D1161" t="s">
        <v>12</v>
      </c>
      <c r="E1161" t="s">
        <v>348</v>
      </c>
      <c r="F1161" t="s">
        <v>65</v>
      </c>
      <c r="G1161" t="s">
        <v>35</v>
      </c>
      <c r="H1161">
        <v>4</v>
      </c>
      <c r="I1161">
        <v>3168</v>
      </c>
      <c r="J1161">
        <v>939.45</v>
      </c>
    </row>
    <row r="1162" spans="1:10" x14ac:dyDescent="0.25">
      <c r="A1162" s="1">
        <v>44592</v>
      </c>
      <c r="B1162" t="s">
        <v>25</v>
      </c>
      <c r="C1162" t="s">
        <v>19</v>
      </c>
      <c r="D1162" t="s">
        <v>12</v>
      </c>
      <c r="E1162" t="s">
        <v>348</v>
      </c>
      <c r="F1162" t="s">
        <v>65</v>
      </c>
      <c r="G1162" t="s">
        <v>35</v>
      </c>
      <c r="H1162">
        <v>2</v>
      </c>
      <c r="I1162">
        <v>1716</v>
      </c>
      <c r="J1162">
        <v>368.06</v>
      </c>
    </row>
    <row r="1163" spans="1:10" x14ac:dyDescent="0.25">
      <c r="A1163" s="1">
        <v>45329</v>
      </c>
      <c r="B1163" t="s">
        <v>40</v>
      </c>
      <c r="C1163" t="s">
        <v>19</v>
      </c>
      <c r="D1163" t="s">
        <v>12</v>
      </c>
      <c r="E1163" t="s">
        <v>56</v>
      </c>
      <c r="F1163" t="s">
        <v>57</v>
      </c>
      <c r="G1163" t="s">
        <v>24</v>
      </c>
      <c r="H1163">
        <v>2</v>
      </c>
      <c r="I1163">
        <v>214</v>
      </c>
      <c r="J1163">
        <v>14.08</v>
      </c>
    </row>
    <row r="1164" spans="1:10" x14ac:dyDescent="0.25">
      <c r="A1164" s="1">
        <v>45447</v>
      </c>
      <c r="B1164" t="s">
        <v>25</v>
      </c>
      <c r="C1164" t="s">
        <v>19</v>
      </c>
      <c r="D1164" t="s">
        <v>12</v>
      </c>
      <c r="E1164" t="s">
        <v>56</v>
      </c>
      <c r="F1164" t="s">
        <v>57</v>
      </c>
      <c r="G1164" t="s">
        <v>24</v>
      </c>
      <c r="H1164">
        <v>2</v>
      </c>
      <c r="I1164">
        <v>2092</v>
      </c>
      <c r="J1164">
        <v>366.12</v>
      </c>
    </row>
    <row r="1165" spans="1:10" x14ac:dyDescent="0.25">
      <c r="A1165" s="1">
        <v>45372</v>
      </c>
      <c r="B1165" t="s">
        <v>29</v>
      </c>
      <c r="C1165" t="s">
        <v>17</v>
      </c>
      <c r="D1165" t="s">
        <v>12</v>
      </c>
      <c r="E1165" t="s">
        <v>146</v>
      </c>
      <c r="F1165" t="s">
        <v>21</v>
      </c>
      <c r="G1165" t="s">
        <v>15</v>
      </c>
      <c r="H1165">
        <v>3</v>
      </c>
      <c r="I1165">
        <v>225</v>
      </c>
      <c r="J1165">
        <v>46.96</v>
      </c>
    </row>
    <row r="1166" spans="1:10" x14ac:dyDescent="0.25">
      <c r="A1166" s="1">
        <v>45011</v>
      </c>
      <c r="B1166" t="s">
        <v>32</v>
      </c>
      <c r="C1166" t="s">
        <v>19</v>
      </c>
      <c r="D1166" t="s">
        <v>12</v>
      </c>
      <c r="E1166" t="s">
        <v>26</v>
      </c>
      <c r="F1166" t="s">
        <v>27</v>
      </c>
      <c r="G1166" t="s">
        <v>28</v>
      </c>
      <c r="H1166">
        <v>1</v>
      </c>
      <c r="I1166">
        <v>859</v>
      </c>
      <c r="J1166">
        <v>217.67</v>
      </c>
    </row>
    <row r="1167" spans="1:10" x14ac:dyDescent="0.25">
      <c r="A1167" s="1">
        <v>44661</v>
      </c>
      <c r="B1167" t="s">
        <v>10</v>
      </c>
      <c r="C1167" t="s">
        <v>11</v>
      </c>
      <c r="D1167" t="s">
        <v>12</v>
      </c>
      <c r="E1167" t="s">
        <v>249</v>
      </c>
      <c r="F1167" t="s">
        <v>115</v>
      </c>
      <c r="G1167" t="s">
        <v>15</v>
      </c>
      <c r="H1167">
        <v>2</v>
      </c>
      <c r="I1167">
        <v>2070</v>
      </c>
      <c r="J1167">
        <v>183.41</v>
      </c>
    </row>
    <row r="1168" spans="1:10" x14ac:dyDescent="0.25">
      <c r="A1168" s="1">
        <v>45453</v>
      </c>
      <c r="B1168" t="s">
        <v>49</v>
      </c>
      <c r="C1168" t="s">
        <v>17</v>
      </c>
      <c r="D1168" t="s">
        <v>12</v>
      </c>
      <c r="E1168" t="s">
        <v>106</v>
      </c>
      <c r="F1168" t="s">
        <v>71</v>
      </c>
      <c r="G1168" t="s">
        <v>35</v>
      </c>
      <c r="H1168">
        <v>6</v>
      </c>
      <c r="I1168">
        <v>3240</v>
      </c>
      <c r="J1168">
        <v>758.19</v>
      </c>
    </row>
    <row r="1169" spans="1:10" x14ac:dyDescent="0.25">
      <c r="A1169" s="1">
        <v>44842</v>
      </c>
      <c r="B1169" t="s">
        <v>18</v>
      </c>
      <c r="C1169" t="s">
        <v>19</v>
      </c>
      <c r="D1169" t="s">
        <v>12</v>
      </c>
      <c r="E1169" t="s">
        <v>105</v>
      </c>
      <c r="F1169" t="s">
        <v>23</v>
      </c>
      <c r="G1169" t="s">
        <v>24</v>
      </c>
      <c r="H1169">
        <v>2</v>
      </c>
      <c r="I1169">
        <v>1748</v>
      </c>
      <c r="J1169">
        <v>506.52</v>
      </c>
    </row>
    <row r="1170" spans="1:10" x14ac:dyDescent="0.25">
      <c r="A1170" s="1">
        <v>45113</v>
      </c>
      <c r="B1170" t="s">
        <v>16</v>
      </c>
      <c r="C1170" t="s">
        <v>17</v>
      </c>
      <c r="D1170" t="s">
        <v>12</v>
      </c>
      <c r="E1170" t="s">
        <v>105</v>
      </c>
      <c r="F1170" t="s">
        <v>23</v>
      </c>
      <c r="G1170" t="s">
        <v>24</v>
      </c>
      <c r="H1170">
        <v>8</v>
      </c>
      <c r="I1170">
        <v>2080</v>
      </c>
      <c r="J1170">
        <v>108.48</v>
      </c>
    </row>
    <row r="1171" spans="1:10" x14ac:dyDescent="0.25">
      <c r="A1171" s="1">
        <v>44730</v>
      </c>
      <c r="B1171" t="s">
        <v>32</v>
      </c>
      <c r="C1171" t="s">
        <v>19</v>
      </c>
      <c r="D1171" t="s">
        <v>12</v>
      </c>
      <c r="E1171" t="s">
        <v>75</v>
      </c>
      <c r="F1171" t="s">
        <v>108</v>
      </c>
      <c r="G1171" t="s">
        <v>15</v>
      </c>
      <c r="H1171">
        <v>3</v>
      </c>
      <c r="I1171">
        <v>2193</v>
      </c>
      <c r="J1171">
        <v>521.14</v>
      </c>
    </row>
    <row r="1172" spans="1:10" x14ac:dyDescent="0.25">
      <c r="A1172" s="1">
        <v>45085</v>
      </c>
      <c r="B1172" t="s">
        <v>29</v>
      </c>
      <c r="C1172" t="s">
        <v>17</v>
      </c>
      <c r="D1172" t="s">
        <v>12</v>
      </c>
      <c r="E1172" t="s">
        <v>349</v>
      </c>
      <c r="F1172" t="s">
        <v>78</v>
      </c>
      <c r="G1172" t="s">
        <v>28</v>
      </c>
      <c r="H1172">
        <v>5</v>
      </c>
      <c r="I1172">
        <v>2080</v>
      </c>
      <c r="J1172">
        <v>614.77</v>
      </c>
    </row>
    <row r="1173" spans="1:10" x14ac:dyDescent="0.25">
      <c r="A1173" s="1">
        <v>44694</v>
      </c>
      <c r="B1173" t="s">
        <v>16</v>
      </c>
      <c r="C1173" t="s">
        <v>17</v>
      </c>
      <c r="D1173" t="s">
        <v>12</v>
      </c>
      <c r="E1173" t="s">
        <v>235</v>
      </c>
      <c r="F1173" t="s">
        <v>115</v>
      </c>
      <c r="G1173" t="s">
        <v>15</v>
      </c>
      <c r="H1173">
        <v>5</v>
      </c>
      <c r="I1173">
        <v>5070</v>
      </c>
      <c r="J1173">
        <v>986.39</v>
      </c>
    </row>
    <row r="1174" spans="1:10" x14ac:dyDescent="0.25">
      <c r="A1174" s="1">
        <v>45359</v>
      </c>
      <c r="B1174" t="s">
        <v>55</v>
      </c>
      <c r="C1174" t="s">
        <v>19</v>
      </c>
      <c r="D1174" t="s">
        <v>12</v>
      </c>
      <c r="E1174" t="s">
        <v>350</v>
      </c>
      <c r="F1174" t="s">
        <v>23</v>
      </c>
      <c r="G1174" t="s">
        <v>24</v>
      </c>
      <c r="H1174">
        <v>7</v>
      </c>
      <c r="I1174">
        <v>469</v>
      </c>
      <c r="J1174">
        <v>47.4</v>
      </c>
    </row>
    <row r="1175" spans="1:10" x14ac:dyDescent="0.25">
      <c r="A1175" s="1">
        <v>45207</v>
      </c>
      <c r="B1175" t="s">
        <v>10</v>
      </c>
      <c r="C1175" t="s">
        <v>11</v>
      </c>
      <c r="D1175" t="s">
        <v>12</v>
      </c>
      <c r="E1175" t="s">
        <v>351</v>
      </c>
      <c r="F1175" t="s">
        <v>189</v>
      </c>
      <c r="G1175" t="s">
        <v>24</v>
      </c>
      <c r="H1175">
        <v>1</v>
      </c>
      <c r="I1175">
        <v>802</v>
      </c>
      <c r="J1175">
        <v>153.55000000000001</v>
      </c>
    </row>
    <row r="1176" spans="1:10" x14ac:dyDescent="0.25">
      <c r="A1176" s="1">
        <v>45657</v>
      </c>
      <c r="B1176" t="s">
        <v>40</v>
      </c>
      <c r="C1176" t="s">
        <v>19</v>
      </c>
      <c r="D1176" t="s">
        <v>12</v>
      </c>
      <c r="E1176" t="s">
        <v>53</v>
      </c>
      <c r="F1176" t="s">
        <v>54</v>
      </c>
      <c r="G1176" t="s">
        <v>24</v>
      </c>
      <c r="H1176">
        <v>6</v>
      </c>
      <c r="I1176">
        <v>930</v>
      </c>
      <c r="J1176">
        <v>213.6</v>
      </c>
    </row>
    <row r="1177" spans="1:10" x14ac:dyDescent="0.25">
      <c r="A1177" s="1">
        <v>44631</v>
      </c>
      <c r="B1177" t="s">
        <v>32</v>
      </c>
      <c r="C1177" t="s">
        <v>19</v>
      </c>
      <c r="D1177" t="s">
        <v>12</v>
      </c>
      <c r="E1177" t="s">
        <v>352</v>
      </c>
      <c r="F1177" t="s">
        <v>267</v>
      </c>
      <c r="G1177" t="s">
        <v>24</v>
      </c>
      <c r="H1177">
        <v>1</v>
      </c>
      <c r="I1177">
        <v>495</v>
      </c>
      <c r="J1177">
        <v>55.17</v>
      </c>
    </row>
    <row r="1178" spans="1:10" x14ac:dyDescent="0.25">
      <c r="A1178" s="1">
        <v>45505</v>
      </c>
      <c r="B1178" t="s">
        <v>36</v>
      </c>
      <c r="C1178" t="s">
        <v>17</v>
      </c>
      <c r="D1178" t="s">
        <v>12</v>
      </c>
      <c r="E1178" t="s">
        <v>43</v>
      </c>
      <c r="F1178" t="s">
        <v>44</v>
      </c>
      <c r="G1178" t="s">
        <v>35</v>
      </c>
      <c r="H1178">
        <v>6</v>
      </c>
      <c r="I1178">
        <v>4938</v>
      </c>
      <c r="J1178">
        <v>847.89</v>
      </c>
    </row>
    <row r="1179" spans="1:10" x14ac:dyDescent="0.25">
      <c r="A1179" s="1">
        <v>44794</v>
      </c>
      <c r="B1179" t="s">
        <v>18</v>
      </c>
      <c r="C1179" t="s">
        <v>19</v>
      </c>
      <c r="D1179" t="s">
        <v>12</v>
      </c>
      <c r="E1179" t="s">
        <v>353</v>
      </c>
      <c r="F1179" t="s">
        <v>21</v>
      </c>
      <c r="G1179" t="s">
        <v>15</v>
      </c>
      <c r="H1179">
        <v>2</v>
      </c>
      <c r="I1179">
        <v>1300</v>
      </c>
      <c r="J1179">
        <v>267.45999999999998</v>
      </c>
    </row>
    <row r="1180" spans="1:10" x14ac:dyDescent="0.25">
      <c r="A1180" s="1">
        <v>45637</v>
      </c>
      <c r="B1180" t="s">
        <v>16</v>
      </c>
      <c r="C1180" t="s">
        <v>17</v>
      </c>
      <c r="D1180" t="s">
        <v>12</v>
      </c>
      <c r="E1180" t="s">
        <v>37</v>
      </c>
      <c r="F1180" t="s">
        <v>34</v>
      </c>
      <c r="G1180" t="s">
        <v>35</v>
      </c>
      <c r="H1180">
        <v>7</v>
      </c>
      <c r="I1180">
        <v>2100</v>
      </c>
      <c r="J1180">
        <v>131.66999999999999</v>
      </c>
    </row>
    <row r="1181" spans="1:10" x14ac:dyDescent="0.25">
      <c r="A1181" s="1">
        <v>45364</v>
      </c>
      <c r="B1181" t="s">
        <v>25</v>
      </c>
      <c r="C1181" t="s">
        <v>19</v>
      </c>
      <c r="D1181" t="s">
        <v>12</v>
      </c>
      <c r="E1181" t="s">
        <v>307</v>
      </c>
      <c r="F1181" t="s">
        <v>156</v>
      </c>
      <c r="G1181" t="s">
        <v>28</v>
      </c>
      <c r="H1181">
        <v>2</v>
      </c>
      <c r="I1181">
        <v>2248</v>
      </c>
      <c r="J1181">
        <v>636.52</v>
      </c>
    </row>
    <row r="1182" spans="1:10" x14ac:dyDescent="0.25">
      <c r="A1182" s="1">
        <v>45265</v>
      </c>
      <c r="B1182" t="s">
        <v>29</v>
      </c>
      <c r="C1182" t="s">
        <v>17</v>
      </c>
      <c r="D1182" t="s">
        <v>12</v>
      </c>
      <c r="E1182" t="s">
        <v>74</v>
      </c>
      <c r="F1182" t="s">
        <v>23</v>
      </c>
      <c r="G1182" t="s">
        <v>24</v>
      </c>
      <c r="H1182">
        <v>8</v>
      </c>
      <c r="I1182">
        <v>7096</v>
      </c>
      <c r="J1182">
        <v>991.23</v>
      </c>
    </row>
    <row r="1183" spans="1:10" x14ac:dyDescent="0.25">
      <c r="A1183" s="1">
        <v>44694</v>
      </c>
      <c r="B1183" t="s">
        <v>29</v>
      </c>
      <c r="C1183" t="s">
        <v>17</v>
      </c>
      <c r="D1183" t="s">
        <v>12</v>
      </c>
      <c r="E1183" t="s">
        <v>215</v>
      </c>
      <c r="F1183" t="s">
        <v>63</v>
      </c>
      <c r="G1183" t="s">
        <v>28</v>
      </c>
      <c r="H1183">
        <v>3</v>
      </c>
      <c r="I1183">
        <v>1992</v>
      </c>
      <c r="J1183">
        <v>252.21</v>
      </c>
    </row>
    <row r="1184" spans="1:10" x14ac:dyDescent="0.25">
      <c r="A1184" s="1">
        <v>44590</v>
      </c>
      <c r="B1184" t="s">
        <v>25</v>
      </c>
      <c r="C1184" t="s">
        <v>19</v>
      </c>
      <c r="D1184" t="s">
        <v>12</v>
      </c>
      <c r="E1184" t="s">
        <v>52</v>
      </c>
      <c r="F1184" t="s">
        <v>42</v>
      </c>
      <c r="G1184" t="s">
        <v>28</v>
      </c>
      <c r="H1184">
        <v>4</v>
      </c>
      <c r="I1184">
        <v>4056</v>
      </c>
      <c r="J1184">
        <v>1189.26</v>
      </c>
    </row>
    <row r="1185" spans="1:10" x14ac:dyDescent="0.25">
      <c r="A1185" s="1">
        <v>44917</v>
      </c>
      <c r="B1185" t="s">
        <v>25</v>
      </c>
      <c r="C1185" t="s">
        <v>19</v>
      </c>
      <c r="D1185" t="s">
        <v>12</v>
      </c>
      <c r="E1185" t="s">
        <v>52</v>
      </c>
      <c r="F1185" t="s">
        <v>42</v>
      </c>
      <c r="G1185" t="s">
        <v>28</v>
      </c>
      <c r="H1185">
        <v>2</v>
      </c>
      <c r="I1185">
        <v>1986</v>
      </c>
      <c r="J1185">
        <v>208.88</v>
      </c>
    </row>
    <row r="1186" spans="1:10" x14ac:dyDescent="0.25">
      <c r="A1186" s="1">
        <v>45389</v>
      </c>
      <c r="B1186" t="s">
        <v>10</v>
      </c>
      <c r="C1186" t="s">
        <v>11</v>
      </c>
      <c r="D1186" t="s">
        <v>12</v>
      </c>
      <c r="E1186" t="s">
        <v>186</v>
      </c>
      <c r="F1186" t="s">
        <v>65</v>
      </c>
      <c r="G1186" t="s">
        <v>35</v>
      </c>
      <c r="H1186">
        <v>3</v>
      </c>
      <c r="I1186">
        <v>1635</v>
      </c>
      <c r="J1186">
        <v>196.73</v>
      </c>
    </row>
    <row r="1187" spans="1:10" x14ac:dyDescent="0.25">
      <c r="A1187" s="1">
        <v>44625</v>
      </c>
      <c r="B1187" t="s">
        <v>32</v>
      </c>
      <c r="C1187" t="s">
        <v>19</v>
      </c>
      <c r="D1187" t="s">
        <v>12</v>
      </c>
      <c r="E1187" t="s">
        <v>354</v>
      </c>
      <c r="F1187" t="s">
        <v>83</v>
      </c>
      <c r="G1187" t="s">
        <v>28</v>
      </c>
      <c r="H1187">
        <v>9</v>
      </c>
      <c r="I1187">
        <v>3132</v>
      </c>
      <c r="J1187">
        <v>443.27</v>
      </c>
    </row>
    <row r="1188" spans="1:10" x14ac:dyDescent="0.25">
      <c r="A1188" s="1">
        <v>45067</v>
      </c>
      <c r="B1188" t="s">
        <v>40</v>
      </c>
      <c r="C1188" t="s">
        <v>19</v>
      </c>
      <c r="D1188" t="s">
        <v>12</v>
      </c>
      <c r="E1188" t="s">
        <v>354</v>
      </c>
      <c r="F1188" t="s">
        <v>83</v>
      </c>
      <c r="G1188" t="s">
        <v>28</v>
      </c>
      <c r="H1188">
        <v>8</v>
      </c>
      <c r="I1188">
        <v>7064</v>
      </c>
      <c r="J1188">
        <v>1554.52</v>
      </c>
    </row>
    <row r="1189" spans="1:10" x14ac:dyDescent="0.25">
      <c r="A1189" s="1">
        <v>45367</v>
      </c>
      <c r="B1189" t="s">
        <v>25</v>
      </c>
      <c r="C1189" t="s">
        <v>19</v>
      </c>
      <c r="D1189" t="s">
        <v>12</v>
      </c>
      <c r="E1189" t="s">
        <v>22</v>
      </c>
      <c r="F1189" t="s">
        <v>23</v>
      </c>
      <c r="G1189" t="s">
        <v>24</v>
      </c>
      <c r="H1189">
        <v>1</v>
      </c>
      <c r="I1189">
        <v>907</v>
      </c>
      <c r="J1189">
        <v>249.2</v>
      </c>
    </row>
    <row r="1190" spans="1:10" x14ac:dyDescent="0.25">
      <c r="A1190" s="1">
        <v>44940</v>
      </c>
      <c r="B1190" t="s">
        <v>16</v>
      </c>
      <c r="C1190" t="s">
        <v>17</v>
      </c>
      <c r="D1190" t="s">
        <v>12</v>
      </c>
      <c r="E1190" t="s">
        <v>195</v>
      </c>
      <c r="F1190" t="s">
        <v>23</v>
      </c>
      <c r="G1190" t="s">
        <v>24</v>
      </c>
      <c r="H1190">
        <v>9</v>
      </c>
      <c r="I1190">
        <v>7938</v>
      </c>
      <c r="J1190">
        <v>1191.4100000000001</v>
      </c>
    </row>
    <row r="1191" spans="1:10" x14ac:dyDescent="0.25">
      <c r="A1191" s="1">
        <v>45241</v>
      </c>
      <c r="B1191" t="s">
        <v>10</v>
      </c>
      <c r="C1191" t="s">
        <v>11</v>
      </c>
      <c r="D1191" t="s">
        <v>12</v>
      </c>
      <c r="E1191" t="s">
        <v>195</v>
      </c>
      <c r="F1191" t="s">
        <v>23</v>
      </c>
      <c r="G1191" t="s">
        <v>24</v>
      </c>
      <c r="H1191">
        <v>4</v>
      </c>
      <c r="I1191">
        <v>4360</v>
      </c>
      <c r="J1191">
        <v>1207.46</v>
      </c>
    </row>
    <row r="1192" spans="1:10" x14ac:dyDescent="0.25">
      <c r="A1192" s="1">
        <v>45523</v>
      </c>
      <c r="B1192" t="s">
        <v>49</v>
      </c>
      <c r="C1192" t="s">
        <v>17</v>
      </c>
      <c r="D1192" t="s">
        <v>12</v>
      </c>
      <c r="E1192" t="s">
        <v>355</v>
      </c>
      <c r="F1192" t="s">
        <v>44</v>
      </c>
      <c r="G1192" t="s">
        <v>35</v>
      </c>
      <c r="H1192">
        <v>3</v>
      </c>
      <c r="I1192">
        <v>375</v>
      </c>
      <c r="J1192">
        <v>95.04</v>
      </c>
    </row>
    <row r="1193" spans="1:10" x14ac:dyDescent="0.25">
      <c r="A1193" s="1">
        <v>44828</v>
      </c>
      <c r="B1193" t="s">
        <v>36</v>
      </c>
      <c r="C1193" t="s">
        <v>17</v>
      </c>
      <c r="D1193" t="s">
        <v>12</v>
      </c>
      <c r="E1193" t="s">
        <v>104</v>
      </c>
      <c r="F1193" t="s">
        <v>14</v>
      </c>
      <c r="G1193" t="s">
        <v>15</v>
      </c>
      <c r="H1193">
        <v>7</v>
      </c>
      <c r="I1193">
        <v>826</v>
      </c>
      <c r="J1193">
        <v>101.01</v>
      </c>
    </row>
    <row r="1194" spans="1:10" x14ac:dyDescent="0.25">
      <c r="A1194" s="1">
        <v>45234</v>
      </c>
      <c r="B1194" t="s">
        <v>29</v>
      </c>
      <c r="C1194" t="s">
        <v>17</v>
      </c>
      <c r="D1194" t="s">
        <v>12</v>
      </c>
      <c r="E1194" t="s">
        <v>237</v>
      </c>
      <c r="F1194" t="s">
        <v>149</v>
      </c>
      <c r="G1194" t="s">
        <v>15</v>
      </c>
      <c r="H1194">
        <v>1</v>
      </c>
      <c r="I1194">
        <v>1011</v>
      </c>
      <c r="J1194">
        <v>186.42</v>
      </c>
    </row>
    <row r="1195" spans="1:10" x14ac:dyDescent="0.25">
      <c r="A1195" s="1">
        <v>45178</v>
      </c>
      <c r="B1195" t="s">
        <v>16</v>
      </c>
      <c r="C1195" t="s">
        <v>17</v>
      </c>
      <c r="D1195" t="s">
        <v>12</v>
      </c>
      <c r="E1195" t="s">
        <v>356</v>
      </c>
      <c r="F1195" t="s">
        <v>23</v>
      </c>
      <c r="G1195" t="s">
        <v>24</v>
      </c>
      <c r="H1195">
        <v>3</v>
      </c>
      <c r="I1195">
        <v>807</v>
      </c>
      <c r="J1195">
        <v>148.58000000000001</v>
      </c>
    </row>
    <row r="1196" spans="1:10" x14ac:dyDescent="0.25">
      <c r="A1196" s="1">
        <v>45643</v>
      </c>
      <c r="B1196" t="s">
        <v>29</v>
      </c>
      <c r="C1196" t="s">
        <v>17</v>
      </c>
      <c r="D1196" t="s">
        <v>12</v>
      </c>
      <c r="E1196" t="s">
        <v>116</v>
      </c>
      <c r="F1196" t="s">
        <v>42</v>
      </c>
      <c r="G1196" t="s">
        <v>28</v>
      </c>
      <c r="H1196">
        <v>2</v>
      </c>
      <c r="I1196">
        <v>1840</v>
      </c>
      <c r="J1196">
        <v>367.7</v>
      </c>
    </row>
    <row r="1197" spans="1:10" x14ac:dyDescent="0.25">
      <c r="A1197" s="1">
        <v>44599</v>
      </c>
      <c r="B1197" t="s">
        <v>49</v>
      </c>
      <c r="C1197" t="s">
        <v>17</v>
      </c>
      <c r="D1197" t="s">
        <v>12</v>
      </c>
      <c r="E1197" t="s">
        <v>22</v>
      </c>
      <c r="F1197" t="s">
        <v>23</v>
      </c>
      <c r="G1197" t="s">
        <v>24</v>
      </c>
      <c r="H1197">
        <v>5</v>
      </c>
      <c r="I1197">
        <v>4550</v>
      </c>
      <c r="J1197">
        <v>1039.3399999999999</v>
      </c>
    </row>
    <row r="1198" spans="1:10" x14ac:dyDescent="0.25">
      <c r="A1198" s="1">
        <v>45298</v>
      </c>
      <c r="B1198" t="s">
        <v>40</v>
      </c>
      <c r="C1198" t="s">
        <v>19</v>
      </c>
      <c r="D1198" t="s">
        <v>12</v>
      </c>
      <c r="E1198" t="s">
        <v>22</v>
      </c>
      <c r="F1198" t="s">
        <v>23</v>
      </c>
      <c r="G1198" t="s">
        <v>24</v>
      </c>
      <c r="H1198">
        <v>9</v>
      </c>
      <c r="I1198">
        <v>8793</v>
      </c>
      <c r="J1198">
        <v>901.7</v>
      </c>
    </row>
    <row r="1199" spans="1:10" x14ac:dyDescent="0.25">
      <c r="A1199" s="1">
        <v>45482</v>
      </c>
      <c r="B1199" t="s">
        <v>29</v>
      </c>
      <c r="C1199" t="s">
        <v>17</v>
      </c>
      <c r="D1199" t="s">
        <v>12</v>
      </c>
      <c r="E1199" t="s">
        <v>22</v>
      </c>
      <c r="F1199" t="s">
        <v>23</v>
      </c>
      <c r="G1199" t="s">
        <v>24</v>
      </c>
      <c r="H1199">
        <v>5</v>
      </c>
      <c r="I1199">
        <v>310</v>
      </c>
      <c r="J1199">
        <v>32.01</v>
      </c>
    </row>
    <row r="1200" spans="1:10" x14ac:dyDescent="0.25">
      <c r="A1200" s="1">
        <v>45258</v>
      </c>
      <c r="B1200" t="s">
        <v>29</v>
      </c>
      <c r="C1200" t="s">
        <v>17</v>
      </c>
      <c r="D1200" t="s">
        <v>12</v>
      </c>
      <c r="E1200" t="s">
        <v>132</v>
      </c>
      <c r="F1200" t="s">
        <v>189</v>
      </c>
      <c r="G1200" t="s">
        <v>24</v>
      </c>
      <c r="H1200">
        <v>3</v>
      </c>
      <c r="I1200">
        <v>1143</v>
      </c>
      <c r="J1200">
        <v>275.04000000000002</v>
      </c>
    </row>
    <row r="1201" spans="1:10" x14ac:dyDescent="0.25">
      <c r="A1201" s="1">
        <v>44630</v>
      </c>
      <c r="B1201" t="s">
        <v>36</v>
      </c>
      <c r="C1201" t="s">
        <v>17</v>
      </c>
      <c r="D1201" t="s">
        <v>12</v>
      </c>
      <c r="E1201" t="s">
        <v>103</v>
      </c>
      <c r="F1201" t="s">
        <v>21</v>
      </c>
      <c r="G1201" t="s">
        <v>15</v>
      </c>
      <c r="H1201">
        <v>3</v>
      </c>
      <c r="I1201">
        <v>2610</v>
      </c>
      <c r="J1201">
        <v>740.21</v>
      </c>
    </row>
    <row r="1202" spans="1:10" x14ac:dyDescent="0.25">
      <c r="A1202" s="1">
        <v>44773</v>
      </c>
      <c r="B1202" t="s">
        <v>18</v>
      </c>
      <c r="C1202" t="s">
        <v>19</v>
      </c>
      <c r="D1202" t="s">
        <v>12</v>
      </c>
      <c r="E1202" t="s">
        <v>244</v>
      </c>
      <c r="F1202" t="s">
        <v>23</v>
      </c>
      <c r="G1202" t="s">
        <v>24</v>
      </c>
      <c r="H1202">
        <v>6</v>
      </c>
      <c r="I1202">
        <v>1494</v>
      </c>
      <c r="J1202">
        <v>269.25</v>
      </c>
    </row>
    <row r="1203" spans="1:10" x14ac:dyDescent="0.25">
      <c r="A1203" s="1">
        <v>45112</v>
      </c>
      <c r="B1203" t="s">
        <v>40</v>
      </c>
      <c r="C1203" t="s">
        <v>19</v>
      </c>
      <c r="D1203" t="s">
        <v>12</v>
      </c>
      <c r="E1203" t="s">
        <v>244</v>
      </c>
      <c r="F1203" t="s">
        <v>23</v>
      </c>
      <c r="G1203" t="s">
        <v>24</v>
      </c>
      <c r="H1203">
        <v>4</v>
      </c>
      <c r="I1203">
        <v>1524</v>
      </c>
      <c r="J1203">
        <v>189.32</v>
      </c>
    </row>
    <row r="1204" spans="1:10" x14ac:dyDescent="0.25">
      <c r="A1204" s="1">
        <v>45251</v>
      </c>
      <c r="B1204" t="s">
        <v>18</v>
      </c>
      <c r="C1204" t="s">
        <v>19</v>
      </c>
      <c r="D1204" t="s">
        <v>12</v>
      </c>
      <c r="E1204" t="s">
        <v>52</v>
      </c>
      <c r="F1204" t="s">
        <v>42</v>
      </c>
      <c r="G1204" t="s">
        <v>28</v>
      </c>
      <c r="H1204">
        <v>9</v>
      </c>
      <c r="I1204">
        <v>9441</v>
      </c>
      <c r="J1204">
        <v>2171.42</v>
      </c>
    </row>
    <row r="1205" spans="1:10" x14ac:dyDescent="0.25">
      <c r="A1205" s="1">
        <v>44730</v>
      </c>
      <c r="B1205" t="s">
        <v>40</v>
      </c>
      <c r="C1205" t="s">
        <v>19</v>
      </c>
      <c r="D1205" t="s">
        <v>12</v>
      </c>
      <c r="E1205" t="s">
        <v>43</v>
      </c>
      <c r="F1205" t="s">
        <v>44</v>
      </c>
      <c r="G1205" t="s">
        <v>35</v>
      </c>
      <c r="H1205">
        <v>4</v>
      </c>
      <c r="I1205">
        <v>3520</v>
      </c>
      <c r="J1205">
        <v>417.26</v>
      </c>
    </row>
    <row r="1206" spans="1:10" x14ac:dyDescent="0.25">
      <c r="A1206" s="1">
        <v>45014</v>
      </c>
      <c r="B1206" t="s">
        <v>18</v>
      </c>
      <c r="C1206" t="s">
        <v>19</v>
      </c>
      <c r="D1206" t="s">
        <v>12</v>
      </c>
      <c r="E1206" t="s">
        <v>210</v>
      </c>
      <c r="F1206" t="s">
        <v>34</v>
      </c>
      <c r="G1206" t="s">
        <v>35</v>
      </c>
      <c r="H1206">
        <v>2</v>
      </c>
      <c r="I1206">
        <v>390</v>
      </c>
      <c r="J1206">
        <v>103.99</v>
      </c>
    </row>
    <row r="1207" spans="1:10" x14ac:dyDescent="0.25">
      <c r="A1207" s="1">
        <v>45318</v>
      </c>
      <c r="B1207" t="s">
        <v>10</v>
      </c>
      <c r="C1207" t="s">
        <v>11</v>
      </c>
      <c r="D1207" t="s">
        <v>12</v>
      </c>
      <c r="E1207" t="s">
        <v>265</v>
      </c>
      <c r="F1207" t="s">
        <v>46</v>
      </c>
      <c r="G1207" t="s">
        <v>15</v>
      </c>
      <c r="H1207">
        <v>3</v>
      </c>
      <c r="I1207">
        <v>3219</v>
      </c>
      <c r="J1207">
        <v>255.09</v>
      </c>
    </row>
    <row r="1208" spans="1:10" x14ac:dyDescent="0.25">
      <c r="A1208" s="1">
        <v>45564</v>
      </c>
      <c r="B1208" t="s">
        <v>55</v>
      </c>
      <c r="C1208" t="s">
        <v>19</v>
      </c>
      <c r="D1208" t="s">
        <v>12</v>
      </c>
      <c r="E1208" t="s">
        <v>105</v>
      </c>
      <c r="F1208" t="s">
        <v>23</v>
      </c>
      <c r="G1208" t="s">
        <v>24</v>
      </c>
      <c r="H1208">
        <v>1</v>
      </c>
      <c r="I1208">
        <v>450</v>
      </c>
      <c r="J1208">
        <v>75.89</v>
      </c>
    </row>
    <row r="1209" spans="1:10" x14ac:dyDescent="0.25">
      <c r="A1209" s="1">
        <v>45150</v>
      </c>
      <c r="B1209" t="s">
        <v>32</v>
      </c>
      <c r="C1209" t="s">
        <v>19</v>
      </c>
      <c r="D1209" t="s">
        <v>12</v>
      </c>
      <c r="E1209" t="s">
        <v>74</v>
      </c>
      <c r="F1209" t="s">
        <v>23</v>
      </c>
      <c r="G1209" t="s">
        <v>24</v>
      </c>
      <c r="H1209">
        <v>4</v>
      </c>
      <c r="I1209">
        <v>828</v>
      </c>
      <c r="J1209">
        <v>216.98</v>
      </c>
    </row>
    <row r="1210" spans="1:10" x14ac:dyDescent="0.25">
      <c r="A1210" s="1">
        <v>44578</v>
      </c>
      <c r="B1210" t="s">
        <v>10</v>
      </c>
      <c r="C1210" t="s">
        <v>11</v>
      </c>
      <c r="D1210" t="s">
        <v>12</v>
      </c>
      <c r="E1210" t="s">
        <v>52</v>
      </c>
      <c r="F1210" t="s">
        <v>42</v>
      </c>
      <c r="G1210" t="s">
        <v>28</v>
      </c>
      <c r="H1210">
        <v>1</v>
      </c>
      <c r="I1210">
        <v>1146</v>
      </c>
      <c r="J1210">
        <v>152.79</v>
      </c>
    </row>
    <row r="1211" spans="1:10" x14ac:dyDescent="0.25">
      <c r="A1211" s="1">
        <v>45482</v>
      </c>
      <c r="B1211" t="s">
        <v>36</v>
      </c>
      <c r="C1211" t="s">
        <v>17</v>
      </c>
      <c r="D1211" t="s">
        <v>12</v>
      </c>
      <c r="E1211" t="s">
        <v>52</v>
      </c>
      <c r="F1211" t="s">
        <v>42</v>
      </c>
      <c r="G1211" t="s">
        <v>28</v>
      </c>
      <c r="H1211">
        <v>3</v>
      </c>
      <c r="I1211">
        <v>1986</v>
      </c>
      <c r="J1211">
        <v>361.33</v>
      </c>
    </row>
    <row r="1212" spans="1:10" x14ac:dyDescent="0.25">
      <c r="A1212" s="1">
        <v>45006</v>
      </c>
      <c r="B1212" t="s">
        <v>32</v>
      </c>
      <c r="C1212" t="s">
        <v>19</v>
      </c>
      <c r="D1212" t="s">
        <v>12</v>
      </c>
      <c r="E1212" t="s">
        <v>104</v>
      </c>
      <c r="F1212" t="s">
        <v>39</v>
      </c>
      <c r="G1212" t="s">
        <v>35</v>
      </c>
      <c r="H1212">
        <v>8</v>
      </c>
      <c r="I1212">
        <v>7264</v>
      </c>
      <c r="J1212">
        <v>1776.83</v>
      </c>
    </row>
    <row r="1213" spans="1:10" x14ac:dyDescent="0.25">
      <c r="A1213" s="1">
        <v>45085</v>
      </c>
      <c r="B1213" t="s">
        <v>55</v>
      </c>
      <c r="C1213" t="s">
        <v>19</v>
      </c>
      <c r="D1213" t="s">
        <v>12</v>
      </c>
      <c r="E1213" t="s">
        <v>104</v>
      </c>
      <c r="F1213" t="s">
        <v>39</v>
      </c>
      <c r="G1213" t="s">
        <v>35</v>
      </c>
      <c r="H1213">
        <v>7</v>
      </c>
      <c r="I1213">
        <v>7469</v>
      </c>
      <c r="J1213">
        <v>915.63</v>
      </c>
    </row>
    <row r="1214" spans="1:10" x14ac:dyDescent="0.25">
      <c r="A1214" s="1">
        <v>45370</v>
      </c>
      <c r="B1214" t="s">
        <v>55</v>
      </c>
      <c r="C1214" t="s">
        <v>19</v>
      </c>
      <c r="D1214" t="s">
        <v>12</v>
      </c>
      <c r="E1214" t="s">
        <v>91</v>
      </c>
      <c r="F1214" t="s">
        <v>149</v>
      </c>
      <c r="G1214" t="s">
        <v>15</v>
      </c>
      <c r="H1214">
        <v>5</v>
      </c>
      <c r="I1214">
        <v>1385</v>
      </c>
      <c r="J1214">
        <v>165.55</v>
      </c>
    </row>
    <row r="1215" spans="1:10" x14ac:dyDescent="0.25">
      <c r="A1215" s="1">
        <v>44998</v>
      </c>
      <c r="B1215" t="s">
        <v>18</v>
      </c>
      <c r="C1215" t="s">
        <v>19</v>
      </c>
      <c r="D1215" t="s">
        <v>12</v>
      </c>
      <c r="E1215" t="s">
        <v>111</v>
      </c>
      <c r="F1215" t="s">
        <v>115</v>
      </c>
      <c r="G1215" t="s">
        <v>15</v>
      </c>
      <c r="H1215">
        <v>4</v>
      </c>
      <c r="I1215">
        <v>4556</v>
      </c>
      <c r="J1215">
        <v>315.07</v>
      </c>
    </row>
    <row r="1216" spans="1:10" x14ac:dyDescent="0.25">
      <c r="A1216" s="1">
        <v>45330</v>
      </c>
      <c r="B1216" t="s">
        <v>36</v>
      </c>
      <c r="C1216" t="s">
        <v>17</v>
      </c>
      <c r="D1216" t="s">
        <v>12</v>
      </c>
      <c r="E1216" t="s">
        <v>105</v>
      </c>
      <c r="F1216" t="s">
        <v>23</v>
      </c>
      <c r="G1216" t="s">
        <v>24</v>
      </c>
      <c r="H1216">
        <v>3</v>
      </c>
      <c r="I1216">
        <v>456</v>
      </c>
      <c r="J1216">
        <v>61.42</v>
      </c>
    </row>
    <row r="1217" spans="1:10" x14ac:dyDescent="0.25">
      <c r="A1217" s="1">
        <v>45611</v>
      </c>
      <c r="B1217" t="s">
        <v>36</v>
      </c>
      <c r="C1217" t="s">
        <v>17</v>
      </c>
      <c r="D1217" t="s">
        <v>12</v>
      </c>
      <c r="E1217" t="s">
        <v>105</v>
      </c>
      <c r="F1217" t="s">
        <v>23</v>
      </c>
      <c r="G1217" t="s">
        <v>24</v>
      </c>
      <c r="H1217">
        <v>2</v>
      </c>
      <c r="I1217">
        <v>1984</v>
      </c>
      <c r="J1217">
        <v>125.13</v>
      </c>
    </row>
    <row r="1218" spans="1:10" x14ac:dyDescent="0.25">
      <c r="A1218" s="1">
        <v>45552</v>
      </c>
      <c r="B1218" t="s">
        <v>32</v>
      </c>
      <c r="C1218" t="s">
        <v>19</v>
      </c>
      <c r="D1218" t="s">
        <v>12</v>
      </c>
      <c r="E1218" t="s">
        <v>105</v>
      </c>
      <c r="F1218" t="s">
        <v>23</v>
      </c>
      <c r="G1218" t="s">
        <v>24</v>
      </c>
      <c r="H1218">
        <v>6</v>
      </c>
      <c r="I1218">
        <v>5178</v>
      </c>
      <c r="J1218">
        <v>1321.58</v>
      </c>
    </row>
    <row r="1219" spans="1:10" x14ac:dyDescent="0.25">
      <c r="A1219" s="1">
        <v>45057</v>
      </c>
      <c r="B1219" t="s">
        <v>32</v>
      </c>
      <c r="C1219" t="s">
        <v>19</v>
      </c>
      <c r="D1219" t="s">
        <v>12</v>
      </c>
      <c r="E1219" t="s">
        <v>61</v>
      </c>
      <c r="F1219" t="s">
        <v>51</v>
      </c>
      <c r="G1219" t="s">
        <v>35</v>
      </c>
      <c r="H1219">
        <v>1</v>
      </c>
      <c r="I1219">
        <v>281</v>
      </c>
      <c r="J1219">
        <v>30.51</v>
      </c>
    </row>
    <row r="1220" spans="1:10" x14ac:dyDescent="0.25">
      <c r="A1220" s="1">
        <v>45622</v>
      </c>
      <c r="B1220" t="s">
        <v>36</v>
      </c>
      <c r="C1220" t="s">
        <v>17</v>
      </c>
      <c r="D1220" t="s">
        <v>12</v>
      </c>
      <c r="E1220" t="s">
        <v>210</v>
      </c>
      <c r="F1220" t="s">
        <v>34</v>
      </c>
      <c r="G1220" t="s">
        <v>35</v>
      </c>
      <c r="H1220">
        <v>9</v>
      </c>
      <c r="I1220">
        <v>3033</v>
      </c>
      <c r="J1220">
        <v>177.92</v>
      </c>
    </row>
    <row r="1221" spans="1:10" x14ac:dyDescent="0.25">
      <c r="A1221" s="1">
        <v>44647</v>
      </c>
      <c r="B1221" t="s">
        <v>25</v>
      </c>
      <c r="C1221" t="s">
        <v>19</v>
      </c>
      <c r="D1221" t="s">
        <v>12</v>
      </c>
      <c r="E1221" t="s">
        <v>91</v>
      </c>
      <c r="F1221" t="s">
        <v>23</v>
      </c>
      <c r="G1221" t="s">
        <v>24</v>
      </c>
      <c r="H1221">
        <v>3</v>
      </c>
      <c r="I1221">
        <v>1107</v>
      </c>
      <c r="J1221">
        <v>65.88</v>
      </c>
    </row>
    <row r="1222" spans="1:10" x14ac:dyDescent="0.25">
      <c r="A1222" s="1">
        <v>44661</v>
      </c>
      <c r="B1222" t="s">
        <v>16</v>
      </c>
      <c r="C1222" t="s">
        <v>17</v>
      </c>
      <c r="D1222" t="s">
        <v>12</v>
      </c>
      <c r="E1222" t="s">
        <v>357</v>
      </c>
      <c r="F1222" t="s">
        <v>152</v>
      </c>
      <c r="G1222" t="s">
        <v>15</v>
      </c>
      <c r="H1222">
        <v>3</v>
      </c>
      <c r="I1222">
        <v>1446</v>
      </c>
      <c r="J1222">
        <v>356.7</v>
      </c>
    </row>
    <row r="1223" spans="1:10" x14ac:dyDescent="0.25">
      <c r="A1223" s="1">
        <v>45500</v>
      </c>
      <c r="B1223" t="s">
        <v>10</v>
      </c>
      <c r="C1223" t="s">
        <v>11</v>
      </c>
      <c r="D1223" t="s">
        <v>12</v>
      </c>
      <c r="E1223" t="s">
        <v>358</v>
      </c>
      <c r="F1223" t="s">
        <v>83</v>
      </c>
      <c r="G1223" t="s">
        <v>28</v>
      </c>
      <c r="H1223">
        <v>3</v>
      </c>
      <c r="I1223">
        <v>1335</v>
      </c>
      <c r="J1223">
        <v>263.04000000000002</v>
      </c>
    </row>
    <row r="1224" spans="1:10" x14ac:dyDescent="0.25">
      <c r="A1224" s="1">
        <v>44949</v>
      </c>
      <c r="B1224" t="s">
        <v>16</v>
      </c>
      <c r="C1224" t="s">
        <v>17</v>
      </c>
      <c r="D1224" t="s">
        <v>12</v>
      </c>
      <c r="E1224" t="s">
        <v>359</v>
      </c>
      <c r="F1224" t="s">
        <v>360</v>
      </c>
      <c r="G1224" t="s">
        <v>24</v>
      </c>
      <c r="H1224">
        <v>2</v>
      </c>
      <c r="I1224">
        <v>266</v>
      </c>
      <c r="J1224">
        <v>20.11</v>
      </c>
    </row>
    <row r="1225" spans="1:10" x14ac:dyDescent="0.25">
      <c r="A1225" s="1">
        <v>45404</v>
      </c>
      <c r="B1225" t="s">
        <v>40</v>
      </c>
      <c r="C1225" t="s">
        <v>19</v>
      </c>
      <c r="D1225" t="s">
        <v>12</v>
      </c>
      <c r="E1225" t="s">
        <v>331</v>
      </c>
      <c r="F1225" t="s">
        <v>23</v>
      </c>
      <c r="G1225" t="s">
        <v>24</v>
      </c>
      <c r="H1225">
        <v>6</v>
      </c>
      <c r="I1225">
        <v>648</v>
      </c>
      <c r="J1225">
        <v>162.30000000000001</v>
      </c>
    </row>
    <row r="1226" spans="1:10" x14ac:dyDescent="0.25">
      <c r="A1226" s="1">
        <v>45000</v>
      </c>
      <c r="B1226" t="s">
        <v>18</v>
      </c>
      <c r="C1226" t="s">
        <v>19</v>
      </c>
      <c r="D1226" t="s">
        <v>12</v>
      </c>
      <c r="E1226" t="s">
        <v>60</v>
      </c>
      <c r="F1226" t="s">
        <v>39</v>
      </c>
      <c r="G1226" t="s">
        <v>35</v>
      </c>
      <c r="H1226">
        <v>2</v>
      </c>
      <c r="I1226">
        <v>344</v>
      </c>
      <c r="J1226">
        <v>80.87</v>
      </c>
    </row>
    <row r="1227" spans="1:10" x14ac:dyDescent="0.25">
      <c r="A1227" s="1">
        <v>45437</v>
      </c>
      <c r="B1227" t="s">
        <v>40</v>
      </c>
      <c r="C1227" t="s">
        <v>19</v>
      </c>
      <c r="D1227" t="s">
        <v>12</v>
      </c>
      <c r="E1227" t="s">
        <v>105</v>
      </c>
      <c r="F1227" t="s">
        <v>23</v>
      </c>
      <c r="G1227" t="s">
        <v>24</v>
      </c>
      <c r="H1227">
        <v>6</v>
      </c>
      <c r="I1227">
        <v>5724</v>
      </c>
      <c r="J1227">
        <v>1640.19</v>
      </c>
    </row>
    <row r="1228" spans="1:10" x14ac:dyDescent="0.25">
      <c r="A1228" s="1">
        <v>44636</v>
      </c>
      <c r="B1228" t="s">
        <v>29</v>
      </c>
      <c r="C1228" t="s">
        <v>17</v>
      </c>
      <c r="D1228" t="s">
        <v>12</v>
      </c>
      <c r="E1228" t="s">
        <v>105</v>
      </c>
      <c r="F1228" t="s">
        <v>23</v>
      </c>
      <c r="G1228" t="s">
        <v>24</v>
      </c>
      <c r="H1228">
        <v>5</v>
      </c>
      <c r="I1228">
        <v>4920</v>
      </c>
      <c r="J1228">
        <v>323.38</v>
      </c>
    </row>
    <row r="1229" spans="1:10" x14ac:dyDescent="0.25">
      <c r="A1229" s="1">
        <v>44933</v>
      </c>
      <c r="B1229" t="s">
        <v>25</v>
      </c>
      <c r="C1229" t="s">
        <v>19</v>
      </c>
      <c r="D1229" t="s">
        <v>12</v>
      </c>
      <c r="E1229" t="s">
        <v>74</v>
      </c>
      <c r="F1229" t="s">
        <v>23</v>
      </c>
      <c r="G1229" t="s">
        <v>24</v>
      </c>
      <c r="H1229">
        <v>5</v>
      </c>
      <c r="I1229">
        <v>5440</v>
      </c>
      <c r="J1229">
        <v>457.04</v>
      </c>
    </row>
    <row r="1230" spans="1:10" x14ac:dyDescent="0.25">
      <c r="A1230" s="1">
        <v>45407</v>
      </c>
      <c r="B1230" t="s">
        <v>40</v>
      </c>
      <c r="C1230" t="s">
        <v>19</v>
      </c>
      <c r="D1230" t="s">
        <v>12</v>
      </c>
      <c r="E1230" t="s">
        <v>104</v>
      </c>
      <c r="F1230" t="s">
        <v>39</v>
      </c>
      <c r="G1230" t="s">
        <v>35</v>
      </c>
      <c r="H1230">
        <v>7</v>
      </c>
      <c r="I1230">
        <v>7994</v>
      </c>
      <c r="J1230">
        <v>908.65</v>
      </c>
    </row>
    <row r="1231" spans="1:10" x14ac:dyDescent="0.25">
      <c r="A1231" s="1">
        <v>45222</v>
      </c>
      <c r="B1231" t="s">
        <v>25</v>
      </c>
      <c r="C1231" t="s">
        <v>19</v>
      </c>
      <c r="D1231" t="s">
        <v>12</v>
      </c>
      <c r="E1231" t="s">
        <v>231</v>
      </c>
      <c r="F1231" t="s">
        <v>78</v>
      </c>
      <c r="G1231" t="s">
        <v>28</v>
      </c>
      <c r="H1231">
        <v>9</v>
      </c>
      <c r="I1231">
        <v>3780</v>
      </c>
      <c r="J1231">
        <v>724.36</v>
      </c>
    </row>
    <row r="1232" spans="1:10" x14ac:dyDescent="0.25">
      <c r="A1232" s="1">
        <v>45073</v>
      </c>
      <c r="B1232" t="s">
        <v>40</v>
      </c>
      <c r="C1232" t="s">
        <v>19</v>
      </c>
      <c r="D1232" t="s">
        <v>12</v>
      </c>
      <c r="E1232" t="s">
        <v>187</v>
      </c>
      <c r="F1232" t="s">
        <v>23</v>
      </c>
      <c r="G1232" t="s">
        <v>24</v>
      </c>
      <c r="H1232">
        <v>1</v>
      </c>
      <c r="I1232">
        <v>1017</v>
      </c>
      <c r="J1232">
        <v>209.97</v>
      </c>
    </row>
    <row r="1233" spans="1:10" x14ac:dyDescent="0.25">
      <c r="A1233" s="1">
        <v>44957</v>
      </c>
      <c r="B1233" t="s">
        <v>40</v>
      </c>
      <c r="C1233" t="s">
        <v>19</v>
      </c>
      <c r="D1233" t="s">
        <v>12</v>
      </c>
      <c r="E1233" t="s">
        <v>52</v>
      </c>
      <c r="F1233" t="s">
        <v>42</v>
      </c>
      <c r="G1233" t="s">
        <v>28</v>
      </c>
      <c r="H1233">
        <v>6</v>
      </c>
      <c r="I1233">
        <v>1578</v>
      </c>
      <c r="J1233">
        <v>82.85</v>
      </c>
    </row>
    <row r="1234" spans="1:10" x14ac:dyDescent="0.25">
      <c r="A1234" s="1">
        <v>45208</v>
      </c>
      <c r="B1234" t="s">
        <v>40</v>
      </c>
      <c r="C1234" t="s">
        <v>19</v>
      </c>
      <c r="D1234" t="s">
        <v>12</v>
      </c>
      <c r="E1234" t="s">
        <v>52</v>
      </c>
      <c r="F1234" t="s">
        <v>42</v>
      </c>
      <c r="G1234" t="s">
        <v>28</v>
      </c>
      <c r="H1234">
        <v>2</v>
      </c>
      <c r="I1234">
        <v>912</v>
      </c>
      <c r="J1234">
        <v>161.37</v>
      </c>
    </row>
    <row r="1235" spans="1:10" x14ac:dyDescent="0.25">
      <c r="A1235" s="1">
        <v>45411</v>
      </c>
      <c r="B1235" t="s">
        <v>55</v>
      </c>
      <c r="C1235" t="s">
        <v>19</v>
      </c>
      <c r="D1235" t="s">
        <v>12</v>
      </c>
      <c r="E1235" t="s">
        <v>52</v>
      </c>
      <c r="F1235" t="s">
        <v>42</v>
      </c>
      <c r="G1235" t="s">
        <v>28</v>
      </c>
      <c r="H1235">
        <v>6</v>
      </c>
      <c r="I1235">
        <v>2520</v>
      </c>
      <c r="J1235">
        <v>182.59</v>
      </c>
    </row>
    <row r="1236" spans="1:10" x14ac:dyDescent="0.25">
      <c r="A1236" s="1">
        <v>45632</v>
      </c>
      <c r="B1236" t="s">
        <v>16</v>
      </c>
      <c r="C1236" t="s">
        <v>17</v>
      </c>
      <c r="D1236" t="s">
        <v>12</v>
      </c>
      <c r="E1236" t="s">
        <v>52</v>
      </c>
      <c r="F1236" t="s">
        <v>42</v>
      </c>
      <c r="G1236" t="s">
        <v>28</v>
      </c>
      <c r="H1236">
        <v>8</v>
      </c>
      <c r="I1236">
        <v>2632</v>
      </c>
      <c r="J1236">
        <v>262.55</v>
      </c>
    </row>
    <row r="1237" spans="1:10" x14ac:dyDescent="0.25">
      <c r="A1237" s="1">
        <v>45117</v>
      </c>
      <c r="B1237" t="s">
        <v>36</v>
      </c>
      <c r="C1237" t="s">
        <v>17</v>
      </c>
      <c r="D1237" t="s">
        <v>12</v>
      </c>
      <c r="E1237" t="s">
        <v>92</v>
      </c>
      <c r="F1237" t="s">
        <v>168</v>
      </c>
      <c r="G1237" t="s">
        <v>15</v>
      </c>
      <c r="H1237">
        <v>6</v>
      </c>
      <c r="I1237">
        <v>6582</v>
      </c>
      <c r="J1237">
        <v>729.68</v>
      </c>
    </row>
    <row r="1238" spans="1:10" x14ac:dyDescent="0.25">
      <c r="A1238" s="1">
        <v>45307</v>
      </c>
      <c r="B1238" t="s">
        <v>25</v>
      </c>
      <c r="C1238" t="s">
        <v>19</v>
      </c>
      <c r="D1238" t="s">
        <v>12</v>
      </c>
      <c r="E1238" t="s">
        <v>229</v>
      </c>
      <c r="F1238" t="s">
        <v>152</v>
      </c>
      <c r="G1238" t="s">
        <v>15</v>
      </c>
      <c r="H1238">
        <v>8</v>
      </c>
      <c r="I1238">
        <v>3432</v>
      </c>
      <c r="J1238">
        <v>172.69</v>
      </c>
    </row>
    <row r="1239" spans="1:10" x14ac:dyDescent="0.25">
      <c r="A1239" s="1">
        <v>45179</v>
      </c>
      <c r="B1239" t="s">
        <v>49</v>
      </c>
      <c r="C1239" t="s">
        <v>17</v>
      </c>
      <c r="D1239" t="s">
        <v>12</v>
      </c>
      <c r="E1239" t="s">
        <v>26</v>
      </c>
      <c r="F1239" t="s">
        <v>27</v>
      </c>
      <c r="G1239" t="s">
        <v>28</v>
      </c>
      <c r="H1239">
        <v>2</v>
      </c>
      <c r="I1239">
        <v>1030</v>
      </c>
      <c r="J1239">
        <v>254.65</v>
      </c>
    </row>
    <row r="1240" spans="1:10" x14ac:dyDescent="0.25">
      <c r="A1240" s="1">
        <v>44847</v>
      </c>
      <c r="B1240" t="s">
        <v>16</v>
      </c>
      <c r="C1240" t="s">
        <v>17</v>
      </c>
      <c r="D1240" t="s">
        <v>12</v>
      </c>
      <c r="E1240" t="s">
        <v>56</v>
      </c>
      <c r="F1240" t="s">
        <v>57</v>
      </c>
      <c r="G1240" t="s">
        <v>24</v>
      </c>
      <c r="H1240">
        <v>8</v>
      </c>
      <c r="I1240">
        <v>1192</v>
      </c>
      <c r="J1240">
        <v>289.91000000000003</v>
      </c>
    </row>
    <row r="1241" spans="1:10" x14ac:dyDescent="0.25">
      <c r="A1241" s="1">
        <v>45497</v>
      </c>
      <c r="B1241" t="s">
        <v>10</v>
      </c>
      <c r="C1241" t="s">
        <v>11</v>
      </c>
      <c r="D1241" t="s">
        <v>12</v>
      </c>
      <c r="E1241" t="s">
        <v>22</v>
      </c>
      <c r="F1241" t="s">
        <v>23</v>
      </c>
      <c r="G1241" t="s">
        <v>24</v>
      </c>
      <c r="H1241">
        <v>9</v>
      </c>
      <c r="I1241">
        <v>7083</v>
      </c>
      <c r="J1241">
        <v>994.47</v>
      </c>
    </row>
    <row r="1242" spans="1:10" x14ac:dyDescent="0.25">
      <c r="A1242" s="1">
        <v>44614</v>
      </c>
      <c r="B1242" t="s">
        <v>10</v>
      </c>
      <c r="C1242" t="s">
        <v>11</v>
      </c>
      <c r="D1242" t="s">
        <v>12</v>
      </c>
      <c r="E1242" t="s">
        <v>361</v>
      </c>
      <c r="F1242" t="s">
        <v>27</v>
      </c>
      <c r="G1242" t="s">
        <v>28</v>
      </c>
      <c r="H1242">
        <v>7</v>
      </c>
      <c r="I1242">
        <v>3675</v>
      </c>
      <c r="J1242">
        <v>227.14</v>
      </c>
    </row>
    <row r="1243" spans="1:10" x14ac:dyDescent="0.25">
      <c r="A1243" s="1">
        <v>45229</v>
      </c>
      <c r="B1243" t="s">
        <v>36</v>
      </c>
      <c r="C1243" t="s">
        <v>17</v>
      </c>
      <c r="D1243" t="s">
        <v>12</v>
      </c>
      <c r="E1243" t="s">
        <v>361</v>
      </c>
      <c r="F1243" t="s">
        <v>27</v>
      </c>
      <c r="G1243" t="s">
        <v>28</v>
      </c>
      <c r="H1243">
        <v>4</v>
      </c>
      <c r="I1243">
        <v>4740</v>
      </c>
      <c r="J1243">
        <v>833.27</v>
      </c>
    </row>
    <row r="1244" spans="1:10" x14ac:dyDescent="0.25">
      <c r="A1244" s="1">
        <v>45396</v>
      </c>
      <c r="B1244" t="s">
        <v>29</v>
      </c>
      <c r="C1244" t="s">
        <v>17</v>
      </c>
      <c r="D1244" t="s">
        <v>12</v>
      </c>
      <c r="E1244" t="s">
        <v>74</v>
      </c>
      <c r="F1244" t="s">
        <v>23</v>
      </c>
      <c r="G1244" t="s">
        <v>24</v>
      </c>
      <c r="H1244">
        <v>4</v>
      </c>
      <c r="I1244">
        <v>1716</v>
      </c>
      <c r="J1244">
        <v>364.96</v>
      </c>
    </row>
    <row r="1245" spans="1:10" x14ac:dyDescent="0.25">
      <c r="A1245" s="1">
        <v>44964</v>
      </c>
      <c r="B1245" t="s">
        <v>10</v>
      </c>
      <c r="C1245" t="s">
        <v>11</v>
      </c>
      <c r="D1245" t="s">
        <v>12</v>
      </c>
      <c r="E1245" t="s">
        <v>22</v>
      </c>
      <c r="F1245" t="s">
        <v>23</v>
      </c>
      <c r="G1245" t="s">
        <v>24</v>
      </c>
      <c r="H1245">
        <v>7</v>
      </c>
      <c r="I1245">
        <v>3528</v>
      </c>
      <c r="J1245">
        <v>260.06</v>
      </c>
    </row>
    <row r="1246" spans="1:10" x14ac:dyDescent="0.25">
      <c r="A1246" s="1">
        <v>44734</v>
      </c>
      <c r="B1246" t="s">
        <v>25</v>
      </c>
      <c r="C1246" t="s">
        <v>19</v>
      </c>
      <c r="D1246" t="s">
        <v>12</v>
      </c>
      <c r="E1246" t="s">
        <v>105</v>
      </c>
      <c r="F1246" t="s">
        <v>23</v>
      </c>
      <c r="G1246" t="s">
        <v>24</v>
      </c>
      <c r="H1246">
        <v>3</v>
      </c>
      <c r="I1246">
        <v>777</v>
      </c>
      <c r="J1246">
        <v>71.72</v>
      </c>
    </row>
    <row r="1247" spans="1:10" x14ac:dyDescent="0.25">
      <c r="A1247" s="1">
        <v>44680</v>
      </c>
      <c r="B1247" t="s">
        <v>25</v>
      </c>
      <c r="C1247" t="s">
        <v>19</v>
      </c>
      <c r="D1247" t="s">
        <v>12</v>
      </c>
      <c r="E1247" t="s">
        <v>52</v>
      </c>
      <c r="F1247" t="s">
        <v>42</v>
      </c>
      <c r="G1247" t="s">
        <v>28</v>
      </c>
      <c r="H1247">
        <v>4</v>
      </c>
      <c r="I1247">
        <v>3368</v>
      </c>
      <c r="J1247">
        <v>558.92999999999995</v>
      </c>
    </row>
    <row r="1248" spans="1:10" x14ac:dyDescent="0.25">
      <c r="A1248" s="1">
        <v>44845</v>
      </c>
      <c r="B1248" t="s">
        <v>18</v>
      </c>
      <c r="C1248" t="s">
        <v>19</v>
      </c>
      <c r="D1248" t="s">
        <v>12</v>
      </c>
      <c r="E1248" t="s">
        <v>238</v>
      </c>
      <c r="F1248" t="s">
        <v>191</v>
      </c>
      <c r="G1248" t="s">
        <v>35</v>
      </c>
      <c r="H1248">
        <v>4</v>
      </c>
      <c r="I1248">
        <v>4240</v>
      </c>
      <c r="J1248">
        <v>251.46</v>
      </c>
    </row>
    <row r="1249" spans="1:10" x14ac:dyDescent="0.25">
      <c r="A1249" s="1">
        <v>44666</v>
      </c>
      <c r="B1249" t="s">
        <v>55</v>
      </c>
      <c r="C1249" t="s">
        <v>19</v>
      </c>
      <c r="D1249" t="s">
        <v>12</v>
      </c>
      <c r="E1249" t="s">
        <v>238</v>
      </c>
      <c r="F1249" t="s">
        <v>191</v>
      </c>
      <c r="G1249" t="s">
        <v>35</v>
      </c>
      <c r="H1249">
        <v>3</v>
      </c>
      <c r="I1249">
        <v>3285</v>
      </c>
      <c r="J1249">
        <v>292.87</v>
      </c>
    </row>
    <row r="1250" spans="1:10" x14ac:dyDescent="0.25">
      <c r="A1250" s="1">
        <v>44940</v>
      </c>
      <c r="B1250" t="s">
        <v>40</v>
      </c>
      <c r="C1250" t="s">
        <v>19</v>
      </c>
      <c r="D1250" t="s">
        <v>12</v>
      </c>
      <c r="E1250" t="s">
        <v>362</v>
      </c>
      <c r="F1250" t="s">
        <v>88</v>
      </c>
      <c r="G1250" t="s">
        <v>15</v>
      </c>
      <c r="H1250">
        <v>6</v>
      </c>
      <c r="I1250">
        <v>4872</v>
      </c>
      <c r="J1250">
        <v>612.73</v>
      </c>
    </row>
    <row r="1251" spans="1:10" x14ac:dyDescent="0.25">
      <c r="A1251" s="1">
        <v>44797</v>
      </c>
      <c r="B1251" t="s">
        <v>40</v>
      </c>
      <c r="C1251" t="s">
        <v>19</v>
      </c>
      <c r="D1251" t="s">
        <v>12</v>
      </c>
      <c r="E1251" t="s">
        <v>362</v>
      </c>
      <c r="F1251" t="s">
        <v>88</v>
      </c>
      <c r="G1251" t="s">
        <v>15</v>
      </c>
      <c r="H1251">
        <v>9</v>
      </c>
      <c r="I1251">
        <v>2466</v>
      </c>
      <c r="J1251">
        <v>638.41</v>
      </c>
    </row>
    <row r="1252" spans="1:10" x14ac:dyDescent="0.25">
      <c r="A1252" s="1">
        <v>45591</v>
      </c>
      <c r="B1252" t="s">
        <v>18</v>
      </c>
      <c r="C1252" t="s">
        <v>19</v>
      </c>
      <c r="D1252" t="s">
        <v>12</v>
      </c>
      <c r="E1252" t="s">
        <v>22</v>
      </c>
      <c r="F1252" t="s">
        <v>23</v>
      </c>
      <c r="G1252" t="s">
        <v>24</v>
      </c>
      <c r="H1252">
        <v>5</v>
      </c>
      <c r="I1252">
        <v>2465</v>
      </c>
      <c r="J1252">
        <v>497.19</v>
      </c>
    </row>
    <row r="1253" spans="1:10" x14ac:dyDescent="0.25">
      <c r="A1253" s="1">
        <v>45061</v>
      </c>
      <c r="B1253" t="s">
        <v>18</v>
      </c>
      <c r="C1253" t="s">
        <v>19</v>
      </c>
      <c r="D1253" t="s">
        <v>12</v>
      </c>
      <c r="E1253" t="s">
        <v>75</v>
      </c>
      <c r="F1253" t="s">
        <v>63</v>
      </c>
      <c r="G1253" t="s">
        <v>28</v>
      </c>
      <c r="H1253">
        <v>3</v>
      </c>
      <c r="I1253">
        <v>612</v>
      </c>
      <c r="J1253">
        <v>40.15</v>
      </c>
    </row>
    <row r="1254" spans="1:10" x14ac:dyDescent="0.25">
      <c r="A1254" s="1">
        <v>44859</v>
      </c>
      <c r="B1254" t="s">
        <v>18</v>
      </c>
      <c r="C1254" t="s">
        <v>19</v>
      </c>
      <c r="D1254" t="s">
        <v>12</v>
      </c>
      <c r="E1254" t="s">
        <v>75</v>
      </c>
      <c r="F1254" t="s">
        <v>63</v>
      </c>
      <c r="G1254" t="s">
        <v>28</v>
      </c>
      <c r="H1254">
        <v>5</v>
      </c>
      <c r="I1254">
        <v>4170</v>
      </c>
      <c r="J1254">
        <v>658.98</v>
      </c>
    </row>
    <row r="1255" spans="1:10" x14ac:dyDescent="0.25">
      <c r="A1255" s="1">
        <v>44998</v>
      </c>
      <c r="B1255" t="s">
        <v>25</v>
      </c>
      <c r="C1255" t="s">
        <v>19</v>
      </c>
      <c r="D1255" t="s">
        <v>12</v>
      </c>
      <c r="E1255" t="s">
        <v>363</v>
      </c>
      <c r="F1255" t="s">
        <v>267</v>
      </c>
      <c r="G1255" t="s">
        <v>24</v>
      </c>
      <c r="H1255">
        <v>8</v>
      </c>
      <c r="I1255">
        <v>1088</v>
      </c>
      <c r="J1255">
        <v>160.33000000000001</v>
      </c>
    </row>
    <row r="1256" spans="1:10" x14ac:dyDescent="0.25">
      <c r="A1256" s="1">
        <v>45503</v>
      </c>
      <c r="B1256" t="s">
        <v>49</v>
      </c>
      <c r="C1256" t="s">
        <v>17</v>
      </c>
      <c r="D1256" t="s">
        <v>12</v>
      </c>
      <c r="E1256" t="s">
        <v>93</v>
      </c>
      <c r="F1256" t="s">
        <v>94</v>
      </c>
      <c r="G1256" t="s">
        <v>24</v>
      </c>
      <c r="H1256">
        <v>2</v>
      </c>
      <c r="I1256">
        <v>1626</v>
      </c>
      <c r="J1256">
        <v>354.49</v>
      </c>
    </row>
    <row r="1257" spans="1:10" x14ac:dyDescent="0.25">
      <c r="A1257" s="1">
        <v>45236</v>
      </c>
      <c r="B1257" t="s">
        <v>40</v>
      </c>
      <c r="C1257" t="s">
        <v>19</v>
      </c>
      <c r="D1257" t="s">
        <v>12</v>
      </c>
      <c r="E1257" t="s">
        <v>22</v>
      </c>
      <c r="F1257" t="s">
        <v>23</v>
      </c>
      <c r="G1257" t="s">
        <v>24</v>
      </c>
      <c r="H1257">
        <v>6</v>
      </c>
      <c r="I1257">
        <v>6486</v>
      </c>
      <c r="J1257">
        <v>359.49</v>
      </c>
    </row>
    <row r="1258" spans="1:10" x14ac:dyDescent="0.25">
      <c r="A1258" s="1">
        <v>44909</v>
      </c>
      <c r="B1258" t="s">
        <v>36</v>
      </c>
      <c r="C1258" t="s">
        <v>17</v>
      </c>
      <c r="D1258" t="s">
        <v>12</v>
      </c>
      <c r="E1258" t="s">
        <v>41</v>
      </c>
      <c r="F1258" t="s">
        <v>42</v>
      </c>
      <c r="G1258" t="s">
        <v>28</v>
      </c>
      <c r="H1258">
        <v>8</v>
      </c>
      <c r="I1258">
        <v>6968</v>
      </c>
      <c r="J1258">
        <v>1226.22</v>
      </c>
    </row>
    <row r="1259" spans="1:10" x14ac:dyDescent="0.25">
      <c r="A1259" s="1">
        <v>45294</v>
      </c>
      <c r="B1259" t="s">
        <v>40</v>
      </c>
      <c r="C1259" t="s">
        <v>19</v>
      </c>
      <c r="D1259" t="s">
        <v>12</v>
      </c>
      <c r="E1259" t="s">
        <v>129</v>
      </c>
      <c r="F1259" t="s">
        <v>48</v>
      </c>
      <c r="G1259" t="s">
        <v>15</v>
      </c>
      <c r="H1259">
        <v>1</v>
      </c>
      <c r="I1259">
        <v>357</v>
      </c>
      <c r="J1259">
        <v>82.86</v>
      </c>
    </row>
    <row r="1260" spans="1:10" x14ac:dyDescent="0.25">
      <c r="A1260" s="1">
        <v>45339</v>
      </c>
      <c r="B1260" t="s">
        <v>55</v>
      </c>
      <c r="C1260" t="s">
        <v>19</v>
      </c>
      <c r="D1260" t="s">
        <v>12</v>
      </c>
      <c r="E1260" t="s">
        <v>22</v>
      </c>
      <c r="F1260" t="s">
        <v>23</v>
      </c>
      <c r="G1260" t="s">
        <v>24</v>
      </c>
      <c r="H1260">
        <v>1</v>
      </c>
      <c r="I1260">
        <v>454</v>
      </c>
      <c r="J1260">
        <v>58.4</v>
      </c>
    </row>
    <row r="1261" spans="1:10" x14ac:dyDescent="0.25">
      <c r="A1261" s="1">
        <v>45386</v>
      </c>
      <c r="B1261" t="s">
        <v>18</v>
      </c>
      <c r="C1261" t="s">
        <v>19</v>
      </c>
      <c r="D1261" t="s">
        <v>12</v>
      </c>
      <c r="E1261" t="s">
        <v>22</v>
      </c>
      <c r="F1261" t="s">
        <v>23</v>
      </c>
      <c r="G1261" t="s">
        <v>24</v>
      </c>
      <c r="H1261">
        <v>3</v>
      </c>
      <c r="I1261">
        <v>3582</v>
      </c>
      <c r="J1261">
        <v>501.47</v>
      </c>
    </row>
    <row r="1262" spans="1:10" x14ac:dyDescent="0.25">
      <c r="A1262" s="1">
        <v>45468</v>
      </c>
      <c r="B1262" t="s">
        <v>18</v>
      </c>
      <c r="C1262" t="s">
        <v>19</v>
      </c>
      <c r="D1262" t="s">
        <v>12</v>
      </c>
      <c r="E1262" t="s">
        <v>146</v>
      </c>
      <c r="F1262" t="s">
        <v>21</v>
      </c>
      <c r="G1262" t="s">
        <v>15</v>
      </c>
      <c r="H1262">
        <v>9</v>
      </c>
      <c r="I1262">
        <v>3762</v>
      </c>
      <c r="J1262">
        <v>484.75</v>
      </c>
    </row>
    <row r="1263" spans="1:10" x14ac:dyDescent="0.25">
      <c r="A1263" s="1">
        <v>45596</v>
      </c>
      <c r="B1263" t="s">
        <v>32</v>
      </c>
      <c r="C1263" t="s">
        <v>19</v>
      </c>
      <c r="D1263" t="s">
        <v>12</v>
      </c>
      <c r="E1263" t="s">
        <v>364</v>
      </c>
      <c r="F1263" t="s">
        <v>133</v>
      </c>
      <c r="G1263" t="s">
        <v>28</v>
      </c>
      <c r="H1263">
        <v>9</v>
      </c>
      <c r="I1263">
        <v>6642</v>
      </c>
      <c r="J1263">
        <v>394.48</v>
      </c>
    </row>
    <row r="1264" spans="1:10" x14ac:dyDescent="0.25">
      <c r="A1264" s="1">
        <v>45560</v>
      </c>
      <c r="B1264" t="s">
        <v>36</v>
      </c>
      <c r="C1264" t="s">
        <v>17</v>
      </c>
      <c r="D1264" t="s">
        <v>12</v>
      </c>
      <c r="E1264" t="s">
        <v>22</v>
      </c>
      <c r="F1264" t="s">
        <v>23</v>
      </c>
      <c r="G1264" t="s">
        <v>24</v>
      </c>
      <c r="H1264">
        <v>4</v>
      </c>
      <c r="I1264">
        <v>408</v>
      </c>
      <c r="J1264">
        <v>45.2</v>
      </c>
    </row>
    <row r="1265" spans="1:10" x14ac:dyDescent="0.25">
      <c r="A1265" s="1">
        <v>45359</v>
      </c>
      <c r="B1265" t="s">
        <v>18</v>
      </c>
      <c r="C1265" t="s">
        <v>19</v>
      </c>
      <c r="D1265" t="s">
        <v>12</v>
      </c>
      <c r="E1265" t="s">
        <v>365</v>
      </c>
      <c r="F1265" t="s">
        <v>14</v>
      </c>
      <c r="G1265" t="s">
        <v>15</v>
      </c>
      <c r="H1265">
        <v>1</v>
      </c>
      <c r="I1265">
        <v>105</v>
      </c>
      <c r="J1265">
        <v>25.26</v>
      </c>
    </row>
    <row r="1266" spans="1:10" x14ac:dyDescent="0.25">
      <c r="A1266" s="1">
        <v>45416</v>
      </c>
      <c r="B1266" t="s">
        <v>18</v>
      </c>
      <c r="C1266" t="s">
        <v>19</v>
      </c>
      <c r="D1266" t="s">
        <v>12</v>
      </c>
      <c r="E1266" t="s">
        <v>366</v>
      </c>
      <c r="F1266" t="s">
        <v>94</v>
      </c>
      <c r="G1266" t="s">
        <v>24</v>
      </c>
      <c r="H1266">
        <v>3</v>
      </c>
      <c r="I1266">
        <v>2682</v>
      </c>
      <c r="J1266">
        <v>584.69000000000005</v>
      </c>
    </row>
    <row r="1267" spans="1:10" x14ac:dyDescent="0.25">
      <c r="A1267" s="1">
        <v>44753</v>
      </c>
      <c r="B1267" t="s">
        <v>49</v>
      </c>
      <c r="C1267" t="s">
        <v>17</v>
      </c>
      <c r="D1267" t="s">
        <v>12</v>
      </c>
      <c r="E1267" t="s">
        <v>341</v>
      </c>
      <c r="F1267" t="s">
        <v>46</v>
      </c>
      <c r="G1267" t="s">
        <v>15</v>
      </c>
      <c r="H1267">
        <v>7</v>
      </c>
      <c r="I1267">
        <v>497</v>
      </c>
      <c r="J1267">
        <v>76.31</v>
      </c>
    </row>
    <row r="1268" spans="1:10" x14ac:dyDescent="0.25">
      <c r="A1268" s="1">
        <v>44792</v>
      </c>
      <c r="B1268" t="s">
        <v>10</v>
      </c>
      <c r="C1268" t="s">
        <v>11</v>
      </c>
      <c r="D1268" t="s">
        <v>12</v>
      </c>
      <c r="E1268" t="s">
        <v>164</v>
      </c>
      <c r="F1268" t="s">
        <v>94</v>
      </c>
      <c r="G1268" t="s">
        <v>24</v>
      </c>
      <c r="H1268">
        <v>7</v>
      </c>
      <c r="I1268">
        <v>4823</v>
      </c>
      <c r="J1268">
        <v>420.58</v>
      </c>
    </row>
    <row r="1269" spans="1:10" x14ac:dyDescent="0.25">
      <c r="A1269" s="1">
        <v>45566</v>
      </c>
      <c r="B1269" t="s">
        <v>32</v>
      </c>
      <c r="C1269" t="s">
        <v>19</v>
      </c>
      <c r="D1269" t="s">
        <v>12</v>
      </c>
      <c r="E1269" t="s">
        <v>50</v>
      </c>
      <c r="F1269" t="s">
        <v>51</v>
      </c>
      <c r="G1269" t="s">
        <v>35</v>
      </c>
      <c r="H1269">
        <v>8</v>
      </c>
      <c r="I1269">
        <v>4048</v>
      </c>
      <c r="J1269">
        <v>666.1</v>
      </c>
    </row>
    <row r="1270" spans="1:10" x14ac:dyDescent="0.25">
      <c r="A1270" s="1">
        <v>45218</v>
      </c>
      <c r="B1270" t="s">
        <v>10</v>
      </c>
      <c r="C1270" t="s">
        <v>11</v>
      </c>
      <c r="D1270" t="s">
        <v>12</v>
      </c>
      <c r="E1270" t="s">
        <v>123</v>
      </c>
      <c r="F1270" t="s">
        <v>63</v>
      </c>
      <c r="G1270" t="s">
        <v>28</v>
      </c>
      <c r="H1270">
        <v>7</v>
      </c>
      <c r="I1270">
        <v>2758</v>
      </c>
      <c r="J1270">
        <v>459.02</v>
      </c>
    </row>
    <row r="1271" spans="1:10" x14ac:dyDescent="0.25">
      <c r="A1271" s="1">
        <v>44918</v>
      </c>
      <c r="B1271" t="s">
        <v>40</v>
      </c>
      <c r="C1271" t="s">
        <v>19</v>
      </c>
      <c r="D1271" t="s">
        <v>12</v>
      </c>
      <c r="E1271" t="s">
        <v>243</v>
      </c>
      <c r="F1271" t="s">
        <v>23</v>
      </c>
      <c r="G1271" t="s">
        <v>24</v>
      </c>
      <c r="H1271">
        <v>8</v>
      </c>
      <c r="I1271">
        <v>4096</v>
      </c>
      <c r="J1271">
        <v>266.35000000000002</v>
      </c>
    </row>
    <row r="1272" spans="1:10" x14ac:dyDescent="0.25">
      <c r="A1272" s="1">
        <v>45576</v>
      </c>
      <c r="B1272" t="s">
        <v>10</v>
      </c>
      <c r="C1272" t="s">
        <v>11</v>
      </c>
      <c r="D1272" t="s">
        <v>12</v>
      </c>
      <c r="E1272" t="s">
        <v>243</v>
      </c>
      <c r="F1272" t="s">
        <v>23</v>
      </c>
      <c r="G1272" t="s">
        <v>24</v>
      </c>
      <c r="H1272">
        <v>8</v>
      </c>
      <c r="I1272">
        <v>7264</v>
      </c>
      <c r="J1272">
        <v>1318</v>
      </c>
    </row>
    <row r="1273" spans="1:10" x14ac:dyDescent="0.25">
      <c r="A1273" s="1">
        <v>44660</v>
      </c>
      <c r="B1273" t="s">
        <v>16</v>
      </c>
      <c r="C1273" t="s">
        <v>17</v>
      </c>
      <c r="D1273" t="s">
        <v>12</v>
      </c>
      <c r="E1273" t="s">
        <v>52</v>
      </c>
      <c r="F1273" t="s">
        <v>42</v>
      </c>
      <c r="G1273" t="s">
        <v>28</v>
      </c>
      <c r="H1273">
        <v>6</v>
      </c>
      <c r="I1273">
        <v>4302</v>
      </c>
      <c r="J1273">
        <v>957.38</v>
      </c>
    </row>
    <row r="1274" spans="1:10" x14ac:dyDescent="0.25">
      <c r="A1274" s="1">
        <v>44623</v>
      </c>
      <c r="B1274" t="s">
        <v>10</v>
      </c>
      <c r="C1274" t="s">
        <v>11</v>
      </c>
      <c r="D1274" t="s">
        <v>12</v>
      </c>
      <c r="E1274" t="s">
        <v>367</v>
      </c>
      <c r="F1274" t="s">
        <v>34</v>
      </c>
      <c r="G1274" t="s">
        <v>35</v>
      </c>
      <c r="H1274">
        <v>7</v>
      </c>
      <c r="I1274">
        <v>3297</v>
      </c>
      <c r="J1274">
        <v>583.86</v>
      </c>
    </row>
    <row r="1275" spans="1:10" x14ac:dyDescent="0.25">
      <c r="A1275" s="1">
        <v>44953</v>
      </c>
      <c r="B1275" t="s">
        <v>10</v>
      </c>
      <c r="C1275" t="s">
        <v>11</v>
      </c>
      <c r="D1275" t="s">
        <v>12</v>
      </c>
      <c r="E1275" t="s">
        <v>97</v>
      </c>
      <c r="F1275" t="s">
        <v>23</v>
      </c>
      <c r="G1275" t="s">
        <v>24</v>
      </c>
      <c r="H1275">
        <v>5</v>
      </c>
      <c r="I1275">
        <v>5960</v>
      </c>
      <c r="J1275">
        <v>1139.78</v>
      </c>
    </row>
    <row r="1276" spans="1:10" x14ac:dyDescent="0.25">
      <c r="A1276" s="1">
        <v>45313</v>
      </c>
      <c r="B1276" t="s">
        <v>49</v>
      </c>
      <c r="C1276" t="s">
        <v>17</v>
      </c>
      <c r="D1276" t="s">
        <v>12</v>
      </c>
      <c r="E1276" t="s">
        <v>52</v>
      </c>
      <c r="F1276" t="s">
        <v>42</v>
      </c>
      <c r="G1276" t="s">
        <v>28</v>
      </c>
      <c r="H1276">
        <v>1</v>
      </c>
      <c r="I1276">
        <v>386</v>
      </c>
      <c r="J1276">
        <v>114.9</v>
      </c>
    </row>
    <row r="1277" spans="1:10" x14ac:dyDescent="0.25">
      <c r="A1277" s="1">
        <v>44581</v>
      </c>
      <c r="B1277" t="s">
        <v>10</v>
      </c>
      <c r="C1277" t="s">
        <v>11</v>
      </c>
      <c r="D1277" t="s">
        <v>12</v>
      </c>
      <c r="E1277" t="s">
        <v>52</v>
      </c>
      <c r="F1277" t="s">
        <v>42</v>
      </c>
      <c r="G1277" t="s">
        <v>28</v>
      </c>
      <c r="H1277">
        <v>1</v>
      </c>
      <c r="I1277">
        <v>684</v>
      </c>
      <c r="J1277">
        <v>170.36</v>
      </c>
    </row>
    <row r="1278" spans="1:10" x14ac:dyDescent="0.25">
      <c r="A1278" s="1">
        <v>44727</v>
      </c>
      <c r="B1278" t="s">
        <v>55</v>
      </c>
      <c r="C1278" t="s">
        <v>19</v>
      </c>
      <c r="D1278" t="s">
        <v>12</v>
      </c>
      <c r="E1278" t="s">
        <v>52</v>
      </c>
      <c r="F1278" t="s">
        <v>42</v>
      </c>
      <c r="G1278" t="s">
        <v>28</v>
      </c>
      <c r="H1278">
        <v>3</v>
      </c>
      <c r="I1278">
        <v>1275</v>
      </c>
      <c r="J1278">
        <v>168.64</v>
      </c>
    </row>
    <row r="1279" spans="1:10" x14ac:dyDescent="0.25">
      <c r="A1279" s="1">
        <v>45064</v>
      </c>
      <c r="B1279" t="s">
        <v>16</v>
      </c>
      <c r="C1279" t="s">
        <v>17</v>
      </c>
      <c r="D1279" t="s">
        <v>12</v>
      </c>
      <c r="E1279" t="s">
        <v>52</v>
      </c>
      <c r="F1279" t="s">
        <v>42</v>
      </c>
      <c r="G1279" t="s">
        <v>28</v>
      </c>
      <c r="H1279">
        <v>9</v>
      </c>
      <c r="I1279">
        <v>5949</v>
      </c>
      <c r="J1279">
        <v>368.51</v>
      </c>
    </row>
    <row r="1280" spans="1:10" x14ac:dyDescent="0.25">
      <c r="A1280" s="1">
        <v>44963</v>
      </c>
      <c r="B1280" t="s">
        <v>25</v>
      </c>
      <c r="C1280" t="s">
        <v>19</v>
      </c>
      <c r="D1280" t="s">
        <v>12</v>
      </c>
      <c r="E1280" t="s">
        <v>26</v>
      </c>
      <c r="F1280" t="s">
        <v>27</v>
      </c>
      <c r="G1280" t="s">
        <v>28</v>
      </c>
      <c r="H1280">
        <v>7</v>
      </c>
      <c r="I1280">
        <v>5159</v>
      </c>
      <c r="J1280">
        <v>755.22</v>
      </c>
    </row>
    <row r="1281" spans="1:10" x14ac:dyDescent="0.25">
      <c r="A1281" s="1">
        <v>44743</v>
      </c>
      <c r="B1281" t="s">
        <v>36</v>
      </c>
      <c r="C1281" t="s">
        <v>17</v>
      </c>
      <c r="D1281" t="s">
        <v>12</v>
      </c>
      <c r="E1281" t="s">
        <v>325</v>
      </c>
      <c r="F1281" t="s">
        <v>63</v>
      </c>
      <c r="G1281" t="s">
        <v>28</v>
      </c>
      <c r="H1281">
        <v>4</v>
      </c>
      <c r="I1281">
        <v>1100</v>
      </c>
      <c r="J1281">
        <v>127.13</v>
      </c>
    </row>
    <row r="1282" spans="1:10" x14ac:dyDescent="0.25">
      <c r="A1282" s="1">
        <v>45317</v>
      </c>
      <c r="B1282" t="s">
        <v>16</v>
      </c>
      <c r="C1282" t="s">
        <v>17</v>
      </c>
      <c r="D1282" t="s">
        <v>12</v>
      </c>
      <c r="E1282" t="s">
        <v>325</v>
      </c>
      <c r="F1282" t="s">
        <v>63</v>
      </c>
      <c r="G1282" t="s">
        <v>28</v>
      </c>
      <c r="H1282">
        <v>2</v>
      </c>
      <c r="I1282">
        <v>290</v>
      </c>
      <c r="J1282">
        <v>50.23</v>
      </c>
    </row>
    <row r="1283" spans="1:10" x14ac:dyDescent="0.25">
      <c r="A1283" s="1">
        <v>45143</v>
      </c>
      <c r="B1283" t="s">
        <v>32</v>
      </c>
      <c r="C1283" t="s">
        <v>19</v>
      </c>
      <c r="D1283" t="s">
        <v>12</v>
      </c>
      <c r="E1283" t="s">
        <v>325</v>
      </c>
      <c r="F1283" t="s">
        <v>63</v>
      </c>
      <c r="G1283" t="s">
        <v>28</v>
      </c>
      <c r="H1283">
        <v>8</v>
      </c>
      <c r="I1283">
        <v>7144</v>
      </c>
      <c r="J1283">
        <v>492.1</v>
      </c>
    </row>
    <row r="1284" spans="1:10" x14ac:dyDescent="0.25">
      <c r="A1284" s="1">
        <v>44782</v>
      </c>
      <c r="B1284" t="s">
        <v>49</v>
      </c>
      <c r="C1284" t="s">
        <v>17</v>
      </c>
      <c r="D1284" t="s">
        <v>12</v>
      </c>
      <c r="E1284" t="s">
        <v>132</v>
      </c>
      <c r="F1284" t="s">
        <v>189</v>
      </c>
      <c r="G1284" t="s">
        <v>24</v>
      </c>
      <c r="H1284">
        <v>5</v>
      </c>
      <c r="I1284">
        <v>4200</v>
      </c>
      <c r="J1284">
        <v>330.48</v>
      </c>
    </row>
    <row r="1285" spans="1:10" x14ac:dyDescent="0.25">
      <c r="A1285" s="1">
        <v>44600</v>
      </c>
      <c r="B1285" t="s">
        <v>36</v>
      </c>
      <c r="C1285" t="s">
        <v>17</v>
      </c>
      <c r="D1285" t="s">
        <v>12</v>
      </c>
      <c r="E1285" t="s">
        <v>132</v>
      </c>
      <c r="F1285" t="s">
        <v>189</v>
      </c>
      <c r="G1285" t="s">
        <v>24</v>
      </c>
      <c r="H1285">
        <v>6</v>
      </c>
      <c r="I1285">
        <v>5022</v>
      </c>
      <c r="J1285">
        <v>291.89</v>
      </c>
    </row>
    <row r="1286" spans="1:10" x14ac:dyDescent="0.25">
      <c r="A1286" s="1">
        <v>45639</v>
      </c>
      <c r="B1286" t="s">
        <v>40</v>
      </c>
      <c r="C1286" t="s">
        <v>19</v>
      </c>
      <c r="D1286" t="s">
        <v>12</v>
      </c>
      <c r="E1286" t="s">
        <v>52</v>
      </c>
      <c r="F1286" t="s">
        <v>42</v>
      </c>
      <c r="G1286" t="s">
        <v>28</v>
      </c>
      <c r="H1286">
        <v>2</v>
      </c>
      <c r="I1286">
        <v>2354</v>
      </c>
      <c r="J1286">
        <v>371.34</v>
      </c>
    </row>
    <row r="1287" spans="1:10" x14ac:dyDescent="0.25">
      <c r="A1287" s="1">
        <v>45575</v>
      </c>
      <c r="B1287" t="s">
        <v>40</v>
      </c>
      <c r="C1287" t="s">
        <v>19</v>
      </c>
      <c r="D1287" t="s">
        <v>12</v>
      </c>
      <c r="E1287" t="s">
        <v>52</v>
      </c>
      <c r="F1287" t="s">
        <v>42</v>
      </c>
      <c r="G1287" t="s">
        <v>28</v>
      </c>
      <c r="H1287">
        <v>2</v>
      </c>
      <c r="I1287">
        <v>2032</v>
      </c>
      <c r="J1287">
        <v>149.69999999999999</v>
      </c>
    </row>
    <row r="1288" spans="1:10" x14ac:dyDescent="0.25">
      <c r="A1288" s="1">
        <v>45580</v>
      </c>
      <c r="B1288" t="s">
        <v>10</v>
      </c>
      <c r="C1288" t="s">
        <v>11</v>
      </c>
      <c r="D1288" t="s">
        <v>12</v>
      </c>
      <c r="E1288" t="s">
        <v>22</v>
      </c>
      <c r="F1288" t="s">
        <v>23</v>
      </c>
      <c r="G1288" t="s">
        <v>24</v>
      </c>
      <c r="H1288">
        <v>8</v>
      </c>
      <c r="I1288">
        <v>9528</v>
      </c>
      <c r="J1288">
        <v>1942.35</v>
      </c>
    </row>
    <row r="1289" spans="1:10" x14ac:dyDescent="0.25">
      <c r="A1289" s="1">
        <v>45437</v>
      </c>
      <c r="B1289" t="s">
        <v>49</v>
      </c>
      <c r="C1289" t="s">
        <v>17</v>
      </c>
      <c r="D1289" t="s">
        <v>12</v>
      </c>
      <c r="E1289" t="s">
        <v>74</v>
      </c>
      <c r="F1289" t="s">
        <v>23</v>
      </c>
      <c r="G1289" t="s">
        <v>24</v>
      </c>
      <c r="H1289">
        <v>2</v>
      </c>
      <c r="I1289">
        <v>2372</v>
      </c>
      <c r="J1289">
        <v>275.88</v>
      </c>
    </row>
    <row r="1290" spans="1:10" x14ac:dyDescent="0.25">
      <c r="A1290" s="1">
        <v>44606</v>
      </c>
      <c r="B1290" t="s">
        <v>55</v>
      </c>
      <c r="C1290" t="s">
        <v>19</v>
      </c>
      <c r="D1290" t="s">
        <v>12</v>
      </c>
      <c r="E1290" t="s">
        <v>116</v>
      </c>
      <c r="F1290" t="s">
        <v>23</v>
      </c>
      <c r="G1290" t="s">
        <v>24</v>
      </c>
      <c r="H1290">
        <v>3</v>
      </c>
      <c r="I1290">
        <v>2703</v>
      </c>
      <c r="J1290">
        <v>609.75</v>
      </c>
    </row>
    <row r="1291" spans="1:10" x14ac:dyDescent="0.25">
      <c r="A1291" s="1">
        <v>45050</v>
      </c>
      <c r="B1291" t="s">
        <v>55</v>
      </c>
      <c r="C1291" t="s">
        <v>19</v>
      </c>
      <c r="D1291" t="s">
        <v>12</v>
      </c>
      <c r="E1291" t="s">
        <v>75</v>
      </c>
      <c r="F1291" t="s">
        <v>108</v>
      </c>
      <c r="G1291" t="s">
        <v>15</v>
      </c>
      <c r="H1291">
        <v>4</v>
      </c>
      <c r="I1291">
        <v>1264</v>
      </c>
      <c r="J1291">
        <v>267.82</v>
      </c>
    </row>
    <row r="1292" spans="1:10" x14ac:dyDescent="0.25">
      <c r="A1292" s="1">
        <v>45433</v>
      </c>
      <c r="B1292" t="s">
        <v>40</v>
      </c>
      <c r="C1292" t="s">
        <v>19</v>
      </c>
      <c r="D1292" t="s">
        <v>12</v>
      </c>
      <c r="E1292" t="s">
        <v>74</v>
      </c>
      <c r="F1292" t="s">
        <v>23</v>
      </c>
      <c r="G1292" t="s">
        <v>24</v>
      </c>
      <c r="H1292">
        <v>4</v>
      </c>
      <c r="I1292">
        <v>1624</v>
      </c>
      <c r="J1292">
        <v>333.74</v>
      </c>
    </row>
    <row r="1293" spans="1:10" x14ac:dyDescent="0.25">
      <c r="A1293" s="1">
        <v>45060</v>
      </c>
      <c r="B1293" t="s">
        <v>16</v>
      </c>
      <c r="C1293" t="s">
        <v>17</v>
      </c>
      <c r="D1293" t="s">
        <v>12</v>
      </c>
      <c r="E1293" t="s">
        <v>26</v>
      </c>
      <c r="F1293" t="s">
        <v>27</v>
      </c>
      <c r="G1293" t="s">
        <v>28</v>
      </c>
      <c r="H1293">
        <v>8</v>
      </c>
      <c r="I1293">
        <v>2976</v>
      </c>
      <c r="J1293">
        <v>507.77</v>
      </c>
    </row>
    <row r="1294" spans="1:10" x14ac:dyDescent="0.25">
      <c r="A1294" s="1">
        <v>45475</v>
      </c>
      <c r="B1294" t="s">
        <v>29</v>
      </c>
      <c r="C1294" t="s">
        <v>17</v>
      </c>
      <c r="D1294" t="s">
        <v>12</v>
      </c>
      <c r="E1294" t="s">
        <v>26</v>
      </c>
      <c r="F1294" t="s">
        <v>27</v>
      </c>
      <c r="G1294" t="s">
        <v>28</v>
      </c>
      <c r="H1294">
        <v>6</v>
      </c>
      <c r="I1294">
        <v>4998</v>
      </c>
      <c r="J1294">
        <v>863.82</v>
      </c>
    </row>
    <row r="1295" spans="1:10" x14ac:dyDescent="0.25">
      <c r="A1295" s="1">
        <v>45400</v>
      </c>
      <c r="B1295" t="s">
        <v>10</v>
      </c>
      <c r="C1295" t="s">
        <v>11</v>
      </c>
      <c r="D1295" t="s">
        <v>12</v>
      </c>
      <c r="E1295" t="s">
        <v>101</v>
      </c>
      <c r="F1295" t="s">
        <v>21</v>
      </c>
      <c r="G1295" t="s">
        <v>15</v>
      </c>
      <c r="H1295">
        <v>1</v>
      </c>
      <c r="I1295">
        <v>445</v>
      </c>
      <c r="J1295">
        <v>29.57</v>
      </c>
    </row>
    <row r="1296" spans="1:10" x14ac:dyDescent="0.25">
      <c r="A1296" s="1">
        <v>44854</v>
      </c>
      <c r="B1296" t="s">
        <v>10</v>
      </c>
      <c r="C1296" t="s">
        <v>11</v>
      </c>
      <c r="D1296" t="s">
        <v>12</v>
      </c>
      <c r="E1296" t="s">
        <v>101</v>
      </c>
      <c r="F1296" t="s">
        <v>21</v>
      </c>
      <c r="G1296" t="s">
        <v>15</v>
      </c>
      <c r="H1296">
        <v>1</v>
      </c>
      <c r="I1296">
        <v>98</v>
      </c>
      <c r="J1296">
        <v>28.57</v>
      </c>
    </row>
    <row r="1297" spans="1:10" x14ac:dyDescent="0.25">
      <c r="A1297" s="1">
        <v>44795</v>
      </c>
      <c r="B1297" t="s">
        <v>18</v>
      </c>
      <c r="C1297" t="s">
        <v>19</v>
      </c>
      <c r="D1297" t="s">
        <v>12</v>
      </c>
      <c r="E1297" t="s">
        <v>47</v>
      </c>
      <c r="F1297" t="s">
        <v>48</v>
      </c>
      <c r="G1297" t="s">
        <v>15</v>
      </c>
      <c r="H1297">
        <v>7</v>
      </c>
      <c r="I1297">
        <v>4102</v>
      </c>
      <c r="J1297">
        <v>354.03</v>
      </c>
    </row>
    <row r="1298" spans="1:10" x14ac:dyDescent="0.25">
      <c r="A1298" s="1">
        <v>44572</v>
      </c>
      <c r="B1298" t="s">
        <v>10</v>
      </c>
      <c r="C1298" t="s">
        <v>11</v>
      </c>
      <c r="D1298" t="s">
        <v>12</v>
      </c>
      <c r="E1298" t="s">
        <v>368</v>
      </c>
      <c r="F1298" t="s">
        <v>189</v>
      </c>
      <c r="G1298" t="s">
        <v>24</v>
      </c>
      <c r="H1298">
        <v>1</v>
      </c>
      <c r="I1298">
        <v>1016</v>
      </c>
      <c r="J1298">
        <v>171.31</v>
      </c>
    </row>
    <row r="1299" spans="1:10" x14ac:dyDescent="0.25">
      <c r="A1299" s="1">
        <v>45156</v>
      </c>
      <c r="B1299" t="s">
        <v>29</v>
      </c>
      <c r="C1299" t="s">
        <v>17</v>
      </c>
      <c r="D1299" t="s">
        <v>12</v>
      </c>
      <c r="E1299" t="s">
        <v>52</v>
      </c>
      <c r="F1299" t="s">
        <v>42</v>
      </c>
      <c r="G1299" t="s">
        <v>28</v>
      </c>
      <c r="H1299">
        <v>4</v>
      </c>
      <c r="I1299">
        <v>1960</v>
      </c>
      <c r="J1299">
        <v>234.88</v>
      </c>
    </row>
    <row r="1300" spans="1:10" x14ac:dyDescent="0.25">
      <c r="A1300" s="1">
        <v>45550</v>
      </c>
      <c r="B1300" t="s">
        <v>16</v>
      </c>
      <c r="C1300" t="s">
        <v>17</v>
      </c>
      <c r="D1300" t="s">
        <v>12</v>
      </c>
      <c r="E1300" t="s">
        <v>350</v>
      </c>
      <c r="F1300" t="s">
        <v>23</v>
      </c>
      <c r="G1300" t="s">
        <v>24</v>
      </c>
      <c r="H1300">
        <v>7</v>
      </c>
      <c r="I1300">
        <v>2751</v>
      </c>
      <c r="J1300">
        <v>675.95</v>
      </c>
    </row>
    <row r="1301" spans="1:10" x14ac:dyDescent="0.25">
      <c r="A1301" s="1">
        <v>44757</v>
      </c>
      <c r="B1301" t="s">
        <v>40</v>
      </c>
      <c r="C1301" t="s">
        <v>19</v>
      </c>
      <c r="D1301" t="s">
        <v>12</v>
      </c>
      <c r="E1301" t="s">
        <v>215</v>
      </c>
      <c r="F1301" t="s">
        <v>63</v>
      </c>
      <c r="G1301" t="s">
        <v>28</v>
      </c>
      <c r="H1301">
        <v>7</v>
      </c>
      <c r="I1301">
        <v>4032</v>
      </c>
      <c r="J1301">
        <v>742.98</v>
      </c>
    </row>
    <row r="1302" spans="1:10" x14ac:dyDescent="0.25">
      <c r="A1302" s="1">
        <v>45501</v>
      </c>
      <c r="B1302" t="s">
        <v>40</v>
      </c>
      <c r="C1302" t="s">
        <v>19</v>
      </c>
      <c r="D1302" t="s">
        <v>12</v>
      </c>
      <c r="E1302" t="s">
        <v>37</v>
      </c>
      <c r="F1302" t="s">
        <v>34</v>
      </c>
      <c r="G1302" t="s">
        <v>35</v>
      </c>
      <c r="H1302">
        <v>7</v>
      </c>
      <c r="I1302">
        <v>5978</v>
      </c>
      <c r="J1302">
        <v>1791.25</v>
      </c>
    </row>
    <row r="1303" spans="1:10" x14ac:dyDescent="0.25">
      <c r="A1303" s="1">
        <v>45276</v>
      </c>
      <c r="B1303" t="s">
        <v>29</v>
      </c>
      <c r="C1303" t="s">
        <v>17</v>
      </c>
      <c r="D1303" t="s">
        <v>12</v>
      </c>
      <c r="E1303" t="s">
        <v>56</v>
      </c>
      <c r="F1303" t="s">
        <v>57</v>
      </c>
      <c r="G1303" t="s">
        <v>24</v>
      </c>
      <c r="H1303">
        <v>7</v>
      </c>
      <c r="I1303">
        <v>8050</v>
      </c>
      <c r="J1303">
        <v>2129.9699999999998</v>
      </c>
    </row>
    <row r="1304" spans="1:10" x14ac:dyDescent="0.25">
      <c r="A1304" s="1">
        <v>45436</v>
      </c>
      <c r="B1304" t="s">
        <v>36</v>
      </c>
      <c r="C1304" t="s">
        <v>17</v>
      </c>
      <c r="D1304" t="s">
        <v>12</v>
      </c>
      <c r="E1304" t="s">
        <v>52</v>
      </c>
      <c r="F1304" t="s">
        <v>42</v>
      </c>
      <c r="G1304" t="s">
        <v>28</v>
      </c>
      <c r="H1304">
        <v>7</v>
      </c>
      <c r="I1304">
        <v>4648</v>
      </c>
      <c r="J1304">
        <v>1240.98</v>
      </c>
    </row>
    <row r="1305" spans="1:10" x14ac:dyDescent="0.25">
      <c r="A1305" s="1">
        <v>44726</v>
      </c>
      <c r="B1305" t="s">
        <v>40</v>
      </c>
      <c r="C1305" t="s">
        <v>19</v>
      </c>
      <c r="D1305" t="s">
        <v>12</v>
      </c>
      <c r="E1305" t="s">
        <v>369</v>
      </c>
      <c r="F1305" t="s">
        <v>46</v>
      </c>
      <c r="G1305" t="s">
        <v>15</v>
      </c>
      <c r="H1305">
        <v>3</v>
      </c>
      <c r="I1305">
        <v>1119</v>
      </c>
      <c r="J1305">
        <v>108.68</v>
      </c>
    </row>
    <row r="1306" spans="1:10" x14ac:dyDescent="0.25">
      <c r="A1306" s="1">
        <v>45091</v>
      </c>
      <c r="B1306" t="s">
        <v>10</v>
      </c>
      <c r="C1306" t="s">
        <v>11</v>
      </c>
      <c r="D1306" t="s">
        <v>12</v>
      </c>
      <c r="E1306" t="s">
        <v>368</v>
      </c>
      <c r="F1306" t="s">
        <v>189</v>
      </c>
      <c r="G1306" t="s">
        <v>24</v>
      </c>
      <c r="H1306">
        <v>9</v>
      </c>
      <c r="I1306">
        <v>2178</v>
      </c>
      <c r="J1306">
        <v>382.67</v>
      </c>
    </row>
    <row r="1307" spans="1:10" x14ac:dyDescent="0.25">
      <c r="A1307" s="1">
        <v>45637</v>
      </c>
      <c r="B1307" t="s">
        <v>55</v>
      </c>
      <c r="C1307" t="s">
        <v>19</v>
      </c>
      <c r="D1307" t="s">
        <v>12</v>
      </c>
      <c r="E1307" t="s">
        <v>368</v>
      </c>
      <c r="F1307" t="s">
        <v>189</v>
      </c>
      <c r="G1307" t="s">
        <v>24</v>
      </c>
      <c r="H1307">
        <v>1</v>
      </c>
      <c r="I1307">
        <v>918</v>
      </c>
      <c r="J1307">
        <v>180.31</v>
      </c>
    </row>
    <row r="1308" spans="1:10" x14ac:dyDescent="0.25">
      <c r="A1308" s="1">
        <v>44962</v>
      </c>
      <c r="B1308" t="s">
        <v>40</v>
      </c>
      <c r="C1308" t="s">
        <v>19</v>
      </c>
      <c r="D1308" t="s">
        <v>12</v>
      </c>
      <c r="E1308" t="s">
        <v>56</v>
      </c>
      <c r="F1308" t="s">
        <v>57</v>
      </c>
      <c r="G1308" t="s">
        <v>24</v>
      </c>
      <c r="H1308">
        <v>9</v>
      </c>
      <c r="I1308">
        <v>6903</v>
      </c>
      <c r="J1308">
        <v>837.35</v>
      </c>
    </row>
    <row r="1309" spans="1:10" x14ac:dyDescent="0.25">
      <c r="A1309" s="1">
        <v>45159</v>
      </c>
      <c r="B1309" t="s">
        <v>49</v>
      </c>
      <c r="C1309" t="s">
        <v>17</v>
      </c>
      <c r="D1309" t="s">
        <v>12</v>
      </c>
      <c r="E1309" t="s">
        <v>187</v>
      </c>
      <c r="F1309" t="s">
        <v>23</v>
      </c>
      <c r="G1309" t="s">
        <v>24</v>
      </c>
      <c r="H1309">
        <v>5</v>
      </c>
      <c r="I1309">
        <v>4855</v>
      </c>
      <c r="J1309">
        <v>534.23</v>
      </c>
    </row>
    <row r="1310" spans="1:10" x14ac:dyDescent="0.25">
      <c r="A1310" s="1">
        <v>45278</v>
      </c>
      <c r="B1310" t="s">
        <v>25</v>
      </c>
      <c r="C1310" t="s">
        <v>19</v>
      </c>
      <c r="D1310" t="s">
        <v>12</v>
      </c>
      <c r="E1310" t="s">
        <v>91</v>
      </c>
      <c r="F1310" t="s">
        <v>133</v>
      </c>
      <c r="G1310" t="s">
        <v>28</v>
      </c>
      <c r="H1310">
        <v>2</v>
      </c>
      <c r="I1310">
        <v>2158</v>
      </c>
      <c r="J1310">
        <v>483.94</v>
      </c>
    </row>
    <row r="1311" spans="1:10" x14ac:dyDescent="0.25">
      <c r="A1311" s="1">
        <v>45029</v>
      </c>
      <c r="B1311" t="s">
        <v>16</v>
      </c>
      <c r="C1311" t="s">
        <v>17</v>
      </c>
      <c r="D1311" t="s">
        <v>12</v>
      </c>
      <c r="E1311" t="s">
        <v>56</v>
      </c>
      <c r="F1311" t="s">
        <v>57</v>
      </c>
      <c r="G1311" t="s">
        <v>24</v>
      </c>
      <c r="H1311">
        <v>7</v>
      </c>
      <c r="I1311">
        <v>4550</v>
      </c>
      <c r="J1311">
        <v>1077.8</v>
      </c>
    </row>
    <row r="1312" spans="1:10" x14ac:dyDescent="0.25">
      <c r="A1312" s="1">
        <v>45193</v>
      </c>
      <c r="B1312" t="s">
        <v>18</v>
      </c>
      <c r="C1312" t="s">
        <v>19</v>
      </c>
      <c r="D1312" t="s">
        <v>12</v>
      </c>
      <c r="E1312" t="s">
        <v>75</v>
      </c>
      <c r="F1312" t="s">
        <v>39</v>
      </c>
      <c r="G1312" t="s">
        <v>35</v>
      </c>
      <c r="H1312">
        <v>4</v>
      </c>
      <c r="I1312">
        <v>3592</v>
      </c>
      <c r="J1312">
        <v>249.54</v>
      </c>
    </row>
    <row r="1313" spans="1:10" x14ac:dyDescent="0.25">
      <c r="A1313" s="1">
        <v>44914</v>
      </c>
      <c r="B1313" t="s">
        <v>18</v>
      </c>
      <c r="C1313" t="s">
        <v>19</v>
      </c>
      <c r="D1313" t="s">
        <v>12</v>
      </c>
      <c r="E1313" t="s">
        <v>197</v>
      </c>
      <c r="F1313" t="s">
        <v>168</v>
      </c>
      <c r="G1313" t="s">
        <v>15</v>
      </c>
      <c r="H1313">
        <v>8</v>
      </c>
      <c r="I1313">
        <v>3488</v>
      </c>
      <c r="J1313">
        <v>943.25</v>
      </c>
    </row>
    <row r="1314" spans="1:10" x14ac:dyDescent="0.25">
      <c r="A1314" s="1">
        <v>44702</v>
      </c>
      <c r="B1314" t="s">
        <v>36</v>
      </c>
      <c r="C1314" t="s">
        <v>17</v>
      </c>
      <c r="D1314" t="s">
        <v>12</v>
      </c>
      <c r="E1314" t="s">
        <v>184</v>
      </c>
      <c r="F1314" t="s">
        <v>23</v>
      </c>
      <c r="G1314" t="s">
        <v>24</v>
      </c>
      <c r="H1314">
        <v>2</v>
      </c>
      <c r="I1314">
        <v>1214</v>
      </c>
      <c r="J1314">
        <v>163.80000000000001</v>
      </c>
    </row>
    <row r="1315" spans="1:10" x14ac:dyDescent="0.25">
      <c r="A1315" s="1">
        <v>45556</v>
      </c>
      <c r="B1315" t="s">
        <v>16</v>
      </c>
      <c r="C1315" t="s">
        <v>17</v>
      </c>
      <c r="D1315" t="s">
        <v>12</v>
      </c>
      <c r="E1315" t="s">
        <v>56</v>
      </c>
      <c r="F1315" t="s">
        <v>57</v>
      </c>
      <c r="G1315" t="s">
        <v>24</v>
      </c>
      <c r="H1315">
        <v>9</v>
      </c>
      <c r="I1315">
        <v>7200</v>
      </c>
      <c r="J1315">
        <v>1469.23</v>
      </c>
    </row>
    <row r="1316" spans="1:10" x14ac:dyDescent="0.25">
      <c r="A1316" s="1">
        <v>45009</v>
      </c>
      <c r="B1316" t="s">
        <v>55</v>
      </c>
      <c r="C1316" t="s">
        <v>19</v>
      </c>
      <c r="D1316" t="s">
        <v>12</v>
      </c>
      <c r="E1316" t="s">
        <v>56</v>
      </c>
      <c r="F1316" t="s">
        <v>57</v>
      </c>
      <c r="G1316" t="s">
        <v>24</v>
      </c>
      <c r="H1316">
        <v>8</v>
      </c>
      <c r="I1316">
        <v>1808</v>
      </c>
      <c r="J1316">
        <v>339.31</v>
      </c>
    </row>
    <row r="1317" spans="1:10" x14ac:dyDescent="0.25">
      <c r="A1317" s="1">
        <v>44924</v>
      </c>
      <c r="B1317" t="s">
        <v>25</v>
      </c>
      <c r="C1317" t="s">
        <v>19</v>
      </c>
      <c r="D1317" t="s">
        <v>12</v>
      </c>
      <c r="E1317" t="s">
        <v>215</v>
      </c>
      <c r="F1317" t="s">
        <v>63</v>
      </c>
      <c r="G1317" t="s">
        <v>28</v>
      </c>
      <c r="H1317">
        <v>9</v>
      </c>
      <c r="I1317">
        <v>7083</v>
      </c>
      <c r="J1317">
        <v>560.88</v>
      </c>
    </row>
    <row r="1318" spans="1:10" x14ac:dyDescent="0.25">
      <c r="A1318" s="1">
        <v>45448</v>
      </c>
      <c r="B1318" t="s">
        <v>36</v>
      </c>
      <c r="C1318" t="s">
        <v>17</v>
      </c>
      <c r="D1318" t="s">
        <v>12</v>
      </c>
      <c r="E1318" t="s">
        <v>22</v>
      </c>
      <c r="F1318" t="s">
        <v>23</v>
      </c>
      <c r="G1318" t="s">
        <v>24</v>
      </c>
      <c r="H1318">
        <v>4</v>
      </c>
      <c r="I1318">
        <v>1060</v>
      </c>
      <c r="J1318">
        <v>260.20999999999998</v>
      </c>
    </row>
    <row r="1319" spans="1:10" x14ac:dyDescent="0.25">
      <c r="A1319" s="1">
        <v>44882</v>
      </c>
      <c r="B1319" t="s">
        <v>32</v>
      </c>
      <c r="C1319" t="s">
        <v>19</v>
      </c>
      <c r="D1319" t="s">
        <v>12</v>
      </c>
      <c r="E1319" t="s">
        <v>243</v>
      </c>
      <c r="F1319" t="s">
        <v>63</v>
      </c>
      <c r="G1319" t="s">
        <v>28</v>
      </c>
      <c r="H1319">
        <v>9</v>
      </c>
      <c r="I1319">
        <v>7182</v>
      </c>
      <c r="J1319">
        <v>461.61</v>
      </c>
    </row>
    <row r="1320" spans="1:10" x14ac:dyDescent="0.25">
      <c r="A1320" s="1">
        <v>45419</v>
      </c>
      <c r="B1320" t="s">
        <v>40</v>
      </c>
      <c r="C1320" t="s">
        <v>19</v>
      </c>
      <c r="D1320" t="s">
        <v>12</v>
      </c>
      <c r="E1320" t="s">
        <v>74</v>
      </c>
      <c r="F1320" t="s">
        <v>23</v>
      </c>
      <c r="G1320" t="s">
        <v>24</v>
      </c>
      <c r="H1320">
        <v>6</v>
      </c>
      <c r="I1320">
        <v>5532</v>
      </c>
      <c r="J1320">
        <v>552.74</v>
      </c>
    </row>
    <row r="1321" spans="1:10" x14ac:dyDescent="0.25">
      <c r="A1321" s="1">
        <v>45527</v>
      </c>
      <c r="B1321" t="s">
        <v>29</v>
      </c>
      <c r="C1321" t="s">
        <v>17</v>
      </c>
      <c r="D1321" t="s">
        <v>12</v>
      </c>
      <c r="E1321" t="s">
        <v>370</v>
      </c>
      <c r="F1321" t="s">
        <v>23</v>
      </c>
      <c r="G1321" t="s">
        <v>24</v>
      </c>
      <c r="H1321">
        <v>8</v>
      </c>
      <c r="I1321">
        <v>1800</v>
      </c>
      <c r="J1321">
        <v>326.02999999999997</v>
      </c>
    </row>
    <row r="1322" spans="1:10" x14ac:dyDescent="0.25">
      <c r="A1322" s="1">
        <v>45277</v>
      </c>
      <c r="B1322" t="s">
        <v>29</v>
      </c>
      <c r="C1322" t="s">
        <v>17</v>
      </c>
      <c r="D1322" t="s">
        <v>12</v>
      </c>
      <c r="E1322" t="s">
        <v>370</v>
      </c>
      <c r="F1322" t="s">
        <v>23</v>
      </c>
      <c r="G1322" t="s">
        <v>24</v>
      </c>
      <c r="H1322">
        <v>1</v>
      </c>
      <c r="I1322">
        <v>351</v>
      </c>
      <c r="J1322">
        <v>32.61</v>
      </c>
    </row>
    <row r="1323" spans="1:10" x14ac:dyDescent="0.25">
      <c r="A1323" s="1">
        <v>44875</v>
      </c>
      <c r="B1323" t="s">
        <v>32</v>
      </c>
      <c r="C1323" t="s">
        <v>19</v>
      </c>
      <c r="D1323" t="s">
        <v>12</v>
      </c>
      <c r="E1323" t="s">
        <v>351</v>
      </c>
      <c r="F1323" t="s">
        <v>115</v>
      </c>
      <c r="G1323" t="s">
        <v>15</v>
      </c>
      <c r="H1323">
        <v>2</v>
      </c>
      <c r="I1323">
        <v>1200</v>
      </c>
      <c r="J1323">
        <v>191.43</v>
      </c>
    </row>
    <row r="1324" spans="1:10" x14ac:dyDescent="0.25">
      <c r="A1324" s="1">
        <v>45261</v>
      </c>
      <c r="B1324" t="s">
        <v>18</v>
      </c>
      <c r="C1324" t="s">
        <v>19</v>
      </c>
      <c r="D1324" t="s">
        <v>12</v>
      </c>
      <c r="E1324" t="s">
        <v>74</v>
      </c>
      <c r="F1324" t="s">
        <v>23</v>
      </c>
      <c r="G1324" t="s">
        <v>24</v>
      </c>
      <c r="H1324">
        <v>9</v>
      </c>
      <c r="I1324">
        <v>1593</v>
      </c>
      <c r="J1324">
        <v>322.45999999999998</v>
      </c>
    </row>
    <row r="1325" spans="1:10" x14ac:dyDescent="0.25">
      <c r="A1325" s="1">
        <v>45641</v>
      </c>
      <c r="B1325" t="s">
        <v>36</v>
      </c>
      <c r="C1325" t="s">
        <v>17</v>
      </c>
      <c r="D1325" t="s">
        <v>12</v>
      </c>
      <c r="E1325" t="s">
        <v>371</v>
      </c>
      <c r="F1325" t="s">
        <v>189</v>
      </c>
      <c r="G1325" t="s">
        <v>24</v>
      </c>
      <c r="H1325">
        <v>3</v>
      </c>
      <c r="I1325">
        <v>2580</v>
      </c>
      <c r="J1325">
        <v>448.02</v>
      </c>
    </row>
    <row r="1326" spans="1:10" x14ac:dyDescent="0.25">
      <c r="A1326" s="1">
        <v>44632</v>
      </c>
      <c r="B1326" t="s">
        <v>49</v>
      </c>
      <c r="C1326" t="s">
        <v>17</v>
      </c>
      <c r="D1326" t="s">
        <v>12</v>
      </c>
      <c r="E1326" t="s">
        <v>371</v>
      </c>
      <c r="F1326" t="s">
        <v>189</v>
      </c>
      <c r="G1326" t="s">
        <v>24</v>
      </c>
      <c r="H1326">
        <v>6</v>
      </c>
      <c r="I1326">
        <v>6780</v>
      </c>
      <c r="J1326">
        <v>1794.97</v>
      </c>
    </row>
    <row r="1327" spans="1:10" x14ac:dyDescent="0.25">
      <c r="A1327" s="1">
        <v>44645</v>
      </c>
      <c r="B1327" t="s">
        <v>40</v>
      </c>
      <c r="C1327" t="s">
        <v>19</v>
      </c>
      <c r="D1327" t="s">
        <v>12</v>
      </c>
      <c r="E1327" t="s">
        <v>372</v>
      </c>
      <c r="F1327" t="s">
        <v>23</v>
      </c>
      <c r="G1327" t="s">
        <v>24</v>
      </c>
      <c r="H1327">
        <v>2</v>
      </c>
      <c r="I1327">
        <v>1298</v>
      </c>
      <c r="J1327">
        <v>204.08</v>
      </c>
    </row>
    <row r="1328" spans="1:10" x14ac:dyDescent="0.25">
      <c r="A1328" s="1">
        <v>45650</v>
      </c>
      <c r="B1328" t="s">
        <v>32</v>
      </c>
      <c r="C1328" t="s">
        <v>19</v>
      </c>
      <c r="D1328" t="s">
        <v>12</v>
      </c>
      <c r="E1328" t="s">
        <v>373</v>
      </c>
      <c r="F1328" t="s">
        <v>71</v>
      </c>
      <c r="G1328" t="s">
        <v>35</v>
      </c>
      <c r="H1328">
        <v>7</v>
      </c>
      <c r="I1328">
        <v>4585</v>
      </c>
      <c r="J1328">
        <v>383.97</v>
      </c>
    </row>
    <row r="1329" spans="1:10" x14ac:dyDescent="0.25">
      <c r="A1329" s="1">
        <v>45032</v>
      </c>
      <c r="B1329" t="s">
        <v>18</v>
      </c>
      <c r="C1329" t="s">
        <v>19</v>
      </c>
      <c r="D1329" t="s">
        <v>12</v>
      </c>
      <c r="E1329" t="s">
        <v>373</v>
      </c>
      <c r="F1329" t="s">
        <v>71</v>
      </c>
      <c r="G1329" t="s">
        <v>35</v>
      </c>
      <c r="H1329">
        <v>1</v>
      </c>
      <c r="I1329">
        <v>516</v>
      </c>
      <c r="J1329">
        <v>70.53</v>
      </c>
    </row>
    <row r="1330" spans="1:10" x14ac:dyDescent="0.25">
      <c r="A1330" s="1">
        <v>45426</v>
      </c>
      <c r="B1330" t="s">
        <v>18</v>
      </c>
      <c r="C1330" t="s">
        <v>19</v>
      </c>
      <c r="D1330" t="s">
        <v>12</v>
      </c>
      <c r="E1330" t="s">
        <v>22</v>
      </c>
      <c r="F1330" t="s">
        <v>23</v>
      </c>
      <c r="G1330" t="s">
        <v>24</v>
      </c>
      <c r="H1330">
        <v>4</v>
      </c>
      <c r="I1330">
        <v>1780</v>
      </c>
      <c r="J1330">
        <v>420.28</v>
      </c>
    </row>
    <row r="1331" spans="1:10" x14ac:dyDescent="0.25">
      <c r="A1331" s="1">
        <v>44872</v>
      </c>
      <c r="B1331" t="s">
        <v>49</v>
      </c>
      <c r="C1331" t="s">
        <v>17</v>
      </c>
      <c r="D1331" t="s">
        <v>12</v>
      </c>
      <c r="E1331" t="s">
        <v>52</v>
      </c>
      <c r="F1331" t="s">
        <v>42</v>
      </c>
      <c r="G1331" t="s">
        <v>28</v>
      </c>
      <c r="H1331">
        <v>5</v>
      </c>
      <c r="I1331">
        <v>365</v>
      </c>
      <c r="J1331">
        <v>94.05</v>
      </c>
    </row>
    <row r="1332" spans="1:10" x14ac:dyDescent="0.25">
      <c r="A1332" s="1">
        <v>44983</v>
      </c>
      <c r="B1332" t="s">
        <v>18</v>
      </c>
      <c r="C1332" t="s">
        <v>19</v>
      </c>
      <c r="D1332" t="s">
        <v>12</v>
      </c>
      <c r="E1332" t="s">
        <v>210</v>
      </c>
      <c r="F1332" t="s">
        <v>34</v>
      </c>
      <c r="G1332" t="s">
        <v>35</v>
      </c>
      <c r="H1332">
        <v>8</v>
      </c>
      <c r="I1332">
        <v>3896</v>
      </c>
      <c r="J1332">
        <v>735.66</v>
      </c>
    </row>
    <row r="1333" spans="1:10" x14ac:dyDescent="0.25">
      <c r="A1333" s="1">
        <v>45410</v>
      </c>
      <c r="B1333" t="s">
        <v>55</v>
      </c>
      <c r="C1333" t="s">
        <v>19</v>
      </c>
      <c r="D1333" t="s">
        <v>12</v>
      </c>
      <c r="E1333" t="s">
        <v>207</v>
      </c>
      <c r="F1333" t="s">
        <v>34</v>
      </c>
      <c r="G1333" t="s">
        <v>35</v>
      </c>
      <c r="H1333">
        <v>1</v>
      </c>
      <c r="I1333">
        <v>636</v>
      </c>
      <c r="J1333">
        <v>169.24</v>
      </c>
    </row>
    <row r="1334" spans="1:10" x14ac:dyDescent="0.25">
      <c r="A1334" s="1">
        <v>45500</v>
      </c>
      <c r="B1334" t="s">
        <v>36</v>
      </c>
      <c r="C1334" t="s">
        <v>17</v>
      </c>
      <c r="D1334" t="s">
        <v>12</v>
      </c>
      <c r="E1334" t="s">
        <v>52</v>
      </c>
      <c r="F1334" t="s">
        <v>42</v>
      </c>
      <c r="G1334" t="s">
        <v>28</v>
      </c>
      <c r="H1334">
        <v>7</v>
      </c>
      <c r="I1334">
        <v>637</v>
      </c>
      <c r="J1334">
        <v>87.86</v>
      </c>
    </row>
    <row r="1335" spans="1:10" x14ac:dyDescent="0.25">
      <c r="A1335" s="1">
        <v>45195</v>
      </c>
      <c r="B1335" t="s">
        <v>49</v>
      </c>
      <c r="C1335" t="s">
        <v>17</v>
      </c>
      <c r="D1335" t="s">
        <v>12</v>
      </c>
      <c r="E1335" t="s">
        <v>52</v>
      </c>
      <c r="F1335" t="s">
        <v>42</v>
      </c>
      <c r="G1335" t="s">
        <v>28</v>
      </c>
      <c r="H1335">
        <v>3</v>
      </c>
      <c r="I1335">
        <v>1302</v>
      </c>
      <c r="J1335">
        <v>180.82</v>
      </c>
    </row>
    <row r="1336" spans="1:10" x14ac:dyDescent="0.25">
      <c r="A1336" s="1">
        <v>45528</v>
      </c>
      <c r="B1336" t="s">
        <v>40</v>
      </c>
      <c r="C1336" t="s">
        <v>19</v>
      </c>
      <c r="D1336" t="s">
        <v>12</v>
      </c>
      <c r="E1336" t="s">
        <v>45</v>
      </c>
      <c r="F1336" t="s">
        <v>46</v>
      </c>
      <c r="G1336" t="s">
        <v>15</v>
      </c>
      <c r="H1336">
        <v>1</v>
      </c>
      <c r="I1336">
        <v>719</v>
      </c>
      <c r="J1336">
        <v>40.42</v>
      </c>
    </row>
    <row r="1337" spans="1:10" x14ac:dyDescent="0.25">
      <c r="A1337" s="1">
        <v>45146</v>
      </c>
      <c r="B1337" t="s">
        <v>25</v>
      </c>
      <c r="C1337" t="s">
        <v>19</v>
      </c>
      <c r="D1337" t="s">
        <v>12</v>
      </c>
      <c r="E1337" t="s">
        <v>22</v>
      </c>
      <c r="F1337" t="s">
        <v>23</v>
      </c>
      <c r="G1337" t="s">
        <v>24</v>
      </c>
      <c r="H1337">
        <v>6</v>
      </c>
      <c r="I1337">
        <v>5106</v>
      </c>
      <c r="J1337">
        <v>1341.93</v>
      </c>
    </row>
    <row r="1338" spans="1:10" x14ac:dyDescent="0.25">
      <c r="A1338" s="1">
        <v>45118</v>
      </c>
      <c r="B1338" t="s">
        <v>16</v>
      </c>
      <c r="C1338" t="s">
        <v>17</v>
      </c>
      <c r="D1338" t="s">
        <v>12</v>
      </c>
      <c r="E1338" t="s">
        <v>132</v>
      </c>
      <c r="F1338" t="s">
        <v>63</v>
      </c>
      <c r="G1338" t="s">
        <v>28</v>
      </c>
      <c r="H1338">
        <v>3</v>
      </c>
      <c r="I1338">
        <v>1215</v>
      </c>
      <c r="J1338">
        <v>129.80000000000001</v>
      </c>
    </row>
    <row r="1339" spans="1:10" x14ac:dyDescent="0.25">
      <c r="A1339" s="1">
        <v>45435</v>
      </c>
      <c r="B1339" t="s">
        <v>25</v>
      </c>
      <c r="C1339" t="s">
        <v>19</v>
      </c>
      <c r="D1339" t="s">
        <v>12</v>
      </c>
      <c r="E1339" t="s">
        <v>52</v>
      </c>
      <c r="F1339" t="s">
        <v>42</v>
      </c>
      <c r="G1339" t="s">
        <v>28</v>
      </c>
      <c r="H1339">
        <v>9</v>
      </c>
      <c r="I1339">
        <v>1791</v>
      </c>
      <c r="J1339">
        <v>187.28</v>
      </c>
    </row>
    <row r="1340" spans="1:10" x14ac:dyDescent="0.25">
      <c r="A1340" s="1">
        <v>45199</v>
      </c>
      <c r="B1340" t="s">
        <v>10</v>
      </c>
      <c r="C1340" t="s">
        <v>11</v>
      </c>
      <c r="D1340" t="s">
        <v>12</v>
      </c>
      <c r="E1340" t="s">
        <v>182</v>
      </c>
      <c r="F1340" t="s">
        <v>183</v>
      </c>
      <c r="G1340" t="s">
        <v>15</v>
      </c>
      <c r="H1340">
        <v>9</v>
      </c>
      <c r="I1340">
        <v>6255</v>
      </c>
      <c r="J1340">
        <v>452.46</v>
      </c>
    </row>
    <row r="1341" spans="1:10" x14ac:dyDescent="0.25">
      <c r="A1341" s="1">
        <v>45048</v>
      </c>
      <c r="B1341" t="s">
        <v>10</v>
      </c>
      <c r="C1341" t="s">
        <v>11</v>
      </c>
      <c r="D1341" t="s">
        <v>12</v>
      </c>
      <c r="E1341" t="s">
        <v>182</v>
      </c>
      <c r="F1341" t="s">
        <v>183</v>
      </c>
      <c r="G1341" t="s">
        <v>15</v>
      </c>
      <c r="H1341">
        <v>5</v>
      </c>
      <c r="I1341">
        <v>4165</v>
      </c>
      <c r="J1341">
        <v>1012.37</v>
      </c>
    </row>
    <row r="1342" spans="1:10" x14ac:dyDescent="0.25">
      <c r="A1342" s="1">
        <v>45291</v>
      </c>
      <c r="B1342" t="s">
        <v>36</v>
      </c>
      <c r="C1342" t="s">
        <v>17</v>
      </c>
      <c r="D1342" t="s">
        <v>12</v>
      </c>
      <c r="E1342" t="s">
        <v>194</v>
      </c>
      <c r="F1342" t="s">
        <v>57</v>
      </c>
      <c r="G1342" t="s">
        <v>24</v>
      </c>
      <c r="H1342">
        <v>5</v>
      </c>
      <c r="I1342">
        <v>5990</v>
      </c>
      <c r="J1342">
        <v>1192.1099999999999</v>
      </c>
    </row>
    <row r="1343" spans="1:10" x14ac:dyDescent="0.25">
      <c r="A1343" s="1">
        <v>45261</v>
      </c>
      <c r="B1343" t="s">
        <v>18</v>
      </c>
      <c r="C1343" t="s">
        <v>19</v>
      </c>
      <c r="D1343" t="s">
        <v>12</v>
      </c>
      <c r="E1343" t="s">
        <v>37</v>
      </c>
      <c r="F1343" t="s">
        <v>34</v>
      </c>
      <c r="G1343" t="s">
        <v>35</v>
      </c>
      <c r="H1343">
        <v>1</v>
      </c>
      <c r="I1343">
        <v>847</v>
      </c>
      <c r="J1343">
        <v>142.74</v>
      </c>
    </row>
    <row r="1344" spans="1:10" x14ac:dyDescent="0.25">
      <c r="A1344" s="1">
        <v>45326</v>
      </c>
      <c r="B1344" t="s">
        <v>25</v>
      </c>
      <c r="C1344" t="s">
        <v>19</v>
      </c>
      <c r="D1344" t="s">
        <v>12</v>
      </c>
      <c r="E1344" t="s">
        <v>238</v>
      </c>
      <c r="F1344" t="s">
        <v>191</v>
      </c>
      <c r="G1344" t="s">
        <v>35</v>
      </c>
      <c r="H1344">
        <v>8</v>
      </c>
      <c r="I1344">
        <v>688</v>
      </c>
      <c r="J1344">
        <v>131.26</v>
      </c>
    </row>
    <row r="1345" spans="1:10" x14ac:dyDescent="0.25">
      <c r="A1345" s="1">
        <v>45101</v>
      </c>
      <c r="B1345" t="s">
        <v>18</v>
      </c>
      <c r="C1345" t="s">
        <v>19</v>
      </c>
      <c r="D1345" t="s">
        <v>12</v>
      </c>
      <c r="E1345" t="s">
        <v>184</v>
      </c>
      <c r="F1345" t="s">
        <v>23</v>
      </c>
      <c r="G1345" t="s">
        <v>24</v>
      </c>
      <c r="H1345">
        <v>2</v>
      </c>
      <c r="I1345">
        <v>1188</v>
      </c>
      <c r="J1345">
        <v>286.38</v>
      </c>
    </row>
    <row r="1346" spans="1:10" x14ac:dyDescent="0.25">
      <c r="A1346" s="1">
        <v>45158</v>
      </c>
      <c r="B1346" t="s">
        <v>25</v>
      </c>
      <c r="C1346" t="s">
        <v>19</v>
      </c>
      <c r="D1346" t="s">
        <v>12</v>
      </c>
      <c r="E1346" t="s">
        <v>103</v>
      </c>
      <c r="F1346" t="s">
        <v>149</v>
      </c>
      <c r="G1346" t="s">
        <v>15</v>
      </c>
      <c r="H1346">
        <v>7</v>
      </c>
      <c r="I1346">
        <v>3101</v>
      </c>
      <c r="J1346">
        <v>926.09</v>
      </c>
    </row>
    <row r="1347" spans="1:10" x14ac:dyDescent="0.25">
      <c r="A1347" s="1">
        <v>45656</v>
      </c>
      <c r="B1347" t="s">
        <v>29</v>
      </c>
      <c r="C1347" t="s">
        <v>17</v>
      </c>
      <c r="D1347" t="s">
        <v>12</v>
      </c>
      <c r="E1347" t="s">
        <v>103</v>
      </c>
      <c r="F1347" t="s">
        <v>149</v>
      </c>
      <c r="G1347" t="s">
        <v>15</v>
      </c>
      <c r="H1347">
        <v>9</v>
      </c>
      <c r="I1347">
        <v>8703</v>
      </c>
      <c r="J1347">
        <v>1562.88</v>
      </c>
    </row>
    <row r="1348" spans="1:10" x14ac:dyDescent="0.25">
      <c r="A1348" s="1">
        <v>45594</v>
      </c>
      <c r="B1348" t="s">
        <v>10</v>
      </c>
      <c r="C1348" t="s">
        <v>11</v>
      </c>
      <c r="D1348" t="s">
        <v>12</v>
      </c>
      <c r="E1348" t="s">
        <v>352</v>
      </c>
      <c r="F1348" t="s">
        <v>267</v>
      </c>
      <c r="G1348" t="s">
        <v>24</v>
      </c>
      <c r="H1348">
        <v>9</v>
      </c>
      <c r="I1348">
        <v>9324</v>
      </c>
      <c r="J1348">
        <v>2416.9299999999998</v>
      </c>
    </row>
    <row r="1349" spans="1:10" x14ac:dyDescent="0.25">
      <c r="A1349" s="1">
        <v>45555</v>
      </c>
      <c r="B1349" t="s">
        <v>55</v>
      </c>
      <c r="C1349" t="s">
        <v>19</v>
      </c>
      <c r="D1349" t="s">
        <v>12</v>
      </c>
      <c r="E1349" t="s">
        <v>285</v>
      </c>
      <c r="F1349" t="s">
        <v>34</v>
      </c>
      <c r="G1349" t="s">
        <v>35</v>
      </c>
      <c r="H1349">
        <v>1</v>
      </c>
      <c r="I1349">
        <v>749</v>
      </c>
      <c r="J1349">
        <v>68.17</v>
      </c>
    </row>
    <row r="1350" spans="1:10" x14ac:dyDescent="0.25">
      <c r="A1350" s="1">
        <v>45613</v>
      </c>
      <c r="B1350" t="s">
        <v>32</v>
      </c>
      <c r="C1350" t="s">
        <v>19</v>
      </c>
      <c r="D1350" t="s">
        <v>12</v>
      </c>
      <c r="E1350" t="s">
        <v>52</v>
      </c>
      <c r="F1350" t="s">
        <v>42</v>
      </c>
      <c r="G1350" t="s">
        <v>28</v>
      </c>
      <c r="H1350">
        <v>4</v>
      </c>
      <c r="I1350">
        <v>3224</v>
      </c>
      <c r="J1350">
        <v>871.53</v>
      </c>
    </row>
    <row r="1351" spans="1:10" x14ac:dyDescent="0.25">
      <c r="A1351" s="1">
        <v>45200</v>
      </c>
      <c r="B1351" t="s">
        <v>36</v>
      </c>
      <c r="C1351" t="s">
        <v>17</v>
      </c>
      <c r="D1351" t="s">
        <v>12</v>
      </c>
      <c r="E1351" t="s">
        <v>52</v>
      </c>
      <c r="F1351" t="s">
        <v>42</v>
      </c>
      <c r="G1351" t="s">
        <v>28</v>
      </c>
      <c r="H1351">
        <v>3</v>
      </c>
      <c r="I1351">
        <v>459</v>
      </c>
      <c r="J1351">
        <v>40.96</v>
      </c>
    </row>
    <row r="1352" spans="1:10" x14ac:dyDescent="0.25">
      <c r="A1352" s="1">
        <v>45650</v>
      </c>
      <c r="B1352" t="s">
        <v>32</v>
      </c>
      <c r="C1352" t="s">
        <v>19</v>
      </c>
      <c r="D1352" t="s">
        <v>12</v>
      </c>
      <c r="E1352" t="s">
        <v>37</v>
      </c>
      <c r="F1352" t="s">
        <v>34</v>
      </c>
      <c r="G1352" t="s">
        <v>35</v>
      </c>
      <c r="H1352">
        <v>7</v>
      </c>
      <c r="I1352">
        <v>5726</v>
      </c>
      <c r="J1352">
        <v>976.14</v>
      </c>
    </row>
    <row r="1353" spans="1:10" x14ac:dyDescent="0.25">
      <c r="A1353" s="1">
        <v>44671</v>
      </c>
      <c r="B1353" t="s">
        <v>49</v>
      </c>
      <c r="C1353" t="s">
        <v>17</v>
      </c>
      <c r="D1353" t="s">
        <v>12</v>
      </c>
      <c r="E1353" t="s">
        <v>74</v>
      </c>
      <c r="F1353" t="s">
        <v>23</v>
      </c>
      <c r="G1353" t="s">
        <v>24</v>
      </c>
      <c r="H1353">
        <v>4</v>
      </c>
      <c r="I1353">
        <v>616</v>
      </c>
      <c r="J1353">
        <v>175.75</v>
      </c>
    </row>
    <row r="1354" spans="1:10" x14ac:dyDescent="0.25">
      <c r="A1354" s="1">
        <v>45650</v>
      </c>
      <c r="B1354" t="s">
        <v>55</v>
      </c>
      <c r="C1354" t="s">
        <v>19</v>
      </c>
      <c r="D1354" t="s">
        <v>12</v>
      </c>
      <c r="E1354" t="s">
        <v>307</v>
      </c>
      <c r="F1354" t="s">
        <v>156</v>
      </c>
      <c r="G1354" t="s">
        <v>28</v>
      </c>
      <c r="H1354">
        <v>2</v>
      </c>
      <c r="I1354">
        <v>1584</v>
      </c>
      <c r="J1354">
        <v>406.25</v>
      </c>
    </row>
    <row r="1355" spans="1:10" x14ac:dyDescent="0.25">
      <c r="A1355" s="1">
        <v>45101</v>
      </c>
      <c r="B1355" t="s">
        <v>55</v>
      </c>
      <c r="C1355" t="s">
        <v>19</v>
      </c>
      <c r="D1355" t="s">
        <v>12</v>
      </c>
      <c r="E1355" t="s">
        <v>130</v>
      </c>
      <c r="F1355" t="s">
        <v>14</v>
      </c>
      <c r="G1355" t="s">
        <v>15</v>
      </c>
      <c r="H1355">
        <v>5</v>
      </c>
      <c r="I1355">
        <v>3205</v>
      </c>
      <c r="J1355">
        <v>368.41</v>
      </c>
    </row>
    <row r="1356" spans="1:10" x14ac:dyDescent="0.25">
      <c r="A1356" s="1">
        <v>45553</v>
      </c>
      <c r="B1356" t="s">
        <v>10</v>
      </c>
      <c r="C1356" t="s">
        <v>11</v>
      </c>
      <c r="D1356" t="s">
        <v>12</v>
      </c>
      <c r="E1356" t="s">
        <v>199</v>
      </c>
      <c r="F1356" t="s">
        <v>200</v>
      </c>
      <c r="G1356" t="s">
        <v>28</v>
      </c>
      <c r="H1356">
        <v>1</v>
      </c>
      <c r="I1356">
        <v>958</v>
      </c>
      <c r="J1356">
        <v>186.76</v>
      </c>
    </row>
    <row r="1357" spans="1:10" x14ac:dyDescent="0.25">
      <c r="A1357" s="1">
        <v>45278</v>
      </c>
      <c r="B1357" t="s">
        <v>55</v>
      </c>
      <c r="C1357" t="s">
        <v>19</v>
      </c>
      <c r="D1357" t="s">
        <v>12</v>
      </c>
      <c r="E1357" t="s">
        <v>26</v>
      </c>
      <c r="F1357" t="s">
        <v>27</v>
      </c>
      <c r="G1357" t="s">
        <v>28</v>
      </c>
      <c r="H1357">
        <v>9</v>
      </c>
      <c r="I1357">
        <v>5139</v>
      </c>
      <c r="J1357">
        <v>1315.93</v>
      </c>
    </row>
    <row r="1358" spans="1:10" x14ac:dyDescent="0.25">
      <c r="A1358" s="1">
        <v>45605</v>
      </c>
      <c r="B1358" t="s">
        <v>40</v>
      </c>
      <c r="C1358" t="s">
        <v>19</v>
      </c>
      <c r="D1358" t="s">
        <v>12</v>
      </c>
      <c r="E1358" t="s">
        <v>85</v>
      </c>
      <c r="F1358" t="s">
        <v>21</v>
      </c>
      <c r="G1358" t="s">
        <v>15</v>
      </c>
      <c r="H1358">
        <v>5</v>
      </c>
      <c r="I1358">
        <v>3795</v>
      </c>
      <c r="J1358">
        <v>239.15</v>
      </c>
    </row>
    <row r="1359" spans="1:10" x14ac:dyDescent="0.25">
      <c r="A1359" s="1">
        <v>45354</v>
      </c>
      <c r="B1359" t="s">
        <v>25</v>
      </c>
      <c r="C1359" t="s">
        <v>19</v>
      </c>
      <c r="D1359" t="s">
        <v>12</v>
      </c>
      <c r="E1359" t="s">
        <v>52</v>
      </c>
      <c r="F1359" t="s">
        <v>42</v>
      </c>
      <c r="G1359" t="s">
        <v>28</v>
      </c>
      <c r="H1359">
        <v>2</v>
      </c>
      <c r="I1359">
        <v>810</v>
      </c>
      <c r="J1359">
        <v>229.33</v>
      </c>
    </row>
    <row r="1360" spans="1:10" x14ac:dyDescent="0.25">
      <c r="A1360" s="1">
        <v>45423</v>
      </c>
      <c r="B1360" t="s">
        <v>25</v>
      </c>
      <c r="C1360" t="s">
        <v>19</v>
      </c>
      <c r="D1360" t="s">
        <v>12</v>
      </c>
      <c r="E1360" t="s">
        <v>26</v>
      </c>
      <c r="F1360" t="s">
        <v>27</v>
      </c>
      <c r="G1360" t="s">
        <v>28</v>
      </c>
      <c r="H1360">
        <v>6</v>
      </c>
      <c r="I1360">
        <v>5106</v>
      </c>
      <c r="J1360">
        <v>1500.2</v>
      </c>
    </row>
    <row r="1361" spans="1:10" x14ac:dyDescent="0.25">
      <c r="A1361" s="1">
        <v>45473</v>
      </c>
      <c r="B1361" t="s">
        <v>36</v>
      </c>
      <c r="C1361" t="s">
        <v>17</v>
      </c>
      <c r="D1361" t="s">
        <v>12</v>
      </c>
      <c r="E1361" t="s">
        <v>374</v>
      </c>
      <c r="F1361" t="s">
        <v>21</v>
      </c>
      <c r="G1361" t="s">
        <v>15</v>
      </c>
      <c r="H1361">
        <v>2</v>
      </c>
      <c r="I1361">
        <v>798</v>
      </c>
      <c r="J1361">
        <v>79.25</v>
      </c>
    </row>
    <row r="1362" spans="1:10" x14ac:dyDescent="0.25">
      <c r="A1362" s="1">
        <v>44614</v>
      </c>
      <c r="B1362" t="s">
        <v>55</v>
      </c>
      <c r="C1362" t="s">
        <v>19</v>
      </c>
      <c r="D1362" t="s">
        <v>12</v>
      </c>
      <c r="E1362" t="s">
        <v>130</v>
      </c>
      <c r="F1362" t="s">
        <v>14</v>
      </c>
      <c r="G1362" t="s">
        <v>15</v>
      </c>
      <c r="H1362">
        <v>5</v>
      </c>
      <c r="I1362">
        <v>3165</v>
      </c>
      <c r="J1362">
        <v>895.33</v>
      </c>
    </row>
    <row r="1363" spans="1:10" x14ac:dyDescent="0.25">
      <c r="A1363" s="1">
        <v>45190</v>
      </c>
      <c r="B1363" t="s">
        <v>18</v>
      </c>
      <c r="C1363" t="s">
        <v>19</v>
      </c>
      <c r="D1363" t="s">
        <v>12</v>
      </c>
      <c r="E1363" t="s">
        <v>26</v>
      </c>
      <c r="F1363" t="s">
        <v>27</v>
      </c>
      <c r="G1363" t="s">
        <v>28</v>
      </c>
      <c r="H1363">
        <v>5</v>
      </c>
      <c r="I1363">
        <v>5935</v>
      </c>
      <c r="J1363">
        <v>875.84</v>
      </c>
    </row>
    <row r="1364" spans="1:10" x14ac:dyDescent="0.25">
      <c r="A1364" s="1">
        <v>44739</v>
      </c>
      <c r="B1364" t="s">
        <v>49</v>
      </c>
      <c r="C1364" t="s">
        <v>17</v>
      </c>
      <c r="D1364" t="s">
        <v>12</v>
      </c>
      <c r="E1364" t="s">
        <v>74</v>
      </c>
      <c r="F1364" t="s">
        <v>23</v>
      </c>
      <c r="G1364" t="s">
        <v>24</v>
      </c>
      <c r="H1364">
        <v>4</v>
      </c>
      <c r="I1364">
        <v>3352</v>
      </c>
      <c r="J1364">
        <v>663.15</v>
      </c>
    </row>
    <row r="1365" spans="1:10" x14ac:dyDescent="0.25">
      <c r="A1365" s="1">
        <v>45320</v>
      </c>
      <c r="B1365" t="s">
        <v>40</v>
      </c>
      <c r="C1365" t="s">
        <v>19</v>
      </c>
      <c r="D1365" t="s">
        <v>12</v>
      </c>
      <c r="E1365" t="s">
        <v>74</v>
      </c>
      <c r="F1365" t="s">
        <v>23</v>
      </c>
      <c r="G1365" t="s">
        <v>24</v>
      </c>
      <c r="H1365">
        <v>9</v>
      </c>
      <c r="I1365">
        <v>8343</v>
      </c>
      <c r="J1365">
        <v>821</v>
      </c>
    </row>
    <row r="1366" spans="1:10" x14ac:dyDescent="0.25">
      <c r="A1366" s="1">
        <v>44706</v>
      </c>
      <c r="B1366" t="s">
        <v>36</v>
      </c>
      <c r="C1366" t="s">
        <v>17</v>
      </c>
      <c r="D1366" t="s">
        <v>12</v>
      </c>
      <c r="E1366" t="s">
        <v>87</v>
      </c>
      <c r="F1366" t="s">
        <v>71</v>
      </c>
      <c r="G1366" t="s">
        <v>35</v>
      </c>
      <c r="H1366">
        <v>4</v>
      </c>
      <c r="I1366">
        <v>2604</v>
      </c>
      <c r="J1366">
        <v>411.38</v>
      </c>
    </row>
    <row r="1367" spans="1:10" x14ac:dyDescent="0.25">
      <c r="A1367" s="1">
        <v>45227</v>
      </c>
      <c r="B1367" t="s">
        <v>29</v>
      </c>
      <c r="C1367" t="s">
        <v>17</v>
      </c>
      <c r="D1367" t="s">
        <v>12</v>
      </c>
      <c r="E1367" t="s">
        <v>322</v>
      </c>
      <c r="F1367" t="s">
        <v>42</v>
      </c>
      <c r="G1367" t="s">
        <v>28</v>
      </c>
      <c r="H1367">
        <v>1</v>
      </c>
      <c r="I1367">
        <v>526</v>
      </c>
      <c r="J1367">
        <v>108.88</v>
      </c>
    </row>
    <row r="1368" spans="1:10" x14ac:dyDescent="0.25">
      <c r="A1368" s="1">
        <v>45242</v>
      </c>
      <c r="B1368" t="s">
        <v>36</v>
      </c>
      <c r="C1368" t="s">
        <v>17</v>
      </c>
      <c r="D1368" t="s">
        <v>12</v>
      </c>
      <c r="E1368" t="s">
        <v>341</v>
      </c>
      <c r="F1368" t="s">
        <v>46</v>
      </c>
      <c r="G1368" t="s">
        <v>15</v>
      </c>
      <c r="H1368">
        <v>9</v>
      </c>
      <c r="I1368">
        <v>5220</v>
      </c>
      <c r="J1368">
        <v>1324.01</v>
      </c>
    </row>
    <row r="1369" spans="1:10" x14ac:dyDescent="0.25">
      <c r="A1369" s="1">
        <v>45242</v>
      </c>
      <c r="B1369" t="s">
        <v>10</v>
      </c>
      <c r="C1369" t="s">
        <v>11</v>
      </c>
      <c r="D1369" t="s">
        <v>12</v>
      </c>
      <c r="E1369" t="s">
        <v>62</v>
      </c>
      <c r="F1369" t="s">
        <v>59</v>
      </c>
      <c r="G1369" t="s">
        <v>28</v>
      </c>
      <c r="H1369">
        <v>9</v>
      </c>
      <c r="I1369">
        <v>1737</v>
      </c>
      <c r="J1369">
        <v>152.97999999999999</v>
      </c>
    </row>
    <row r="1370" spans="1:10" x14ac:dyDescent="0.25">
      <c r="A1370" s="1">
        <v>44858</v>
      </c>
      <c r="B1370" t="s">
        <v>16</v>
      </c>
      <c r="C1370" t="s">
        <v>17</v>
      </c>
      <c r="D1370" t="s">
        <v>12</v>
      </c>
      <c r="E1370" t="s">
        <v>56</v>
      </c>
      <c r="F1370" t="s">
        <v>57</v>
      </c>
      <c r="G1370" t="s">
        <v>24</v>
      </c>
      <c r="H1370">
        <v>6</v>
      </c>
      <c r="I1370">
        <v>3186</v>
      </c>
      <c r="J1370">
        <v>841.04</v>
      </c>
    </row>
    <row r="1371" spans="1:10" x14ac:dyDescent="0.25">
      <c r="A1371" s="1">
        <v>44939</v>
      </c>
      <c r="B1371" t="s">
        <v>40</v>
      </c>
      <c r="C1371" t="s">
        <v>19</v>
      </c>
      <c r="D1371" t="s">
        <v>12</v>
      </c>
      <c r="E1371" t="s">
        <v>375</v>
      </c>
      <c r="F1371" t="s">
        <v>44</v>
      </c>
      <c r="G1371" t="s">
        <v>35</v>
      </c>
      <c r="H1371">
        <v>6</v>
      </c>
      <c r="I1371">
        <v>7014</v>
      </c>
      <c r="J1371">
        <v>1202.25</v>
      </c>
    </row>
    <row r="1372" spans="1:10" x14ac:dyDescent="0.25">
      <c r="A1372" s="1">
        <v>44943</v>
      </c>
      <c r="B1372" t="s">
        <v>16</v>
      </c>
      <c r="C1372" t="s">
        <v>17</v>
      </c>
      <c r="D1372" t="s">
        <v>12</v>
      </c>
      <c r="E1372" t="s">
        <v>73</v>
      </c>
      <c r="F1372" t="s">
        <v>51</v>
      </c>
      <c r="G1372" t="s">
        <v>35</v>
      </c>
      <c r="H1372">
        <v>9</v>
      </c>
      <c r="I1372">
        <v>3411</v>
      </c>
      <c r="J1372">
        <v>444.87</v>
      </c>
    </row>
    <row r="1373" spans="1:10" x14ac:dyDescent="0.25">
      <c r="A1373" s="1">
        <v>44581</v>
      </c>
      <c r="B1373" t="s">
        <v>36</v>
      </c>
      <c r="C1373" t="s">
        <v>17</v>
      </c>
      <c r="D1373" t="s">
        <v>12</v>
      </c>
      <c r="E1373" t="s">
        <v>52</v>
      </c>
      <c r="F1373" t="s">
        <v>42</v>
      </c>
      <c r="G1373" t="s">
        <v>28</v>
      </c>
      <c r="H1373">
        <v>1</v>
      </c>
      <c r="I1373">
        <v>513</v>
      </c>
      <c r="J1373">
        <v>87.58</v>
      </c>
    </row>
    <row r="1374" spans="1:10" x14ac:dyDescent="0.25">
      <c r="A1374" s="1">
        <v>44747</v>
      </c>
      <c r="B1374" t="s">
        <v>40</v>
      </c>
      <c r="C1374" t="s">
        <v>19</v>
      </c>
      <c r="D1374" t="s">
        <v>12</v>
      </c>
      <c r="E1374" t="s">
        <v>322</v>
      </c>
      <c r="F1374" t="s">
        <v>42</v>
      </c>
      <c r="G1374" t="s">
        <v>28</v>
      </c>
      <c r="H1374">
        <v>1</v>
      </c>
      <c r="I1374">
        <v>1104</v>
      </c>
      <c r="J1374">
        <v>277.85000000000002</v>
      </c>
    </row>
    <row r="1375" spans="1:10" x14ac:dyDescent="0.25">
      <c r="A1375" s="1">
        <v>44784</v>
      </c>
      <c r="B1375" t="s">
        <v>40</v>
      </c>
      <c r="C1375" t="s">
        <v>19</v>
      </c>
      <c r="D1375" t="s">
        <v>12</v>
      </c>
      <c r="E1375" t="s">
        <v>86</v>
      </c>
      <c r="F1375" t="s">
        <v>84</v>
      </c>
      <c r="G1375" t="s">
        <v>28</v>
      </c>
      <c r="H1375">
        <v>9</v>
      </c>
      <c r="I1375">
        <v>2718</v>
      </c>
      <c r="J1375">
        <v>271.51</v>
      </c>
    </row>
    <row r="1376" spans="1:10" x14ac:dyDescent="0.25">
      <c r="A1376" s="1">
        <v>45060</v>
      </c>
      <c r="B1376" t="s">
        <v>29</v>
      </c>
      <c r="C1376" t="s">
        <v>17</v>
      </c>
      <c r="D1376" t="s">
        <v>12</v>
      </c>
      <c r="E1376" t="s">
        <v>86</v>
      </c>
      <c r="F1376" t="s">
        <v>84</v>
      </c>
      <c r="G1376" t="s">
        <v>28</v>
      </c>
      <c r="H1376">
        <v>6</v>
      </c>
      <c r="I1376">
        <v>1662</v>
      </c>
      <c r="J1376">
        <v>416.3</v>
      </c>
    </row>
    <row r="1377" spans="1:10" x14ac:dyDescent="0.25">
      <c r="A1377" s="1">
        <v>45276</v>
      </c>
      <c r="B1377" t="s">
        <v>16</v>
      </c>
      <c r="C1377" t="s">
        <v>17</v>
      </c>
      <c r="D1377" t="s">
        <v>12</v>
      </c>
      <c r="E1377" t="s">
        <v>37</v>
      </c>
      <c r="F1377" t="s">
        <v>34</v>
      </c>
      <c r="G1377" t="s">
        <v>35</v>
      </c>
      <c r="H1377">
        <v>5</v>
      </c>
      <c r="I1377">
        <v>1700</v>
      </c>
      <c r="J1377">
        <v>360.59</v>
      </c>
    </row>
    <row r="1378" spans="1:10" x14ac:dyDescent="0.25">
      <c r="A1378" s="1">
        <v>45632</v>
      </c>
      <c r="B1378" t="s">
        <v>18</v>
      </c>
      <c r="C1378" t="s">
        <v>19</v>
      </c>
      <c r="D1378" t="s">
        <v>12</v>
      </c>
      <c r="E1378" t="s">
        <v>22</v>
      </c>
      <c r="F1378" t="s">
        <v>23</v>
      </c>
      <c r="G1378" t="s">
        <v>24</v>
      </c>
      <c r="H1378">
        <v>4</v>
      </c>
      <c r="I1378">
        <v>2932</v>
      </c>
      <c r="J1378">
        <v>597.65</v>
      </c>
    </row>
    <row r="1379" spans="1:10" x14ac:dyDescent="0.25">
      <c r="A1379" s="1">
        <v>45212</v>
      </c>
      <c r="B1379" t="s">
        <v>16</v>
      </c>
      <c r="C1379" t="s">
        <v>17</v>
      </c>
      <c r="D1379" t="s">
        <v>12</v>
      </c>
      <c r="E1379" t="s">
        <v>56</v>
      </c>
      <c r="F1379" t="s">
        <v>57</v>
      </c>
      <c r="G1379" t="s">
        <v>24</v>
      </c>
      <c r="H1379">
        <v>4</v>
      </c>
      <c r="I1379">
        <v>3604</v>
      </c>
      <c r="J1379">
        <v>971.14</v>
      </c>
    </row>
    <row r="1380" spans="1:10" x14ac:dyDescent="0.25">
      <c r="A1380" s="1">
        <v>45377</v>
      </c>
      <c r="B1380" t="s">
        <v>25</v>
      </c>
      <c r="C1380" t="s">
        <v>19</v>
      </c>
      <c r="D1380" t="s">
        <v>12</v>
      </c>
      <c r="E1380" t="s">
        <v>351</v>
      </c>
      <c r="F1380" t="s">
        <v>115</v>
      </c>
      <c r="G1380" t="s">
        <v>15</v>
      </c>
      <c r="H1380">
        <v>4</v>
      </c>
      <c r="I1380">
        <v>4596</v>
      </c>
      <c r="J1380">
        <v>553.58000000000004</v>
      </c>
    </row>
    <row r="1381" spans="1:10" x14ac:dyDescent="0.25">
      <c r="A1381" s="1">
        <v>45387</v>
      </c>
      <c r="B1381" t="s">
        <v>32</v>
      </c>
      <c r="C1381" t="s">
        <v>19</v>
      </c>
      <c r="D1381" t="s">
        <v>12</v>
      </c>
      <c r="E1381" t="s">
        <v>351</v>
      </c>
      <c r="F1381" t="s">
        <v>115</v>
      </c>
      <c r="G1381" t="s">
        <v>15</v>
      </c>
      <c r="H1381">
        <v>6</v>
      </c>
      <c r="I1381">
        <v>930</v>
      </c>
      <c r="J1381">
        <v>68.239999999999995</v>
      </c>
    </row>
    <row r="1382" spans="1:10" x14ac:dyDescent="0.25">
      <c r="A1382" s="1">
        <v>45101</v>
      </c>
      <c r="B1382" t="s">
        <v>18</v>
      </c>
      <c r="C1382" t="s">
        <v>19</v>
      </c>
      <c r="D1382" t="s">
        <v>12</v>
      </c>
      <c r="E1382" t="s">
        <v>288</v>
      </c>
      <c r="F1382" t="s">
        <v>156</v>
      </c>
      <c r="G1382" t="s">
        <v>28</v>
      </c>
      <c r="H1382">
        <v>3</v>
      </c>
      <c r="I1382">
        <v>2790</v>
      </c>
      <c r="J1382">
        <v>470.93</v>
      </c>
    </row>
    <row r="1383" spans="1:10" x14ac:dyDescent="0.25">
      <c r="A1383" s="1">
        <v>44703</v>
      </c>
      <c r="B1383" t="s">
        <v>40</v>
      </c>
      <c r="C1383" t="s">
        <v>19</v>
      </c>
      <c r="D1383" t="s">
        <v>12</v>
      </c>
      <c r="E1383" t="s">
        <v>288</v>
      </c>
      <c r="F1383" t="s">
        <v>156</v>
      </c>
      <c r="G1383" t="s">
        <v>28</v>
      </c>
      <c r="H1383">
        <v>6</v>
      </c>
      <c r="I1383">
        <v>4596</v>
      </c>
      <c r="J1383">
        <v>1162.75</v>
      </c>
    </row>
    <row r="1384" spans="1:10" x14ac:dyDescent="0.25">
      <c r="A1384" s="1">
        <v>45214</v>
      </c>
      <c r="B1384" t="s">
        <v>49</v>
      </c>
      <c r="C1384" t="s">
        <v>17</v>
      </c>
      <c r="D1384" t="s">
        <v>12</v>
      </c>
      <c r="E1384" t="s">
        <v>128</v>
      </c>
      <c r="F1384" t="s">
        <v>23</v>
      </c>
      <c r="G1384" t="s">
        <v>24</v>
      </c>
      <c r="H1384">
        <v>1</v>
      </c>
      <c r="I1384">
        <v>962</v>
      </c>
      <c r="J1384">
        <v>260.27999999999997</v>
      </c>
    </row>
    <row r="1385" spans="1:10" x14ac:dyDescent="0.25">
      <c r="A1385" s="1">
        <v>45588</v>
      </c>
      <c r="B1385" t="s">
        <v>40</v>
      </c>
      <c r="C1385" t="s">
        <v>19</v>
      </c>
      <c r="D1385" t="s">
        <v>12</v>
      </c>
      <c r="E1385" t="s">
        <v>130</v>
      </c>
      <c r="F1385" t="s">
        <v>14</v>
      </c>
      <c r="G1385" t="s">
        <v>15</v>
      </c>
      <c r="H1385">
        <v>1</v>
      </c>
      <c r="I1385">
        <v>92</v>
      </c>
      <c r="J1385">
        <v>14.88</v>
      </c>
    </row>
    <row r="1386" spans="1:10" x14ac:dyDescent="0.25">
      <c r="A1386" s="1">
        <v>45564</v>
      </c>
      <c r="B1386" t="s">
        <v>49</v>
      </c>
      <c r="C1386" t="s">
        <v>17</v>
      </c>
      <c r="D1386" t="s">
        <v>12</v>
      </c>
      <c r="E1386" t="s">
        <v>130</v>
      </c>
      <c r="F1386" t="s">
        <v>14</v>
      </c>
      <c r="G1386" t="s">
        <v>15</v>
      </c>
      <c r="H1386">
        <v>5</v>
      </c>
      <c r="I1386">
        <v>1130</v>
      </c>
      <c r="J1386">
        <v>254.99</v>
      </c>
    </row>
    <row r="1387" spans="1:10" x14ac:dyDescent="0.25">
      <c r="A1387" s="1">
        <v>45411</v>
      </c>
      <c r="B1387" t="s">
        <v>29</v>
      </c>
      <c r="C1387" t="s">
        <v>17</v>
      </c>
      <c r="D1387" t="s">
        <v>12</v>
      </c>
      <c r="E1387" t="s">
        <v>22</v>
      </c>
      <c r="F1387" t="s">
        <v>23</v>
      </c>
      <c r="G1387" t="s">
        <v>24</v>
      </c>
      <c r="H1387">
        <v>6</v>
      </c>
      <c r="I1387">
        <v>6024</v>
      </c>
      <c r="J1387">
        <v>1706.41</v>
      </c>
    </row>
    <row r="1388" spans="1:10" x14ac:dyDescent="0.25">
      <c r="A1388" s="1">
        <v>45307</v>
      </c>
      <c r="B1388" t="s">
        <v>10</v>
      </c>
      <c r="C1388" t="s">
        <v>11</v>
      </c>
      <c r="D1388" t="s">
        <v>12</v>
      </c>
      <c r="E1388" t="s">
        <v>132</v>
      </c>
      <c r="F1388" t="s">
        <v>100</v>
      </c>
      <c r="G1388" t="s">
        <v>35</v>
      </c>
      <c r="H1388">
        <v>1</v>
      </c>
      <c r="I1388">
        <v>879</v>
      </c>
      <c r="J1388">
        <v>135</v>
      </c>
    </row>
    <row r="1389" spans="1:10" x14ac:dyDescent="0.25">
      <c r="A1389" s="1">
        <v>44718</v>
      </c>
      <c r="B1389" t="s">
        <v>36</v>
      </c>
      <c r="C1389" t="s">
        <v>17</v>
      </c>
      <c r="D1389" t="s">
        <v>12</v>
      </c>
      <c r="E1389" t="s">
        <v>74</v>
      </c>
      <c r="F1389" t="s">
        <v>23</v>
      </c>
      <c r="G1389" t="s">
        <v>24</v>
      </c>
      <c r="H1389">
        <v>8</v>
      </c>
      <c r="I1389">
        <v>2384</v>
      </c>
      <c r="J1389">
        <v>444.98</v>
      </c>
    </row>
    <row r="1390" spans="1:10" x14ac:dyDescent="0.25">
      <c r="A1390" s="1">
        <v>45651</v>
      </c>
      <c r="B1390" t="s">
        <v>25</v>
      </c>
      <c r="C1390" t="s">
        <v>19</v>
      </c>
      <c r="D1390" t="s">
        <v>12</v>
      </c>
      <c r="E1390" t="s">
        <v>376</v>
      </c>
      <c r="F1390" t="s">
        <v>34</v>
      </c>
      <c r="G1390" t="s">
        <v>35</v>
      </c>
      <c r="H1390">
        <v>4</v>
      </c>
      <c r="I1390">
        <v>4644</v>
      </c>
      <c r="J1390">
        <v>277.26</v>
      </c>
    </row>
    <row r="1391" spans="1:10" x14ac:dyDescent="0.25">
      <c r="A1391" s="1">
        <v>45386</v>
      </c>
      <c r="B1391" t="s">
        <v>49</v>
      </c>
      <c r="C1391" t="s">
        <v>17</v>
      </c>
      <c r="D1391" t="s">
        <v>12</v>
      </c>
      <c r="E1391" t="s">
        <v>376</v>
      </c>
      <c r="F1391" t="s">
        <v>34</v>
      </c>
      <c r="G1391" t="s">
        <v>35</v>
      </c>
      <c r="H1391">
        <v>1</v>
      </c>
      <c r="I1391">
        <v>607</v>
      </c>
      <c r="J1391">
        <v>79.78</v>
      </c>
    </row>
    <row r="1392" spans="1:10" x14ac:dyDescent="0.25">
      <c r="A1392" s="1">
        <v>44833</v>
      </c>
      <c r="B1392" t="s">
        <v>16</v>
      </c>
      <c r="C1392" t="s">
        <v>17</v>
      </c>
      <c r="D1392" t="s">
        <v>12</v>
      </c>
      <c r="E1392" t="s">
        <v>56</v>
      </c>
      <c r="F1392" t="s">
        <v>57</v>
      </c>
      <c r="G1392" t="s">
        <v>24</v>
      </c>
      <c r="H1392">
        <v>7</v>
      </c>
      <c r="I1392">
        <v>770</v>
      </c>
      <c r="J1392">
        <v>129.11000000000001</v>
      </c>
    </row>
    <row r="1393" spans="1:10" x14ac:dyDescent="0.25">
      <c r="A1393" s="1">
        <v>44871</v>
      </c>
      <c r="B1393" t="s">
        <v>49</v>
      </c>
      <c r="C1393" t="s">
        <v>17</v>
      </c>
      <c r="D1393" t="s">
        <v>12</v>
      </c>
      <c r="E1393" t="s">
        <v>56</v>
      </c>
      <c r="F1393" t="s">
        <v>57</v>
      </c>
      <c r="G1393" t="s">
        <v>24</v>
      </c>
      <c r="H1393">
        <v>1</v>
      </c>
      <c r="I1393">
        <v>711</v>
      </c>
      <c r="J1393">
        <v>158.88999999999999</v>
      </c>
    </row>
    <row r="1394" spans="1:10" x14ac:dyDescent="0.25">
      <c r="A1394" s="1">
        <v>45140</v>
      </c>
      <c r="B1394" t="s">
        <v>49</v>
      </c>
      <c r="C1394" t="s">
        <v>17</v>
      </c>
      <c r="D1394" t="s">
        <v>12</v>
      </c>
      <c r="E1394" t="s">
        <v>131</v>
      </c>
      <c r="F1394" t="s">
        <v>63</v>
      </c>
      <c r="G1394" t="s">
        <v>28</v>
      </c>
      <c r="H1394">
        <v>2</v>
      </c>
      <c r="I1394">
        <v>1088</v>
      </c>
      <c r="J1394">
        <v>235.83</v>
      </c>
    </row>
    <row r="1395" spans="1:10" x14ac:dyDescent="0.25">
      <c r="A1395" s="1">
        <v>45356</v>
      </c>
      <c r="B1395" t="s">
        <v>55</v>
      </c>
      <c r="C1395" t="s">
        <v>19</v>
      </c>
      <c r="D1395" t="s">
        <v>12</v>
      </c>
      <c r="E1395" t="s">
        <v>132</v>
      </c>
      <c r="F1395" t="s">
        <v>189</v>
      </c>
      <c r="G1395" t="s">
        <v>24</v>
      </c>
      <c r="H1395">
        <v>7</v>
      </c>
      <c r="I1395">
        <v>4704</v>
      </c>
      <c r="J1395">
        <v>513.14</v>
      </c>
    </row>
    <row r="1396" spans="1:10" x14ac:dyDescent="0.25">
      <c r="A1396" s="1">
        <v>44910</v>
      </c>
      <c r="B1396" t="s">
        <v>55</v>
      </c>
      <c r="C1396" t="s">
        <v>19</v>
      </c>
      <c r="D1396" t="s">
        <v>12</v>
      </c>
      <c r="E1396" t="s">
        <v>111</v>
      </c>
      <c r="F1396" t="s">
        <v>34</v>
      </c>
      <c r="G1396" t="s">
        <v>35</v>
      </c>
      <c r="H1396">
        <v>5</v>
      </c>
      <c r="I1396">
        <v>660</v>
      </c>
      <c r="J1396">
        <v>90.86</v>
      </c>
    </row>
    <row r="1397" spans="1:10" x14ac:dyDescent="0.25">
      <c r="A1397" s="1">
        <v>44890</v>
      </c>
      <c r="B1397" t="s">
        <v>29</v>
      </c>
      <c r="C1397" t="s">
        <v>17</v>
      </c>
      <c r="D1397" t="s">
        <v>12</v>
      </c>
      <c r="E1397" t="s">
        <v>111</v>
      </c>
      <c r="F1397" t="s">
        <v>34</v>
      </c>
      <c r="G1397" t="s">
        <v>35</v>
      </c>
      <c r="H1397">
        <v>5</v>
      </c>
      <c r="I1397">
        <v>4680</v>
      </c>
      <c r="J1397">
        <v>516.26</v>
      </c>
    </row>
    <row r="1398" spans="1:10" x14ac:dyDescent="0.25">
      <c r="A1398" s="1">
        <v>44840</v>
      </c>
      <c r="B1398" t="s">
        <v>25</v>
      </c>
      <c r="C1398" t="s">
        <v>19</v>
      </c>
      <c r="D1398" t="s">
        <v>12</v>
      </c>
      <c r="E1398" t="s">
        <v>240</v>
      </c>
      <c r="F1398" t="s">
        <v>94</v>
      </c>
      <c r="G1398" t="s">
        <v>24</v>
      </c>
      <c r="H1398">
        <v>7</v>
      </c>
      <c r="I1398">
        <v>6797</v>
      </c>
      <c r="J1398">
        <v>665.29</v>
      </c>
    </row>
    <row r="1399" spans="1:10" x14ac:dyDescent="0.25">
      <c r="A1399" s="1">
        <v>45637</v>
      </c>
      <c r="B1399" t="s">
        <v>16</v>
      </c>
      <c r="C1399" t="s">
        <v>17</v>
      </c>
      <c r="D1399" t="s">
        <v>12</v>
      </c>
      <c r="E1399" t="s">
        <v>240</v>
      </c>
      <c r="F1399" t="s">
        <v>94</v>
      </c>
      <c r="G1399" t="s">
        <v>24</v>
      </c>
      <c r="H1399">
        <v>9</v>
      </c>
      <c r="I1399">
        <v>558</v>
      </c>
      <c r="J1399">
        <v>38.86</v>
      </c>
    </row>
    <row r="1400" spans="1:10" x14ac:dyDescent="0.25">
      <c r="A1400" s="1">
        <v>45182</v>
      </c>
      <c r="B1400" t="s">
        <v>36</v>
      </c>
      <c r="C1400" t="s">
        <v>17</v>
      </c>
      <c r="D1400" t="s">
        <v>12</v>
      </c>
      <c r="E1400" t="s">
        <v>377</v>
      </c>
      <c r="F1400" t="s">
        <v>115</v>
      </c>
      <c r="G1400" t="s">
        <v>15</v>
      </c>
      <c r="H1400">
        <v>4</v>
      </c>
      <c r="I1400">
        <v>4496</v>
      </c>
      <c r="J1400">
        <v>1115.75</v>
      </c>
    </row>
    <row r="1401" spans="1:10" x14ac:dyDescent="0.25">
      <c r="A1401" s="1">
        <v>44709</v>
      </c>
      <c r="B1401" t="s">
        <v>49</v>
      </c>
      <c r="C1401" t="s">
        <v>17</v>
      </c>
      <c r="D1401" t="s">
        <v>12</v>
      </c>
      <c r="E1401" t="s">
        <v>170</v>
      </c>
      <c r="F1401" t="s">
        <v>78</v>
      </c>
      <c r="G1401" t="s">
        <v>28</v>
      </c>
      <c r="H1401">
        <v>1</v>
      </c>
      <c r="I1401">
        <v>713</v>
      </c>
      <c r="J1401">
        <v>62.78</v>
      </c>
    </row>
    <row r="1402" spans="1:10" x14ac:dyDescent="0.25">
      <c r="A1402" s="1">
        <v>44790</v>
      </c>
      <c r="B1402" t="s">
        <v>25</v>
      </c>
      <c r="C1402" t="s">
        <v>19</v>
      </c>
      <c r="D1402" t="s">
        <v>12</v>
      </c>
      <c r="E1402" t="s">
        <v>378</v>
      </c>
      <c r="F1402" t="s">
        <v>115</v>
      </c>
      <c r="G1402" t="s">
        <v>15</v>
      </c>
      <c r="H1402">
        <v>2</v>
      </c>
      <c r="I1402">
        <v>1310</v>
      </c>
      <c r="J1402">
        <v>212.43</v>
      </c>
    </row>
    <row r="1403" spans="1:10" x14ac:dyDescent="0.25">
      <c r="A1403" s="1">
        <v>45596</v>
      </c>
      <c r="B1403" t="s">
        <v>49</v>
      </c>
      <c r="C1403" t="s">
        <v>17</v>
      </c>
      <c r="D1403" t="s">
        <v>12</v>
      </c>
      <c r="E1403" t="s">
        <v>93</v>
      </c>
      <c r="F1403" t="s">
        <v>94</v>
      </c>
      <c r="G1403" t="s">
        <v>24</v>
      </c>
      <c r="H1403">
        <v>9</v>
      </c>
      <c r="I1403">
        <v>2853</v>
      </c>
      <c r="J1403">
        <v>564.04999999999995</v>
      </c>
    </row>
    <row r="1404" spans="1:10" x14ac:dyDescent="0.25">
      <c r="A1404" s="1">
        <v>45250</v>
      </c>
      <c r="B1404" t="s">
        <v>25</v>
      </c>
      <c r="C1404" t="s">
        <v>19</v>
      </c>
      <c r="D1404" t="s">
        <v>12</v>
      </c>
      <c r="E1404" t="s">
        <v>22</v>
      </c>
      <c r="F1404" t="s">
        <v>23</v>
      </c>
      <c r="G1404" t="s">
        <v>24</v>
      </c>
      <c r="H1404">
        <v>2</v>
      </c>
      <c r="I1404">
        <v>2324</v>
      </c>
      <c r="J1404">
        <v>516.05999999999995</v>
      </c>
    </row>
    <row r="1405" spans="1:10" x14ac:dyDescent="0.25">
      <c r="A1405" s="1">
        <v>45398</v>
      </c>
      <c r="B1405" t="s">
        <v>55</v>
      </c>
      <c r="C1405" t="s">
        <v>19</v>
      </c>
      <c r="D1405" t="s">
        <v>12</v>
      </c>
      <c r="E1405" t="s">
        <v>60</v>
      </c>
      <c r="F1405" t="s">
        <v>44</v>
      </c>
      <c r="G1405" t="s">
        <v>35</v>
      </c>
      <c r="H1405">
        <v>1</v>
      </c>
      <c r="I1405">
        <v>330</v>
      </c>
      <c r="J1405">
        <v>53.42</v>
      </c>
    </row>
    <row r="1406" spans="1:10" x14ac:dyDescent="0.25">
      <c r="A1406" s="1">
        <v>45191</v>
      </c>
      <c r="B1406" t="s">
        <v>25</v>
      </c>
      <c r="C1406" t="s">
        <v>19</v>
      </c>
      <c r="D1406" t="s">
        <v>12</v>
      </c>
      <c r="E1406" t="s">
        <v>105</v>
      </c>
      <c r="F1406" t="s">
        <v>23</v>
      </c>
      <c r="G1406" t="s">
        <v>24</v>
      </c>
      <c r="H1406">
        <v>3</v>
      </c>
      <c r="I1406">
        <v>588</v>
      </c>
      <c r="J1406">
        <v>100.52</v>
      </c>
    </row>
    <row r="1407" spans="1:10" x14ac:dyDescent="0.25">
      <c r="A1407" s="1">
        <v>45419</v>
      </c>
      <c r="B1407" t="s">
        <v>40</v>
      </c>
      <c r="C1407" t="s">
        <v>19</v>
      </c>
      <c r="D1407" t="s">
        <v>12</v>
      </c>
      <c r="E1407" t="s">
        <v>379</v>
      </c>
      <c r="F1407" t="s">
        <v>149</v>
      </c>
      <c r="G1407" t="s">
        <v>15</v>
      </c>
      <c r="H1407">
        <v>1</v>
      </c>
      <c r="I1407">
        <v>63</v>
      </c>
      <c r="J1407">
        <v>11.91</v>
      </c>
    </row>
    <row r="1408" spans="1:10" x14ac:dyDescent="0.25">
      <c r="A1408" s="1">
        <v>44635</v>
      </c>
      <c r="B1408" t="s">
        <v>18</v>
      </c>
      <c r="C1408" t="s">
        <v>19</v>
      </c>
      <c r="D1408" t="s">
        <v>12</v>
      </c>
      <c r="E1408" t="s">
        <v>380</v>
      </c>
      <c r="F1408" t="s">
        <v>227</v>
      </c>
      <c r="G1408" t="s">
        <v>24</v>
      </c>
      <c r="H1408">
        <v>7</v>
      </c>
      <c r="I1408">
        <v>847</v>
      </c>
      <c r="J1408">
        <v>147.71</v>
      </c>
    </row>
    <row r="1409" spans="1:10" x14ac:dyDescent="0.25">
      <c r="A1409" s="1">
        <v>45471</v>
      </c>
      <c r="B1409" t="s">
        <v>10</v>
      </c>
      <c r="C1409" t="s">
        <v>11</v>
      </c>
      <c r="D1409" t="s">
        <v>12</v>
      </c>
      <c r="E1409" t="s">
        <v>380</v>
      </c>
      <c r="F1409" t="s">
        <v>227</v>
      </c>
      <c r="G1409" t="s">
        <v>24</v>
      </c>
      <c r="H1409">
        <v>1</v>
      </c>
      <c r="I1409">
        <v>1037</v>
      </c>
      <c r="J1409">
        <v>56.89</v>
      </c>
    </row>
    <row r="1410" spans="1:10" x14ac:dyDescent="0.25">
      <c r="A1410" s="1">
        <v>45297</v>
      </c>
      <c r="B1410" t="s">
        <v>16</v>
      </c>
      <c r="C1410" t="s">
        <v>17</v>
      </c>
      <c r="D1410" t="s">
        <v>12</v>
      </c>
      <c r="E1410" t="s">
        <v>256</v>
      </c>
      <c r="F1410" t="s">
        <v>44</v>
      </c>
      <c r="G1410" t="s">
        <v>35</v>
      </c>
      <c r="H1410">
        <v>1</v>
      </c>
      <c r="I1410">
        <v>373</v>
      </c>
      <c r="J1410">
        <v>72.17</v>
      </c>
    </row>
    <row r="1411" spans="1:10" x14ac:dyDescent="0.25">
      <c r="A1411" s="1">
        <v>45280</v>
      </c>
      <c r="B1411" t="s">
        <v>55</v>
      </c>
      <c r="C1411" t="s">
        <v>19</v>
      </c>
      <c r="D1411" t="s">
        <v>12</v>
      </c>
      <c r="E1411" t="s">
        <v>256</v>
      </c>
      <c r="F1411" t="s">
        <v>44</v>
      </c>
      <c r="G1411" t="s">
        <v>35</v>
      </c>
      <c r="H1411">
        <v>1</v>
      </c>
      <c r="I1411">
        <v>1176</v>
      </c>
      <c r="J1411">
        <v>157.47</v>
      </c>
    </row>
    <row r="1412" spans="1:10" x14ac:dyDescent="0.25">
      <c r="A1412" s="1">
        <v>44572</v>
      </c>
      <c r="B1412" t="s">
        <v>40</v>
      </c>
      <c r="C1412" t="s">
        <v>19</v>
      </c>
      <c r="D1412" t="s">
        <v>12</v>
      </c>
      <c r="E1412" t="s">
        <v>381</v>
      </c>
      <c r="F1412" t="s">
        <v>152</v>
      </c>
      <c r="G1412" t="s">
        <v>15</v>
      </c>
      <c r="H1412">
        <v>3</v>
      </c>
      <c r="I1412">
        <v>2139</v>
      </c>
      <c r="J1412">
        <v>422.52</v>
      </c>
    </row>
    <row r="1413" spans="1:10" x14ac:dyDescent="0.25">
      <c r="A1413" s="1">
        <v>45637</v>
      </c>
      <c r="B1413" t="s">
        <v>36</v>
      </c>
      <c r="C1413" t="s">
        <v>17</v>
      </c>
      <c r="D1413" t="s">
        <v>12</v>
      </c>
      <c r="E1413" t="s">
        <v>146</v>
      </c>
      <c r="F1413" t="s">
        <v>21</v>
      </c>
      <c r="G1413" t="s">
        <v>15</v>
      </c>
      <c r="H1413">
        <v>9</v>
      </c>
      <c r="I1413">
        <v>4140</v>
      </c>
      <c r="J1413">
        <v>301.12</v>
      </c>
    </row>
    <row r="1414" spans="1:10" x14ac:dyDescent="0.25">
      <c r="A1414" s="1">
        <v>45304</v>
      </c>
      <c r="B1414" t="s">
        <v>55</v>
      </c>
      <c r="C1414" t="s">
        <v>19</v>
      </c>
      <c r="D1414" t="s">
        <v>12</v>
      </c>
      <c r="E1414" t="s">
        <v>167</v>
      </c>
      <c r="F1414" t="s">
        <v>46</v>
      </c>
      <c r="G1414" t="s">
        <v>15</v>
      </c>
      <c r="H1414">
        <v>1</v>
      </c>
      <c r="I1414">
        <v>1038</v>
      </c>
      <c r="J1414">
        <v>63.23</v>
      </c>
    </row>
    <row r="1415" spans="1:10" x14ac:dyDescent="0.25">
      <c r="A1415" s="1">
        <v>45501</v>
      </c>
      <c r="B1415" t="s">
        <v>36</v>
      </c>
      <c r="C1415" t="s">
        <v>17</v>
      </c>
      <c r="D1415" t="s">
        <v>12</v>
      </c>
      <c r="E1415" t="s">
        <v>43</v>
      </c>
      <c r="F1415" t="s">
        <v>44</v>
      </c>
      <c r="G1415" t="s">
        <v>35</v>
      </c>
      <c r="H1415">
        <v>8</v>
      </c>
      <c r="I1415">
        <v>2024</v>
      </c>
      <c r="J1415">
        <v>203.11</v>
      </c>
    </row>
    <row r="1416" spans="1:10" x14ac:dyDescent="0.25">
      <c r="A1416" s="1">
        <v>44666</v>
      </c>
      <c r="B1416" t="s">
        <v>32</v>
      </c>
      <c r="C1416" t="s">
        <v>19</v>
      </c>
      <c r="D1416" t="s">
        <v>12</v>
      </c>
      <c r="E1416" t="s">
        <v>22</v>
      </c>
      <c r="F1416" t="s">
        <v>23</v>
      </c>
      <c r="G1416" t="s">
        <v>24</v>
      </c>
      <c r="H1416">
        <v>6</v>
      </c>
      <c r="I1416">
        <v>6624</v>
      </c>
      <c r="J1416">
        <v>1136.0899999999999</v>
      </c>
    </row>
    <row r="1417" spans="1:10" x14ac:dyDescent="0.25">
      <c r="A1417" s="1">
        <v>45192</v>
      </c>
      <c r="B1417" t="s">
        <v>32</v>
      </c>
      <c r="C1417" t="s">
        <v>19</v>
      </c>
      <c r="D1417" t="s">
        <v>12</v>
      </c>
      <c r="E1417" t="s">
        <v>382</v>
      </c>
      <c r="F1417" t="s">
        <v>78</v>
      </c>
      <c r="G1417" t="s">
        <v>28</v>
      </c>
      <c r="H1417">
        <v>7</v>
      </c>
      <c r="I1417">
        <v>5019</v>
      </c>
      <c r="J1417">
        <v>1154.79</v>
      </c>
    </row>
    <row r="1418" spans="1:10" x14ac:dyDescent="0.25">
      <c r="A1418" s="1">
        <v>45397</v>
      </c>
      <c r="B1418" t="s">
        <v>40</v>
      </c>
      <c r="C1418" t="s">
        <v>19</v>
      </c>
      <c r="D1418" t="s">
        <v>12</v>
      </c>
      <c r="E1418" t="s">
        <v>243</v>
      </c>
      <c r="F1418" t="s">
        <v>78</v>
      </c>
      <c r="G1418" t="s">
        <v>28</v>
      </c>
      <c r="H1418">
        <v>5</v>
      </c>
      <c r="I1418">
        <v>750</v>
      </c>
      <c r="J1418">
        <v>207.77</v>
      </c>
    </row>
    <row r="1419" spans="1:10" x14ac:dyDescent="0.25">
      <c r="A1419" s="1">
        <v>45008</v>
      </c>
      <c r="B1419" t="s">
        <v>25</v>
      </c>
      <c r="C1419" t="s">
        <v>19</v>
      </c>
      <c r="D1419" t="s">
        <v>12</v>
      </c>
      <c r="E1419" t="s">
        <v>243</v>
      </c>
      <c r="F1419" t="s">
        <v>78</v>
      </c>
      <c r="G1419" t="s">
        <v>28</v>
      </c>
      <c r="H1419">
        <v>7</v>
      </c>
      <c r="I1419">
        <v>6461</v>
      </c>
      <c r="J1419">
        <v>1455.36</v>
      </c>
    </row>
    <row r="1420" spans="1:10" x14ac:dyDescent="0.25">
      <c r="A1420" s="1">
        <v>45234</v>
      </c>
      <c r="B1420" t="s">
        <v>18</v>
      </c>
      <c r="C1420" t="s">
        <v>19</v>
      </c>
      <c r="D1420" t="s">
        <v>12</v>
      </c>
      <c r="E1420" t="s">
        <v>52</v>
      </c>
      <c r="F1420" t="s">
        <v>42</v>
      </c>
      <c r="G1420" t="s">
        <v>28</v>
      </c>
      <c r="H1420">
        <v>6</v>
      </c>
      <c r="I1420">
        <v>2946</v>
      </c>
      <c r="J1420">
        <v>208.01</v>
      </c>
    </row>
    <row r="1421" spans="1:10" x14ac:dyDescent="0.25">
      <c r="A1421" s="1">
        <v>45436</v>
      </c>
      <c r="B1421" t="s">
        <v>36</v>
      </c>
      <c r="C1421" t="s">
        <v>17</v>
      </c>
      <c r="D1421" t="s">
        <v>12</v>
      </c>
      <c r="E1421" t="s">
        <v>43</v>
      </c>
      <c r="F1421" t="s">
        <v>44</v>
      </c>
      <c r="G1421" t="s">
        <v>35</v>
      </c>
      <c r="H1421">
        <v>1</v>
      </c>
      <c r="I1421">
        <v>618</v>
      </c>
      <c r="J1421">
        <v>81.040000000000006</v>
      </c>
    </row>
    <row r="1422" spans="1:10" x14ac:dyDescent="0.25">
      <c r="A1422" s="1">
        <v>44647</v>
      </c>
      <c r="B1422" t="s">
        <v>10</v>
      </c>
      <c r="C1422" t="s">
        <v>11</v>
      </c>
      <c r="D1422" t="s">
        <v>12</v>
      </c>
      <c r="E1422" t="s">
        <v>43</v>
      </c>
      <c r="F1422" t="s">
        <v>44</v>
      </c>
      <c r="G1422" t="s">
        <v>35</v>
      </c>
      <c r="H1422">
        <v>2</v>
      </c>
      <c r="I1422">
        <v>1774</v>
      </c>
      <c r="J1422">
        <v>322.49</v>
      </c>
    </row>
    <row r="1423" spans="1:10" x14ac:dyDescent="0.25">
      <c r="A1423" s="1">
        <v>44692</v>
      </c>
      <c r="B1423" t="s">
        <v>25</v>
      </c>
      <c r="C1423" t="s">
        <v>19</v>
      </c>
      <c r="D1423" t="s">
        <v>12</v>
      </c>
      <c r="E1423" t="s">
        <v>307</v>
      </c>
      <c r="F1423" t="s">
        <v>156</v>
      </c>
      <c r="G1423" t="s">
        <v>28</v>
      </c>
      <c r="H1423">
        <v>9</v>
      </c>
      <c r="I1423">
        <v>8586</v>
      </c>
      <c r="J1423">
        <v>700.37</v>
      </c>
    </row>
    <row r="1424" spans="1:10" x14ac:dyDescent="0.25">
      <c r="A1424" s="1">
        <v>45335</v>
      </c>
      <c r="B1424" t="s">
        <v>55</v>
      </c>
      <c r="C1424" t="s">
        <v>19</v>
      </c>
      <c r="D1424" t="s">
        <v>12</v>
      </c>
      <c r="E1424" t="s">
        <v>307</v>
      </c>
      <c r="F1424" t="s">
        <v>156</v>
      </c>
      <c r="G1424" t="s">
        <v>28</v>
      </c>
      <c r="H1424">
        <v>5</v>
      </c>
      <c r="I1424">
        <v>2000</v>
      </c>
      <c r="J1424">
        <v>232.41</v>
      </c>
    </row>
    <row r="1425" spans="1:10" x14ac:dyDescent="0.25">
      <c r="A1425" s="1">
        <v>44973</v>
      </c>
      <c r="B1425" t="s">
        <v>16</v>
      </c>
      <c r="C1425" t="s">
        <v>17</v>
      </c>
      <c r="D1425" t="s">
        <v>12</v>
      </c>
      <c r="E1425" t="s">
        <v>26</v>
      </c>
      <c r="F1425" t="s">
        <v>27</v>
      </c>
      <c r="G1425" t="s">
        <v>28</v>
      </c>
      <c r="H1425">
        <v>1</v>
      </c>
      <c r="I1425">
        <v>849</v>
      </c>
      <c r="J1425">
        <v>205.88</v>
      </c>
    </row>
    <row r="1426" spans="1:10" x14ac:dyDescent="0.25">
      <c r="A1426" s="1">
        <v>45151</v>
      </c>
      <c r="B1426" t="s">
        <v>16</v>
      </c>
      <c r="C1426" t="s">
        <v>17</v>
      </c>
      <c r="D1426" t="s">
        <v>12</v>
      </c>
      <c r="E1426" t="s">
        <v>26</v>
      </c>
      <c r="F1426" t="s">
        <v>27</v>
      </c>
      <c r="G1426" t="s">
        <v>28</v>
      </c>
      <c r="H1426">
        <v>6</v>
      </c>
      <c r="I1426">
        <v>3186</v>
      </c>
      <c r="J1426">
        <v>374.63</v>
      </c>
    </row>
    <row r="1427" spans="1:10" x14ac:dyDescent="0.25">
      <c r="A1427" s="1">
        <v>45427</v>
      </c>
      <c r="B1427" t="s">
        <v>36</v>
      </c>
      <c r="C1427" t="s">
        <v>17</v>
      </c>
      <c r="D1427" t="s">
        <v>12</v>
      </c>
      <c r="E1427" t="s">
        <v>251</v>
      </c>
      <c r="F1427" t="s">
        <v>108</v>
      </c>
      <c r="G1427" t="s">
        <v>15</v>
      </c>
      <c r="H1427">
        <v>4</v>
      </c>
      <c r="I1427">
        <v>2536</v>
      </c>
      <c r="J1427">
        <v>495.13</v>
      </c>
    </row>
    <row r="1428" spans="1:10" x14ac:dyDescent="0.25">
      <c r="A1428" s="1">
        <v>45421</v>
      </c>
      <c r="B1428" t="s">
        <v>32</v>
      </c>
      <c r="C1428" t="s">
        <v>19</v>
      </c>
      <c r="D1428" t="s">
        <v>12</v>
      </c>
      <c r="E1428" t="s">
        <v>223</v>
      </c>
      <c r="F1428" t="s">
        <v>23</v>
      </c>
      <c r="G1428" t="s">
        <v>24</v>
      </c>
      <c r="H1428">
        <v>2</v>
      </c>
      <c r="I1428">
        <v>1306</v>
      </c>
      <c r="J1428">
        <v>228.41</v>
      </c>
    </row>
    <row r="1429" spans="1:10" x14ac:dyDescent="0.25">
      <c r="A1429" s="1">
        <v>44683</v>
      </c>
      <c r="B1429" t="s">
        <v>18</v>
      </c>
      <c r="C1429" t="s">
        <v>19</v>
      </c>
      <c r="D1429" t="s">
        <v>12</v>
      </c>
      <c r="E1429" t="s">
        <v>43</v>
      </c>
      <c r="F1429" t="s">
        <v>44</v>
      </c>
      <c r="G1429" t="s">
        <v>35</v>
      </c>
      <c r="H1429">
        <v>3</v>
      </c>
      <c r="I1429">
        <v>2508</v>
      </c>
      <c r="J1429">
        <v>631.85</v>
      </c>
    </row>
    <row r="1430" spans="1:10" x14ac:dyDescent="0.25">
      <c r="A1430" s="1">
        <v>45486</v>
      </c>
      <c r="B1430" t="s">
        <v>18</v>
      </c>
      <c r="C1430" t="s">
        <v>19</v>
      </c>
      <c r="D1430" t="s">
        <v>12</v>
      </c>
      <c r="E1430" t="s">
        <v>37</v>
      </c>
      <c r="F1430" t="s">
        <v>34</v>
      </c>
      <c r="G1430" t="s">
        <v>35</v>
      </c>
      <c r="H1430">
        <v>8</v>
      </c>
      <c r="I1430">
        <v>1048</v>
      </c>
      <c r="J1430">
        <v>107.56</v>
      </c>
    </row>
    <row r="1431" spans="1:10" x14ac:dyDescent="0.25">
      <c r="A1431" s="1">
        <v>44884</v>
      </c>
      <c r="B1431" t="s">
        <v>49</v>
      </c>
      <c r="C1431" t="s">
        <v>17</v>
      </c>
      <c r="D1431" t="s">
        <v>12</v>
      </c>
      <c r="E1431" t="s">
        <v>37</v>
      </c>
      <c r="F1431" t="s">
        <v>34</v>
      </c>
      <c r="G1431" t="s">
        <v>35</v>
      </c>
      <c r="H1431">
        <v>4</v>
      </c>
      <c r="I1431">
        <v>1516</v>
      </c>
      <c r="J1431">
        <v>256.95999999999998</v>
      </c>
    </row>
    <row r="1432" spans="1:10" x14ac:dyDescent="0.25">
      <c r="A1432" s="1">
        <v>45355</v>
      </c>
      <c r="B1432" t="s">
        <v>40</v>
      </c>
      <c r="C1432" t="s">
        <v>19</v>
      </c>
      <c r="D1432" t="s">
        <v>12</v>
      </c>
      <c r="E1432" t="s">
        <v>93</v>
      </c>
      <c r="F1432" t="s">
        <v>94</v>
      </c>
      <c r="G1432" t="s">
        <v>24</v>
      </c>
      <c r="H1432">
        <v>9</v>
      </c>
      <c r="I1432">
        <v>10458</v>
      </c>
      <c r="J1432">
        <v>1835.21</v>
      </c>
    </row>
    <row r="1433" spans="1:10" x14ac:dyDescent="0.25">
      <c r="A1433" s="1">
        <v>45432</v>
      </c>
      <c r="B1433" t="s">
        <v>29</v>
      </c>
      <c r="C1433" t="s">
        <v>17</v>
      </c>
      <c r="D1433" t="s">
        <v>12</v>
      </c>
      <c r="E1433" t="s">
        <v>93</v>
      </c>
      <c r="F1433" t="s">
        <v>94</v>
      </c>
      <c r="G1433" t="s">
        <v>24</v>
      </c>
      <c r="H1433">
        <v>9</v>
      </c>
      <c r="I1433">
        <v>2754</v>
      </c>
      <c r="J1433">
        <v>259.16000000000003</v>
      </c>
    </row>
    <row r="1434" spans="1:10" x14ac:dyDescent="0.25">
      <c r="A1434" s="1">
        <v>44832</v>
      </c>
      <c r="B1434" t="s">
        <v>10</v>
      </c>
      <c r="C1434" t="s">
        <v>11</v>
      </c>
      <c r="D1434" t="s">
        <v>12</v>
      </c>
      <c r="E1434" t="s">
        <v>37</v>
      </c>
      <c r="F1434" t="s">
        <v>34</v>
      </c>
      <c r="G1434" t="s">
        <v>35</v>
      </c>
      <c r="H1434">
        <v>4</v>
      </c>
      <c r="I1434">
        <v>3432</v>
      </c>
      <c r="J1434">
        <v>364.27</v>
      </c>
    </row>
    <row r="1435" spans="1:10" x14ac:dyDescent="0.25">
      <c r="A1435" s="1">
        <v>44920</v>
      </c>
      <c r="B1435" t="s">
        <v>36</v>
      </c>
      <c r="C1435" t="s">
        <v>17</v>
      </c>
      <c r="D1435" t="s">
        <v>12</v>
      </c>
      <c r="E1435" t="s">
        <v>26</v>
      </c>
      <c r="F1435" t="s">
        <v>27</v>
      </c>
      <c r="G1435" t="s">
        <v>28</v>
      </c>
      <c r="H1435">
        <v>2</v>
      </c>
      <c r="I1435">
        <v>1234</v>
      </c>
      <c r="J1435">
        <v>257.89</v>
      </c>
    </row>
    <row r="1436" spans="1:10" x14ac:dyDescent="0.25">
      <c r="A1436" s="1">
        <v>44772</v>
      </c>
      <c r="B1436" t="s">
        <v>36</v>
      </c>
      <c r="C1436" t="s">
        <v>17</v>
      </c>
      <c r="D1436" t="s">
        <v>12</v>
      </c>
      <c r="E1436" t="s">
        <v>26</v>
      </c>
      <c r="F1436" t="s">
        <v>27</v>
      </c>
      <c r="G1436" t="s">
        <v>28</v>
      </c>
      <c r="H1436">
        <v>1</v>
      </c>
      <c r="I1436">
        <v>847</v>
      </c>
      <c r="J1436">
        <v>146.25</v>
      </c>
    </row>
    <row r="1437" spans="1:10" x14ac:dyDescent="0.25">
      <c r="A1437" s="1">
        <v>44857</v>
      </c>
      <c r="B1437" t="s">
        <v>49</v>
      </c>
      <c r="C1437" t="s">
        <v>17</v>
      </c>
      <c r="D1437" t="s">
        <v>12</v>
      </c>
      <c r="E1437" t="s">
        <v>56</v>
      </c>
      <c r="F1437" t="s">
        <v>57</v>
      </c>
      <c r="G1437" t="s">
        <v>24</v>
      </c>
      <c r="H1437">
        <v>7</v>
      </c>
      <c r="I1437">
        <v>7672</v>
      </c>
      <c r="J1437">
        <v>896.11</v>
      </c>
    </row>
    <row r="1438" spans="1:10" x14ac:dyDescent="0.25">
      <c r="A1438" s="1">
        <v>45386</v>
      </c>
      <c r="B1438" t="s">
        <v>36</v>
      </c>
      <c r="C1438" t="s">
        <v>17</v>
      </c>
      <c r="D1438" t="s">
        <v>12</v>
      </c>
      <c r="E1438" t="s">
        <v>179</v>
      </c>
      <c r="F1438" t="s">
        <v>44</v>
      </c>
      <c r="G1438" t="s">
        <v>35</v>
      </c>
      <c r="H1438">
        <v>9</v>
      </c>
      <c r="I1438">
        <v>7596</v>
      </c>
      <c r="J1438">
        <v>1454.15</v>
      </c>
    </row>
    <row r="1439" spans="1:10" x14ac:dyDescent="0.25">
      <c r="A1439" s="1">
        <v>45598</v>
      </c>
      <c r="B1439" t="s">
        <v>49</v>
      </c>
      <c r="C1439" t="s">
        <v>17</v>
      </c>
      <c r="D1439" t="s">
        <v>12</v>
      </c>
      <c r="E1439" t="s">
        <v>179</v>
      </c>
      <c r="F1439" t="s">
        <v>44</v>
      </c>
      <c r="G1439" t="s">
        <v>35</v>
      </c>
      <c r="H1439">
        <v>7</v>
      </c>
      <c r="I1439">
        <v>7252</v>
      </c>
      <c r="J1439">
        <v>1357.27</v>
      </c>
    </row>
    <row r="1440" spans="1:10" x14ac:dyDescent="0.25">
      <c r="A1440" s="1">
        <v>45631</v>
      </c>
      <c r="B1440" t="s">
        <v>32</v>
      </c>
      <c r="C1440" t="s">
        <v>19</v>
      </c>
      <c r="D1440" t="s">
        <v>12</v>
      </c>
      <c r="E1440" t="s">
        <v>179</v>
      </c>
      <c r="F1440" t="s">
        <v>44</v>
      </c>
      <c r="G1440" t="s">
        <v>35</v>
      </c>
      <c r="H1440">
        <v>6</v>
      </c>
      <c r="I1440">
        <v>732</v>
      </c>
      <c r="J1440">
        <v>136.59</v>
      </c>
    </row>
    <row r="1441" spans="1:10" x14ac:dyDescent="0.25">
      <c r="A1441" s="1">
        <v>45104</v>
      </c>
      <c r="B1441" t="s">
        <v>40</v>
      </c>
      <c r="C1441" t="s">
        <v>19</v>
      </c>
      <c r="D1441" t="s">
        <v>12</v>
      </c>
      <c r="E1441" t="s">
        <v>197</v>
      </c>
      <c r="F1441" t="s">
        <v>168</v>
      </c>
      <c r="G1441" t="s">
        <v>15</v>
      </c>
      <c r="H1441">
        <v>1</v>
      </c>
      <c r="I1441">
        <v>173</v>
      </c>
      <c r="J1441">
        <v>20.96</v>
      </c>
    </row>
    <row r="1442" spans="1:10" x14ac:dyDescent="0.25">
      <c r="A1442" s="1">
        <v>45003</v>
      </c>
      <c r="B1442" t="s">
        <v>25</v>
      </c>
      <c r="C1442" t="s">
        <v>19</v>
      </c>
      <c r="D1442" t="s">
        <v>12</v>
      </c>
      <c r="E1442" t="s">
        <v>128</v>
      </c>
      <c r="F1442" t="s">
        <v>23</v>
      </c>
      <c r="G1442" t="s">
        <v>24</v>
      </c>
      <c r="H1442">
        <v>3</v>
      </c>
      <c r="I1442">
        <v>2805</v>
      </c>
      <c r="J1442">
        <v>749.5</v>
      </c>
    </row>
    <row r="1443" spans="1:10" x14ac:dyDescent="0.25">
      <c r="A1443" s="1">
        <v>45187</v>
      </c>
      <c r="B1443" t="s">
        <v>40</v>
      </c>
      <c r="C1443" t="s">
        <v>19</v>
      </c>
      <c r="D1443" t="s">
        <v>12</v>
      </c>
      <c r="E1443" t="s">
        <v>383</v>
      </c>
      <c r="F1443" t="s">
        <v>23</v>
      </c>
      <c r="G1443" t="s">
        <v>24</v>
      </c>
      <c r="H1443">
        <v>8</v>
      </c>
      <c r="I1443">
        <v>7048</v>
      </c>
      <c r="J1443">
        <v>391.96</v>
      </c>
    </row>
    <row r="1444" spans="1:10" x14ac:dyDescent="0.25">
      <c r="A1444" s="1">
        <v>45520</v>
      </c>
      <c r="B1444" t="s">
        <v>16</v>
      </c>
      <c r="C1444" t="s">
        <v>17</v>
      </c>
      <c r="D1444" t="s">
        <v>12</v>
      </c>
      <c r="E1444" t="s">
        <v>132</v>
      </c>
      <c r="F1444" t="s">
        <v>115</v>
      </c>
      <c r="G1444" t="s">
        <v>15</v>
      </c>
      <c r="H1444">
        <v>6</v>
      </c>
      <c r="I1444">
        <v>4698</v>
      </c>
      <c r="J1444">
        <v>1020.11</v>
      </c>
    </row>
    <row r="1445" spans="1:10" x14ac:dyDescent="0.25">
      <c r="A1445" s="1">
        <v>45308</v>
      </c>
      <c r="B1445" t="s">
        <v>32</v>
      </c>
      <c r="C1445" t="s">
        <v>19</v>
      </c>
      <c r="D1445" t="s">
        <v>12</v>
      </c>
      <c r="E1445" t="s">
        <v>384</v>
      </c>
      <c r="F1445" t="s">
        <v>23</v>
      </c>
      <c r="G1445" t="s">
        <v>24</v>
      </c>
      <c r="H1445">
        <v>1</v>
      </c>
      <c r="I1445">
        <v>565</v>
      </c>
      <c r="J1445">
        <v>148.79</v>
      </c>
    </row>
    <row r="1446" spans="1:10" x14ac:dyDescent="0.25">
      <c r="A1446" s="1">
        <v>45094</v>
      </c>
      <c r="B1446" t="s">
        <v>36</v>
      </c>
      <c r="C1446" t="s">
        <v>17</v>
      </c>
      <c r="D1446" t="s">
        <v>12</v>
      </c>
      <c r="E1446" t="s">
        <v>22</v>
      </c>
      <c r="F1446" t="s">
        <v>23</v>
      </c>
      <c r="G1446" t="s">
        <v>24</v>
      </c>
      <c r="H1446">
        <v>1</v>
      </c>
      <c r="I1446">
        <v>672</v>
      </c>
      <c r="J1446">
        <v>198.75</v>
      </c>
    </row>
    <row r="1447" spans="1:10" x14ac:dyDescent="0.25">
      <c r="A1447" s="1">
        <v>44766</v>
      </c>
      <c r="B1447" t="s">
        <v>25</v>
      </c>
      <c r="C1447" t="s">
        <v>19</v>
      </c>
      <c r="D1447" t="s">
        <v>12</v>
      </c>
      <c r="E1447" t="s">
        <v>64</v>
      </c>
      <c r="F1447" t="s">
        <v>65</v>
      </c>
      <c r="G1447" t="s">
        <v>35</v>
      </c>
      <c r="H1447">
        <v>6</v>
      </c>
      <c r="I1447">
        <v>2604</v>
      </c>
      <c r="J1447">
        <v>566.34</v>
      </c>
    </row>
    <row r="1448" spans="1:10" x14ac:dyDescent="0.25">
      <c r="A1448" s="1">
        <v>45443</v>
      </c>
      <c r="B1448" t="s">
        <v>18</v>
      </c>
      <c r="C1448" t="s">
        <v>19</v>
      </c>
      <c r="D1448" t="s">
        <v>12</v>
      </c>
      <c r="E1448" t="s">
        <v>22</v>
      </c>
      <c r="F1448" t="s">
        <v>23</v>
      </c>
      <c r="G1448" t="s">
        <v>24</v>
      </c>
      <c r="H1448">
        <v>6</v>
      </c>
      <c r="I1448">
        <v>5124</v>
      </c>
      <c r="J1448">
        <v>501.5</v>
      </c>
    </row>
    <row r="1449" spans="1:10" x14ac:dyDescent="0.25">
      <c r="A1449" s="1">
        <v>44787</v>
      </c>
      <c r="B1449" t="s">
        <v>32</v>
      </c>
      <c r="C1449" t="s">
        <v>19</v>
      </c>
      <c r="D1449" t="s">
        <v>12</v>
      </c>
      <c r="E1449" t="s">
        <v>22</v>
      </c>
      <c r="F1449" t="s">
        <v>23</v>
      </c>
      <c r="G1449" t="s">
        <v>24</v>
      </c>
      <c r="H1449">
        <v>5</v>
      </c>
      <c r="I1449">
        <v>2455</v>
      </c>
      <c r="J1449">
        <v>714.35</v>
      </c>
    </row>
    <row r="1450" spans="1:10" x14ac:dyDescent="0.25">
      <c r="A1450" s="1">
        <v>44621</v>
      </c>
      <c r="B1450" t="s">
        <v>10</v>
      </c>
      <c r="C1450" t="s">
        <v>11</v>
      </c>
      <c r="D1450" t="s">
        <v>12</v>
      </c>
      <c r="E1450" t="s">
        <v>249</v>
      </c>
      <c r="F1450" t="s">
        <v>115</v>
      </c>
      <c r="G1450" t="s">
        <v>15</v>
      </c>
      <c r="H1450">
        <v>2</v>
      </c>
      <c r="I1450">
        <v>1796</v>
      </c>
      <c r="J1450">
        <v>225.15</v>
      </c>
    </row>
    <row r="1451" spans="1:10" x14ac:dyDescent="0.25">
      <c r="A1451" s="1">
        <v>44586</v>
      </c>
      <c r="B1451" t="s">
        <v>55</v>
      </c>
      <c r="C1451" t="s">
        <v>19</v>
      </c>
      <c r="D1451" t="s">
        <v>12</v>
      </c>
      <c r="E1451" t="s">
        <v>210</v>
      </c>
      <c r="F1451" t="s">
        <v>34</v>
      </c>
      <c r="G1451" t="s">
        <v>35</v>
      </c>
      <c r="H1451">
        <v>1</v>
      </c>
      <c r="I1451">
        <v>288</v>
      </c>
      <c r="J1451">
        <v>61.85</v>
      </c>
    </row>
    <row r="1452" spans="1:10" x14ac:dyDescent="0.25">
      <c r="A1452" s="1">
        <v>45130</v>
      </c>
      <c r="B1452" t="s">
        <v>55</v>
      </c>
      <c r="C1452" t="s">
        <v>19</v>
      </c>
      <c r="D1452" t="s">
        <v>12</v>
      </c>
      <c r="E1452" t="s">
        <v>56</v>
      </c>
      <c r="F1452" t="s">
        <v>57</v>
      </c>
      <c r="G1452" t="s">
        <v>24</v>
      </c>
      <c r="H1452">
        <v>5</v>
      </c>
      <c r="I1452">
        <v>2160</v>
      </c>
      <c r="J1452">
        <v>553.41</v>
      </c>
    </row>
    <row r="1453" spans="1:10" x14ac:dyDescent="0.25">
      <c r="A1453" s="1">
        <v>44630</v>
      </c>
      <c r="B1453" t="s">
        <v>18</v>
      </c>
      <c r="C1453" t="s">
        <v>19</v>
      </c>
      <c r="D1453" t="s">
        <v>12</v>
      </c>
      <c r="E1453" t="s">
        <v>56</v>
      </c>
      <c r="F1453" t="s">
        <v>57</v>
      </c>
      <c r="G1453" t="s">
        <v>24</v>
      </c>
      <c r="H1453">
        <v>1</v>
      </c>
      <c r="I1453">
        <v>105</v>
      </c>
      <c r="J1453">
        <v>27.36</v>
      </c>
    </row>
    <row r="1454" spans="1:10" x14ac:dyDescent="0.25">
      <c r="A1454" s="1">
        <v>45051</v>
      </c>
      <c r="B1454" t="s">
        <v>36</v>
      </c>
      <c r="C1454" t="s">
        <v>17</v>
      </c>
      <c r="D1454" t="s">
        <v>12</v>
      </c>
      <c r="E1454" t="s">
        <v>50</v>
      </c>
      <c r="F1454" t="s">
        <v>51</v>
      </c>
      <c r="G1454" t="s">
        <v>35</v>
      </c>
      <c r="H1454">
        <v>9</v>
      </c>
      <c r="I1454">
        <v>7578</v>
      </c>
      <c r="J1454">
        <v>1596.64</v>
      </c>
    </row>
    <row r="1455" spans="1:10" x14ac:dyDescent="0.25">
      <c r="A1455" s="1">
        <v>44995</v>
      </c>
      <c r="B1455" t="s">
        <v>29</v>
      </c>
      <c r="C1455" t="s">
        <v>17</v>
      </c>
      <c r="D1455" t="s">
        <v>12</v>
      </c>
      <c r="E1455" t="s">
        <v>75</v>
      </c>
      <c r="F1455" t="s">
        <v>108</v>
      </c>
      <c r="G1455" t="s">
        <v>15</v>
      </c>
      <c r="H1455">
        <v>1</v>
      </c>
      <c r="I1455">
        <v>365</v>
      </c>
      <c r="J1455">
        <v>50.1</v>
      </c>
    </row>
    <row r="1456" spans="1:10" x14ac:dyDescent="0.25">
      <c r="A1456" s="1">
        <v>45405</v>
      </c>
      <c r="B1456" t="s">
        <v>25</v>
      </c>
      <c r="C1456" t="s">
        <v>19</v>
      </c>
      <c r="D1456" t="s">
        <v>12</v>
      </c>
      <c r="E1456" t="s">
        <v>385</v>
      </c>
      <c r="F1456" t="s">
        <v>44</v>
      </c>
      <c r="G1456" t="s">
        <v>35</v>
      </c>
      <c r="H1456">
        <v>8</v>
      </c>
      <c r="I1456">
        <v>3752</v>
      </c>
      <c r="J1456">
        <v>537.98</v>
      </c>
    </row>
    <row r="1457" spans="1:10" x14ac:dyDescent="0.25">
      <c r="A1457" s="1">
        <v>45525</v>
      </c>
      <c r="B1457" t="s">
        <v>49</v>
      </c>
      <c r="C1457" t="s">
        <v>17</v>
      </c>
      <c r="D1457" t="s">
        <v>12</v>
      </c>
      <c r="E1457" t="s">
        <v>386</v>
      </c>
      <c r="F1457" t="s">
        <v>48</v>
      </c>
      <c r="G1457" t="s">
        <v>15</v>
      </c>
      <c r="H1457">
        <v>2</v>
      </c>
      <c r="I1457">
        <v>1384</v>
      </c>
      <c r="J1457">
        <v>316.20999999999998</v>
      </c>
    </row>
    <row r="1458" spans="1:10" x14ac:dyDescent="0.25">
      <c r="A1458" s="1">
        <v>44978</v>
      </c>
      <c r="B1458" t="s">
        <v>40</v>
      </c>
      <c r="C1458" t="s">
        <v>19</v>
      </c>
      <c r="D1458" t="s">
        <v>12</v>
      </c>
      <c r="E1458" t="s">
        <v>56</v>
      </c>
      <c r="F1458" t="s">
        <v>57</v>
      </c>
      <c r="G1458" t="s">
        <v>24</v>
      </c>
      <c r="H1458">
        <v>5</v>
      </c>
      <c r="I1458">
        <v>475</v>
      </c>
      <c r="J1458">
        <v>76.22</v>
      </c>
    </row>
    <row r="1459" spans="1:10" x14ac:dyDescent="0.25">
      <c r="A1459" s="1">
        <v>44935</v>
      </c>
      <c r="B1459" t="s">
        <v>10</v>
      </c>
      <c r="C1459" t="s">
        <v>11</v>
      </c>
      <c r="D1459" t="s">
        <v>12</v>
      </c>
      <c r="E1459" t="s">
        <v>223</v>
      </c>
      <c r="F1459" t="s">
        <v>23</v>
      </c>
      <c r="G1459" t="s">
        <v>24</v>
      </c>
      <c r="H1459">
        <v>4</v>
      </c>
      <c r="I1459">
        <v>1116</v>
      </c>
      <c r="J1459">
        <v>242.31</v>
      </c>
    </row>
    <row r="1460" spans="1:10" x14ac:dyDescent="0.25">
      <c r="A1460" s="1">
        <v>45162</v>
      </c>
      <c r="B1460" t="s">
        <v>40</v>
      </c>
      <c r="C1460" t="s">
        <v>19</v>
      </c>
      <c r="D1460" t="s">
        <v>12</v>
      </c>
      <c r="E1460" t="s">
        <v>52</v>
      </c>
      <c r="F1460" t="s">
        <v>42</v>
      </c>
      <c r="G1460" t="s">
        <v>28</v>
      </c>
      <c r="H1460">
        <v>1</v>
      </c>
      <c r="I1460">
        <v>137</v>
      </c>
      <c r="J1460">
        <v>39.35</v>
      </c>
    </row>
    <row r="1461" spans="1:10" x14ac:dyDescent="0.25">
      <c r="A1461" s="1">
        <v>44573</v>
      </c>
      <c r="B1461" t="s">
        <v>29</v>
      </c>
      <c r="C1461" t="s">
        <v>17</v>
      </c>
      <c r="D1461" t="s">
        <v>12</v>
      </c>
      <c r="E1461" t="s">
        <v>26</v>
      </c>
      <c r="F1461" t="s">
        <v>27</v>
      </c>
      <c r="G1461" t="s">
        <v>28</v>
      </c>
      <c r="H1461">
        <v>6</v>
      </c>
      <c r="I1461">
        <v>738</v>
      </c>
      <c r="J1461">
        <v>158.96</v>
      </c>
    </row>
    <row r="1462" spans="1:10" x14ac:dyDescent="0.25">
      <c r="A1462" s="1">
        <v>45208</v>
      </c>
      <c r="B1462" t="s">
        <v>25</v>
      </c>
      <c r="C1462" t="s">
        <v>19</v>
      </c>
      <c r="D1462" t="s">
        <v>12</v>
      </c>
      <c r="E1462" t="s">
        <v>43</v>
      </c>
      <c r="F1462" t="s">
        <v>44</v>
      </c>
      <c r="G1462" t="s">
        <v>35</v>
      </c>
      <c r="H1462">
        <v>3</v>
      </c>
      <c r="I1462">
        <v>1821</v>
      </c>
      <c r="J1462">
        <v>543.01</v>
      </c>
    </row>
    <row r="1463" spans="1:10" x14ac:dyDescent="0.25">
      <c r="A1463" s="1">
        <v>44673</v>
      </c>
      <c r="B1463" t="s">
        <v>49</v>
      </c>
      <c r="C1463" t="s">
        <v>17</v>
      </c>
      <c r="D1463" t="s">
        <v>12</v>
      </c>
      <c r="E1463" t="s">
        <v>52</v>
      </c>
      <c r="F1463" t="s">
        <v>42</v>
      </c>
      <c r="G1463" t="s">
        <v>28</v>
      </c>
      <c r="H1463">
        <v>7</v>
      </c>
      <c r="I1463">
        <v>3654</v>
      </c>
      <c r="J1463">
        <v>670.16</v>
      </c>
    </row>
    <row r="1464" spans="1:10" x14ac:dyDescent="0.25">
      <c r="A1464" s="1">
        <v>45487</v>
      </c>
      <c r="B1464" t="s">
        <v>49</v>
      </c>
      <c r="C1464" t="s">
        <v>17</v>
      </c>
      <c r="D1464" t="s">
        <v>12</v>
      </c>
      <c r="E1464" t="s">
        <v>53</v>
      </c>
      <c r="F1464" t="s">
        <v>44</v>
      </c>
      <c r="G1464" t="s">
        <v>35</v>
      </c>
      <c r="H1464">
        <v>6</v>
      </c>
      <c r="I1464">
        <v>2592</v>
      </c>
      <c r="J1464">
        <v>404.89</v>
      </c>
    </row>
    <row r="1465" spans="1:10" x14ac:dyDescent="0.25">
      <c r="A1465" s="1">
        <v>44676</v>
      </c>
      <c r="B1465" t="s">
        <v>25</v>
      </c>
      <c r="C1465" t="s">
        <v>19</v>
      </c>
      <c r="D1465" t="s">
        <v>12</v>
      </c>
      <c r="E1465" t="s">
        <v>52</v>
      </c>
      <c r="F1465" t="s">
        <v>42</v>
      </c>
      <c r="G1465" t="s">
        <v>28</v>
      </c>
      <c r="H1465">
        <v>6</v>
      </c>
      <c r="I1465">
        <v>996</v>
      </c>
      <c r="J1465">
        <v>225.75</v>
      </c>
    </row>
    <row r="1466" spans="1:10" x14ac:dyDescent="0.25">
      <c r="A1466" s="1">
        <v>45483</v>
      </c>
      <c r="B1466" t="s">
        <v>16</v>
      </c>
      <c r="C1466" t="s">
        <v>17</v>
      </c>
      <c r="D1466" t="s">
        <v>12</v>
      </c>
      <c r="E1466" t="s">
        <v>75</v>
      </c>
      <c r="F1466" t="s">
        <v>108</v>
      </c>
      <c r="G1466" t="s">
        <v>15</v>
      </c>
      <c r="H1466">
        <v>1</v>
      </c>
      <c r="I1466">
        <v>693</v>
      </c>
      <c r="J1466">
        <v>62.75</v>
      </c>
    </row>
    <row r="1467" spans="1:10" x14ac:dyDescent="0.25">
      <c r="A1467" s="1">
        <v>45223</v>
      </c>
      <c r="B1467" t="s">
        <v>49</v>
      </c>
      <c r="C1467" t="s">
        <v>17</v>
      </c>
      <c r="D1467" t="s">
        <v>12</v>
      </c>
      <c r="E1467" t="s">
        <v>387</v>
      </c>
      <c r="F1467" t="s">
        <v>57</v>
      </c>
      <c r="G1467" t="s">
        <v>24</v>
      </c>
      <c r="H1467">
        <v>3</v>
      </c>
      <c r="I1467">
        <v>513</v>
      </c>
      <c r="J1467">
        <v>48.23</v>
      </c>
    </row>
    <row r="1468" spans="1:10" x14ac:dyDescent="0.25">
      <c r="A1468" s="1">
        <v>45429</v>
      </c>
      <c r="B1468" t="s">
        <v>32</v>
      </c>
      <c r="C1468" t="s">
        <v>19</v>
      </c>
      <c r="D1468" t="s">
        <v>12</v>
      </c>
      <c r="E1468" t="s">
        <v>240</v>
      </c>
      <c r="F1468" t="s">
        <v>94</v>
      </c>
      <c r="G1468" t="s">
        <v>24</v>
      </c>
      <c r="H1468">
        <v>8</v>
      </c>
      <c r="I1468">
        <v>5736</v>
      </c>
      <c r="J1468">
        <v>937.62</v>
      </c>
    </row>
    <row r="1469" spans="1:10" x14ac:dyDescent="0.25">
      <c r="A1469" s="1">
        <v>45022</v>
      </c>
      <c r="B1469" t="s">
        <v>16</v>
      </c>
      <c r="C1469" t="s">
        <v>17</v>
      </c>
      <c r="D1469" t="s">
        <v>12</v>
      </c>
      <c r="E1469" t="s">
        <v>317</v>
      </c>
      <c r="F1469" t="s">
        <v>115</v>
      </c>
      <c r="G1469" t="s">
        <v>15</v>
      </c>
      <c r="H1469">
        <v>2</v>
      </c>
      <c r="I1469">
        <v>1458</v>
      </c>
      <c r="J1469">
        <v>208.93</v>
      </c>
    </row>
    <row r="1470" spans="1:10" x14ac:dyDescent="0.25">
      <c r="A1470" s="1">
        <v>44898</v>
      </c>
      <c r="B1470" t="s">
        <v>40</v>
      </c>
      <c r="C1470" t="s">
        <v>19</v>
      </c>
      <c r="D1470" t="s">
        <v>12</v>
      </c>
      <c r="E1470" t="s">
        <v>388</v>
      </c>
      <c r="F1470" t="s">
        <v>44</v>
      </c>
      <c r="G1470" t="s">
        <v>35</v>
      </c>
      <c r="H1470">
        <v>8</v>
      </c>
      <c r="I1470">
        <v>5496</v>
      </c>
      <c r="J1470">
        <v>1104.93</v>
      </c>
    </row>
    <row r="1471" spans="1:10" x14ac:dyDescent="0.25">
      <c r="A1471" s="1">
        <v>44568</v>
      </c>
      <c r="B1471" t="s">
        <v>18</v>
      </c>
      <c r="C1471" t="s">
        <v>19</v>
      </c>
      <c r="D1471" t="s">
        <v>12</v>
      </c>
      <c r="E1471" t="s">
        <v>22</v>
      </c>
      <c r="F1471" t="s">
        <v>23</v>
      </c>
      <c r="G1471" t="s">
        <v>24</v>
      </c>
      <c r="H1471">
        <v>3</v>
      </c>
      <c r="I1471">
        <v>3183</v>
      </c>
      <c r="J1471">
        <v>358.87</v>
      </c>
    </row>
    <row r="1472" spans="1:10" x14ac:dyDescent="0.25">
      <c r="A1472" s="1">
        <v>45134</v>
      </c>
      <c r="B1472" t="s">
        <v>29</v>
      </c>
      <c r="C1472" t="s">
        <v>17</v>
      </c>
      <c r="D1472" t="s">
        <v>12</v>
      </c>
      <c r="E1472" t="s">
        <v>52</v>
      </c>
      <c r="F1472" t="s">
        <v>42</v>
      </c>
      <c r="G1472" t="s">
        <v>28</v>
      </c>
      <c r="H1472">
        <v>6</v>
      </c>
      <c r="I1472">
        <v>3990</v>
      </c>
      <c r="J1472">
        <v>975.5</v>
      </c>
    </row>
    <row r="1473" spans="1:10" x14ac:dyDescent="0.25">
      <c r="A1473" s="1">
        <v>45327</v>
      </c>
      <c r="B1473" t="s">
        <v>40</v>
      </c>
      <c r="C1473" t="s">
        <v>19</v>
      </c>
      <c r="D1473" t="s">
        <v>12</v>
      </c>
      <c r="E1473" t="s">
        <v>43</v>
      </c>
      <c r="F1473" t="s">
        <v>44</v>
      </c>
      <c r="G1473" t="s">
        <v>35</v>
      </c>
      <c r="H1473">
        <v>2</v>
      </c>
      <c r="I1473">
        <v>582</v>
      </c>
      <c r="J1473">
        <v>76.45</v>
      </c>
    </row>
    <row r="1474" spans="1:10" x14ac:dyDescent="0.25">
      <c r="A1474" s="1">
        <v>44684</v>
      </c>
      <c r="B1474" t="s">
        <v>10</v>
      </c>
      <c r="C1474" t="s">
        <v>11</v>
      </c>
      <c r="D1474" t="s">
        <v>12</v>
      </c>
      <c r="E1474" t="s">
        <v>132</v>
      </c>
      <c r="F1474" t="s">
        <v>63</v>
      </c>
      <c r="G1474" t="s">
        <v>28</v>
      </c>
      <c r="H1474">
        <v>5</v>
      </c>
      <c r="I1474">
        <v>3340</v>
      </c>
      <c r="J1474">
        <v>845.53</v>
      </c>
    </row>
    <row r="1475" spans="1:10" x14ac:dyDescent="0.25">
      <c r="A1475" s="1">
        <v>45168</v>
      </c>
      <c r="B1475" t="s">
        <v>36</v>
      </c>
      <c r="C1475" t="s">
        <v>17</v>
      </c>
      <c r="D1475" t="s">
        <v>12</v>
      </c>
      <c r="E1475" t="s">
        <v>132</v>
      </c>
      <c r="F1475" t="s">
        <v>63</v>
      </c>
      <c r="G1475" t="s">
        <v>28</v>
      </c>
      <c r="H1475">
        <v>1</v>
      </c>
      <c r="I1475">
        <v>890</v>
      </c>
      <c r="J1475">
        <v>59.1</v>
      </c>
    </row>
    <row r="1476" spans="1:10" x14ac:dyDescent="0.25">
      <c r="A1476" s="1">
        <v>45557</v>
      </c>
      <c r="B1476" t="s">
        <v>10</v>
      </c>
      <c r="C1476" t="s">
        <v>11</v>
      </c>
      <c r="D1476" t="s">
        <v>12</v>
      </c>
      <c r="E1476" t="s">
        <v>389</v>
      </c>
      <c r="F1476" t="s">
        <v>23</v>
      </c>
      <c r="G1476" t="s">
        <v>24</v>
      </c>
      <c r="H1476">
        <v>6</v>
      </c>
      <c r="I1476">
        <v>4890</v>
      </c>
      <c r="J1476">
        <v>689.01</v>
      </c>
    </row>
    <row r="1477" spans="1:10" x14ac:dyDescent="0.25">
      <c r="A1477" s="1">
        <v>45218</v>
      </c>
      <c r="B1477" t="s">
        <v>49</v>
      </c>
      <c r="C1477" t="s">
        <v>17</v>
      </c>
      <c r="D1477" t="s">
        <v>12</v>
      </c>
      <c r="E1477" t="s">
        <v>67</v>
      </c>
      <c r="F1477" t="s">
        <v>54</v>
      </c>
      <c r="G1477" t="s">
        <v>24</v>
      </c>
      <c r="H1477">
        <v>3</v>
      </c>
      <c r="I1477">
        <v>2625</v>
      </c>
      <c r="J1477">
        <v>349.61</v>
      </c>
    </row>
    <row r="1478" spans="1:10" x14ac:dyDescent="0.25">
      <c r="A1478" s="1">
        <v>44818</v>
      </c>
      <c r="B1478" t="s">
        <v>32</v>
      </c>
      <c r="C1478" t="s">
        <v>19</v>
      </c>
      <c r="D1478" t="s">
        <v>12</v>
      </c>
      <c r="E1478" t="s">
        <v>52</v>
      </c>
      <c r="F1478" t="s">
        <v>42</v>
      </c>
      <c r="G1478" t="s">
        <v>28</v>
      </c>
      <c r="H1478">
        <v>4</v>
      </c>
      <c r="I1478">
        <v>1440</v>
      </c>
      <c r="J1478">
        <v>200.09</v>
      </c>
    </row>
    <row r="1479" spans="1:10" x14ac:dyDescent="0.25">
      <c r="A1479" s="1">
        <v>45652</v>
      </c>
      <c r="B1479" t="s">
        <v>29</v>
      </c>
      <c r="C1479" t="s">
        <v>17</v>
      </c>
      <c r="D1479" t="s">
        <v>12</v>
      </c>
      <c r="E1479" t="s">
        <v>105</v>
      </c>
      <c r="F1479" t="s">
        <v>23</v>
      </c>
      <c r="G1479" t="s">
        <v>24</v>
      </c>
      <c r="H1479">
        <v>5</v>
      </c>
      <c r="I1479">
        <v>505</v>
      </c>
      <c r="J1479">
        <v>93.85</v>
      </c>
    </row>
    <row r="1480" spans="1:10" x14ac:dyDescent="0.25">
      <c r="A1480" s="1">
        <v>44589</v>
      </c>
      <c r="B1480" t="s">
        <v>55</v>
      </c>
      <c r="C1480" t="s">
        <v>19</v>
      </c>
      <c r="D1480" t="s">
        <v>12</v>
      </c>
      <c r="E1480" t="s">
        <v>52</v>
      </c>
      <c r="F1480" t="s">
        <v>42</v>
      </c>
      <c r="G1480" t="s">
        <v>28</v>
      </c>
      <c r="H1480">
        <v>8</v>
      </c>
      <c r="I1480">
        <v>8192</v>
      </c>
      <c r="J1480">
        <v>1822.87</v>
      </c>
    </row>
    <row r="1481" spans="1:10" x14ac:dyDescent="0.25">
      <c r="A1481" s="1">
        <v>45147</v>
      </c>
      <c r="B1481" t="s">
        <v>49</v>
      </c>
      <c r="C1481" t="s">
        <v>17</v>
      </c>
      <c r="D1481" t="s">
        <v>12</v>
      </c>
      <c r="E1481" t="s">
        <v>26</v>
      </c>
      <c r="F1481" t="s">
        <v>27</v>
      </c>
      <c r="G1481" t="s">
        <v>28</v>
      </c>
      <c r="H1481">
        <v>3</v>
      </c>
      <c r="I1481">
        <v>1920</v>
      </c>
      <c r="J1481">
        <v>144.30000000000001</v>
      </c>
    </row>
    <row r="1482" spans="1:10" x14ac:dyDescent="0.25">
      <c r="A1482" s="1">
        <v>44852</v>
      </c>
      <c r="B1482" t="s">
        <v>32</v>
      </c>
      <c r="C1482" t="s">
        <v>19</v>
      </c>
      <c r="D1482" t="s">
        <v>12</v>
      </c>
      <c r="E1482" t="s">
        <v>91</v>
      </c>
      <c r="F1482" t="s">
        <v>23</v>
      </c>
      <c r="G1482" t="s">
        <v>24</v>
      </c>
      <c r="H1482">
        <v>8</v>
      </c>
      <c r="I1482">
        <v>8768</v>
      </c>
      <c r="J1482">
        <v>1065.8</v>
      </c>
    </row>
    <row r="1483" spans="1:10" x14ac:dyDescent="0.25">
      <c r="A1483" s="1">
        <v>44846</v>
      </c>
      <c r="B1483" t="s">
        <v>16</v>
      </c>
      <c r="C1483" t="s">
        <v>17</v>
      </c>
      <c r="D1483" t="s">
        <v>12</v>
      </c>
      <c r="E1483" t="s">
        <v>331</v>
      </c>
      <c r="F1483" t="s">
        <v>23</v>
      </c>
      <c r="G1483" t="s">
        <v>24</v>
      </c>
      <c r="H1483">
        <v>1</v>
      </c>
      <c r="I1483">
        <v>1140</v>
      </c>
      <c r="J1483">
        <v>117.05</v>
      </c>
    </row>
    <row r="1484" spans="1:10" x14ac:dyDescent="0.25">
      <c r="A1484" s="1">
        <v>44949</v>
      </c>
      <c r="B1484" t="s">
        <v>55</v>
      </c>
      <c r="C1484" t="s">
        <v>19</v>
      </c>
      <c r="D1484" t="s">
        <v>12</v>
      </c>
      <c r="E1484" t="s">
        <v>331</v>
      </c>
      <c r="F1484" t="s">
        <v>23</v>
      </c>
      <c r="G1484" t="s">
        <v>24</v>
      </c>
      <c r="H1484">
        <v>4</v>
      </c>
      <c r="I1484">
        <v>952</v>
      </c>
      <c r="J1484">
        <v>264.61</v>
      </c>
    </row>
    <row r="1485" spans="1:10" x14ac:dyDescent="0.25">
      <c r="A1485" s="1">
        <v>45414</v>
      </c>
      <c r="B1485" t="s">
        <v>40</v>
      </c>
      <c r="C1485" t="s">
        <v>19</v>
      </c>
      <c r="D1485" t="s">
        <v>12</v>
      </c>
      <c r="E1485" t="s">
        <v>192</v>
      </c>
      <c r="F1485" t="s">
        <v>149</v>
      </c>
      <c r="G1485" t="s">
        <v>15</v>
      </c>
      <c r="H1485">
        <v>1</v>
      </c>
      <c r="I1485">
        <v>225</v>
      </c>
      <c r="J1485">
        <v>51.07</v>
      </c>
    </row>
    <row r="1486" spans="1:10" x14ac:dyDescent="0.25">
      <c r="A1486" s="1">
        <v>44774</v>
      </c>
      <c r="B1486" t="s">
        <v>10</v>
      </c>
      <c r="C1486" t="s">
        <v>11</v>
      </c>
      <c r="D1486" t="s">
        <v>12</v>
      </c>
      <c r="E1486" t="s">
        <v>62</v>
      </c>
      <c r="F1486" t="s">
        <v>63</v>
      </c>
      <c r="G1486" t="s">
        <v>28</v>
      </c>
      <c r="H1486">
        <v>4</v>
      </c>
      <c r="I1486">
        <v>1304</v>
      </c>
      <c r="J1486">
        <v>336.95</v>
      </c>
    </row>
    <row r="1487" spans="1:10" x14ac:dyDescent="0.25">
      <c r="A1487" s="1">
        <v>45102</v>
      </c>
      <c r="B1487" t="s">
        <v>25</v>
      </c>
      <c r="C1487" t="s">
        <v>19</v>
      </c>
      <c r="D1487" t="s">
        <v>12</v>
      </c>
      <c r="E1487" t="s">
        <v>62</v>
      </c>
      <c r="F1487" t="s">
        <v>63</v>
      </c>
      <c r="G1487" t="s">
        <v>28</v>
      </c>
      <c r="H1487">
        <v>3</v>
      </c>
      <c r="I1487">
        <v>1029</v>
      </c>
      <c r="J1487">
        <v>206.83</v>
      </c>
    </row>
    <row r="1488" spans="1:10" x14ac:dyDescent="0.25">
      <c r="A1488" s="1">
        <v>45351</v>
      </c>
      <c r="B1488" t="s">
        <v>10</v>
      </c>
      <c r="C1488" t="s">
        <v>11</v>
      </c>
      <c r="D1488" t="s">
        <v>12</v>
      </c>
      <c r="E1488" t="s">
        <v>13</v>
      </c>
      <c r="F1488" t="s">
        <v>173</v>
      </c>
      <c r="G1488" t="s">
        <v>24</v>
      </c>
      <c r="H1488">
        <v>3</v>
      </c>
      <c r="I1488">
        <v>3402</v>
      </c>
      <c r="J1488">
        <v>442.67</v>
      </c>
    </row>
    <row r="1489" spans="1:10" x14ac:dyDescent="0.25">
      <c r="A1489" s="1">
        <v>44705</v>
      </c>
      <c r="B1489" t="s">
        <v>55</v>
      </c>
      <c r="C1489" t="s">
        <v>19</v>
      </c>
      <c r="D1489" t="s">
        <v>12</v>
      </c>
      <c r="E1489" t="s">
        <v>56</v>
      </c>
      <c r="F1489" t="s">
        <v>57</v>
      </c>
      <c r="G1489" t="s">
        <v>24</v>
      </c>
      <c r="H1489">
        <v>9</v>
      </c>
      <c r="I1489">
        <v>8460</v>
      </c>
      <c r="J1489">
        <v>1201.94</v>
      </c>
    </row>
    <row r="1490" spans="1:10" x14ac:dyDescent="0.25">
      <c r="A1490" s="1">
        <v>45358</v>
      </c>
      <c r="B1490" t="s">
        <v>36</v>
      </c>
      <c r="C1490" t="s">
        <v>17</v>
      </c>
      <c r="D1490" t="s">
        <v>12</v>
      </c>
      <c r="E1490" t="s">
        <v>52</v>
      </c>
      <c r="F1490" t="s">
        <v>42</v>
      </c>
      <c r="G1490" t="s">
        <v>28</v>
      </c>
      <c r="H1490">
        <v>1</v>
      </c>
      <c r="I1490">
        <v>104</v>
      </c>
      <c r="J1490">
        <v>26.86</v>
      </c>
    </row>
    <row r="1491" spans="1:10" x14ac:dyDescent="0.25">
      <c r="A1491" s="1">
        <v>45278</v>
      </c>
      <c r="B1491" t="s">
        <v>36</v>
      </c>
      <c r="C1491" t="s">
        <v>17</v>
      </c>
      <c r="D1491" t="s">
        <v>12</v>
      </c>
      <c r="E1491" t="s">
        <v>62</v>
      </c>
      <c r="F1491" t="s">
        <v>59</v>
      </c>
      <c r="G1491" t="s">
        <v>28</v>
      </c>
      <c r="H1491">
        <v>9</v>
      </c>
      <c r="I1491">
        <v>10665</v>
      </c>
      <c r="J1491">
        <v>1595.08</v>
      </c>
    </row>
    <row r="1492" spans="1:10" x14ac:dyDescent="0.25">
      <c r="A1492" s="1">
        <v>45150</v>
      </c>
      <c r="B1492" t="s">
        <v>32</v>
      </c>
      <c r="C1492" t="s">
        <v>19</v>
      </c>
      <c r="D1492" t="s">
        <v>12</v>
      </c>
      <c r="E1492" t="s">
        <v>104</v>
      </c>
      <c r="F1492" t="s">
        <v>39</v>
      </c>
      <c r="G1492" t="s">
        <v>35</v>
      </c>
      <c r="H1492">
        <v>8</v>
      </c>
      <c r="I1492">
        <v>984</v>
      </c>
      <c r="J1492">
        <v>183.07</v>
      </c>
    </row>
    <row r="1493" spans="1:10" x14ac:dyDescent="0.25">
      <c r="A1493" s="1">
        <v>45553</v>
      </c>
      <c r="B1493" t="s">
        <v>40</v>
      </c>
      <c r="C1493" t="s">
        <v>19</v>
      </c>
      <c r="D1493" t="s">
        <v>12</v>
      </c>
      <c r="E1493" t="s">
        <v>104</v>
      </c>
      <c r="F1493" t="s">
        <v>39</v>
      </c>
      <c r="G1493" t="s">
        <v>35</v>
      </c>
      <c r="H1493">
        <v>4</v>
      </c>
      <c r="I1493">
        <v>2064</v>
      </c>
      <c r="J1493">
        <v>359.3</v>
      </c>
    </row>
    <row r="1494" spans="1:10" x14ac:dyDescent="0.25">
      <c r="A1494" s="1">
        <v>44628</v>
      </c>
      <c r="B1494" t="s">
        <v>55</v>
      </c>
      <c r="C1494" t="s">
        <v>19</v>
      </c>
      <c r="D1494" t="s">
        <v>12</v>
      </c>
      <c r="E1494" t="s">
        <v>104</v>
      </c>
      <c r="F1494" t="s">
        <v>39</v>
      </c>
      <c r="G1494" t="s">
        <v>35</v>
      </c>
      <c r="H1494">
        <v>2</v>
      </c>
      <c r="I1494">
        <v>594</v>
      </c>
      <c r="J1494">
        <v>172.47</v>
      </c>
    </row>
    <row r="1495" spans="1:10" x14ac:dyDescent="0.25">
      <c r="A1495" s="1">
        <v>45224</v>
      </c>
      <c r="B1495" t="s">
        <v>10</v>
      </c>
      <c r="C1495" t="s">
        <v>11</v>
      </c>
      <c r="D1495" t="s">
        <v>12</v>
      </c>
      <c r="E1495" t="s">
        <v>146</v>
      </c>
      <c r="F1495" t="s">
        <v>21</v>
      </c>
      <c r="G1495" t="s">
        <v>15</v>
      </c>
      <c r="H1495">
        <v>8</v>
      </c>
      <c r="I1495">
        <v>6016</v>
      </c>
      <c r="J1495">
        <v>898.33</v>
      </c>
    </row>
    <row r="1496" spans="1:10" x14ac:dyDescent="0.25">
      <c r="A1496" s="1">
        <v>45526</v>
      </c>
      <c r="B1496" t="s">
        <v>40</v>
      </c>
      <c r="C1496" t="s">
        <v>19</v>
      </c>
      <c r="D1496" t="s">
        <v>12</v>
      </c>
      <c r="E1496" t="s">
        <v>390</v>
      </c>
      <c r="F1496" t="s">
        <v>100</v>
      </c>
      <c r="G1496" t="s">
        <v>35</v>
      </c>
      <c r="H1496">
        <v>8</v>
      </c>
      <c r="I1496">
        <v>2864</v>
      </c>
      <c r="J1496">
        <v>195.16</v>
      </c>
    </row>
    <row r="1497" spans="1:10" x14ac:dyDescent="0.25">
      <c r="A1497" s="1">
        <v>45490</v>
      </c>
      <c r="B1497" t="s">
        <v>18</v>
      </c>
      <c r="C1497" t="s">
        <v>19</v>
      </c>
      <c r="D1497" t="s">
        <v>12</v>
      </c>
      <c r="E1497" t="s">
        <v>377</v>
      </c>
      <c r="F1497" t="s">
        <v>115</v>
      </c>
      <c r="G1497" t="s">
        <v>15</v>
      </c>
      <c r="H1497">
        <v>4</v>
      </c>
      <c r="I1497">
        <v>724</v>
      </c>
      <c r="J1497">
        <v>186.95</v>
      </c>
    </row>
    <row r="1498" spans="1:10" x14ac:dyDescent="0.25">
      <c r="A1498" s="1">
        <v>45333</v>
      </c>
      <c r="B1498" t="s">
        <v>16</v>
      </c>
      <c r="C1498" t="s">
        <v>17</v>
      </c>
      <c r="D1498" t="s">
        <v>12</v>
      </c>
      <c r="E1498" t="s">
        <v>26</v>
      </c>
      <c r="F1498" t="s">
        <v>27</v>
      </c>
      <c r="G1498" t="s">
        <v>28</v>
      </c>
      <c r="H1498">
        <v>6</v>
      </c>
      <c r="I1498">
        <v>4098</v>
      </c>
      <c r="J1498">
        <v>1174.46</v>
      </c>
    </row>
    <row r="1499" spans="1:10" x14ac:dyDescent="0.25">
      <c r="A1499" s="1">
        <v>45089</v>
      </c>
      <c r="B1499" t="s">
        <v>36</v>
      </c>
      <c r="C1499" t="s">
        <v>17</v>
      </c>
      <c r="D1499" t="s">
        <v>12</v>
      </c>
      <c r="E1499" t="s">
        <v>391</v>
      </c>
      <c r="F1499" t="s">
        <v>168</v>
      </c>
      <c r="G1499" t="s">
        <v>15</v>
      </c>
      <c r="H1499">
        <v>1</v>
      </c>
      <c r="I1499">
        <v>338</v>
      </c>
      <c r="J1499">
        <v>32.61</v>
      </c>
    </row>
    <row r="1500" spans="1:10" x14ac:dyDescent="0.25">
      <c r="A1500" s="1">
        <v>45360</v>
      </c>
      <c r="B1500" t="s">
        <v>10</v>
      </c>
      <c r="C1500" t="s">
        <v>11</v>
      </c>
      <c r="D1500" t="s">
        <v>12</v>
      </c>
      <c r="E1500" t="s">
        <v>138</v>
      </c>
      <c r="F1500" t="s">
        <v>94</v>
      </c>
      <c r="G1500" t="s">
        <v>24</v>
      </c>
      <c r="H1500">
        <v>8</v>
      </c>
      <c r="I1500">
        <v>9280</v>
      </c>
      <c r="J1500">
        <v>1596.88</v>
      </c>
    </row>
    <row r="1501" spans="1:10" x14ac:dyDescent="0.25">
      <c r="A1501" s="1">
        <v>44667</v>
      </c>
      <c r="B1501" t="s">
        <v>32</v>
      </c>
      <c r="C1501" t="s">
        <v>19</v>
      </c>
      <c r="D1501" t="s">
        <v>12</v>
      </c>
      <c r="E1501" t="s">
        <v>75</v>
      </c>
      <c r="F1501" t="s">
        <v>108</v>
      </c>
      <c r="G1501" t="s">
        <v>15</v>
      </c>
      <c r="H1501">
        <v>1</v>
      </c>
      <c r="I1501">
        <v>890</v>
      </c>
      <c r="J1501">
        <v>57.04</v>
      </c>
    </row>
    <row r="1502" spans="1:10" x14ac:dyDescent="0.25">
      <c r="A1502" s="1">
        <v>45042</v>
      </c>
      <c r="B1502" t="s">
        <v>18</v>
      </c>
      <c r="C1502" t="s">
        <v>19</v>
      </c>
      <c r="D1502" t="s">
        <v>12</v>
      </c>
      <c r="E1502" t="s">
        <v>74</v>
      </c>
      <c r="F1502" t="s">
        <v>23</v>
      </c>
      <c r="G1502" t="s">
        <v>24</v>
      </c>
      <c r="H1502">
        <v>2</v>
      </c>
      <c r="I1502">
        <v>1790</v>
      </c>
      <c r="J1502">
        <v>442.75</v>
      </c>
    </row>
    <row r="1503" spans="1:10" x14ac:dyDescent="0.25">
      <c r="A1503" s="1">
        <v>45200</v>
      </c>
      <c r="B1503" t="s">
        <v>18</v>
      </c>
      <c r="C1503" t="s">
        <v>19</v>
      </c>
      <c r="D1503" t="s">
        <v>12</v>
      </c>
      <c r="E1503" t="s">
        <v>74</v>
      </c>
      <c r="F1503" t="s">
        <v>23</v>
      </c>
      <c r="G1503" t="s">
        <v>24</v>
      </c>
      <c r="H1503">
        <v>9</v>
      </c>
      <c r="I1503">
        <v>8523</v>
      </c>
      <c r="J1503">
        <v>978.97</v>
      </c>
    </row>
    <row r="1504" spans="1:10" x14ac:dyDescent="0.25">
      <c r="A1504" s="1">
        <v>44978</v>
      </c>
      <c r="B1504" t="s">
        <v>29</v>
      </c>
      <c r="C1504" t="s">
        <v>17</v>
      </c>
      <c r="D1504" t="s">
        <v>12</v>
      </c>
      <c r="E1504" t="s">
        <v>52</v>
      </c>
      <c r="F1504" t="s">
        <v>42</v>
      </c>
      <c r="G1504" t="s">
        <v>28</v>
      </c>
      <c r="H1504">
        <v>9</v>
      </c>
      <c r="I1504">
        <v>7776</v>
      </c>
      <c r="J1504">
        <v>677.74</v>
      </c>
    </row>
    <row r="1505" spans="1:10" x14ac:dyDescent="0.25">
      <c r="A1505" s="1">
        <v>45371</v>
      </c>
      <c r="B1505" t="s">
        <v>16</v>
      </c>
      <c r="C1505" t="s">
        <v>17</v>
      </c>
      <c r="D1505" t="s">
        <v>12</v>
      </c>
      <c r="E1505" t="s">
        <v>307</v>
      </c>
      <c r="F1505" t="s">
        <v>156</v>
      </c>
      <c r="G1505" t="s">
        <v>28</v>
      </c>
      <c r="H1505">
        <v>7</v>
      </c>
      <c r="I1505">
        <v>3031</v>
      </c>
      <c r="J1505">
        <v>417.5</v>
      </c>
    </row>
    <row r="1506" spans="1:10" x14ac:dyDescent="0.25">
      <c r="A1506" s="1">
        <v>44836</v>
      </c>
      <c r="B1506" t="s">
        <v>25</v>
      </c>
      <c r="C1506" t="s">
        <v>19</v>
      </c>
      <c r="D1506" t="s">
        <v>12</v>
      </c>
      <c r="E1506" t="s">
        <v>37</v>
      </c>
      <c r="F1506" t="s">
        <v>34</v>
      </c>
      <c r="G1506" t="s">
        <v>35</v>
      </c>
      <c r="H1506">
        <v>9</v>
      </c>
      <c r="I1506">
        <v>4698</v>
      </c>
      <c r="J1506">
        <v>1262.47</v>
      </c>
    </row>
    <row r="1507" spans="1:10" x14ac:dyDescent="0.25">
      <c r="A1507" s="1">
        <v>45090</v>
      </c>
      <c r="B1507" t="s">
        <v>49</v>
      </c>
      <c r="C1507" t="s">
        <v>17</v>
      </c>
      <c r="D1507" t="s">
        <v>12</v>
      </c>
      <c r="E1507" t="s">
        <v>37</v>
      </c>
      <c r="F1507" t="s">
        <v>34</v>
      </c>
      <c r="G1507" t="s">
        <v>35</v>
      </c>
      <c r="H1507">
        <v>9</v>
      </c>
      <c r="I1507">
        <v>4851</v>
      </c>
      <c r="J1507">
        <v>1408.41</v>
      </c>
    </row>
    <row r="1508" spans="1:10" x14ac:dyDescent="0.25">
      <c r="A1508" s="1">
        <v>44948</v>
      </c>
      <c r="B1508" t="s">
        <v>25</v>
      </c>
      <c r="C1508" t="s">
        <v>19</v>
      </c>
      <c r="D1508" t="s">
        <v>12</v>
      </c>
      <c r="E1508" t="s">
        <v>105</v>
      </c>
      <c r="F1508" t="s">
        <v>23</v>
      </c>
      <c r="G1508" t="s">
        <v>24</v>
      </c>
      <c r="H1508">
        <v>6</v>
      </c>
      <c r="I1508">
        <v>4542</v>
      </c>
      <c r="J1508">
        <v>1169.1600000000001</v>
      </c>
    </row>
    <row r="1509" spans="1:10" x14ac:dyDescent="0.25">
      <c r="A1509" s="1">
        <v>44825</v>
      </c>
      <c r="B1509" t="s">
        <v>29</v>
      </c>
      <c r="C1509" t="s">
        <v>17</v>
      </c>
      <c r="D1509" t="s">
        <v>12</v>
      </c>
      <c r="E1509" t="s">
        <v>56</v>
      </c>
      <c r="F1509" t="s">
        <v>57</v>
      </c>
      <c r="G1509" t="s">
        <v>24</v>
      </c>
      <c r="H1509">
        <v>2</v>
      </c>
      <c r="I1509">
        <v>978</v>
      </c>
      <c r="J1509">
        <v>210.75</v>
      </c>
    </row>
    <row r="1510" spans="1:10" x14ac:dyDescent="0.25">
      <c r="A1510" s="1">
        <v>44565</v>
      </c>
      <c r="B1510" t="s">
        <v>16</v>
      </c>
      <c r="C1510" t="s">
        <v>17</v>
      </c>
      <c r="D1510" t="s">
        <v>12</v>
      </c>
      <c r="E1510" t="s">
        <v>20</v>
      </c>
      <c r="F1510" t="s">
        <v>21</v>
      </c>
      <c r="G1510" t="s">
        <v>15</v>
      </c>
      <c r="H1510">
        <v>9</v>
      </c>
      <c r="I1510">
        <v>9378</v>
      </c>
      <c r="J1510">
        <v>1740.97</v>
      </c>
    </row>
    <row r="1511" spans="1:10" x14ac:dyDescent="0.25">
      <c r="A1511" s="1">
        <v>45144</v>
      </c>
      <c r="B1511" t="s">
        <v>32</v>
      </c>
      <c r="C1511" t="s">
        <v>19</v>
      </c>
      <c r="D1511" t="s">
        <v>12</v>
      </c>
      <c r="E1511" t="s">
        <v>134</v>
      </c>
      <c r="F1511" t="s">
        <v>42</v>
      </c>
      <c r="G1511" t="s">
        <v>28</v>
      </c>
      <c r="H1511">
        <v>8</v>
      </c>
      <c r="I1511">
        <v>9464</v>
      </c>
      <c r="J1511">
        <v>2043.73</v>
      </c>
    </row>
    <row r="1512" spans="1:10" x14ac:dyDescent="0.25">
      <c r="A1512" s="1">
        <v>45604</v>
      </c>
      <c r="B1512" t="s">
        <v>10</v>
      </c>
      <c r="C1512" t="s">
        <v>11</v>
      </c>
      <c r="D1512" t="s">
        <v>12</v>
      </c>
      <c r="E1512" t="s">
        <v>390</v>
      </c>
      <c r="F1512" t="s">
        <v>44</v>
      </c>
      <c r="G1512" t="s">
        <v>35</v>
      </c>
      <c r="H1512">
        <v>8</v>
      </c>
      <c r="I1512">
        <v>1720</v>
      </c>
      <c r="J1512">
        <v>401.26</v>
      </c>
    </row>
    <row r="1513" spans="1:10" x14ac:dyDescent="0.25">
      <c r="A1513" s="1">
        <v>44753</v>
      </c>
      <c r="B1513" t="s">
        <v>49</v>
      </c>
      <c r="C1513" t="s">
        <v>17</v>
      </c>
      <c r="D1513" t="s">
        <v>12</v>
      </c>
      <c r="E1513" t="s">
        <v>74</v>
      </c>
      <c r="F1513" t="s">
        <v>23</v>
      </c>
      <c r="G1513" t="s">
        <v>24</v>
      </c>
      <c r="H1513">
        <v>8</v>
      </c>
      <c r="I1513">
        <v>4752</v>
      </c>
      <c r="J1513">
        <v>1124.22</v>
      </c>
    </row>
    <row r="1514" spans="1:10" x14ac:dyDescent="0.25">
      <c r="A1514" s="1">
        <v>45222</v>
      </c>
      <c r="B1514" t="s">
        <v>49</v>
      </c>
      <c r="C1514" t="s">
        <v>17</v>
      </c>
      <c r="D1514" t="s">
        <v>12</v>
      </c>
      <c r="E1514" t="s">
        <v>74</v>
      </c>
      <c r="F1514" t="s">
        <v>23</v>
      </c>
      <c r="G1514" t="s">
        <v>24</v>
      </c>
      <c r="H1514">
        <v>4</v>
      </c>
      <c r="I1514">
        <v>584</v>
      </c>
      <c r="J1514">
        <v>127.28</v>
      </c>
    </row>
    <row r="1515" spans="1:10" x14ac:dyDescent="0.25">
      <c r="A1515" s="1">
        <v>45501</v>
      </c>
      <c r="B1515" t="s">
        <v>25</v>
      </c>
      <c r="C1515" t="s">
        <v>19</v>
      </c>
      <c r="D1515" t="s">
        <v>12</v>
      </c>
      <c r="E1515" t="s">
        <v>52</v>
      </c>
      <c r="F1515" t="s">
        <v>42</v>
      </c>
      <c r="G1515" t="s">
        <v>28</v>
      </c>
      <c r="H1515">
        <v>9</v>
      </c>
      <c r="I1515">
        <v>4554</v>
      </c>
      <c r="J1515">
        <v>1031.0899999999999</v>
      </c>
    </row>
    <row r="1516" spans="1:10" x14ac:dyDescent="0.25">
      <c r="A1516" s="1">
        <v>44765</v>
      </c>
      <c r="B1516" t="s">
        <v>18</v>
      </c>
      <c r="C1516" t="s">
        <v>19</v>
      </c>
      <c r="D1516" t="s">
        <v>12</v>
      </c>
      <c r="E1516" t="s">
        <v>187</v>
      </c>
      <c r="F1516" t="s">
        <v>23</v>
      </c>
      <c r="G1516" t="s">
        <v>24</v>
      </c>
      <c r="H1516">
        <v>2</v>
      </c>
      <c r="I1516">
        <v>2392</v>
      </c>
      <c r="J1516">
        <v>483.39</v>
      </c>
    </row>
    <row r="1517" spans="1:10" x14ac:dyDescent="0.25">
      <c r="A1517" s="1">
        <v>45250</v>
      </c>
      <c r="B1517" t="s">
        <v>25</v>
      </c>
      <c r="C1517" t="s">
        <v>19</v>
      </c>
      <c r="D1517" t="s">
        <v>12</v>
      </c>
      <c r="E1517" t="s">
        <v>162</v>
      </c>
      <c r="F1517" t="s">
        <v>23</v>
      </c>
      <c r="G1517" t="s">
        <v>24</v>
      </c>
      <c r="H1517">
        <v>7</v>
      </c>
      <c r="I1517">
        <v>3962</v>
      </c>
      <c r="J1517">
        <v>916.13</v>
      </c>
    </row>
    <row r="1518" spans="1:10" x14ac:dyDescent="0.25">
      <c r="A1518" s="1">
        <v>45067</v>
      </c>
      <c r="B1518" t="s">
        <v>55</v>
      </c>
      <c r="C1518" t="s">
        <v>19</v>
      </c>
      <c r="D1518" t="s">
        <v>12</v>
      </c>
      <c r="E1518" t="s">
        <v>162</v>
      </c>
      <c r="F1518" t="s">
        <v>23</v>
      </c>
      <c r="G1518" t="s">
        <v>24</v>
      </c>
      <c r="H1518">
        <v>3</v>
      </c>
      <c r="I1518">
        <v>1308</v>
      </c>
      <c r="J1518">
        <v>141.04</v>
      </c>
    </row>
    <row r="1519" spans="1:10" x14ac:dyDescent="0.25">
      <c r="A1519" s="1">
        <v>45184</v>
      </c>
      <c r="B1519" t="s">
        <v>10</v>
      </c>
      <c r="C1519" t="s">
        <v>11</v>
      </c>
      <c r="D1519" t="s">
        <v>12</v>
      </c>
      <c r="E1519" t="s">
        <v>26</v>
      </c>
      <c r="F1519" t="s">
        <v>27</v>
      </c>
      <c r="G1519" t="s">
        <v>28</v>
      </c>
      <c r="H1519">
        <v>8</v>
      </c>
      <c r="I1519">
        <v>5912</v>
      </c>
      <c r="J1519">
        <v>1153.18</v>
      </c>
    </row>
    <row r="1520" spans="1:10" x14ac:dyDescent="0.25">
      <c r="A1520" s="1">
        <v>45056</v>
      </c>
      <c r="B1520" t="s">
        <v>25</v>
      </c>
      <c r="C1520" t="s">
        <v>19</v>
      </c>
      <c r="D1520" t="s">
        <v>12</v>
      </c>
      <c r="E1520" t="s">
        <v>75</v>
      </c>
      <c r="F1520" t="s">
        <v>63</v>
      </c>
      <c r="G1520" t="s">
        <v>28</v>
      </c>
      <c r="H1520">
        <v>7</v>
      </c>
      <c r="I1520">
        <v>5831</v>
      </c>
      <c r="J1520">
        <v>1416.31</v>
      </c>
    </row>
    <row r="1521" spans="1:10" x14ac:dyDescent="0.25">
      <c r="A1521" s="1">
        <v>44906</v>
      </c>
      <c r="B1521" t="s">
        <v>25</v>
      </c>
      <c r="C1521" t="s">
        <v>19</v>
      </c>
      <c r="D1521" t="s">
        <v>12</v>
      </c>
      <c r="E1521" t="s">
        <v>392</v>
      </c>
      <c r="F1521" t="s">
        <v>65</v>
      </c>
      <c r="G1521" t="s">
        <v>35</v>
      </c>
      <c r="H1521">
        <v>7</v>
      </c>
      <c r="I1521">
        <v>5572</v>
      </c>
      <c r="J1521">
        <v>690.68</v>
      </c>
    </row>
    <row r="1522" spans="1:10" x14ac:dyDescent="0.25">
      <c r="A1522" s="1">
        <v>45149</v>
      </c>
      <c r="B1522" t="s">
        <v>36</v>
      </c>
      <c r="C1522" t="s">
        <v>17</v>
      </c>
      <c r="D1522" t="s">
        <v>12</v>
      </c>
      <c r="E1522" t="s">
        <v>37</v>
      </c>
      <c r="F1522" t="s">
        <v>34</v>
      </c>
      <c r="G1522" t="s">
        <v>35</v>
      </c>
      <c r="H1522">
        <v>6</v>
      </c>
      <c r="I1522">
        <v>5214</v>
      </c>
      <c r="J1522">
        <v>1093.04</v>
      </c>
    </row>
    <row r="1523" spans="1:10" x14ac:dyDescent="0.25">
      <c r="A1523" s="1">
        <v>44730</v>
      </c>
      <c r="B1523" t="s">
        <v>16</v>
      </c>
      <c r="C1523" t="s">
        <v>17</v>
      </c>
      <c r="D1523" t="s">
        <v>12</v>
      </c>
      <c r="E1523" t="s">
        <v>91</v>
      </c>
      <c r="F1523" t="s">
        <v>149</v>
      </c>
      <c r="G1523" t="s">
        <v>15</v>
      </c>
      <c r="H1523">
        <v>9</v>
      </c>
      <c r="I1523">
        <v>6705</v>
      </c>
      <c r="J1523">
        <v>1283.78</v>
      </c>
    </row>
    <row r="1524" spans="1:10" x14ac:dyDescent="0.25">
      <c r="A1524" s="1">
        <v>44954</v>
      </c>
      <c r="B1524" t="s">
        <v>29</v>
      </c>
      <c r="C1524" t="s">
        <v>17</v>
      </c>
      <c r="D1524" t="s">
        <v>12</v>
      </c>
      <c r="E1524" t="s">
        <v>187</v>
      </c>
      <c r="F1524" t="s">
        <v>23</v>
      </c>
      <c r="G1524" t="s">
        <v>24</v>
      </c>
      <c r="H1524">
        <v>1</v>
      </c>
      <c r="I1524">
        <v>426</v>
      </c>
      <c r="J1524">
        <v>93.83</v>
      </c>
    </row>
    <row r="1525" spans="1:10" x14ac:dyDescent="0.25">
      <c r="A1525" s="1">
        <v>45602</v>
      </c>
      <c r="B1525" t="s">
        <v>40</v>
      </c>
      <c r="C1525" t="s">
        <v>19</v>
      </c>
      <c r="D1525" t="s">
        <v>12</v>
      </c>
      <c r="E1525" t="s">
        <v>393</v>
      </c>
      <c r="F1525" t="s">
        <v>394</v>
      </c>
      <c r="G1525" t="s">
        <v>24</v>
      </c>
      <c r="H1525">
        <v>2</v>
      </c>
      <c r="I1525">
        <v>2204</v>
      </c>
      <c r="J1525">
        <v>523.82000000000005</v>
      </c>
    </row>
    <row r="1526" spans="1:10" x14ac:dyDescent="0.25">
      <c r="A1526" s="1">
        <v>44798</v>
      </c>
      <c r="B1526" t="s">
        <v>40</v>
      </c>
      <c r="C1526" t="s">
        <v>19</v>
      </c>
      <c r="D1526" t="s">
        <v>12</v>
      </c>
      <c r="E1526" t="s">
        <v>112</v>
      </c>
      <c r="F1526" t="s">
        <v>63</v>
      </c>
      <c r="G1526" t="s">
        <v>28</v>
      </c>
      <c r="H1526">
        <v>3</v>
      </c>
      <c r="I1526">
        <v>2652</v>
      </c>
      <c r="J1526">
        <v>161.66999999999999</v>
      </c>
    </row>
    <row r="1527" spans="1:10" x14ac:dyDescent="0.25">
      <c r="A1527" s="1">
        <v>45114</v>
      </c>
      <c r="B1527" t="s">
        <v>10</v>
      </c>
      <c r="C1527" t="s">
        <v>11</v>
      </c>
      <c r="D1527" t="s">
        <v>12</v>
      </c>
      <c r="E1527" t="s">
        <v>328</v>
      </c>
      <c r="F1527" t="s">
        <v>191</v>
      </c>
      <c r="G1527" t="s">
        <v>35</v>
      </c>
      <c r="H1527">
        <v>6</v>
      </c>
      <c r="I1527">
        <v>3132</v>
      </c>
      <c r="J1527">
        <v>919.52</v>
      </c>
    </row>
    <row r="1528" spans="1:10" x14ac:dyDescent="0.25">
      <c r="A1528" s="1">
        <v>45447</v>
      </c>
      <c r="B1528" t="s">
        <v>10</v>
      </c>
      <c r="C1528" t="s">
        <v>11</v>
      </c>
      <c r="D1528" t="s">
        <v>12</v>
      </c>
      <c r="E1528" t="s">
        <v>22</v>
      </c>
      <c r="F1528" t="s">
        <v>23</v>
      </c>
      <c r="G1528" t="s">
        <v>24</v>
      </c>
      <c r="H1528">
        <v>5</v>
      </c>
      <c r="I1528">
        <v>1830</v>
      </c>
      <c r="J1528">
        <v>437.35</v>
      </c>
    </row>
    <row r="1529" spans="1:10" x14ac:dyDescent="0.25">
      <c r="A1529" s="1">
        <v>45318</v>
      </c>
      <c r="B1529" t="s">
        <v>55</v>
      </c>
      <c r="C1529" t="s">
        <v>19</v>
      </c>
      <c r="D1529" t="s">
        <v>12</v>
      </c>
      <c r="E1529" t="s">
        <v>395</v>
      </c>
      <c r="F1529" t="s">
        <v>57</v>
      </c>
      <c r="G1529" t="s">
        <v>24</v>
      </c>
      <c r="H1529">
        <v>9</v>
      </c>
      <c r="I1529">
        <v>2763</v>
      </c>
      <c r="J1529">
        <v>676.25</v>
      </c>
    </row>
    <row r="1530" spans="1:10" x14ac:dyDescent="0.25">
      <c r="A1530" s="1">
        <v>44821</v>
      </c>
      <c r="B1530" t="s">
        <v>36</v>
      </c>
      <c r="C1530" t="s">
        <v>17</v>
      </c>
      <c r="D1530" t="s">
        <v>12</v>
      </c>
      <c r="E1530" t="s">
        <v>396</v>
      </c>
      <c r="F1530" t="s">
        <v>44</v>
      </c>
      <c r="G1530" t="s">
        <v>35</v>
      </c>
      <c r="H1530">
        <v>8</v>
      </c>
      <c r="I1530">
        <v>9056</v>
      </c>
      <c r="J1530">
        <v>2281.9699999999998</v>
      </c>
    </row>
    <row r="1531" spans="1:10" x14ac:dyDescent="0.25">
      <c r="A1531" s="1">
        <v>44630</v>
      </c>
      <c r="B1531" t="s">
        <v>25</v>
      </c>
      <c r="C1531" t="s">
        <v>19</v>
      </c>
      <c r="D1531" t="s">
        <v>12</v>
      </c>
      <c r="E1531" t="s">
        <v>396</v>
      </c>
      <c r="F1531" t="s">
        <v>44</v>
      </c>
      <c r="G1531" t="s">
        <v>35</v>
      </c>
      <c r="H1531">
        <v>7</v>
      </c>
      <c r="I1531">
        <v>5439</v>
      </c>
      <c r="J1531">
        <v>1416.62</v>
      </c>
    </row>
    <row r="1532" spans="1:10" x14ac:dyDescent="0.25">
      <c r="A1532" s="1">
        <v>44774</v>
      </c>
      <c r="B1532" t="s">
        <v>25</v>
      </c>
      <c r="C1532" t="s">
        <v>19</v>
      </c>
      <c r="D1532" t="s">
        <v>12</v>
      </c>
      <c r="E1532" t="s">
        <v>396</v>
      </c>
      <c r="F1532" t="s">
        <v>44</v>
      </c>
      <c r="G1532" t="s">
        <v>35</v>
      </c>
      <c r="H1532">
        <v>6</v>
      </c>
      <c r="I1532">
        <v>828</v>
      </c>
      <c r="J1532">
        <v>47.91</v>
      </c>
    </row>
    <row r="1533" spans="1:10" x14ac:dyDescent="0.25">
      <c r="A1533" s="1">
        <v>45566</v>
      </c>
      <c r="B1533" t="s">
        <v>32</v>
      </c>
      <c r="C1533" t="s">
        <v>19</v>
      </c>
      <c r="D1533" t="s">
        <v>12</v>
      </c>
      <c r="E1533" t="s">
        <v>158</v>
      </c>
      <c r="F1533" t="s">
        <v>21</v>
      </c>
      <c r="G1533" t="s">
        <v>15</v>
      </c>
      <c r="H1533">
        <v>5</v>
      </c>
      <c r="I1533">
        <v>1910</v>
      </c>
      <c r="J1533">
        <v>463.07</v>
      </c>
    </row>
    <row r="1534" spans="1:10" x14ac:dyDescent="0.25">
      <c r="A1534" s="1">
        <v>44976</v>
      </c>
      <c r="B1534" t="s">
        <v>18</v>
      </c>
      <c r="C1534" t="s">
        <v>19</v>
      </c>
      <c r="D1534" t="s">
        <v>12</v>
      </c>
      <c r="E1534" t="s">
        <v>285</v>
      </c>
      <c r="F1534" t="s">
        <v>34</v>
      </c>
      <c r="G1534" t="s">
        <v>35</v>
      </c>
      <c r="H1534">
        <v>2</v>
      </c>
      <c r="I1534">
        <v>1874</v>
      </c>
      <c r="J1534">
        <v>333.86</v>
      </c>
    </row>
    <row r="1535" spans="1:10" x14ac:dyDescent="0.25">
      <c r="A1535" s="1">
        <v>45140</v>
      </c>
      <c r="B1535" t="s">
        <v>16</v>
      </c>
      <c r="C1535" t="s">
        <v>17</v>
      </c>
      <c r="D1535" t="s">
        <v>12</v>
      </c>
      <c r="E1535" t="s">
        <v>187</v>
      </c>
      <c r="F1535" t="s">
        <v>23</v>
      </c>
      <c r="G1535" t="s">
        <v>24</v>
      </c>
      <c r="H1535">
        <v>1</v>
      </c>
      <c r="I1535">
        <v>1032</v>
      </c>
      <c r="J1535">
        <v>291.41000000000003</v>
      </c>
    </row>
    <row r="1536" spans="1:10" x14ac:dyDescent="0.25">
      <c r="A1536" s="1">
        <v>45103</v>
      </c>
      <c r="B1536" t="s">
        <v>49</v>
      </c>
      <c r="C1536" t="s">
        <v>17</v>
      </c>
      <c r="D1536" t="s">
        <v>12</v>
      </c>
      <c r="E1536" t="s">
        <v>52</v>
      </c>
      <c r="F1536" t="s">
        <v>42</v>
      </c>
      <c r="G1536" t="s">
        <v>28</v>
      </c>
      <c r="H1536">
        <v>3</v>
      </c>
      <c r="I1536">
        <v>3264</v>
      </c>
      <c r="J1536">
        <v>556.86</v>
      </c>
    </row>
    <row r="1537" spans="1:10" x14ac:dyDescent="0.25">
      <c r="A1537" s="1">
        <v>44891</v>
      </c>
      <c r="B1537" t="s">
        <v>40</v>
      </c>
      <c r="C1537" t="s">
        <v>19</v>
      </c>
      <c r="D1537" t="s">
        <v>12</v>
      </c>
      <c r="E1537" t="s">
        <v>52</v>
      </c>
      <c r="F1537" t="s">
        <v>42</v>
      </c>
      <c r="G1537" t="s">
        <v>28</v>
      </c>
      <c r="H1537">
        <v>1</v>
      </c>
      <c r="I1537">
        <v>877</v>
      </c>
      <c r="J1537">
        <v>110.99</v>
      </c>
    </row>
    <row r="1538" spans="1:10" x14ac:dyDescent="0.25">
      <c r="A1538" s="1">
        <v>44704</v>
      </c>
      <c r="B1538" t="s">
        <v>25</v>
      </c>
      <c r="C1538" t="s">
        <v>19</v>
      </c>
      <c r="D1538" t="s">
        <v>12</v>
      </c>
      <c r="E1538" t="s">
        <v>52</v>
      </c>
      <c r="F1538" t="s">
        <v>42</v>
      </c>
      <c r="G1538" t="s">
        <v>28</v>
      </c>
      <c r="H1538">
        <v>3</v>
      </c>
      <c r="I1538">
        <v>924</v>
      </c>
      <c r="J1538">
        <v>183.18</v>
      </c>
    </row>
    <row r="1539" spans="1:10" x14ac:dyDescent="0.25">
      <c r="A1539" s="1">
        <v>45042</v>
      </c>
      <c r="B1539" t="s">
        <v>25</v>
      </c>
      <c r="C1539" t="s">
        <v>19</v>
      </c>
      <c r="D1539" t="s">
        <v>12</v>
      </c>
      <c r="E1539" t="s">
        <v>397</v>
      </c>
      <c r="F1539" t="s">
        <v>23</v>
      </c>
      <c r="G1539" t="s">
        <v>24</v>
      </c>
      <c r="H1539">
        <v>3</v>
      </c>
      <c r="I1539">
        <v>417</v>
      </c>
      <c r="J1539">
        <v>114.42</v>
      </c>
    </row>
    <row r="1540" spans="1:10" x14ac:dyDescent="0.25">
      <c r="A1540" s="1">
        <v>45343</v>
      </c>
      <c r="B1540" t="s">
        <v>55</v>
      </c>
      <c r="C1540" t="s">
        <v>19</v>
      </c>
      <c r="D1540" t="s">
        <v>12</v>
      </c>
      <c r="E1540" t="s">
        <v>43</v>
      </c>
      <c r="F1540" t="s">
        <v>44</v>
      </c>
      <c r="G1540" t="s">
        <v>35</v>
      </c>
      <c r="H1540">
        <v>5</v>
      </c>
      <c r="I1540">
        <v>2670</v>
      </c>
      <c r="J1540">
        <v>155.88999999999999</v>
      </c>
    </row>
    <row r="1541" spans="1:10" x14ac:dyDescent="0.25">
      <c r="A1541" s="1">
        <v>45461</v>
      </c>
      <c r="B1541" t="s">
        <v>49</v>
      </c>
      <c r="C1541" t="s">
        <v>17</v>
      </c>
      <c r="D1541" t="s">
        <v>12</v>
      </c>
      <c r="E1541" t="s">
        <v>72</v>
      </c>
      <c r="F1541" t="s">
        <v>21</v>
      </c>
      <c r="G1541" t="s">
        <v>15</v>
      </c>
      <c r="H1541">
        <v>7</v>
      </c>
      <c r="I1541">
        <v>2716</v>
      </c>
      <c r="J1541">
        <v>512.09</v>
      </c>
    </row>
    <row r="1542" spans="1:10" x14ac:dyDescent="0.25">
      <c r="A1542" s="1">
        <v>45064</v>
      </c>
      <c r="B1542" t="s">
        <v>29</v>
      </c>
      <c r="C1542" t="s">
        <v>17</v>
      </c>
      <c r="D1542" t="s">
        <v>12</v>
      </c>
      <c r="E1542" t="s">
        <v>72</v>
      </c>
      <c r="F1542" t="s">
        <v>21</v>
      </c>
      <c r="G1542" t="s">
        <v>15</v>
      </c>
      <c r="H1542">
        <v>9</v>
      </c>
      <c r="I1542">
        <v>10134</v>
      </c>
      <c r="J1542">
        <v>1334.37</v>
      </c>
    </row>
    <row r="1543" spans="1:10" x14ac:dyDescent="0.25">
      <c r="A1543" s="1">
        <v>44580</v>
      </c>
      <c r="B1543" t="s">
        <v>36</v>
      </c>
      <c r="C1543" t="s">
        <v>17</v>
      </c>
      <c r="D1543" t="s">
        <v>12</v>
      </c>
      <c r="E1543" t="s">
        <v>52</v>
      </c>
      <c r="F1543" t="s">
        <v>42</v>
      </c>
      <c r="G1543" t="s">
        <v>28</v>
      </c>
      <c r="H1543">
        <v>5</v>
      </c>
      <c r="I1543">
        <v>5500</v>
      </c>
      <c r="J1543">
        <v>1230.98</v>
      </c>
    </row>
    <row r="1544" spans="1:10" x14ac:dyDescent="0.25">
      <c r="A1544" s="1">
        <v>45633</v>
      </c>
      <c r="B1544" t="s">
        <v>18</v>
      </c>
      <c r="C1544" t="s">
        <v>19</v>
      </c>
      <c r="D1544" t="s">
        <v>12</v>
      </c>
      <c r="E1544" t="s">
        <v>52</v>
      </c>
      <c r="F1544" t="s">
        <v>42</v>
      </c>
      <c r="G1544" t="s">
        <v>28</v>
      </c>
      <c r="H1544">
        <v>6</v>
      </c>
      <c r="I1544">
        <v>6228</v>
      </c>
      <c r="J1544">
        <v>1756.82</v>
      </c>
    </row>
    <row r="1545" spans="1:10" x14ac:dyDescent="0.25">
      <c r="A1545" s="1">
        <v>45459</v>
      </c>
      <c r="B1545" t="s">
        <v>55</v>
      </c>
      <c r="C1545" t="s">
        <v>19</v>
      </c>
      <c r="D1545" t="s">
        <v>12</v>
      </c>
      <c r="E1545" t="s">
        <v>251</v>
      </c>
      <c r="F1545" t="s">
        <v>108</v>
      </c>
      <c r="G1545" t="s">
        <v>15</v>
      </c>
      <c r="H1545">
        <v>7</v>
      </c>
      <c r="I1545">
        <v>1092</v>
      </c>
      <c r="J1545">
        <v>274.77</v>
      </c>
    </row>
    <row r="1546" spans="1:10" x14ac:dyDescent="0.25">
      <c r="A1546" s="1">
        <v>45101</v>
      </c>
      <c r="B1546" t="s">
        <v>36</v>
      </c>
      <c r="C1546" t="s">
        <v>17</v>
      </c>
      <c r="D1546" t="s">
        <v>12</v>
      </c>
      <c r="E1546" t="s">
        <v>251</v>
      </c>
      <c r="F1546" t="s">
        <v>108</v>
      </c>
      <c r="G1546" t="s">
        <v>15</v>
      </c>
      <c r="H1546">
        <v>5</v>
      </c>
      <c r="I1546">
        <v>3255</v>
      </c>
      <c r="J1546">
        <v>332.54</v>
      </c>
    </row>
    <row r="1547" spans="1:10" x14ac:dyDescent="0.25">
      <c r="A1547" s="1">
        <v>44740</v>
      </c>
      <c r="B1547" t="s">
        <v>18</v>
      </c>
      <c r="C1547" t="s">
        <v>19</v>
      </c>
      <c r="D1547" t="s">
        <v>12</v>
      </c>
      <c r="E1547" t="s">
        <v>103</v>
      </c>
      <c r="F1547" t="s">
        <v>21</v>
      </c>
      <c r="G1547" t="s">
        <v>15</v>
      </c>
      <c r="H1547">
        <v>5</v>
      </c>
      <c r="I1547">
        <v>5645</v>
      </c>
      <c r="J1547">
        <v>1320.86</v>
      </c>
    </row>
    <row r="1548" spans="1:10" x14ac:dyDescent="0.25">
      <c r="A1548" s="1">
        <v>45371</v>
      </c>
      <c r="B1548" t="s">
        <v>40</v>
      </c>
      <c r="C1548" t="s">
        <v>19</v>
      </c>
      <c r="D1548" t="s">
        <v>12</v>
      </c>
      <c r="E1548" t="s">
        <v>103</v>
      </c>
      <c r="F1548" t="s">
        <v>21</v>
      </c>
      <c r="G1548" t="s">
        <v>15</v>
      </c>
      <c r="H1548">
        <v>9</v>
      </c>
      <c r="I1548">
        <v>7578</v>
      </c>
      <c r="J1548">
        <v>466.87</v>
      </c>
    </row>
    <row r="1549" spans="1:10" x14ac:dyDescent="0.25">
      <c r="A1549" s="1">
        <v>45037</v>
      </c>
      <c r="B1549" t="s">
        <v>49</v>
      </c>
      <c r="C1549" t="s">
        <v>17</v>
      </c>
      <c r="D1549" t="s">
        <v>12</v>
      </c>
      <c r="E1549" t="s">
        <v>93</v>
      </c>
      <c r="F1549" t="s">
        <v>94</v>
      </c>
      <c r="G1549" t="s">
        <v>24</v>
      </c>
      <c r="H1549">
        <v>9</v>
      </c>
      <c r="I1549">
        <v>6282</v>
      </c>
      <c r="J1549">
        <v>1594.61</v>
      </c>
    </row>
    <row r="1550" spans="1:10" x14ac:dyDescent="0.25">
      <c r="A1550" s="1">
        <v>45655</v>
      </c>
      <c r="B1550" t="s">
        <v>55</v>
      </c>
      <c r="C1550" t="s">
        <v>19</v>
      </c>
      <c r="D1550" t="s">
        <v>12</v>
      </c>
      <c r="E1550" t="s">
        <v>26</v>
      </c>
      <c r="F1550" t="s">
        <v>27</v>
      </c>
      <c r="G1550" t="s">
        <v>28</v>
      </c>
      <c r="H1550">
        <v>6</v>
      </c>
      <c r="I1550">
        <v>2364</v>
      </c>
      <c r="J1550">
        <v>639.29</v>
      </c>
    </row>
    <row r="1551" spans="1:10" x14ac:dyDescent="0.25">
      <c r="A1551" s="1">
        <v>45272</v>
      </c>
      <c r="B1551" t="s">
        <v>49</v>
      </c>
      <c r="C1551" t="s">
        <v>17</v>
      </c>
      <c r="D1551" t="s">
        <v>12</v>
      </c>
      <c r="E1551" t="s">
        <v>22</v>
      </c>
      <c r="F1551" t="s">
        <v>23</v>
      </c>
      <c r="G1551" t="s">
        <v>24</v>
      </c>
      <c r="H1551">
        <v>8</v>
      </c>
      <c r="I1551">
        <v>6880</v>
      </c>
      <c r="J1551">
        <v>1570.91</v>
      </c>
    </row>
    <row r="1552" spans="1:10" x14ac:dyDescent="0.25">
      <c r="A1552" s="1">
        <v>44864</v>
      </c>
      <c r="B1552" t="s">
        <v>40</v>
      </c>
      <c r="C1552" t="s">
        <v>19</v>
      </c>
      <c r="D1552" t="s">
        <v>12</v>
      </c>
      <c r="E1552" t="s">
        <v>26</v>
      </c>
      <c r="F1552" t="s">
        <v>27</v>
      </c>
      <c r="G1552" t="s">
        <v>28</v>
      </c>
      <c r="H1552">
        <v>6</v>
      </c>
      <c r="I1552">
        <v>3288</v>
      </c>
      <c r="J1552">
        <v>249.02</v>
      </c>
    </row>
    <row r="1553" spans="1:10" x14ac:dyDescent="0.25">
      <c r="A1553" s="1">
        <v>45323</v>
      </c>
      <c r="B1553" t="s">
        <v>36</v>
      </c>
      <c r="C1553" t="s">
        <v>17</v>
      </c>
      <c r="D1553" t="s">
        <v>12</v>
      </c>
      <c r="E1553" t="s">
        <v>125</v>
      </c>
      <c r="F1553" t="s">
        <v>126</v>
      </c>
      <c r="G1553" t="s">
        <v>35</v>
      </c>
      <c r="H1553">
        <v>6</v>
      </c>
      <c r="I1553">
        <v>5292</v>
      </c>
      <c r="J1553">
        <v>659.58</v>
      </c>
    </row>
    <row r="1554" spans="1:10" x14ac:dyDescent="0.25">
      <c r="A1554" s="1">
        <v>45236</v>
      </c>
      <c r="B1554" t="s">
        <v>10</v>
      </c>
      <c r="C1554" t="s">
        <v>11</v>
      </c>
      <c r="D1554" t="s">
        <v>12</v>
      </c>
      <c r="E1554" t="s">
        <v>265</v>
      </c>
      <c r="F1554" t="s">
        <v>46</v>
      </c>
      <c r="G1554" t="s">
        <v>15</v>
      </c>
      <c r="H1554">
        <v>3</v>
      </c>
      <c r="I1554">
        <v>3522</v>
      </c>
      <c r="J1554">
        <v>883.41</v>
      </c>
    </row>
    <row r="1555" spans="1:10" x14ac:dyDescent="0.25">
      <c r="A1555" s="1">
        <v>44842</v>
      </c>
      <c r="B1555" t="s">
        <v>32</v>
      </c>
      <c r="C1555" t="s">
        <v>19</v>
      </c>
      <c r="D1555" t="s">
        <v>12</v>
      </c>
      <c r="E1555" t="s">
        <v>265</v>
      </c>
      <c r="F1555" t="s">
        <v>46</v>
      </c>
      <c r="G1555" t="s">
        <v>15</v>
      </c>
      <c r="H1555">
        <v>2</v>
      </c>
      <c r="I1555">
        <v>1518</v>
      </c>
      <c r="J1555">
        <v>87.6</v>
      </c>
    </row>
    <row r="1556" spans="1:10" x14ac:dyDescent="0.25">
      <c r="A1556" s="1">
        <v>45094</v>
      </c>
      <c r="B1556" t="s">
        <v>18</v>
      </c>
      <c r="C1556" t="s">
        <v>19</v>
      </c>
      <c r="D1556" t="s">
        <v>12</v>
      </c>
      <c r="E1556" t="s">
        <v>52</v>
      </c>
      <c r="F1556" t="s">
        <v>42</v>
      </c>
      <c r="G1556" t="s">
        <v>28</v>
      </c>
      <c r="H1556">
        <v>7</v>
      </c>
      <c r="I1556">
        <v>2457</v>
      </c>
      <c r="J1556">
        <v>690.55</v>
      </c>
    </row>
    <row r="1557" spans="1:10" x14ac:dyDescent="0.25">
      <c r="A1557" s="1">
        <v>45300</v>
      </c>
      <c r="B1557" t="s">
        <v>29</v>
      </c>
      <c r="C1557" t="s">
        <v>17</v>
      </c>
      <c r="D1557" t="s">
        <v>12</v>
      </c>
      <c r="E1557" t="s">
        <v>52</v>
      </c>
      <c r="F1557" t="s">
        <v>42</v>
      </c>
      <c r="G1557" t="s">
        <v>28</v>
      </c>
      <c r="H1557">
        <v>1</v>
      </c>
      <c r="I1557">
        <v>309</v>
      </c>
      <c r="J1557">
        <v>62.08</v>
      </c>
    </row>
    <row r="1558" spans="1:10" x14ac:dyDescent="0.25">
      <c r="A1558" s="1">
        <v>44585</v>
      </c>
      <c r="B1558" t="s">
        <v>36</v>
      </c>
      <c r="C1558" t="s">
        <v>17</v>
      </c>
      <c r="D1558" t="s">
        <v>12</v>
      </c>
      <c r="E1558" t="s">
        <v>56</v>
      </c>
      <c r="F1558" t="s">
        <v>57</v>
      </c>
      <c r="G1558" t="s">
        <v>24</v>
      </c>
      <c r="H1558">
        <v>6</v>
      </c>
      <c r="I1558">
        <v>6192</v>
      </c>
      <c r="J1558">
        <v>717.46</v>
      </c>
    </row>
    <row r="1559" spans="1:10" x14ac:dyDescent="0.25">
      <c r="A1559" s="1">
        <v>44716</v>
      </c>
      <c r="B1559" t="s">
        <v>25</v>
      </c>
      <c r="C1559" t="s">
        <v>19</v>
      </c>
      <c r="D1559" t="s">
        <v>12</v>
      </c>
      <c r="E1559" t="s">
        <v>398</v>
      </c>
      <c r="F1559" t="s">
        <v>23</v>
      </c>
      <c r="G1559" t="s">
        <v>24</v>
      </c>
      <c r="H1559">
        <v>5</v>
      </c>
      <c r="I1559">
        <v>4235</v>
      </c>
      <c r="J1559">
        <v>747.96</v>
      </c>
    </row>
    <row r="1560" spans="1:10" x14ac:dyDescent="0.25">
      <c r="A1560" s="1">
        <v>44786</v>
      </c>
      <c r="B1560" t="s">
        <v>32</v>
      </c>
      <c r="C1560" t="s">
        <v>19</v>
      </c>
      <c r="D1560" t="s">
        <v>12</v>
      </c>
      <c r="E1560" t="s">
        <v>398</v>
      </c>
      <c r="F1560" t="s">
        <v>23</v>
      </c>
      <c r="G1560" t="s">
        <v>24</v>
      </c>
      <c r="H1560">
        <v>9</v>
      </c>
      <c r="I1560">
        <v>7128</v>
      </c>
      <c r="J1560">
        <v>457.11</v>
      </c>
    </row>
    <row r="1561" spans="1:10" x14ac:dyDescent="0.25">
      <c r="A1561" s="1">
        <v>45496</v>
      </c>
      <c r="B1561" t="s">
        <v>18</v>
      </c>
      <c r="C1561" t="s">
        <v>19</v>
      </c>
      <c r="D1561" t="s">
        <v>12</v>
      </c>
      <c r="E1561" t="s">
        <v>398</v>
      </c>
      <c r="F1561" t="s">
        <v>23</v>
      </c>
      <c r="G1561" t="s">
        <v>24</v>
      </c>
      <c r="H1561">
        <v>5</v>
      </c>
      <c r="I1561">
        <v>5660</v>
      </c>
      <c r="J1561">
        <v>641.69000000000005</v>
      </c>
    </row>
    <row r="1562" spans="1:10" x14ac:dyDescent="0.25">
      <c r="A1562" s="1">
        <v>45435</v>
      </c>
      <c r="B1562" t="s">
        <v>40</v>
      </c>
      <c r="C1562" t="s">
        <v>19</v>
      </c>
      <c r="D1562" t="s">
        <v>12</v>
      </c>
      <c r="E1562" t="s">
        <v>398</v>
      </c>
      <c r="F1562" t="s">
        <v>23</v>
      </c>
      <c r="G1562" t="s">
        <v>24</v>
      </c>
      <c r="H1562">
        <v>1</v>
      </c>
      <c r="I1562">
        <v>787</v>
      </c>
      <c r="J1562">
        <v>120.38</v>
      </c>
    </row>
    <row r="1563" spans="1:10" x14ac:dyDescent="0.25">
      <c r="A1563" s="1">
        <v>44878</v>
      </c>
      <c r="B1563" t="s">
        <v>16</v>
      </c>
      <c r="C1563" t="s">
        <v>17</v>
      </c>
      <c r="D1563" t="s">
        <v>12</v>
      </c>
      <c r="E1563" t="s">
        <v>22</v>
      </c>
      <c r="F1563" t="s">
        <v>23</v>
      </c>
      <c r="G1563" t="s">
        <v>24</v>
      </c>
      <c r="H1563">
        <v>3</v>
      </c>
      <c r="I1563">
        <v>375</v>
      </c>
      <c r="J1563">
        <v>107.26</v>
      </c>
    </row>
    <row r="1564" spans="1:10" x14ac:dyDescent="0.25">
      <c r="A1564" s="1">
        <v>45157</v>
      </c>
      <c r="B1564" t="s">
        <v>25</v>
      </c>
      <c r="C1564" t="s">
        <v>19</v>
      </c>
      <c r="D1564" t="s">
        <v>12</v>
      </c>
      <c r="E1564" t="s">
        <v>289</v>
      </c>
      <c r="F1564" t="s">
        <v>63</v>
      </c>
      <c r="G1564" t="s">
        <v>28</v>
      </c>
      <c r="H1564">
        <v>4</v>
      </c>
      <c r="I1564">
        <v>296</v>
      </c>
      <c r="J1564">
        <v>44.79</v>
      </c>
    </row>
    <row r="1565" spans="1:10" x14ac:dyDescent="0.25">
      <c r="A1565" s="1">
        <v>44562</v>
      </c>
      <c r="B1565" t="s">
        <v>49</v>
      </c>
      <c r="C1565" t="s">
        <v>17</v>
      </c>
      <c r="D1565" t="s">
        <v>12</v>
      </c>
      <c r="E1565" t="s">
        <v>399</v>
      </c>
      <c r="F1565" t="s">
        <v>189</v>
      </c>
      <c r="G1565" t="s">
        <v>24</v>
      </c>
      <c r="H1565">
        <v>6</v>
      </c>
      <c r="I1565">
        <v>6372</v>
      </c>
      <c r="J1565">
        <v>570.75</v>
      </c>
    </row>
    <row r="1566" spans="1:10" x14ac:dyDescent="0.25">
      <c r="A1566" s="1">
        <v>45459</v>
      </c>
      <c r="B1566" t="s">
        <v>16</v>
      </c>
      <c r="C1566" t="s">
        <v>17</v>
      </c>
      <c r="D1566" t="s">
        <v>12</v>
      </c>
      <c r="E1566" t="s">
        <v>26</v>
      </c>
      <c r="F1566" t="s">
        <v>27</v>
      </c>
      <c r="G1566" t="s">
        <v>28</v>
      </c>
      <c r="H1566">
        <v>6</v>
      </c>
      <c r="I1566">
        <v>2214</v>
      </c>
      <c r="J1566">
        <v>322.73</v>
      </c>
    </row>
    <row r="1567" spans="1:10" x14ac:dyDescent="0.25">
      <c r="A1567" s="1">
        <v>45551</v>
      </c>
      <c r="B1567" t="s">
        <v>29</v>
      </c>
      <c r="C1567" t="s">
        <v>17</v>
      </c>
      <c r="D1567" t="s">
        <v>12</v>
      </c>
      <c r="E1567" t="s">
        <v>26</v>
      </c>
      <c r="F1567" t="s">
        <v>27</v>
      </c>
      <c r="G1567" t="s">
        <v>28</v>
      </c>
      <c r="H1567">
        <v>6</v>
      </c>
      <c r="I1567">
        <v>2640</v>
      </c>
      <c r="J1567">
        <v>734.44</v>
      </c>
    </row>
    <row r="1568" spans="1:10" x14ac:dyDescent="0.25">
      <c r="A1568" s="1">
        <v>45238</v>
      </c>
      <c r="B1568" t="s">
        <v>25</v>
      </c>
      <c r="C1568" t="s">
        <v>19</v>
      </c>
      <c r="D1568" t="s">
        <v>12</v>
      </c>
      <c r="E1568" t="s">
        <v>37</v>
      </c>
      <c r="F1568" t="s">
        <v>34</v>
      </c>
      <c r="G1568" t="s">
        <v>35</v>
      </c>
      <c r="H1568">
        <v>7</v>
      </c>
      <c r="I1568">
        <v>2240</v>
      </c>
      <c r="J1568">
        <v>580.47</v>
      </c>
    </row>
    <row r="1569" spans="1:10" x14ac:dyDescent="0.25">
      <c r="A1569" s="1">
        <v>45052</v>
      </c>
      <c r="B1569" t="s">
        <v>32</v>
      </c>
      <c r="C1569" t="s">
        <v>19</v>
      </c>
      <c r="D1569" t="s">
        <v>12</v>
      </c>
      <c r="E1569" t="s">
        <v>37</v>
      </c>
      <c r="F1569" t="s">
        <v>34</v>
      </c>
      <c r="G1569" t="s">
        <v>35</v>
      </c>
      <c r="H1569">
        <v>7</v>
      </c>
      <c r="I1569">
        <v>6258</v>
      </c>
      <c r="J1569">
        <v>1347.74</v>
      </c>
    </row>
    <row r="1570" spans="1:10" x14ac:dyDescent="0.25">
      <c r="A1570" s="1">
        <v>45293</v>
      </c>
      <c r="B1570" t="s">
        <v>10</v>
      </c>
      <c r="C1570" t="s">
        <v>11</v>
      </c>
      <c r="D1570" t="s">
        <v>12</v>
      </c>
      <c r="E1570" t="s">
        <v>400</v>
      </c>
      <c r="F1570" t="s">
        <v>57</v>
      </c>
      <c r="G1570" t="s">
        <v>24</v>
      </c>
      <c r="H1570">
        <v>8</v>
      </c>
      <c r="I1570">
        <v>3816</v>
      </c>
      <c r="J1570">
        <v>574.57000000000005</v>
      </c>
    </row>
    <row r="1571" spans="1:10" x14ac:dyDescent="0.25">
      <c r="A1571" s="1">
        <v>44696</v>
      </c>
      <c r="B1571" t="s">
        <v>32</v>
      </c>
      <c r="C1571" t="s">
        <v>19</v>
      </c>
      <c r="D1571" t="s">
        <v>12</v>
      </c>
      <c r="E1571" t="s">
        <v>22</v>
      </c>
      <c r="F1571" t="s">
        <v>23</v>
      </c>
      <c r="G1571" t="s">
        <v>24</v>
      </c>
      <c r="H1571">
        <v>2</v>
      </c>
      <c r="I1571">
        <v>390</v>
      </c>
      <c r="J1571">
        <v>115.48</v>
      </c>
    </row>
    <row r="1572" spans="1:10" x14ac:dyDescent="0.25">
      <c r="A1572" s="1">
        <v>45474</v>
      </c>
      <c r="B1572" t="s">
        <v>18</v>
      </c>
      <c r="C1572" t="s">
        <v>19</v>
      </c>
      <c r="D1572" t="s">
        <v>12</v>
      </c>
      <c r="E1572" t="s">
        <v>43</v>
      </c>
      <c r="F1572" t="s">
        <v>44</v>
      </c>
      <c r="G1572" t="s">
        <v>35</v>
      </c>
      <c r="H1572">
        <v>7</v>
      </c>
      <c r="I1572">
        <v>630</v>
      </c>
      <c r="J1572">
        <v>83.28</v>
      </c>
    </row>
    <row r="1573" spans="1:10" x14ac:dyDescent="0.25">
      <c r="A1573" s="1">
        <v>44805</v>
      </c>
      <c r="B1573" t="s">
        <v>40</v>
      </c>
      <c r="C1573" t="s">
        <v>19</v>
      </c>
      <c r="D1573" t="s">
        <v>12</v>
      </c>
      <c r="E1573" t="s">
        <v>341</v>
      </c>
      <c r="F1573" t="s">
        <v>46</v>
      </c>
      <c r="G1573" t="s">
        <v>15</v>
      </c>
      <c r="H1573">
        <v>4</v>
      </c>
      <c r="I1573">
        <v>3868</v>
      </c>
      <c r="J1573">
        <v>819.26</v>
      </c>
    </row>
    <row r="1574" spans="1:10" x14ac:dyDescent="0.25">
      <c r="A1574" s="1">
        <v>45104</v>
      </c>
      <c r="B1574" t="s">
        <v>36</v>
      </c>
      <c r="C1574" t="s">
        <v>17</v>
      </c>
      <c r="D1574" t="s">
        <v>12</v>
      </c>
      <c r="E1574" t="s">
        <v>37</v>
      </c>
      <c r="F1574" t="s">
        <v>34</v>
      </c>
      <c r="G1574" t="s">
        <v>35</v>
      </c>
      <c r="H1574">
        <v>1</v>
      </c>
      <c r="I1574">
        <v>777</v>
      </c>
      <c r="J1574">
        <v>211.31</v>
      </c>
    </row>
    <row r="1575" spans="1:10" x14ac:dyDescent="0.25">
      <c r="A1575" s="1">
        <v>45440</v>
      </c>
      <c r="B1575" t="s">
        <v>36</v>
      </c>
      <c r="C1575" t="s">
        <v>17</v>
      </c>
      <c r="D1575" t="s">
        <v>12</v>
      </c>
      <c r="E1575" t="s">
        <v>114</v>
      </c>
      <c r="F1575" t="s">
        <v>115</v>
      </c>
      <c r="G1575" t="s">
        <v>15</v>
      </c>
      <c r="H1575">
        <v>3</v>
      </c>
      <c r="I1575">
        <v>1347</v>
      </c>
      <c r="J1575">
        <v>196.59</v>
      </c>
    </row>
    <row r="1576" spans="1:10" x14ac:dyDescent="0.25">
      <c r="A1576" s="1">
        <v>45063</v>
      </c>
      <c r="B1576" t="s">
        <v>55</v>
      </c>
      <c r="C1576" t="s">
        <v>19</v>
      </c>
      <c r="D1576" t="s">
        <v>12</v>
      </c>
      <c r="E1576" t="s">
        <v>114</v>
      </c>
      <c r="F1576" t="s">
        <v>115</v>
      </c>
      <c r="G1576" t="s">
        <v>15</v>
      </c>
      <c r="H1576">
        <v>9</v>
      </c>
      <c r="I1576">
        <v>7272</v>
      </c>
      <c r="J1576">
        <v>500.32</v>
      </c>
    </row>
    <row r="1577" spans="1:10" x14ac:dyDescent="0.25">
      <c r="A1577" s="1">
        <v>45563</v>
      </c>
      <c r="B1577" t="s">
        <v>10</v>
      </c>
      <c r="C1577" t="s">
        <v>11</v>
      </c>
      <c r="D1577" t="s">
        <v>12</v>
      </c>
      <c r="E1577" t="s">
        <v>22</v>
      </c>
      <c r="F1577" t="s">
        <v>23</v>
      </c>
      <c r="G1577" t="s">
        <v>24</v>
      </c>
      <c r="H1577">
        <v>6</v>
      </c>
      <c r="I1577">
        <v>5724</v>
      </c>
      <c r="J1577">
        <v>857.33</v>
      </c>
    </row>
    <row r="1578" spans="1:10" x14ac:dyDescent="0.25">
      <c r="A1578" s="1">
        <v>44688</v>
      </c>
      <c r="B1578" t="s">
        <v>29</v>
      </c>
      <c r="C1578" t="s">
        <v>17</v>
      </c>
      <c r="D1578" t="s">
        <v>12</v>
      </c>
      <c r="E1578" t="s">
        <v>52</v>
      </c>
      <c r="F1578" t="s">
        <v>42</v>
      </c>
      <c r="G1578" t="s">
        <v>28</v>
      </c>
      <c r="H1578">
        <v>3</v>
      </c>
      <c r="I1578">
        <v>312</v>
      </c>
      <c r="J1578">
        <v>74.8</v>
      </c>
    </row>
    <row r="1579" spans="1:10" x14ac:dyDescent="0.25">
      <c r="A1579" s="1">
        <v>45064</v>
      </c>
      <c r="B1579" t="s">
        <v>55</v>
      </c>
      <c r="C1579" t="s">
        <v>19</v>
      </c>
      <c r="D1579" t="s">
        <v>12</v>
      </c>
      <c r="E1579" t="s">
        <v>13</v>
      </c>
      <c r="F1579" t="s">
        <v>14</v>
      </c>
      <c r="G1579" t="s">
        <v>15</v>
      </c>
      <c r="H1579">
        <v>3</v>
      </c>
      <c r="I1579">
        <v>1947</v>
      </c>
      <c r="J1579">
        <v>239.63</v>
      </c>
    </row>
    <row r="1580" spans="1:10" x14ac:dyDescent="0.25">
      <c r="A1580" s="1">
        <v>45208</v>
      </c>
      <c r="B1580" t="s">
        <v>18</v>
      </c>
      <c r="C1580" t="s">
        <v>19</v>
      </c>
      <c r="D1580" t="s">
        <v>12</v>
      </c>
      <c r="E1580" t="s">
        <v>26</v>
      </c>
      <c r="F1580" t="s">
        <v>27</v>
      </c>
      <c r="G1580" t="s">
        <v>28</v>
      </c>
      <c r="H1580">
        <v>6</v>
      </c>
      <c r="I1580">
        <v>1128</v>
      </c>
      <c r="J1580">
        <v>207.97</v>
      </c>
    </row>
    <row r="1581" spans="1:10" x14ac:dyDescent="0.25">
      <c r="A1581" s="1">
        <v>44990</v>
      </c>
      <c r="B1581" t="s">
        <v>55</v>
      </c>
      <c r="C1581" t="s">
        <v>19</v>
      </c>
      <c r="D1581" t="s">
        <v>12</v>
      </c>
      <c r="E1581" t="s">
        <v>117</v>
      </c>
      <c r="F1581" t="s">
        <v>133</v>
      </c>
      <c r="G1581" t="s">
        <v>28</v>
      </c>
      <c r="H1581">
        <v>9</v>
      </c>
      <c r="I1581">
        <v>4158</v>
      </c>
      <c r="J1581">
        <v>672.32</v>
      </c>
    </row>
    <row r="1582" spans="1:10" x14ac:dyDescent="0.25">
      <c r="A1582" s="1">
        <v>45477</v>
      </c>
      <c r="B1582" t="s">
        <v>49</v>
      </c>
      <c r="C1582" t="s">
        <v>17</v>
      </c>
      <c r="D1582" t="s">
        <v>12</v>
      </c>
      <c r="E1582" t="s">
        <v>22</v>
      </c>
      <c r="F1582" t="s">
        <v>23</v>
      </c>
      <c r="G1582" t="s">
        <v>24</v>
      </c>
      <c r="H1582">
        <v>6</v>
      </c>
      <c r="I1582">
        <v>2670</v>
      </c>
      <c r="J1582">
        <v>782.28</v>
      </c>
    </row>
    <row r="1583" spans="1:10" x14ac:dyDescent="0.25">
      <c r="A1583" s="1">
        <v>45443</v>
      </c>
      <c r="B1583" t="s">
        <v>29</v>
      </c>
      <c r="C1583" t="s">
        <v>17</v>
      </c>
      <c r="D1583" t="s">
        <v>12</v>
      </c>
      <c r="E1583" t="s">
        <v>37</v>
      </c>
      <c r="F1583" t="s">
        <v>34</v>
      </c>
      <c r="G1583" t="s">
        <v>35</v>
      </c>
      <c r="H1583">
        <v>1</v>
      </c>
      <c r="I1583">
        <v>85</v>
      </c>
      <c r="J1583">
        <v>17.71</v>
      </c>
    </row>
    <row r="1584" spans="1:10" x14ac:dyDescent="0.25">
      <c r="A1584" s="1">
        <v>45270</v>
      </c>
      <c r="B1584" t="s">
        <v>16</v>
      </c>
      <c r="C1584" t="s">
        <v>17</v>
      </c>
      <c r="D1584" t="s">
        <v>12</v>
      </c>
      <c r="E1584" t="s">
        <v>401</v>
      </c>
      <c r="F1584" t="s">
        <v>23</v>
      </c>
      <c r="G1584" t="s">
        <v>24</v>
      </c>
      <c r="H1584">
        <v>8</v>
      </c>
      <c r="I1584">
        <v>4136</v>
      </c>
      <c r="J1584">
        <v>1056.54</v>
      </c>
    </row>
    <row r="1585" spans="1:10" x14ac:dyDescent="0.25">
      <c r="A1585" s="1">
        <v>44688</v>
      </c>
      <c r="B1585" t="s">
        <v>18</v>
      </c>
      <c r="C1585" t="s">
        <v>19</v>
      </c>
      <c r="D1585" t="s">
        <v>12</v>
      </c>
      <c r="E1585" t="s">
        <v>401</v>
      </c>
      <c r="F1585" t="s">
        <v>23</v>
      </c>
      <c r="G1585" t="s">
        <v>24</v>
      </c>
      <c r="H1585">
        <v>6</v>
      </c>
      <c r="I1585">
        <v>4332</v>
      </c>
      <c r="J1585">
        <v>348.61</v>
      </c>
    </row>
    <row r="1586" spans="1:10" x14ac:dyDescent="0.25">
      <c r="A1586" s="1">
        <v>45474</v>
      </c>
      <c r="B1586" t="s">
        <v>36</v>
      </c>
      <c r="C1586" t="s">
        <v>17</v>
      </c>
      <c r="D1586" t="s">
        <v>12</v>
      </c>
      <c r="E1586" t="s">
        <v>75</v>
      </c>
      <c r="F1586" t="s">
        <v>63</v>
      </c>
      <c r="G1586" t="s">
        <v>28</v>
      </c>
      <c r="H1586">
        <v>8</v>
      </c>
      <c r="I1586">
        <v>1600</v>
      </c>
      <c r="J1586">
        <v>305.3</v>
      </c>
    </row>
    <row r="1587" spans="1:10" x14ac:dyDescent="0.25">
      <c r="A1587" s="1">
        <v>45227</v>
      </c>
      <c r="B1587" t="s">
        <v>18</v>
      </c>
      <c r="C1587" t="s">
        <v>19</v>
      </c>
      <c r="D1587" t="s">
        <v>12</v>
      </c>
      <c r="E1587" t="s">
        <v>123</v>
      </c>
      <c r="F1587" t="s">
        <v>63</v>
      </c>
      <c r="G1587" t="s">
        <v>28</v>
      </c>
      <c r="H1587">
        <v>7</v>
      </c>
      <c r="I1587">
        <v>5075</v>
      </c>
      <c r="J1587">
        <v>471.21</v>
      </c>
    </row>
    <row r="1588" spans="1:10" x14ac:dyDescent="0.25">
      <c r="A1588" s="1">
        <v>44769</v>
      </c>
      <c r="B1588" t="s">
        <v>18</v>
      </c>
      <c r="C1588" t="s">
        <v>19</v>
      </c>
      <c r="D1588" t="s">
        <v>12</v>
      </c>
      <c r="E1588" t="s">
        <v>264</v>
      </c>
      <c r="F1588" t="s">
        <v>189</v>
      </c>
      <c r="G1588" t="s">
        <v>24</v>
      </c>
      <c r="H1588">
        <v>6</v>
      </c>
      <c r="I1588">
        <v>4152</v>
      </c>
      <c r="J1588">
        <v>1065.46</v>
      </c>
    </row>
    <row r="1589" spans="1:10" x14ac:dyDescent="0.25">
      <c r="A1589" s="1">
        <v>44694</v>
      </c>
      <c r="B1589" t="s">
        <v>10</v>
      </c>
      <c r="C1589" t="s">
        <v>11</v>
      </c>
      <c r="D1589" t="s">
        <v>12</v>
      </c>
      <c r="E1589" t="s">
        <v>74</v>
      </c>
      <c r="F1589" t="s">
        <v>23</v>
      </c>
      <c r="G1589" t="s">
        <v>24</v>
      </c>
      <c r="H1589">
        <v>7</v>
      </c>
      <c r="I1589">
        <v>5635</v>
      </c>
      <c r="J1589">
        <v>1665.01</v>
      </c>
    </row>
    <row r="1590" spans="1:10" x14ac:dyDescent="0.25">
      <c r="A1590" s="1">
        <v>44820</v>
      </c>
      <c r="B1590" t="s">
        <v>32</v>
      </c>
      <c r="C1590" t="s">
        <v>19</v>
      </c>
      <c r="D1590" t="s">
        <v>12</v>
      </c>
      <c r="E1590" t="s">
        <v>402</v>
      </c>
      <c r="F1590" t="s">
        <v>54</v>
      </c>
      <c r="G1590" t="s">
        <v>24</v>
      </c>
      <c r="H1590">
        <v>3</v>
      </c>
      <c r="I1590">
        <v>3108</v>
      </c>
      <c r="J1590">
        <v>220.97</v>
      </c>
    </row>
    <row r="1591" spans="1:10" x14ac:dyDescent="0.25">
      <c r="A1591" s="1">
        <v>44858</v>
      </c>
      <c r="B1591" t="s">
        <v>32</v>
      </c>
      <c r="C1591" t="s">
        <v>19</v>
      </c>
      <c r="D1591" t="s">
        <v>12</v>
      </c>
      <c r="E1591" t="s">
        <v>402</v>
      </c>
      <c r="F1591" t="s">
        <v>54</v>
      </c>
      <c r="G1591" t="s">
        <v>24</v>
      </c>
      <c r="H1591">
        <v>7</v>
      </c>
      <c r="I1591">
        <v>4270</v>
      </c>
      <c r="J1591">
        <v>1197.44</v>
      </c>
    </row>
    <row r="1592" spans="1:10" x14ac:dyDescent="0.25">
      <c r="A1592" s="1">
        <v>44972</v>
      </c>
      <c r="B1592" t="s">
        <v>36</v>
      </c>
      <c r="C1592" t="s">
        <v>17</v>
      </c>
      <c r="D1592" t="s">
        <v>12</v>
      </c>
      <c r="E1592" t="s">
        <v>403</v>
      </c>
      <c r="F1592" t="s">
        <v>149</v>
      </c>
      <c r="G1592" t="s">
        <v>15</v>
      </c>
      <c r="H1592">
        <v>5</v>
      </c>
      <c r="I1592">
        <v>1350</v>
      </c>
      <c r="J1592">
        <v>321.89999999999998</v>
      </c>
    </row>
    <row r="1593" spans="1:10" x14ac:dyDescent="0.25">
      <c r="A1593" s="1">
        <v>45358</v>
      </c>
      <c r="B1593" t="s">
        <v>49</v>
      </c>
      <c r="C1593" t="s">
        <v>17</v>
      </c>
      <c r="D1593" t="s">
        <v>12</v>
      </c>
      <c r="E1593" t="s">
        <v>403</v>
      </c>
      <c r="F1593" t="s">
        <v>149</v>
      </c>
      <c r="G1593" t="s">
        <v>15</v>
      </c>
      <c r="H1593">
        <v>3</v>
      </c>
      <c r="I1593">
        <v>330</v>
      </c>
      <c r="J1593">
        <v>81.86</v>
      </c>
    </row>
    <row r="1594" spans="1:10" x14ac:dyDescent="0.25">
      <c r="A1594" s="1">
        <v>44755</v>
      </c>
      <c r="B1594" t="s">
        <v>25</v>
      </c>
      <c r="C1594" t="s">
        <v>19</v>
      </c>
      <c r="D1594" t="s">
        <v>12</v>
      </c>
      <c r="E1594" t="s">
        <v>37</v>
      </c>
      <c r="F1594" t="s">
        <v>34</v>
      </c>
      <c r="G1594" t="s">
        <v>35</v>
      </c>
      <c r="H1594">
        <v>6</v>
      </c>
      <c r="I1594">
        <v>4260</v>
      </c>
      <c r="J1594">
        <v>504.82</v>
      </c>
    </row>
    <row r="1595" spans="1:10" x14ac:dyDescent="0.25">
      <c r="A1595" s="1">
        <v>44773</v>
      </c>
      <c r="B1595" t="s">
        <v>29</v>
      </c>
      <c r="C1595" t="s">
        <v>17</v>
      </c>
      <c r="D1595" t="s">
        <v>12</v>
      </c>
      <c r="E1595" t="s">
        <v>67</v>
      </c>
      <c r="F1595" t="s">
        <v>54</v>
      </c>
      <c r="G1595" t="s">
        <v>24</v>
      </c>
      <c r="H1595">
        <v>3</v>
      </c>
      <c r="I1595">
        <v>2712</v>
      </c>
      <c r="J1595">
        <v>751.52</v>
      </c>
    </row>
    <row r="1596" spans="1:10" x14ac:dyDescent="0.25">
      <c r="A1596" s="1">
        <v>45377</v>
      </c>
      <c r="B1596" t="s">
        <v>40</v>
      </c>
      <c r="C1596" t="s">
        <v>19</v>
      </c>
      <c r="D1596" t="s">
        <v>12</v>
      </c>
      <c r="E1596" t="s">
        <v>67</v>
      </c>
      <c r="F1596" t="s">
        <v>54</v>
      </c>
      <c r="G1596" t="s">
        <v>24</v>
      </c>
      <c r="H1596">
        <v>1</v>
      </c>
      <c r="I1596">
        <v>328</v>
      </c>
      <c r="J1596">
        <v>46.23</v>
      </c>
    </row>
    <row r="1597" spans="1:10" x14ac:dyDescent="0.25">
      <c r="A1597" s="1">
        <v>45151</v>
      </c>
      <c r="B1597" t="s">
        <v>40</v>
      </c>
      <c r="C1597" t="s">
        <v>19</v>
      </c>
      <c r="D1597" t="s">
        <v>12</v>
      </c>
      <c r="E1597" t="s">
        <v>67</v>
      </c>
      <c r="F1597" t="s">
        <v>54</v>
      </c>
      <c r="G1597" t="s">
        <v>24</v>
      </c>
      <c r="H1597">
        <v>8</v>
      </c>
      <c r="I1597">
        <v>7776</v>
      </c>
      <c r="J1597">
        <v>498.6</v>
      </c>
    </row>
    <row r="1598" spans="1:10" x14ac:dyDescent="0.25">
      <c r="A1598" s="1">
        <v>44689</v>
      </c>
      <c r="B1598" t="s">
        <v>55</v>
      </c>
      <c r="C1598" t="s">
        <v>19</v>
      </c>
      <c r="D1598" t="s">
        <v>12</v>
      </c>
      <c r="E1598" t="s">
        <v>37</v>
      </c>
      <c r="F1598" t="s">
        <v>34</v>
      </c>
      <c r="G1598" t="s">
        <v>35</v>
      </c>
      <c r="H1598">
        <v>4</v>
      </c>
      <c r="I1598">
        <v>2896</v>
      </c>
      <c r="J1598">
        <v>522.82000000000005</v>
      </c>
    </row>
    <row r="1599" spans="1:10" x14ac:dyDescent="0.25">
      <c r="A1599" s="1">
        <v>45053</v>
      </c>
      <c r="B1599" t="s">
        <v>18</v>
      </c>
      <c r="C1599" t="s">
        <v>19</v>
      </c>
      <c r="D1599" t="s">
        <v>12</v>
      </c>
      <c r="E1599" t="s">
        <v>26</v>
      </c>
      <c r="F1599" t="s">
        <v>27</v>
      </c>
      <c r="G1599" t="s">
        <v>28</v>
      </c>
      <c r="H1599">
        <v>2</v>
      </c>
      <c r="I1599">
        <v>1902</v>
      </c>
      <c r="J1599">
        <v>388.83</v>
      </c>
    </row>
    <row r="1600" spans="1:10" x14ac:dyDescent="0.25">
      <c r="A1600" s="1">
        <v>44590</v>
      </c>
      <c r="B1600" t="s">
        <v>32</v>
      </c>
      <c r="C1600" t="s">
        <v>19</v>
      </c>
      <c r="D1600" t="s">
        <v>12</v>
      </c>
      <c r="E1600" t="s">
        <v>116</v>
      </c>
      <c r="F1600" t="s">
        <v>42</v>
      </c>
      <c r="G1600" t="s">
        <v>28</v>
      </c>
      <c r="H1600">
        <v>7</v>
      </c>
      <c r="I1600">
        <v>3255</v>
      </c>
      <c r="J1600">
        <v>814.85</v>
      </c>
    </row>
    <row r="1601" spans="1:10" x14ac:dyDescent="0.25">
      <c r="A1601" s="1">
        <v>44622</v>
      </c>
      <c r="B1601" t="s">
        <v>49</v>
      </c>
      <c r="C1601" t="s">
        <v>17</v>
      </c>
      <c r="D1601" t="s">
        <v>12</v>
      </c>
      <c r="E1601" t="s">
        <v>123</v>
      </c>
      <c r="F1601" t="s">
        <v>27</v>
      </c>
      <c r="G1601" t="s">
        <v>28</v>
      </c>
      <c r="H1601">
        <v>3</v>
      </c>
      <c r="I1601">
        <v>633</v>
      </c>
      <c r="J1601">
        <v>162.4</v>
      </c>
    </row>
    <row r="1602" spans="1:10" x14ac:dyDescent="0.25">
      <c r="A1602" s="1">
        <v>45027</v>
      </c>
      <c r="B1602" t="s">
        <v>18</v>
      </c>
      <c r="C1602" t="s">
        <v>19</v>
      </c>
      <c r="D1602" t="s">
        <v>12</v>
      </c>
      <c r="E1602" t="s">
        <v>43</v>
      </c>
      <c r="F1602" t="s">
        <v>44</v>
      </c>
      <c r="G1602" t="s">
        <v>35</v>
      </c>
      <c r="H1602">
        <v>7</v>
      </c>
      <c r="I1602">
        <v>6209</v>
      </c>
      <c r="J1602">
        <v>402.78</v>
      </c>
    </row>
    <row r="1603" spans="1:10" x14ac:dyDescent="0.25">
      <c r="A1603" s="1">
        <v>45055</v>
      </c>
      <c r="B1603" t="s">
        <v>32</v>
      </c>
      <c r="C1603" t="s">
        <v>19</v>
      </c>
      <c r="D1603" t="s">
        <v>12</v>
      </c>
      <c r="E1603" t="s">
        <v>56</v>
      </c>
      <c r="F1603" t="s">
        <v>57</v>
      </c>
      <c r="G1603" t="s">
        <v>24</v>
      </c>
      <c r="H1603">
        <v>9</v>
      </c>
      <c r="I1603">
        <v>4698</v>
      </c>
      <c r="J1603">
        <v>1167.9000000000001</v>
      </c>
    </row>
    <row r="1604" spans="1:10" x14ac:dyDescent="0.25">
      <c r="A1604" s="1">
        <v>45484</v>
      </c>
      <c r="B1604" t="s">
        <v>40</v>
      </c>
      <c r="C1604" t="s">
        <v>19</v>
      </c>
      <c r="D1604" t="s">
        <v>12</v>
      </c>
      <c r="E1604" t="s">
        <v>56</v>
      </c>
      <c r="F1604" t="s">
        <v>57</v>
      </c>
      <c r="G1604" t="s">
        <v>24</v>
      </c>
      <c r="H1604">
        <v>8</v>
      </c>
      <c r="I1604">
        <v>7424</v>
      </c>
      <c r="J1604">
        <v>1878.07</v>
      </c>
    </row>
    <row r="1605" spans="1:10" x14ac:dyDescent="0.25">
      <c r="A1605" s="1">
        <v>44587</v>
      </c>
      <c r="B1605" t="s">
        <v>10</v>
      </c>
      <c r="C1605" t="s">
        <v>11</v>
      </c>
      <c r="D1605" t="s">
        <v>12</v>
      </c>
      <c r="E1605" t="s">
        <v>404</v>
      </c>
      <c r="F1605" t="s">
        <v>115</v>
      </c>
      <c r="G1605" t="s">
        <v>15</v>
      </c>
      <c r="H1605">
        <v>1</v>
      </c>
      <c r="I1605">
        <v>498</v>
      </c>
      <c r="J1605">
        <v>58.3</v>
      </c>
    </row>
    <row r="1606" spans="1:10" x14ac:dyDescent="0.25">
      <c r="A1606" s="1">
        <v>45168</v>
      </c>
      <c r="B1606" t="s">
        <v>29</v>
      </c>
      <c r="C1606" t="s">
        <v>17</v>
      </c>
      <c r="D1606" t="s">
        <v>12</v>
      </c>
      <c r="E1606" t="s">
        <v>125</v>
      </c>
      <c r="F1606" t="s">
        <v>126</v>
      </c>
      <c r="G1606" t="s">
        <v>35</v>
      </c>
      <c r="H1606">
        <v>1</v>
      </c>
      <c r="I1606">
        <v>111</v>
      </c>
      <c r="J1606">
        <v>27.91</v>
      </c>
    </row>
    <row r="1607" spans="1:10" x14ac:dyDescent="0.25">
      <c r="A1607" s="1">
        <v>45156</v>
      </c>
      <c r="B1607" t="s">
        <v>55</v>
      </c>
      <c r="C1607" t="s">
        <v>19</v>
      </c>
      <c r="D1607" t="s">
        <v>12</v>
      </c>
      <c r="E1607" t="s">
        <v>52</v>
      </c>
      <c r="F1607" t="s">
        <v>42</v>
      </c>
      <c r="G1607" t="s">
        <v>28</v>
      </c>
      <c r="H1607">
        <v>8</v>
      </c>
      <c r="I1607">
        <v>7520</v>
      </c>
      <c r="J1607">
        <v>1201.4000000000001</v>
      </c>
    </row>
    <row r="1608" spans="1:10" x14ac:dyDescent="0.25">
      <c r="A1608" s="1">
        <v>45077</v>
      </c>
      <c r="B1608" t="s">
        <v>25</v>
      </c>
      <c r="C1608" t="s">
        <v>19</v>
      </c>
      <c r="D1608" t="s">
        <v>12</v>
      </c>
      <c r="E1608" t="s">
        <v>61</v>
      </c>
      <c r="F1608" t="s">
        <v>23</v>
      </c>
      <c r="G1608" t="s">
        <v>24</v>
      </c>
      <c r="H1608">
        <v>1</v>
      </c>
      <c r="I1608">
        <v>182</v>
      </c>
      <c r="J1608">
        <v>30.97</v>
      </c>
    </row>
    <row r="1609" spans="1:10" x14ac:dyDescent="0.25">
      <c r="A1609" s="1">
        <v>44610</v>
      </c>
      <c r="B1609" t="s">
        <v>16</v>
      </c>
      <c r="C1609" t="s">
        <v>17</v>
      </c>
      <c r="D1609" t="s">
        <v>12</v>
      </c>
      <c r="E1609" t="s">
        <v>26</v>
      </c>
      <c r="F1609" t="s">
        <v>27</v>
      </c>
      <c r="G1609" t="s">
        <v>28</v>
      </c>
      <c r="H1609">
        <v>5</v>
      </c>
      <c r="I1609">
        <v>5890</v>
      </c>
      <c r="J1609">
        <v>309</v>
      </c>
    </row>
    <row r="1610" spans="1:10" x14ac:dyDescent="0.25">
      <c r="A1610" s="1">
        <v>45490</v>
      </c>
      <c r="B1610" t="s">
        <v>55</v>
      </c>
      <c r="C1610" t="s">
        <v>19</v>
      </c>
      <c r="D1610" t="s">
        <v>12</v>
      </c>
      <c r="E1610" t="s">
        <v>26</v>
      </c>
      <c r="F1610" t="s">
        <v>27</v>
      </c>
      <c r="G1610" t="s">
        <v>28</v>
      </c>
      <c r="H1610">
        <v>4</v>
      </c>
      <c r="I1610">
        <v>3244</v>
      </c>
      <c r="J1610">
        <v>357.55</v>
      </c>
    </row>
    <row r="1611" spans="1:10" x14ac:dyDescent="0.25">
      <c r="A1611" s="1">
        <v>45408</v>
      </c>
      <c r="B1611" t="s">
        <v>40</v>
      </c>
      <c r="C1611" t="s">
        <v>19</v>
      </c>
      <c r="D1611" t="s">
        <v>12</v>
      </c>
      <c r="E1611" t="s">
        <v>26</v>
      </c>
      <c r="F1611" t="s">
        <v>27</v>
      </c>
      <c r="G1611" t="s">
        <v>28</v>
      </c>
      <c r="H1611">
        <v>7</v>
      </c>
      <c r="I1611">
        <v>5229</v>
      </c>
      <c r="J1611">
        <v>1058.26</v>
      </c>
    </row>
    <row r="1612" spans="1:10" x14ac:dyDescent="0.25">
      <c r="A1612" s="1">
        <v>44853</v>
      </c>
      <c r="B1612" t="s">
        <v>32</v>
      </c>
      <c r="C1612" t="s">
        <v>19</v>
      </c>
      <c r="D1612" t="s">
        <v>12</v>
      </c>
      <c r="E1612" t="s">
        <v>43</v>
      </c>
      <c r="F1612" t="s">
        <v>44</v>
      </c>
      <c r="G1612" t="s">
        <v>35</v>
      </c>
      <c r="H1612">
        <v>9</v>
      </c>
      <c r="I1612">
        <v>5202</v>
      </c>
      <c r="J1612">
        <v>1271.47</v>
      </c>
    </row>
    <row r="1613" spans="1:10" x14ac:dyDescent="0.25">
      <c r="A1613" s="1">
        <v>44635</v>
      </c>
      <c r="B1613" t="s">
        <v>49</v>
      </c>
      <c r="C1613" t="s">
        <v>17</v>
      </c>
      <c r="D1613" t="s">
        <v>12</v>
      </c>
      <c r="E1613" t="s">
        <v>43</v>
      </c>
      <c r="F1613" t="s">
        <v>44</v>
      </c>
      <c r="G1613" t="s">
        <v>35</v>
      </c>
      <c r="H1613">
        <v>3</v>
      </c>
      <c r="I1613">
        <v>438</v>
      </c>
      <c r="J1613">
        <v>67.430000000000007</v>
      </c>
    </row>
    <row r="1614" spans="1:10" x14ac:dyDescent="0.25">
      <c r="A1614" s="1">
        <v>44971</v>
      </c>
      <c r="B1614" t="s">
        <v>49</v>
      </c>
      <c r="C1614" t="s">
        <v>17</v>
      </c>
      <c r="D1614" t="s">
        <v>12</v>
      </c>
      <c r="E1614" t="s">
        <v>52</v>
      </c>
      <c r="F1614" t="s">
        <v>42</v>
      </c>
      <c r="G1614" t="s">
        <v>28</v>
      </c>
      <c r="H1614">
        <v>6</v>
      </c>
      <c r="I1614">
        <v>6900</v>
      </c>
      <c r="J1614">
        <v>1109.73</v>
      </c>
    </row>
    <row r="1615" spans="1:10" x14ac:dyDescent="0.25">
      <c r="A1615" s="1">
        <v>44815</v>
      </c>
      <c r="B1615" t="s">
        <v>18</v>
      </c>
      <c r="C1615" t="s">
        <v>19</v>
      </c>
      <c r="D1615" t="s">
        <v>12</v>
      </c>
      <c r="E1615" t="s">
        <v>22</v>
      </c>
      <c r="F1615" t="s">
        <v>23</v>
      </c>
      <c r="G1615" t="s">
        <v>24</v>
      </c>
      <c r="H1615">
        <v>3</v>
      </c>
      <c r="I1615">
        <v>369</v>
      </c>
      <c r="J1615">
        <v>36.07</v>
      </c>
    </row>
    <row r="1616" spans="1:10" x14ac:dyDescent="0.25">
      <c r="A1616" s="1">
        <v>45308</v>
      </c>
      <c r="B1616" t="s">
        <v>55</v>
      </c>
      <c r="C1616" t="s">
        <v>19</v>
      </c>
      <c r="D1616" t="s">
        <v>12</v>
      </c>
      <c r="E1616" t="s">
        <v>22</v>
      </c>
      <c r="F1616" t="s">
        <v>23</v>
      </c>
      <c r="G1616" t="s">
        <v>24</v>
      </c>
      <c r="H1616">
        <v>4</v>
      </c>
      <c r="I1616">
        <v>4140</v>
      </c>
      <c r="J1616">
        <v>1229.8499999999999</v>
      </c>
    </row>
    <row r="1617" spans="1:10" x14ac:dyDescent="0.25">
      <c r="A1617" s="1">
        <v>45395</v>
      </c>
      <c r="B1617" t="s">
        <v>10</v>
      </c>
      <c r="C1617" t="s">
        <v>11</v>
      </c>
      <c r="D1617" t="s">
        <v>12</v>
      </c>
      <c r="E1617" t="s">
        <v>70</v>
      </c>
      <c r="F1617" t="s">
        <v>71</v>
      </c>
      <c r="G1617" t="s">
        <v>35</v>
      </c>
      <c r="H1617">
        <v>3</v>
      </c>
      <c r="I1617">
        <v>1086</v>
      </c>
      <c r="J1617">
        <v>188.65</v>
      </c>
    </row>
    <row r="1618" spans="1:10" x14ac:dyDescent="0.25">
      <c r="A1618" s="1">
        <v>44988</v>
      </c>
      <c r="B1618" t="s">
        <v>16</v>
      </c>
      <c r="C1618" t="s">
        <v>17</v>
      </c>
      <c r="D1618" t="s">
        <v>12</v>
      </c>
      <c r="E1618" t="s">
        <v>262</v>
      </c>
      <c r="F1618" t="s">
        <v>34</v>
      </c>
      <c r="G1618" t="s">
        <v>35</v>
      </c>
      <c r="H1618">
        <v>2</v>
      </c>
      <c r="I1618">
        <v>2134</v>
      </c>
      <c r="J1618">
        <v>269.52999999999997</v>
      </c>
    </row>
    <row r="1619" spans="1:10" x14ac:dyDescent="0.25">
      <c r="A1619" s="1">
        <v>44728</v>
      </c>
      <c r="B1619" t="s">
        <v>55</v>
      </c>
      <c r="C1619" t="s">
        <v>19</v>
      </c>
      <c r="D1619" t="s">
        <v>12</v>
      </c>
      <c r="E1619" t="s">
        <v>130</v>
      </c>
      <c r="F1619" t="s">
        <v>14</v>
      </c>
      <c r="G1619" t="s">
        <v>15</v>
      </c>
      <c r="H1619">
        <v>6</v>
      </c>
      <c r="I1619">
        <v>5310</v>
      </c>
      <c r="J1619">
        <v>637.80999999999995</v>
      </c>
    </row>
    <row r="1620" spans="1:10" x14ac:dyDescent="0.25">
      <c r="A1620" s="1">
        <v>45158</v>
      </c>
      <c r="B1620" t="s">
        <v>29</v>
      </c>
      <c r="C1620" t="s">
        <v>17</v>
      </c>
      <c r="D1620" t="s">
        <v>12</v>
      </c>
      <c r="E1620" t="s">
        <v>130</v>
      </c>
      <c r="F1620" t="s">
        <v>14</v>
      </c>
      <c r="G1620" t="s">
        <v>15</v>
      </c>
      <c r="H1620">
        <v>6</v>
      </c>
      <c r="I1620">
        <v>2748</v>
      </c>
      <c r="J1620">
        <v>682.8</v>
      </c>
    </row>
    <row r="1621" spans="1:10" x14ac:dyDescent="0.25">
      <c r="A1621" s="1">
        <v>45553</v>
      </c>
      <c r="B1621" t="s">
        <v>10</v>
      </c>
      <c r="C1621" t="s">
        <v>11</v>
      </c>
      <c r="D1621" t="s">
        <v>12</v>
      </c>
      <c r="E1621" t="s">
        <v>130</v>
      </c>
      <c r="F1621" t="s">
        <v>14</v>
      </c>
      <c r="G1621" t="s">
        <v>15</v>
      </c>
      <c r="H1621">
        <v>9</v>
      </c>
      <c r="I1621">
        <v>3357</v>
      </c>
      <c r="J1621">
        <v>405.61</v>
      </c>
    </row>
    <row r="1622" spans="1:10" x14ac:dyDescent="0.25">
      <c r="A1622" s="1">
        <v>44954</v>
      </c>
      <c r="B1622" t="s">
        <v>32</v>
      </c>
      <c r="C1622" t="s">
        <v>19</v>
      </c>
      <c r="D1622" t="s">
        <v>12</v>
      </c>
      <c r="E1622" t="s">
        <v>62</v>
      </c>
      <c r="F1622" t="s">
        <v>59</v>
      </c>
      <c r="G1622" t="s">
        <v>28</v>
      </c>
      <c r="H1622">
        <v>9</v>
      </c>
      <c r="I1622">
        <v>10206</v>
      </c>
      <c r="J1622">
        <v>592.77</v>
      </c>
    </row>
    <row r="1623" spans="1:10" x14ac:dyDescent="0.25">
      <c r="A1623" s="1">
        <v>45585</v>
      </c>
      <c r="B1623" t="s">
        <v>40</v>
      </c>
      <c r="C1623" t="s">
        <v>19</v>
      </c>
      <c r="D1623" t="s">
        <v>12</v>
      </c>
      <c r="E1623" t="s">
        <v>22</v>
      </c>
      <c r="F1623" t="s">
        <v>23</v>
      </c>
      <c r="G1623" t="s">
        <v>24</v>
      </c>
      <c r="H1623">
        <v>6</v>
      </c>
      <c r="I1623">
        <v>2970</v>
      </c>
      <c r="J1623">
        <v>425.9</v>
      </c>
    </row>
    <row r="1624" spans="1:10" x14ac:dyDescent="0.25">
      <c r="A1624" s="1">
        <v>44699</v>
      </c>
      <c r="B1624" t="s">
        <v>16</v>
      </c>
      <c r="C1624" t="s">
        <v>17</v>
      </c>
      <c r="D1624" t="s">
        <v>12</v>
      </c>
      <c r="E1624" t="s">
        <v>74</v>
      </c>
      <c r="F1624" t="s">
        <v>23</v>
      </c>
      <c r="G1624" t="s">
        <v>24</v>
      </c>
      <c r="H1624">
        <v>4</v>
      </c>
      <c r="I1624">
        <v>1208</v>
      </c>
      <c r="J1624">
        <v>351.47</v>
      </c>
    </row>
    <row r="1625" spans="1:10" x14ac:dyDescent="0.25">
      <c r="A1625" s="1">
        <v>45462</v>
      </c>
      <c r="B1625" t="s">
        <v>32</v>
      </c>
      <c r="C1625" t="s">
        <v>19</v>
      </c>
      <c r="D1625" t="s">
        <v>12</v>
      </c>
      <c r="E1625" t="s">
        <v>215</v>
      </c>
      <c r="F1625" t="s">
        <v>63</v>
      </c>
      <c r="G1625" t="s">
        <v>28</v>
      </c>
      <c r="H1625">
        <v>3</v>
      </c>
      <c r="I1625">
        <v>945</v>
      </c>
      <c r="J1625">
        <v>135.59</v>
      </c>
    </row>
    <row r="1626" spans="1:10" x14ac:dyDescent="0.25">
      <c r="A1626" s="1">
        <v>44748</v>
      </c>
      <c r="B1626" t="s">
        <v>36</v>
      </c>
      <c r="C1626" t="s">
        <v>17</v>
      </c>
      <c r="D1626" t="s">
        <v>12</v>
      </c>
      <c r="E1626" t="s">
        <v>275</v>
      </c>
      <c r="F1626" t="s">
        <v>173</v>
      </c>
      <c r="G1626" t="s">
        <v>24</v>
      </c>
      <c r="H1626">
        <v>8</v>
      </c>
      <c r="I1626">
        <v>7040</v>
      </c>
      <c r="J1626">
        <v>996.02</v>
      </c>
    </row>
    <row r="1627" spans="1:10" x14ac:dyDescent="0.25">
      <c r="A1627" s="1">
        <v>45252</v>
      </c>
      <c r="B1627" t="s">
        <v>40</v>
      </c>
      <c r="C1627" t="s">
        <v>19</v>
      </c>
      <c r="D1627" t="s">
        <v>12</v>
      </c>
      <c r="E1627" t="s">
        <v>22</v>
      </c>
      <c r="F1627" t="s">
        <v>23</v>
      </c>
      <c r="G1627" t="s">
        <v>24</v>
      </c>
      <c r="H1627">
        <v>4</v>
      </c>
      <c r="I1627">
        <v>3684</v>
      </c>
      <c r="J1627">
        <v>1009.1</v>
      </c>
    </row>
    <row r="1628" spans="1:10" x14ac:dyDescent="0.25">
      <c r="A1628" s="1">
        <v>45345</v>
      </c>
      <c r="B1628" t="s">
        <v>29</v>
      </c>
      <c r="C1628" t="s">
        <v>17</v>
      </c>
      <c r="D1628" t="s">
        <v>12</v>
      </c>
      <c r="E1628" t="s">
        <v>224</v>
      </c>
      <c r="F1628" t="s">
        <v>34</v>
      </c>
      <c r="G1628" t="s">
        <v>35</v>
      </c>
      <c r="H1628">
        <v>2</v>
      </c>
      <c r="I1628">
        <v>1262</v>
      </c>
      <c r="J1628">
        <v>190.02</v>
      </c>
    </row>
    <row r="1629" spans="1:10" x14ac:dyDescent="0.25">
      <c r="A1629" s="1">
        <v>44736</v>
      </c>
      <c r="B1629" t="s">
        <v>16</v>
      </c>
      <c r="C1629" t="s">
        <v>17</v>
      </c>
      <c r="D1629" t="s">
        <v>12</v>
      </c>
      <c r="E1629" t="s">
        <v>405</v>
      </c>
      <c r="F1629" t="s">
        <v>183</v>
      </c>
      <c r="G1629" t="s">
        <v>15</v>
      </c>
      <c r="H1629">
        <v>3</v>
      </c>
      <c r="I1629">
        <v>3504</v>
      </c>
      <c r="J1629">
        <v>807.65</v>
      </c>
    </row>
    <row r="1630" spans="1:10" x14ac:dyDescent="0.25">
      <c r="A1630" s="1">
        <v>44910</v>
      </c>
      <c r="B1630" t="s">
        <v>10</v>
      </c>
      <c r="C1630" t="s">
        <v>11</v>
      </c>
      <c r="D1630" t="s">
        <v>12</v>
      </c>
      <c r="E1630" t="s">
        <v>176</v>
      </c>
      <c r="F1630" t="s">
        <v>84</v>
      </c>
      <c r="G1630" t="s">
        <v>28</v>
      </c>
      <c r="H1630">
        <v>6</v>
      </c>
      <c r="I1630">
        <v>4464</v>
      </c>
      <c r="J1630">
        <v>1122.3699999999999</v>
      </c>
    </row>
    <row r="1631" spans="1:10" x14ac:dyDescent="0.25">
      <c r="A1631" s="1">
        <v>45384</v>
      </c>
      <c r="B1631" t="s">
        <v>55</v>
      </c>
      <c r="C1631" t="s">
        <v>19</v>
      </c>
      <c r="D1631" t="s">
        <v>12</v>
      </c>
      <c r="E1631" t="s">
        <v>176</v>
      </c>
      <c r="F1631" t="s">
        <v>84</v>
      </c>
      <c r="G1631" t="s">
        <v>28</v>
      </c>
      <c r="H1631">
        <v>4</v>
      </c>
      <c r="I1631">
        <v>1324</v>
      </c>
      <c r="J1631">
        <v>227.2</v>
      </c>
    </row>
    <row r="1632" spans="1:10" x14ac:dyDescent="0.25">
      <c r="A1632" s="1">
        <v>45124</v>
      </c>
      <c r="B1632" t="s">
        <v>25</v>
      </c>
      <c r="C1632" t="s">
        <v>19</v>
      </c>
      <c r="D1632" t="s">
        <v>12</v>
      </c>
      <c r="E1632" t="s">
        <v>176</v>
      </c>
      <c r="F1632" t="s">
        <v>84</v>
      </c>
      <c r="G1632" t="s">
        <v>28</v>
      </c>
      <c r="H1632">
        <v>6</v>
      </c>
      <c r="I1632">
        <v>4140</v>
      </c>
      <c r="J1632">
        <v>451.27</v>
      </c>
    </row>
    <row r="1633" spans="1:10" x14ac:dyDescent="0.25">
      <c r="A1633" s="1">
        <v>45385</v>
      </c>
      <c r="B1633" t="s">
        <v>16</v>
      </c>
      <c r="C1633" t="s">
        <v>17</v>
      </c>
      <c r="D1633" t="s">
        <v>12</v>
      </c>
      <c r="E1633" t="s">
        <v>199</v>
      </c>
      <c r="F1633" t="s">
        <v>200</v>
      </c>
      <c r="G1633" t="s">
        <v>28</v>
      </c>
      <c r="H1633">
        <v>8</v>
      </c>
      <c r="I1633">
        <v>2384</v>
      </c>
      <c r="J1633">
        <v>120.28</v>
      </c>
    </row>
    <row r="1634" spans="1:10" x14ac:dyDescent="0.25">
      <c r="A1634" s="1">
        <v>44683</v>
      </c>
      <c r="B1634" t="s">
        <v>55</v>
      </c>
      <c r="C1634" t="s">
        <v>19</v>
      </c>
      <c r="D1634" t="s">
        <v>12</v>
      </c>
      <c r="E1634" t="s">
        <v>199</v>
      </c>
      <c r="F1634" t="s">
        <v>200</v>
      </c>
      <c r="G1634" t="s">
        <v>28</v>
      </c>
      <c r="H1634">
        <v>8</v>
      </c>
      <c r="I1634">
        <v>4624</v>
      </c>
      <c r="J1634">
        <v>1313.36</v>
      </c>
    </row>
    <row r="1635" spans="1:10" x14ac:dyDescent="0.25">
      <c r="A1635" s="1">
        <v>45273</v>
      </c>
      <c r="B1635" t="s">
        <v>32</v>
      </c>
      <c r="C1635" t="s">
        <v>19</v>
      </c>
      <c r="D1635" t="s">
        <v>12</v>
      </c>
      <c r="E1635" t="s">
        <v>87</v>
      </c>
      <c r="F1635" t="s">
        <v>71</v>
      </c>
      <c r="G1635" t="s">
        <v>35</v>
      </c>
      <c r="H1635">
        <v>6</v>
      </c>
      <c r="I1635">
        <v>4812</v>
      </c>
      <c r="J1635">
        <v>662.54</v>
      </c>
    </row>
    <row r="1636" spans="1:10" x14ac:dyDescent="0.25">
      <c r="A1636" s="1">
        <v>44579</v>
      </c>
      <c r="B1636" t="s">
        <v>18</v>
      </c>
      <c r="C1636" t="s">
        <v>19</v>
      </c>
      <c r="D1636" t="s">
        <v>12</v>
      </c>
      <c r="E1636" t="s">
        <v>185</v>
      </c>
      <c r="F1636" t="s">
        <v>115</v>
      </c>
      <c r="G1636" t="s">
        <v>15</v>
      </c>
      <c r="H1636">
        <v>6</v>
      </c>
      <c r="I1636">
        <v>5640</v>
      </c>
      <c r="J1636">
        <v>856.44</v>
      </c>
    </row>
    <row r="1637" spans="1:10" x14ac:dyDescent="0.25">
      <c r="A1637" s="1">
        <v>44827</v>
      </c>
      <c r="B1637" t="s">
        <v>32</v>
      </c>
      <c r="C1637" t="s">
        <v>19</v>
      </c>
      <c r="D1637" t="s">
        <v>12</v>
      </c>
      <c r="E1637" t="s">
        <v>56</v>
      </c>
      <c r="F1637" t="s">
        <v>57</v>
      </c>
      <c r="G1637" t="s">
        <v>24</v>
      </c>
      <c r="H1637">
        <v>5</v>
      </c>
      <c r="I1637">
        <v>1840</v>
      </c>
      <c r="J1637">
        <v>307.08999999999997</v>
      </c>
    </row>
    <row r="1638" spans="1:10" x14ac:dyDescent="0.25">
      <c r="A1638" s="1">
        <v>45597</v>
      </c>
      <c r="B1638" t="s">
        <v>49</v>
      </c>
      <c r="C1638" t="s">
        <v>17</v>
      </c>
      <c r="D1638" t="s">
        <v>12</v>
      </c>
      <c r="E1638" t="s">
        <v>86</v>
      </c>
      <c r="F1638" t="s">
        <v>84</v>
      </c>
      <c r="G1638" t="s">
        <v>28</v>
      </c>
      <c r="H1638">
        <v>7</v>
      </c>
      <c r="I1638">
        <v>8071</v>
      </c>
      <c r="J1638">
        <v>435.51</v>
      </c>
    </row>
    <row r="1639" spans="1:10" x14ac:dyDescent="0.25">
      <c r="A1639" s="1">
        <v>44859</v>
      </c>
      <c r="B1639" t="s">
        <v>49</v>
      </c>
      <c r="C1639" t="s">
        <v>17</v>
      </c>
      <c r="D1639" t="s">
        <v>12</v>
      </c>
      <c r="E1639" t="s">
        <v>70</v>
      </c>
      <c r="F1639" t="s">
        <v>71</v>
      </c>
      <c r="G1639" t="s">
        <v>35</v>
      </c>
      <c r="H1639">
        <v>3</v>
      </c>
      <c r="I1639">
        <v>2400</v>
      </c>
      <c r="J1639">
        <v>297.07</v>
      </c>
    </row>
    <row r="1640" spans="1:10" x14ac:dyDescent="0.25">
      <c r="A1640" s="1">
        <v>45108</v>
      </c>
      <c r="B1640" t="s">
        <v>32</v>
      </c>
      <c r="C1640" t="s">
        <v>19</v>
      </c>
      <c r="D1640" t="s">
        <v>12</v>
      </c>
      <c r="E1640" t="s">
        <v>229</v>
      </c>
      <c r="F1640" t="s">
        <v>149</v>
      </c>
      <c r="G1640" t="s">
        <v>15</v>
      </c>
      <c r="H1640">
        <v>6</v>
      </c>
      <c r="I1640">
        <v>3570</v>
      </c>
      <c r="J1640">
        <v>265.62</v>
      </c>
    </row>
    <row r="1641" spans="1:10" x14ac:dyDescent="0.25">
      <c r="A1641" s="1">
        <v>44647</v>
      </c>
      <c r="B1641" t="s">
        <v>55</v>
      </c>
      <c r="C1641" t="s">
        <v>19</v>
      </c>
      <c r="D1641" t="s">
        <v>12</v>
      </c>
      <c r="E1641" t="s">
        <v>268</v>
      </c>
      <c r="F1641" t="s">
        <v>34</v>
      </c>
      <c r="G1641" t="s">
        <v>35</v>
      </c>
      <c r="H1641">
        <v>3</v>
      </c>
      <c r="I1641">
        <v>1758</v>
      </c>
      <c r="J1641">
        <v>245.92</v>
      </c>
    </row>
    <row r="1642" spans="1:10" x14ac:dyDescent="0.25">
      <c r="A1642" s="1">
        <v>45144</v>
      </c>
      <c r="B1642" t="s">
        <v>36</v>
      </c>
      <c r="C1642" t="s">
        <v>17</v>
      </c>
      <c r="D1642" t="s">
        <v>12</v>
      </c>
      <c r="E1642" t="s">
        <v>56</v>
      </c>
      <c r="F1642" t="s">
        <v>57</v>
      </c>
      <c r="G1642" t="s">
        <v>24</v>
      </c>
      <c r="H1642">
        <v>4</v>
      </c>
      <c r="I1642">
        <v>3072</v>
      </c>
      <c r="J1642">
        <v>394.2</v>
      </c>
    </row>
    <row r="1643" spans="1:10" x14ac:dyDescent="0.25">
      <c r="A1643" s="1">
        <v>45154</v>
      </c>
      <c r="B1643" t="s">
        <v>16</v>
      </c>
      <c r="C1643" t="s">
        <v>17</v>
      </c>
      <c r="D1643" t="s">
        <v>12</v>
      </c>
      <c r="E1643" t="s">
        <v>111</v>
      </c>
      <c r="F1643" t="s">
        <v>115</v>
      </c>
      <c r="G1643" t="s">
        <v>15</v>
      </c>
      <c r="H1643">
        <v>5</v>
      </c>
      <c r="I1643">
        <v>2185</v>
      </c>
      <c r="J1643">
        <v>136.1</v>
      </c>
    </row>
    <row r="1644" spans="1:10" x14ac:dyDescent="0.25">
      <c r="A1644" s="1">
        <v>44960</v>
      </c>
      <c r="B1644" t="s">
        <v>40</v>
      </c>
      <c r="C1644" t="s">
        <v>19</v>
      </c>
      <c r="D1644" t="s">
        <v>12</v>
      </c>
      <c r="E1644" t="s">
        <v>103</v>
      </c>
      <c r="F1644" t="s">
        <v>149</v>
      </c>
      <c r="G1644" t="s">
        <v>15</v>
      </c>
      <c r="H1644">
        <v>8</v>
      </c>
      <c r="I1644">
        <v>7664</v>
      </c>
      <c r="J1644">
        <v>1251.6500000000001</v>
      </c>
    </row>
    <row r="1645" spans="1:10" x14ac:dyDescent="0.25">
      <c r="A1645" s="1">
        <v>45364</v>
      </c>
      <c r="B1645" t="s">
        <v>29</v>
      </c>
      <c r="C1645" t="s">
        <v>17</v>
      </c>
      <c r="D1645" t="s">
        <v>12</v>
      </c>
      <c r="E1645" t="s">
        <v>322</v>
      </c>
      <c r="F1645" t="s">
        <v>42</v>
      </c>
      <c r="G1645" t="s">
        <v>28</v>
      </c>
      <c r="H1645">
        <v>5</v>
      </c>
      <c r="I1645">
        <v>1710</v>
      </c>
      <c r="J1645">
        <v>338.1</v>
      </c>
    </row>
    <row r="1646" spans="1:10" x14ac:dyDescent="0.25">
      <c r="A1646" s="1">
        <v>45521</v>
      </c>
      <c r="B1646" t="s">
        <v>10</v>
      </c>
      <c r="C1646" t="s">
        <v>11</v>
      </c>
      <c r="D1646" t="s">
        <v>12</v>
      </c>
      <c r="E1646" t="s">
        <v>47</v>
      </c>
      <c r="F1646" t="s">
        <v>156</v>
      </c>
      <c r="G1646" t="s">
        <v>28</v>
      </c>
      <c r="H1646">
        <v>2</v>
      </c>
      <c r="I1646">
        <v>1878</v>
      </c>
      <c r="J1646">
        <v>386.28</v>
      </c>
    </row>
    <row r="1647" spans="1:10" x14ac:dyDescent="0.25">
      <c r="A1647" s="1">
        <v>45129</v>
      </c>
      <c r="B1647" t="s">
        <v>18</v>
      </c>
      <c r="C1647" t="s">
        <v>19</v>
      </c>
      <c r="D1647" t="s">
        <v>12</v>
      </c>
      <c r="E1647" t="s">
        <v>192</v>
      </c>
      <c r="F1647" t="s">
        <v>149</v>
      </c>
      <c r="G1647" t="s">
        <v>15</v>
      </c>
      <c r="H1647">
        <v>1</v>
      </c>
      <c r="I1647">
        <v>569</v>
      </c>
      <c r="J1647">
        <v>141.33000000000001</v>
      </c>
    </row>
    <row r="1648" spans="1:10" x14ac:dyDescent="0.25">
      <c r="A1648" s="1">
        <v>45021</v>
      </c>
      <c r="B1648" t="s">
        <v>32</v>
      </c>
      <c r="C1648" t="s">
        <v>19</v>
      </c>
      <c r="D1648" t="s">
        <v>12</v>
      </c>
      <c r="E1648" t="s">
        <v>43</v>
      </c>
      <c r="F1648" t="s">
        <v>44</v>
      </c>
      <c r="G1648" t="s">
        <v>35</v>
      </c>
      <c r="H1648">
        <v>3</v>
      </c>
      <c r="I1648">
        <v>1488</v>
      </c>
      <c r="J1648">
        <v>296.36</v>
      </c>
    </row>
    <row r="1649" spans="1:10" x14ac:dyDescent="0.25">
      <c r="A1649" s="1">
        <v>45402</v>
      </c>
      <c r="B1649" t="s">
        <v>16</v>
      </c>
      <c r="C1649" t="s">
        <v>17</v>
      </c>
      <c r="D1649" t="s">
        <v>12</v>
      </c>
      <c r="E1649" t="s">
        <v>52</v>
      </c>
      <c r="F1649" t="s">
        <v>42</v>
      </c>
      <c r="G1649" t="s">
        <v>28</v>
      </c>
      <c r="H1649">
        <v>9</v>
      </c>
      <c r="I1649">
        <v>9918</v>
      </c>
      <c r="J1649">
        <v>1956.17</v>
      </c>
    </row>
    <row r="1650" spans="1:10" x14ac:dyDescent="0.25">
      <c r="A1650" s="1">
        <v>44914</v>
      </c>
      <c r="B1650" t="s">
        <v>32</v>
      </c>
      <c r="C1650" t="s">
        <v>19</v>
      </c>
      <c r="D1650" t="s">
        <v>12</v>
      </c>
      <c r="E1650" t="s">
        <v>159</v>
      </c>
      <c r="F1650" t="s">
        <v>23</v>
      </c>
      <c r="G1650" t="s">
        <v>24</v>
      </c>
      <c r="H1650">
        <v>3</v>
      </c>
      <c r="I1650">
        <v>432</v>
      </c>
      <c r="J1650">
        <v>36.840000000000003</v>
      </c>
    </row>
    <row r="1651" spans="1:10" x14ac:dyDescent="0.25">
      <c r="A1651" s="1">
        <v>45187</v>
      </c>
      <c r="B1651" t="s">
        <v>18</v>
      </c>
      <c r="C1651" t="s">
        <v>19</v>
      </c>
      <c r="D1651" t="s">
        <v>12</v>
      </c>
      <c r="E1651" t="s">
        <v>288</v>
      </c>
      <c r="F1651" t="s">
        <v>156</v>
      </c>
      <c r="G1651" t="s">
        <v>28</v>
      </c>
      <c r="H1651">
        <v>9</v>
      </c>
      <c r="I1651">
        <v>9828</v>
      </c>
      <c r="J1651">
        <v>1300.68</v>
      </c>
    </row>
    <row r="1652" spans="1:10" x14ac:dyDescent="0.25">
      <c r="A1652" s="1">
        <v>45654</v>
      </c>
      <c r="B1652" t="s">
        <v>32</v>
      </c>
      <c r="C1652" t="s">
        <v>19</v>
      </c>
      <c r="D1652" t="s">
        <v>12</v>
      </c>
      <c r="E1652" t="s">
        <v>288</v>
      </c>
      <c r="F1652" t="s">
        <v>156</v>
      </c>
      <c r="G1652" t="s">
        <v>28</v>
      </c>
      <c r="H1652">
        <v>5</v>
      </c>
      <c r="I1652">
        <v>3625</v>
      </c>
      <c r="J1652">
        <v>245.52</v>
      </c>
    </row>
    <row r="1653" spans="1:10" x14ac:dyDescent="0.25">
      <c r="A1653" s="1">
        <v>44698</v>
      </c>
      <c r="B1653" t="s">
        <v>32</v>
      </c>
      <c r="C1653" t="s">
        <v>19</v>
      </c>
      <c r="D1653" t="s">
        <v>12</v>
      </c>
      <c r="E1653" t="s">
        <v>22</v>
      </c>
      <c r="F1653" t="s">
        <v>23</v>
      </c>
      <c r="G1653" t="s">
        <v>24</v>
      </c>
      <c r="H1653">
        <v>3</v>
      </c>
      <c r="I1653">
        <v>2187</v>
      </c>
      <c r="J1653">
        <v>491.13</v>
      </c>
    </row>
    <row r="1654" spans="1:10" x14ac:dyDescent="0.25">
      <c r="A1654" s="1">
        <v>45223</v>
      </c>
      <c r="B1654" t="s">
        <v>36</v>
      </c>
      <c r="C1654" t="s">
        <v>17</v>
      </c>
      <c r="D1654" t="s">
        <v>12</v>
      </c>
      <c r="E1654" t="s">
        <v>22</v>
      </c>
      <c r="F1654" t="s">
        <v>23</v>
      </c>
      <c r="G1654" t="s">
        <v>24</v>
      </c>
      <c r="H1654">
        <v>5</v>
      </c>
      <c r="I1654">
        <v>5105</v>
      </c>
      <c r="J1654">
        <v>1003.4</v>
      </c>
    </row>
    <row r="1655" spans="1:10" x14ac:dyDescent="0.25">
      <c r="A1655" s="1">
        <v>44904</v>
      </c>
      <c r="B1655" t="s">
        <v>29</v>
      </c>
      <c r="C1655" t="s">
        <v>17</v>
      </c>
      <c r="D1655" t="s">
        <v>12</v>
      </c>
      <c r="E1655" t="s">
        <v>318</v>
      </c>
      <c r="F1655" t="s">
        <v>42</v>
      </c>
      <c r="G1655" t="s">
        <v>28</v>
      </c>
      <c r="H1655">
        <v>3</v>
      </c>
      <c r="I1655">
        <v>1392</v>
      </c>
      <c r="J1655">
        <v>345.78</v>
      </c>
    </row>
    <row r="1656" spans="1:10" x14ac:dyDescent="0.25">
      <c r="A1656" s="1">
        <v>44872</v>
      </c>
      <c r="B1656" t="s">
        <v>40</v>
      </c>
      <c r="C1656" t="s">
        <v>19</v>
      </c>
      <c r="D1656" t="s">
        <v>12</v>
      </c>
      <c r="E1656" t="s">
        <v>105</v>
      </c>
      <c r="F1656" t="s">
        <v>23</v>
      </c>
      <c r="G1656" t="s">
        <v>24</v>
      </c>
      <c r="H1656">
        <v>2</v>
      </c>
      <c r="I1656">
        <v>744</v>
      </c>
      <c r="J1656">
        <v>110.81</v>
      </c>
    </row>
    <row r="1657" spans="1:10" x14ac:dyDescent="0.25">
      <c r="A1657" s="1">
        <v>45082</v>
      </c>
      <c r="B1657" t="s">
        <v>32</v>
      </c>
      <c r="C1657" t="s">
        <v>19</v>
      </c>
      <c r="D1657" t="s">
        <v>12</v>
      </c>
      <c r="E1657" t="s">
        <v>22</v>
      </c>
      <c r="F1657" t="s">
        <v>23</v>
      </c>
      <c r="G1657" t="s">
        <v>24</v>
      </c>
      <c r="H1657">
        <v>4</v>
      </c>
      <c r="I1657">
        <v>1724</v>
      </c>
      <c r="J1657">
        <v>233.21</v>
      </c>
    </row>
    <row r="1658" spans="1:10" x14ac:dyDescent="0.25">
      <c r="A1658" s="1">
        <v>45225</v>
      </c>
      <c r="B1658" t="s">
        <v>16</v>
      </c>
      <c r="C1658" t="s">
        <v>17</v>
      </c>
      <c r="D1658" t="s">
        <v>12</v>
      </c>
      <c r="E1658" t="s">
        <v>56</v>
      </c>
      <c r="F1658" t="s">
        <v>57</v>
      </c>
      <c r="G1658" t="s">
        <v>24</v>
      </c>
      <c r="H1658">
        <v>5</v>
      </c>
      <c r="I1658">
        <v>1940</v>
      </c>
      <c r="J1658">
        <v>423.17</v>
      </c>
    </row>
    <row r="1659" spans="1:10" x14ac:dyDescent="0.25">
      <c r="A1659" s="1">
        <v>45135</v>
      </c>
      <c r="B1659" t="s">
        <v>16</v>
      </c>
      <c r="C1659" t="s">
        <v>17</v>
      </c>
      <c r="D1659" t="s">
        <v>12</v>
      </c>
      <c r="E1659" t="s">
        <v>121</v>
      </c>
      <c r="F1659" t="s">
        <v>122</v>
      </c>
      <c r="G1659" t="s">
        <v>35</v>
      </c>
      <c r="H1659">
        <v>4</v>
      </c>
      <c r="I1659">
        <v>356</v>
      </c>
      <c r="J1659">
        <v>59.15</v>
      </c>
    </row>
    <row r="1660" spans="1:10" x14ac:dyDescent="0.25">
      <c r="A1660" s="1">
        <v>45072</v>
      </c>
      <c r="B1660" t="s">
        <v>36</v>
      </c>
      <c r="C1660" t="s">
        <v>17</v>
      </c>
      <c r="D1660" t="s">
        <v>12</v>
      </c>
      <c r="E1660" t="s">
        <v>260</v>
      </c>
      <c r="F1660" t="s">
        <v>34</v>
      </c>
      <c r="G1660" t="s">
        <v>35</v>
      </c>
      <c r="H1660">
        <v>5</v>
      </c>
      <c r="I1660">
        <v>1095</v>
      </c>
      <c r="J1660">
        <v>269.87</v>
      </c>
    </row>
    <row r="1661" spans="1:10" x14ac:dyDescent="0.25">
      <c r="A1661" s="1">
        <v>44902</v>
      </c>
      <c r="B1661" t="s">
        <v>18</v>
      </c>
      <c r="C1661" t="s">
        <v>19</v>
      </c>
      <c r="D1661" t="s">
        <v>12</v>
      </c>
      <c r="E1661" t="s">
        <v>37</v>
      </c>
      <c r="F1661" t="s">
        <v>34</v>
      </c>
      <c r="G1661" t="s">
        <v>35</v>
      </c>
      <c r="H1661">
        <v>8</v>
      </c>
      <c r="I1661">
        <v>4064</v>
      </c>
      <c r="J1661">
        <v>543.9</v>
      </c>
    </row>
    <row r="1662" spans="1:10" x14ac:dyDescent="0.25">
      <c r="A1662" s="1">
        <v>45616</v>
      </c>
      <c r="B1662" t="s">
        <v>32</v>
      </c>
      <c r="C1662" t="s">
        <v>19</v>
      </c>
      <c r="D1662" t="s">
        <v>12</v>
      </c>
      <c r="E1662" t="s">
        <v>138</v>
      </c>
      <c r="F1662" t="s">
        <v>94</v>
      </c>
      <c r="G1662" t="s">
        <v>24</v>
      </c>
      <c r="H1662">
        <v>7</v>
      </c>
      <c r="I1662">
        <v>5453</v>
      </c>
      <c r="J1662">
        <v>1592.37</v>
      </c>
    </row>
    <row r="1663" spans="1:10" x14ac:dyDescent="0.25">
      <c r="A1663" s="1">
        <v>45382</v>
      </c>
      <c r="B1663" t="s">
        <v>36</v>
      </c>
      <c r="C1663" t="s">
        <v>17</v>
      </c>
      <c r="D1663" t="s">
        <v>12</v>
      </c>
      <c r="E1663" t="s">
        <v>138</v>
      </c>
      <c r="F1663" t="s">
        <v>94</v>
      </c>
      <c r="G1663" t="s">
        <v>24</v>
      </c>
      <c r="H1663">
        <v>8</v>
      </c>
      <c r="I1663">
        <v>7104</v>
      </c>
      <c r="J1663">
        <v>529.35</v>
      </c>
    </row>
    <row r="1664" spans="1:10" x14ac:dyDescent="0.25">
      <c r="A1664" s="1">
        <v>45399</v>
      </c>
      <c r="B1664" t="s">
        <v>49</v>
      </c>
      <c r="C1664" t="s">
        <v>17</v>
      </c>
      <c r="D1664" t="s">
        <v>12</v>
      </c>
      <c r="E1664" t="s">
        <v>356</v>
      </c>
      <c r="F1664" t="s">
        <v>23</v>
      </c>
      <c r="G1664" t="s">
        <v>24</v>
      </c>
      <c r="H1664">
        <v>9</v>
      </c>
      <c r="I1664">
        <v>2745</v>
      </c>
      <c r="J1664">
        <v>660.56</v>
      </c>
    </row>
    <row r="1665" spans="1:10" x14ac:dyDescent="0.25">
      <c r="A1665" s="1">
        <v>45418</v>
      </c>
      <c r="B1665" t="s">
        <v>25</v>
      </c>
      <c r="C1665" t="s">
        <v>19</v>
      </c>
      <c r="D1665" t="s">
        <v>12</v>
      </c>
      <c r="E1665" t="s">
        <v>53</v>
      </c>
      <c r="F1665" t="s">
        <v>44</v>
      </c>
      <c r="G1665" t="s">
        <v>35</v>
      </c>
      <c r="H1665">
        <v>5</v>
      </c>
      <c r="I1665">
        <v>1030</v>
      </c>
      <c r="J1665">
        <v>64.81</v>
      </c>
    </row>
    <row r="1666" spans="1:10" x14ac:dyDescent="0.25">
      <c r="A1666" s="1">
        <v>44982</v>
      </c>
      <c r="B1666" t="s">
        <v>18</v>
      </c>
      <c r="C1666" t="s">
        <v>19</v>
      </c>
      <c r="D1666" t="s">
        <v>12</v>
      </c>
      <c r="E1666" t="s">
        <v>26</v>
      </c>
      <c r="F1666" t="s">
        <v>27</v>
      </c>
      <c r="G1666" t="s">
        <v>28</v>
      </c>
      <c r="H1666">
        <v>9</v>
      </c>
      <c r="I1666">
        <v>8973</v>
      </c>
      <c r="J1666">
        <v>471.86</v>
      </c>
    </row>
    <row r="1667" spans="1:10" x14ac:dyDescent="0.25">
      <c r="A1667" s="1">
        <v>44909</v>
      </c>
      <c r="B1667" t="s">
        <v>49</v>
      </c>
      <c r="C1667" t="s">
        <v>17</v>
      </c>
      <c r="D1667" t="s">
        <v>12</v>
      </c>
      <c r="E1667" t="s">
        <v>406</v>
      </c>
      <c r="F1667" t="s">
        <v>54</v>
      </c>
      <c r="G1667" t="s">
        <v>24</v>
      </c>
      <c r="H1667">
        <v>2</v>
      </c>
      <c r="I1667">
        <v>794</v>
      </c>
      <c r="J1667">
        <v>128.5</v>
      </c>
    </row>
    <row r="1668" spans="1:10" x14ac:dyDescent="0.25">
      <c r="A1668" s="1">
        <v>45280</v>
      </c>
      <c r="B1668" t="s">
        <v>10</v>
      </c>
      <c r="C1668" t="s">
        <v>11</v>
      </c>
      <c r="D1668" t="s">
        <v>12</v>
      </c>
      <c r="E1668" t="s">
        <v>406</v>
      </c>
      <c r="F1668" t="s">
        <v>54</v>
      </c>
      <c r="G1668" t="s">
        <v>24</v>
      </c>
      <c r="H1668">
        <v>6</v>
      </c>
      <c r="I1668">
        <v>2142</v>
      </c>
      <c r="J1668">
        <v>476.19</v>
      </c>
    </row>
    <row r="1669" spans="1:10" x14ac:dyDescent="0.25">
      <c r="A1669" s="1">
        <v>45212</v>
      </c>
      <c r="B1669" t="s">
        <v>29</v>
      </c>
      <c r="C1669" t="s">
        <v>17</v>
      </c>
      <c r="D1669" t="s">
        <v>12</v>
      </c>
      <c r="E1669" t="s">
        <v>406</v>
      </c>
      <c r="F1669" t="s">
        <v>54</v>
      </c>
      <c r="G1669" t="s">
        <v>24</v>
      </c>
      <c r="H1669">
        <v>2</v>
      </c>
      <c r="I1669">
        <v>414</v>
      </c>
      <c r="J1669">
        <v>51.1</v>
      </c>
    </row>
    <row r="1670" spans="1:10" x14ac:dyDescent="0.25">
      <c r="A1670" s="1">
        <v>45091</v>
      </c>
      <c r="B1670" t="s">
        <v>18</v>
      </c>
      <c r="C1670" t="s">
        <v>19</v>
      </c>
      <c r="D1670" t="s">
        <v>12</v>
      </c>
      <c r="E1670" t="s">
        <v>229</v>
      </c>
      <c r="F1670" t="s">
        <v>152</v>
      </c>
      <c r="G1670" t="s">
        <v>15</v>
      </c>
      <c r="H1670">
        <v>3</v>
      </c>
      <c r="I1670">
        <v>1416</v>
      </c>
      <c r="J1670">
        <v>220.7</v>
      </c>
    </row>
    <row r="1671" spans="1:10" x14ac:dyDescent="0.25">
      <c r="A1671" s="1">
        <v>44653</v>
      </c>
      <c r="B1671" t="s">
        <v>18</v>
      </c>
      <c r="C1671" t="s">
        <v>19</v>
      </c>
      <c r="D1671" t="s">
        <v>12</v>
      </c>
      <c r="E1671" t="s">
        <v>45</v>
      </c>
      <c r="F1671" t="s">
        <v>46</v>
      </c>
      <c r="G1671" t="s">
        <v>15</v>
      </c>
      <c r="H1671">
        <v>3</v>
      </c>
      <c r="I1671">
        <v>2103</v>
      </c>
      <c r="J1671">
        <v>541.35</v>
      </c>
    </row>
    <row r="1672" spans="1:10" x14ac:dyDescent="0.25">
      <c r="A1672" s="1">
        <v>45463</v>
      </c>
      <c r="B1672" t="s">
        <v>25</v>
      </c>
      <c r="C1672" t="s">
        <v>19</v>
      </c>
      <c r="D1672" t="s">
        <v>12</v>
      </c>
      <c r="E1672" t="s">
        <v>45</v>
      </c>
      <c r="F1672" t="s">
        <v>46</v>
      </c>
      <c r="G1672" t="s">
        <v>15</v>
      </c>
      <c r="H1672">
        <v>3</v>
      </c>
      <c r="I1672">
        <v>861</v>
      </c>
      <c r="J1672">
        <v>173.49</v>
      </c>
    </row>
    <row r="1673" spans="1:10" x14ac:dyDescent="0.25">
      <c r="A1673" s="1">
        <v>45431</v>
      </c>
      <c r="B1673" t="s">
        <v>29</v>
      </c>
      <c r="C1673" t="s">
        <v>17</v>
      </c>
      <c r="D1673" t="s">
        <v>12</v>
      </c>
      <c r="E1673" t="s">
        <v>407</v>
      </c>
      <c r="F1673" t="s">
        <v>23</v>
      </c>
      <c r="G1673" t="s">
        <v>24</v>
      </c>
      <c r="H1673">
        <v>3</v>
      </c>
      <c r="I1673">
        <v>2367</v>
      </c>
      <c r="J1673">
        <v>222.26</v>
      </c>
    </row>
    <row r="1674" spans="1:10" x14ac:dyDescent="0.25">
      <c r="A1674" s="1">
        <v>44942</v>
      </c>
      <c r="B1674" t="s">
        <v>18</v>
      </c>
      <c r="C1674" t="s">
        <v>19</v>
      </c>
      <c r="D1674" t="s">
        <v>12</v>
      </c>
      <c r="E1674" t="s">
        <v>407</v>
      </c>
      <c r="F1674" t="s">
        <v>23</v>
      </c>
      <c r="G1674" t="s">
        <v>24</v>
      </c>
      <c r="H1674">
        <v>5</v>
      </c>
      <c r="I1674">
        <v>2435</v>
      </c>
      <c r="J1674">
        <v>688.82</v>
      </c>
    </row>
    <row r="1675" spans="1:10" x14ac:dyDescent="0.25">
      <c r="A1675" s="1">
        <v>45053</v>
      </c>
      <c r="B1675" t="s">
        <v>10</v>
      </c>
      <c r="C1675" t="s">
        <v>11</v>
      </c>
      <c r="D1675" t="s">
        <v>12</v>
      </c>
      <c r="E1675" t="s">
        <v>390</v>
      </c>
      <c r="F1675" t="s">
        <v>44</v>
      </c>
      <c r="G1675" t="s">
        <v>35</v>
      </c>
      <c r="H1675">
        <v>4</v>
      </c>
      <c r="I1675">
        <v>2456</v>
      </c>
      <c r="J1675">
        <v>163.61000000000001</v>
      </c>
    </row>
    <row r="1676" spans="1:10" x14ac:dyDescent="0.25">
      <c r="A1676" s="1">
        <v>45108</v>
      </c>
      <c r="B1676" t="s">
        <v>55</v>
      </c>
      <c r="C1676" t="s">
        <v>19</v>
      </c>
      <c r="D1676" t="s">
        <v>12</v>
      </c>
      <c r="E1676" t="s">
        <v>26</v>
      </c>
      <c r="F1676" t="s">
        <v>27</v>
      </c>
      <c r="G1676" t="s">
        <v>28</v>
      </c>
      <c r="H1676">
        <v>4</v>
      </c>
      <c r="I1676">
        <v>3216</v>
      </c>
      <c r="J1676">
        <v>962.49</v>
      </c>
    </row>
    <row r="1677" spans="1:10" x14ac:dyDescent="0.25">
      <c r="A1677" s="1">
        <v>45498</v>
      </c>
      <c r="B1677" t="s">
        <v>32</v>
      </c>
      <c r="C1677" t="s">
        <v>19</v>
      </c>
      <c r="D1677" t="s">
        <v>12</v>
      </c>
      <c r="E1677" t="s">
        <v>52</v>
      </c>
      <c r="F1677" t="s">
        <v>42</v>
      </c>
      <c r="G1677" t="s">
        <v>28</v>
      </c>
      <c r="H1677">
        <v>4</v>
      </c>
      <c r="I1677">
        <v>4324</v>
      </c>
      <c r="J1677">
        <v>833.11</v>
      </c>
    </row>
    <row r="1678" spans="1:10" x14ac:dyDescent="0.25">
      <c r="A1678" s="1">
        <v>45196</v>
      </c>
      <c r="B1678" t="s">
        <v>16</v>
      </c>
      <c r="C1678" t="s">
        <v>17</v>
      </c>
      <c r="D1678" t="s">
        <v>12</v>
      </c>
      <c r="E1678" t="s">
        <v>210</v>
      </c>
      <c r="F1678" t="s">
        <v>34</v>
      </c>
      <c r="G1678" t="s">
        <v>35</v>
      </c>
      <c r="H1678">
        <v>4</v>
      </c>
      <c r="I1678">
        <v>2628</v>
      </c>
      <c r="J1678">
        <v>727.87</v>
      </c>
    </row>
    <row r="1679" spans="1:10" x14ac:dyDescent="0.25">
      <c r="A1679" s="1">
        <v>45150</v>
      </c>
      <c r="B1679" t="s">
        <v>49</v>
      </c>
      <c r="C1679" t="s">
        <v>17</v>
      </c>
      <c r="D1679" t="s">
        <v>12</v>
      </c>
      <c r="E1679" t="s">
        <v>368</v>
      </c>
      <c r="F1679" t="s">
        <v>189</v>
      </c>
      <c r="G1679" t="s">
        <v>24</v>
      </c>
      <c r="H1679">
        <v>8</v>
      </c>
      <c r="I1679">
        <v>8992</v>
      </c>
      <c r="J1679">
        <v>2018.64</v>
      </c>
    </row>
    <row r="1680" spans="1:10" x14ac:dyDescent="0.25">
      <c r="A1680" s="1">
        <v>45497</v>
      </c>
      <c r="B1680" t="s">
        <v>55</v>
      </c>
      <c r="C1680" t="s">
        <v>19</v>
      </c>
      <c r="D1680" t="s">
        <v>12</v>
      </c>
      <c r="E1680" t="s">
        <v>105</v>
      </c>
      <c r="F1680" t="s">
        <v>23</v>
      </c>
      <c r="G1680" t="s">
        <v>24</v>
      </c>
      <c r="H1680">
        <v>6</v>
      </c>
      <c r="I1680">
        <v>360</v>
      </c>
      <c r="J1680">
        <v>22.16</v>
      </c>
    </row>
    <row r="1681" spans="1:10" x14ac:dyDescent="0.25">
      <c r="A1681" s="1">
        <v>44768</v>
      </c>
      <c r="B1681" t="s">
        <v>18</v>
      </c>
      <c r="C1681" t="s">
        <v>19</v>
      </c>
      <c r="D1681" t="s">
        <v>12</v>
      </c>
      <c r="E1681" t="s">
        <v>178</v>
      </c>
      <c r="F1681" t="s">
        <v>34</v>
      </c>
      <c r="G1681" t="s">
        <v>35</v>
      </c>
      <c r="H1681">
        <v>3</v>
      </c>
      <c r="I1681">
        <v>2067</v>
      </c>
      <c r="J1681">
        <v>479.39</v>
      </c>
    </row>
    <row r="1682" spans="1:10" x14ac:dyDescent="0.25">
      <c r="A1682" s="1">
        <v>45629</v>
      </c>
      <c r="B1682" t="s">
        <v>16</v>
      </c>
      <c r="C1682" t="s">
        <v>17</v>
      </c>
      <c r="D1682" t="s">
        <v>12</v>
      </c>
      <c r="E1682" t="s">
        <v>178</v>
      </c>
      <c r="F1682" t="s">
        <v>34</v>
      </c>
      <c r="G1682" t="s">
        <v>35</v>
      </c>
      <c r="H1682">
        <v>9</v>
      </c>
      <c r="I1682">
        <v>3573</v>
      </c>
      <c r="J1682">
        <v>550.44000000000005</v>
      </c>
    </row>
    <row r="1683" spans="1:10" x14ac:dyDescent="0.25">
      <c r="A1683" s="1">
        <v>45153</v>
      </c>
      <c r="B1683" t="s">
        <v>55</v>
      </c>
      <c r="C1683" t="s">
        <v>19</v>
      </c>
      <c r="D1683" t="s">
        <v>12</v>
      </c>
      <c r="E1683" t="s">
        <v>370</v>
      </c>
      <c r="F1683" t="s">
        <v>23</v>
      </c>
      <c r="G1683" t="s">
        <v>24</v>
      </c>
      <c r="H1683">
        <v>8</v>
      </c>
      <c r="I1683">
        <v>1800</v>
      </c>
      <c r="J1683">
        <v>142.86000000000001</v>
      </c>
    </row>
    <row r="1684" spans="1:10" x14ac:dyDescent="0.25">
      <c r="A1684" s="1">
        <v>45258</v>
      </c>
      <c r="B1684" t="s">
        <v>10</v>
      </c>
      <c r="C1684" t="s">
        <v>11</v>
      </c>
      <c r="D1684" t="s">
        <v>12</v>
      </c>
      <c r="E1684" t="s">
        <v>370</v>
      </c>
      <c r="F1684" t="s">
        <v>23</v>
      </c>
      <c r="G1684" t="s">
        <v>24</v>
      </c>
      <c r="H1684">
        <v>8</v>
      </c>
      <c r="I1684">
        <v>3912</v>
      </c>
      <c r="J1684">
        <v>334.1</v>
      </c>
    </row>
    <row r="1685" spans="1:10" x14ac:dyDescent="0.25">
      <c r="A1685" s="1">
        <v>44776</v>
      </c>
      <c r="B1685" t="s">
        <v>29</v>
      </c>
      <c r="C1685" t="s">
        <v>17</v>
      </c>
      <c r="D1685" t="s">
        <v>12</v>
      </c>
      <c r="E1685" t="s">
        <v>370</v>
      </c>
      <c r="F1685" t="s">
        <v>23</v>
      </c>
      <c r="G1685" t="s">
        <v>24</v>
      </c>
      <c r="H1685">
        <v>8</v>
      </c>
      <c r="I1685">
        <v>5640</v>
      </c>
      <c r="J1685">
        <v>747.26</v>
      </c>
    </row>
    <row r="1686" spans="1:10" x14ac:dyDescent="0.25">
      <c r="A1686" s="1">
        <v>44806</v>
      </c>
      <c r="B1686" t="s">
        <v>18</v>
      </c>
      <c r="C1686" t="s">
        <v>19</v>
      </c>
      <c r="D1686" t="s">
        <v>12</v>
      </c>
      <c r="E1686" t="s">
        <v>67</v>
      </c>
      <c r="F1686" t="s">
        <v>54</v>
      </c>
      <c r="G1686" t="s">
        <v>24</v>
      </c>
      <c r="H1686">
        <v>1</v>
      </c>
      <c r="I1686">
        <v>552</v>
      </c>
      <c r="J1686">
        <v>115.74</v>
      </c>
    </row>
    <row r="1687" spans="1:10" x14ac:dyDescent="0.25">
      <c r="A1687" s="1">
        <v>44676</v>
      </c>
      <c r="B1687" t="s">
        <v>16</v>
      </c>
      <c r="C1687" t="s">
        <v>17</v>
      </c>
      <c r="D1687" t="s">
        <v>12</v>
      </c>
      <c r="E1687" t="s">
        <v>67</v>
      </c>
      <c r="F1687" t="s">
        <v>54</v>
      </c>
      <c r="G1687" t="s">
        <v>24</v>
      </c>
      <c r="H1687">
        <v>7</v>
      </c>
      <c r="I1687">
        <v>1428</v>
      </c>
      <c r="J1687">
        <v>289.64999999999998</v>
      </c>
    </row>
    <row r="1688" spans="1:10" x14ac:dyDescent="0.25">
      <c r="A1688" s="1">
        <v>44573</v>
      </c>
      <c r="B1688" t="s">
        <v>10</v>
      </c>
      <c r="C1688" t="s">
        <v>11</v>
      </c>
      <c r="D1688" t="s">
        <v>12</v>
      </c>
      <c r="E1688" t="s">
        <v>26</v>
      </c>
      <c r="F1688" t="s">
        <v>27</v>
      </c>
      <c r="G1688" t="s">
        <v>28</v>
      </c>
      <c r="H1688">
        <v>1</v>
      </c>
      <c r="I1688">
        <v>349</v>
      </c>
      <c r="J1688">
        <v>42.05</v>
      </c>
    </row>
    <row r="1689" spans="1:10" x14ac:dyDescent="0.25">
      <c r="A1689" s="1">
        <v>44864</v>
      </c>
      <c r="B1689" t="s">
        <v>18</v>
      </c>
      <c r="C1689" t="s">
        <v>19</v>
      </c>
      <c r="D1689" t="s">
        <v>12</v>
      </c>
      <c r="E1689" t="s">
        <v>408</v>
      </c>
      <c r="F1689" t="s">
        <v>78</v>
      </c>
      <c r="G1689" t="s">
        <v>28</v>
      </c>
      <c r="H1689">
        <v>6</v>
      </c>
      <c r="I1689">
        <v>6402</v>
      </c>
      <c r="J1689">
        <v>1366.28</v>
      </c>
    </row>
    <row r="1690" spans="1:10" x14ac:dyDescent="0.25">
      <c r="A1690" s="1">
        <v>45086</v>
      </c>
      <c r="B1690" t="s">
        <v>36</v>
      </c>
      <c r="C1690" t="s">
        <v>17</v>
      </c>
      <c r="D1690" t="s">
        <v>12</v>
      </c>
      <c r="E1690" t="s">
        <v>53</v>
      </c>
      <c r="F1690" t="s">
        <v>54</v>
      </c>
      <c r="G1690" t="s">
        <v>24</v>
      </c>
      <c r="H1690">
        <v>9</v>
      </c>
      <c r="I1690">
        <v>657</v>
      </c>
      <c r="J1690">
        <v>185.95</v>
      </c>
    </row>
    <row r="1691" spans="1:10" x14ac:dyDescent="0.25">
      <c r="A1691" s="1">
        <v>44939</v>
      </c>
      <c r="B1691" t="s">
        <v>16</v>
      </c>
      <c r="C1691" t="s">
        <v>17</v>
      </c>
      <c r="D1691" t="s">
        <v>12</v>
      </c>
      <c r="E1691" t="s">
        <v>105</v>
      </c>
      <c r="F1691" t="s">
        <v>23</v>
      </c>
      <c r="G1691" t="s">
        <v>24</v>
      </c>
      <c r="H1691">
        <v>7</v>
      </c>
      <c r="I1691">
        <v>5327</v>
      </c>
      <c r="J1691">
        <v>950.7</v>
      </c>
    </row>
    <row r="1692" spans="1:10" x14ac:dyDescent="0.25">
      <c r="A1692" s="1">
        <v>45318</v>
      </c>
      <c r="B1692" t="s">
        <v>49</v>
      </c>
      <c r="C1692" t="s">
        <v>17</v>
      </c>
      <c r="D1692" t="s">
        <v>12</v>
      </c>
      <c r="E1692" t="s">
        <v>56</v>
      </c>
      <c r="F1692" t="s">
        <v>57</v>
      </c>
      <c r="G1692" t="s">
        <v>24</v>
      </c>
      <c r="H1692">
        <v>4</v>
      </c>
      <c r="I1692">
        <v>4196</v>
      </c>
      <c r="J1692">
        <v>1152.45</v>
      </c>
    </row>
    <row r="1693" spans="1:10" x14ac:dyDescent="0.25">
      <c r="A1693" s="1">
        <v>45234</v>
      </c>
      <c r="B1693" t="s">
        <v>55</v>
      </c>
      <c r="C1693" t="s">
        <v>19</v>
      </c>
      <c r="D1693" t="s">
        <v>12</v>
      </c>
      <c r="E1693" t="s">
        <v>241</v>
      </c>
      <c r="F1693" t="s">
        <v>84</v>
      </c>
      <c r="G1693" t="s">
        <v>28</v>
      </c>
      <c r="H1693">
        <v>4</v>
      </c>
      <c r="I1693">
        <v>2892</v>
      </c>
      <c r="J1693">
        <v>863.47</v>
      </c>
    </row>
    <row r="1694" spans="1:10" x14ac:dyDescent="0.25">
      <c r="A1694" s="1">
        <v>45511</v>
      </c>
      <c r="B1694" t="s">
        <v>55</v>
      </c>
      <c r="C1694" t="s">
        <v>19</v>
      </c>
      <c r="D1694" t="s">
        <v>12</v>
      </c>
      <c r="E1694" t="s">
        <v>241</v>
      </c>
      <c r="F1694" t="s">
        <v>84</v>
      </c>
      <c r="G1694" t="s">
        <v>28</v>
      </c>
      <c r="H1694">
        <v>9</v>
      </c>
      <c r="I1694">
        <v>2772</v>
      </c>
      <c r="J1694">
        <v>432.77</v>
      </c>
    </row>
    <row r="1695" spans="1:10" x14ac:dyDescent="0.25">
      <c r="A1695" s="1">
        <v>45486</v>
      </c>
      <c r="B1695" t="s">
        <v>32</v>
      </c>
      <c r="C1695" t="s">
        <v>19</v>
      </c>
      <c r="D1695" t="s">
        <v>12</v>
      </c>
      <c r="E1695" t="s">
        <v>328</v>
      </c>
      <c r="F1695" t="s">
        <v>191</v>
      </c>
      <c r="G1695" t="s">
        <v>35</v>
      </c>
      <c r="H1695">
        <v>6</v>
      </c>
      <c r="I1695">
        <v>4692</v>
      </c>
      <c r="J1695">
        <v>1044.97</v>
      </c>
    </row>
    <row r="1696" spans="1:10" x14ac:dyDescent="0.25">
      <c r="A1696" s="1">
        <v>44902</v>
      </c>
      <c r="B1696" t="s">
        <v>16</v>
      </c>
      <c r="C1696" t="s">
        <v>17</v>
      </c>
      <c r="D1696" t="s">
        <v>12</v>
      </c>
      <c r="E1696" t="s">
        <v>52</v>
      </c>
      <c r="F1696" t="s">
        <v>42</v>
      </c>
      <c r="G1696" t="s">
        <v>28</v>
      </c>
      <c r="H1696">
        <v>6</v>
      </c>
      <c r="I1696">
        <v>2742</v>
      </c>
      <c r="J1696">
        <v>334.48</v>
      </c>
    </row>
    <row r="1697" spans="1:10" x14ac:dyDescent="0.25">
      <c r="A1697" s="1">
        <v>44942</v>
      </c>
      <c r="B1697" t="s">
        <v>40</v>
      </c>
      <c r="C1697" t="s">
        <v>19</v>
      </c>
      <c r="D1697" t="s">
        <v>12</v>
      </c>
      <c r="E1697" t="s">
        <v>123</v>
      </c>
      <c r="F1697" t="s">
        <v>63</v>
      </c>
      <c r="G1697" t="s">
        <v>28</v>
      </c>
      <c r="H1697">
        <v>8</v>
      </c>
      <c r="I1697">
        <v>8896</v>
      </c>
      <c r="J1697">
        <v>1154.96</v>
      </c>
    </row>
    <row r="1698" spans="1:10" x14ac:dyDescent="0.25">
      <c r="A1698" s="1">
        <v>44886</v>
      </c>
      <c r="B1698" t="s">
        <v>16</v>
      </c>
      <c r="C1698" t="s">
        <v>17</v>
      </c>
      <c r="D1698" t="s">
        <v>12</v>
      </c>
      <c r="E1698" t="s">
        <v>210</v>
      </c>
      <c r="F1698" t="s">
        <v>34</v>
      </c>
      <c r="G1698" t="s">
        <v>35</v>
      </c>
      <c r="H1698">
        <v>2</v>
      </c>
      <c r="I1698">
        <v>2344</v>
      </c>
      <c r="J1698">
        <v>385.19</v>
      </c>
    </row>
    <row r="1699" spans="1:10" x14ac:dyDescent="0.25">
      <c r="A1699" s="1">
        <v>44587</v>
      </c>
      <c r="B1699" t="s">
        <v>29</v>
      </c>
      <c r="C1699" t="s">
        <v>17</v>
      </c>
      <c r="D1699" t="s">
        <v>12</v>
      </c>
      <c r="E1699" t="s">
        <v>52</v>
      </c>
      <c r="F1699" t="s">
        <v>42</v>
      </c>
      <c r="G1699" t="s">
        <v>28</v>
      </c>
      <c r="H1699">
        <v>7</v>
      </c>
      <c r="I1699">
        <v>4186</v>
      </c>
      <c r="J1699">
        <v>655.53</v>
      </c>
    </row>
    <row r="1700" spans="1:10" x14ac:dyDescent="0.25">
      <c r="A1700" s="1">
        <v>45610</v>
      </c>
      <c r="B1700" t="s">
        <v>18</v>
      </c>
      <c r="C1700" t="s">
        <v>19</v>
      </c>
      <c r="D1700" t="s">
        <v>12</v>
      </c>
      <c r="E1700" t="s">
        <v>96</v>
      </c>
      <c r="F1700" t="s">
        <v>34</v>
      </c>
      <c r="G1700" t="s">
        <v>35</v>
      </c>
      <c r="H1700">
        <v>9</v>
      </c>
      <c r="I1700">
        <v>5238</v>
      </c>
      <c r="J1700">
        <v>1152.42</v>
      </c>
    </row>
    <row r="1701" spans="1:10" x14ac:dyDescent="0.25">
      <c r="A1701" s="1">
        <v>44854</v>
      </c>
      <c r="B1701" t="s">
        <v>16</v>
      </c>
      <c r="C1701" t="s">
        <v>17</v>
      </c>
      <c r="D1701" t="s">
        <v>12</v>
      </c>
      <c r="E1701" t="s">
        <v>37</v>
      </c>
      <c r="F1701" t="s">
        <v>34</v>
      </c>
      <c r="G1701" t="s">
        <v>35</v>
      </c>
      <c r="H1701">
        <v>3</v>
      </c>
      <c r="I1701">
        <v>2982</v>
      </c>
      <c r="J1701">
        <v>452.22</v>
      </c>
    </row>
    <row r="1702" spans="1:10" x14ac:dyDescent="0.25">
      <c r="A1702" s="1">
        <v>45426</v>
      </c>
      <c r="B1702" t="s">
        <v>32</v>
      </c>
      <c r="C1702" t="s">
        <v>19</v>
      </c>
      <c r="D1702" t="s">
        <v>12</v>
      </c>
      <c r="E1702" t="s">
        <v>22</v>
      </c>
      <c r="F1702" t="s">
        <v>23</v>
      </c>
      <c r="G1702" t="s">
        <v>24</v>
      </c>
      <c r="H1702">
        <v>4</v>
      </c>
      <c r="I1702">
        <v>2580</v>
      </c>
      <c r="J1702">
        <v>602.5</v>
      </c>
    </row>
    <row r="1703" spans="1:10" x14ac:dyDescent="0.25">
      <c r="A1703" s="1">
        <v>45308</v>
      </c>
      <c r="B1703" t="s">
        <v>49</v>
      </c>
      <c r="C1703" t="s">
        <v>17</v>
      </c>
      <c r="D1703" t="s">
        <v>12</v>
      </c>
      <c r="E1703" t="s">
        <v>56</v>
      </c>
      <c r="F1703" t="s">
        <v>57</v>
      </c>
      <c r="G1703" t="s">
        <v>24</v>
      </c>
      <c r="H1703">
        <v>5</v>
      </c>
      <c r="I1703">
        <v>2675</v>
      </c>
      <c r="J1703">
        <v>671.6</v>
      </c>
    </row>
    <row r="1704" spans="1:10" x14ac:dyDescent="0.25">
      <c r="A1704" s="1">
        <v>45503</v>
      </c>
      <c r="B1704" t="s">
        <v>10</v>
      </c>
      <c r="C1704" t="s">
        <v>11</v>
      </c>
      <c r="D1704" t="s">
        <v>12</v>
      </c>
      <c r="E1704" t="s">
        <v>409</v>
      </c>
      <c r="F1704" t="s">
        <v>84</v>
      </c>
      <c r="G1704" t="s">
        <v>28</v>
      </c>
      <c r="H1704">
        <v>4</v>
      </c>
      <c r="I1704">
        <v>2396</v>
      </c>
      <c r="J1704">
        <v>608.5</v>
      </c>
    </row>
    <row r="1705" spans="1:10" x14ac:dyDescent="0.25">
      <c r="A1705" s="1">
        <v>45565</v>
      </c>
      <c r="B1705" t="s">
        <v>55</v>
      </c>
      <c r="C1705" t="s">
        <v>19</v>
      </c>
      <c r="D1705" t="s">
        <v>12</v>
      </c>
      <c r="E1705" t="s">
        <v>26</v>
      </c>
      <c r="F1705" t="s">
        <v>27</v>
      </c>
      <c r="G1705" t="s">
        <v>28</v>
      </c>
      <c r="H1705">
        <v>5</v>
      </c>
      <c r="I1705">
        <v>1600</v>
      </c>
      <c r="J1705">
        <v>242.25</v>
      </c>
    </row>
    <row r="1706" spans="1:10" x14ac:dyDescent="0.25">
      <c r="A1706" s="1">
        <v>45178</v>
      </c>
      <c r="B1706" t="s">
        <v>32</v>
      </c>
      <c r="C1706" t="s">
        <v>19</v>
      </c>
      <c r="D1706" t="s">
        <v>12</v>
      </c>
      <c r="E1706" t="s">
        <v>22</v>
      </c>
      <c r="F1706" t="s">
        <v>23</v>
      </c>
      <c r="G1706" t="s">
        <v>24</v>
      </c>
      <c r="H1706">
        <v>4</v>
      </c>
      <c r="I1706">
        <v>304</v>
      </c>
      <c r="J1706">
        <v>34.729999999999997</v>
      </c>
    </row>
    <row r="1707" spans="1:10" x14ac:dyDescent="0.25">
      <c r="A1707" s="1">
        <v>45436</v>
      </c>
      <c r="B1707" t="s">
        <v>49</v>
      </c>
      <c r="C1707" t="s">
        <v>17</v>
      </c>
      <c r="D1707" t="s">
        <v>12</v>
      </c>
      <c r="E1707" t="s">
        <v>22</v>
      </c>
      <c r="F1707" t="s">
        <v>23</v>
      </c>
      <c r="G1707" t="s">
        <v>24</v>
      </c>
      <c r="H1707">
        <v>9</v>
      </c>
      <c r="I1707">
        <v>2070</v>
      </c>
      <c r="J1707">
        <v>457.39</v>
      </c>
    </row>
    <row r="1708" spans="1:10" x14ac:dyDescent="0.25">
      <c r="A1708" s="1">
        <v>44816</v>
      </c>
      <c r="B1708" t="s">
        <v>10</v>
      </c>
      <c r="C1708" t="s">
        <v>11</v>
      </c>
      <c r="D1708" t="s">
        <v>12</v>
      </c>
      <c r="E1708" t="s">
        <v>74</v>
      </c>
      <c r="F1708" t="s">
        <v>23</v>
      </c>
      <c r="G1708" t="s">
        <v>24</v>
      </c>
      <c r="H1708">
        <v>5</v>
      </c>
      <c r="I1708">
        <v>1230</v>
      </c>
      <c r="J1708">
        <v>158.22999999999999</v>
      </c>
    </row>
    <row r="1709" spans="1:10" x14ac:dyDescent="0.25">
      <c r="A1709" s="1">
        <v>45075</v>
      </c>
      <c r="B1709" t="s">
        <v>25</v>
      </c>
      <c r="C1709" t="s">
        <v>19</v>
      </c>
      <c r="D1709" t="s">
        <v>12</v>
      </c>
      <c r="E1709" t="s">
        <v>224</v>
      </c>
      <c r="F1709" t="s">
        <v>34</v>
      </c>
      <c r="G1709" t="s">
        <v>35</v>
      </c>
      <c r="H1709">
        <v>6</v>
      </c>
      <c r="I1709">
        <v>6234</v>
      </c>
      <c r="J1709">
        <v>758.78</v>
      </c>
    </row>
    <row r="1710" spans="1:10" x14ac:dyDescent="0.25">
      <c r="A1710" s="1">
        <v>45318</v>
      </c>
      <c r="B1710" t="s">
        <v>29</v>
      </c>
      <c r="C1710" t="s">
        <v>17</v>
      </c>
      <c r="D1710" t="s">
        <v>12</v>
      </c>
      <c r="E1710" t="s">
        <v>224</v>
      </c>
      <c r="F1710" t="s">
        <v>34</v>
      </c>
      <c r="G1710" t="s">
        <v>35</v>
      </c>
      <c r="H1710">
        <v>2</v>
      </c>
      <c r="I1710">
        <v>396</v>
      </c>
      <c r="J1710">
        <v>46.33</v>
      </c>
    </row>
    <row r="1711" spans="1:10" x14ac:dyDescent="0.25">
      <c r="A1711" s="1">
        <v>45155</v>
      </c>
      <c r="B1711" t="s">
        <v>16</v>
      </c>
      <c r="C1711" t="s">
        <v>17</v>
      </c>
      <c r="D1711" t="s">
        <v>12</v>
      </c>
      <c r="E1711" t="s">
        <v>410</v>
      </c>
      <c r="F1711" t="s">
        <v>108</v>
      </c>
      <c r="G1711" t="s">
        <v>15</v>
      </c>
      <c r="H1711">
        <v>9</v>
      </c>
      <c r="I1711">
        <v>2349</v>
      </c>
      <c r="J1711">
        <v>244.18</v>
      </c>
    </row>
    <row r="1712" spans="1:10" x14ac:dyDescent="0.25">
      <c r="A1712" s="1">
        <v>45122</v>
      </c>
      <c r="B1712" t="s">
        <v>29</v>
      </c>
      <c r="C1712" t="s">
        <v>17</v>
      </c>
      <c r="D1712" t="s">
        <v>12</v>
      </c>
      <c r="E1712" t="s">
        <v>111</v>
      </c>
      <c r="F1712" t="s">
        <v>115</v>
      </c>
      <c r="G1712" t="s">
        <v>15</v>
      </c>
      <c r="H1712">
        <v>9</v>
      </c>
      <c r="I1712">
        <v>5949</v>
      </c>
      <c r="J1712">
        <v>626.91999999999996</v>
      </c>
    </row>
    <row r="1713" spans="1:10" x14ac:dyDescent="0.25">
      <c r="A1713" s="1">
        <v>44576</v>
      </c>
      <c r="B1713" t="s">
        <v>10</v>
      </c>
      <c r="C1713" t="s">
        <v>11</v>
      </c>
      <c r="D1713" t="s">
        <v>12</v>
      </c>
      <c r="E1713" t="s">
        <v>56</v>
      </c>
      <c r="F1713" t="s">
        <v>57</v>
      </c>
      <c r="G1713" t="s">
        <v>24</v>
      </c>
      <c r="H1713">
        <v>7</v>
      </c>
      <c r="I1713">
        <v>5957</v>
      </c>
      <c r="J1713">
        <v>1433.85</v>
      </c>
    </row>
    <row r="1714" spans="1:10" x14ac:dyDescent="0.25">
      <c r="A1714" s="1">
        <v>45630</v>
      </c>
      <c r="B1714" t="s">
        <v>29</v>
      </c>
      <c r="C1714" t="s">
        <v>17</v>
      </c>
      <c r="D1714" t="s">
        <v>12</v>
      </c>
      <c r="E1714" t="s">
        <v>37</v>
      </c>
      <c r="F1714" t="s">
        <v>34</v>
      </c>
      <c r="G1714" t="s">
        <v>35</v>
      </c>
      <c r="H1714">
        <v>3</v>
      </c>
      <c r="I1714">
        <v>1989</v>
      </c>
      <c r="J1714">
        <v>299.79000000000002</v>
      </c>
    </row>
    <row r="1715" spans="1:10" x14ac:dyDescent="0.25">
      <c r="A1715" s="1">
        <v>45615</v>
      </c>
      <c r="B1715" t="s">
        <v>16</v>
      </c>
      <c r="C1715" t="s">
        <v>17</v>
      </c>
      <c r="D1715" t="s">
        <v>12</v>
      </c>
      <c r="E1715" t="s">
        <v>26</v>
      </c>
      <c r="F1715" t="s">
        <v>27</v>
      </c>
      <c r="G1715" t="s">
        <v>28</v>
      </c>
      <c r="H1715">
        <v>1</v>
      </c>
      <c r="I1715">
        <v>1138</v>
      </c>
      <c r="J1715">
        <v>243.36</v>
      </c>
    </row>
    <row r="1716" spans="1:10" x14ac:dyDescent="0.25">
      <c r="A1716" s="1">
        <v>44666</v>
      </c>
      <c r="B1716" t="s">
        <v>18</v>
      </c>
      <c r="C1716" t="s">
        <v>19</v>
      </c>
      <c r="D1716" t="s">
        <v>12</v>
      </c>
      <c r="E1716" t="s">
        <v>43</v>
      </c>
      <c r="F1716" t="s">
        <v>44</v>
      </c>
      <c r="G1716" t="s">
        <v>35</v>
      </c>
      <c r="H1716">
        <v>9</v>
      </c>
      <c r="I1716">
        <v>3321</v>
      </c>
      <c r="J1716">
        <v>689.64</v>
      </c>
    </row>
    <row r="1717" spans="1:10" x14ac:dyDescent="0.25">
      <c r="A1717" s="1">
        <v>45202</v>
      </c>
      <c r="B1717" t="s">
        <v>25</v>
      </c>
      <c r="C1717" t="s">
        <v>19</v>
      </c>
      <c r="D1717" t="s">
        <v>12</v>
      </c>
      <c r="E1717" t="s">
        <v>213</v>
      </c>
      <c r="F1717" t="s">
        <v>34</v>
      </c>
      <c r="G1717" t="s">
        <v>35</v>
      </c>
      <c r="H1717">
        <v>4</v>
      </c>
      <c r="I1717">
        <v>4480</v>
      </c>
      <c r="J1717">
        <v>592.82000000000005</v>
      </c>
    </row>
    <row r="1718" spans="1:10" x14ac:dyDescent="0.25">
      <c r="A1718" s="1">
        <v>44971</v>
      </c>
      <c r="B1718" t="s">
        <v>32</v>
      </c>
      <c r="C1718" t="s">
        <v>19</v>
      </c>
      <c r="D1718" t="s">
        <v>12</v>
      </c>
      <c r="E1718" t="s">
        <v>213</v>
      </c>
      <c r="F1718" t="s">
        <v>34</v>
      </c>
      <c r="G1718" t="s">
        <v>35</v>
      </c>
      <c r="H1718">
        <v>3</v>
      </c>
      <c r="I1718">
        <v>1533</v>
      </c>
      <c r="J1718">
        <v>440.88</v>
      </c>
    </row>
    <row r="1719" spans="1:10" x14ac:dyDescent="0.25">
      <c r="A1719" s="1">
        <v>45332</v>
      </c>
      <c r="B1719" t="s">
        <v>16</v>
      </c>
      <c r="C1719" t="s">
        <v>17</v>
      </c>
      <c r="D1719" t="s">
        <v>12</v>
      </c>
      <c r="E1719" t="s">
        <v>22</v>
      </c>
      <c r="F1719" t="s">
        <v>23</v>
      </c>
      <c r="G1719" t="s">
        <v>24</v>
      </c>
      <c r="H1719">
        <v>1</v>
      </c>
      <c r="I1719">
        <v>109</v>
      </c>
      <c r="J1719">
        <v>10.35</v>
      </c>
    </row>
    <row r="1720" spans="1:10" x14ac:dyDescent="0.25">
      <c r="A1720" s="1">
        <v>45389</v>
      </c>
      <c r="B1720" t="s">
        <v>40</v>
      </c>
      <c r="C1720" t="s">
        <v>19</v>
      </c>
      <c r="D1720" t="s">
        <v>12</v>
      </c>
      <c r="E1720" t="s">
        <v>43</v>
      </c>
      <c r="F1720" t="s">
        <v>44</v>
      </c>
      <c r="G1720" t="s">
        <v>35</v>
      </c>
      <c r="H1720">
        <v>4</v>
      </c>
      <c r="I1720">
        <v>2380</v>
      </c>
      <c r="J1720">
        <v>594.86</v>
      </c>
    </row>
    <row r="1721" spans="1:10" x14ac:dyDescent="0.25">
      <c r="A1721" s="1">
        <v>44795</v>
      </c>
      <c r="B1721" t="s">
        <v>10</v>
      </c>
      <c r="C1721" t="s">
        <v>11</v>
      </c>
      <c r="D1721" t="s">
        <v>12</v>
      </c>
      <c r="E1721" t="s">
        <v>74</v>
      </c>
      <c r="F1721" t="s">
        <v>23</v>
      </c>
      <c r="G1721" t="s">
        <v>24</v>
      </c>
      <c r="H1721">
        <v>8</v>
      </c>
      <c r="I1721">
        <v>2592</v>
      </c>
      <c r="J1721">
        <v>432.37</v>
      </c>
    </row>
    <row r="1722" spans="1:10" x14ac:dyDescent="0.25">
      <c r="A1722" s="1">
        <v>45268</v>
      </c>
      <c r="B1722" t="s">
        <v>55</v>
      </c>
      <c r="C1722" t="s">
        <v>19</v>
      </c>
      <c r="D1722" t="s">
        <v>12</v>
      </c>
      <c r="E1722" t="s">
        <v>74</v>
      </c>
      <c r="F1722" t="s">
        <v>23</v>
      </c>
      <c r="G1722" t="s">
        <v>24</v>
      </c>
      <c r="H1722">
        <v>6</v>
      </c>
      <c r="I1722">
        <v>5112</v>
      </c>
      <c r="J1722">
        <v>1289.47</v>
      </c>
    </row>
    <row r="1723" spans="1:10" x14ac:dyDescent="0.25">
      <c r="A1723" s="1">
        <v>45018</v>
      </c>
      <c r="B1723" t="s">
        <v>32</v>
      </c>
      <c r="C1723" t="s">
        <v>19</v>
      </c>
      <c r="D1723" t="s">
        <v>12</v>
      </c>
      <c r="E1723" t="s">
        <v>411</v>
      </c>
      <c r="F1723" t="s">
        <v>23</v>
      </c>
      <c r="G1723" t="s">
        <v>24</v>
      </c>
      <c r="H1723">
        <v>8</v>
      </c>
      <c r="I1723">
        <v>9392</v>
      </c>
      <c r="J1723">
        <v>1753.08</v>
      </c>
    </row>
    <row r="1724" spans="1:10" x14ac:dyDescent="0.25">
      <c r="A1724" s="1">
        <v>45586</v>
      </c>
      <c r="B1724" t="s">
        <v>55</v>
      </c>
      <c r="C1724" t="s">
        <v>19</v>
      </c>
      <c r="D1724" t="s">
        <v>12</v>
      </c>
      <c r="E1724" t="s">
        <v>43</v>
      </c>
      <c r="F1724" t="s">
        <v>44</v>
      </c>
      <c r="G1724" t="s">
        <v>35</v>
      </c>
      <c r="H1724">
        <v>2</v>
      </c>
      <c r="I1724">
        <v>2386</v>
      </c>
      <c r="J1724">
        <v>381.83</v>
      </c>
    </row>
    <row r="1725" spans="1:10" x14ac:dyDescent="0.25">
      <c r="A1725" s="1">
        <v>45629</v>
      </c>
      <c r="B1725" t="s">
        <v>32</v>
      </c>
      <c r="C1725" t="s">
        <v>19</v>
      </c>
      <c r="D1725" t="s">
        <v>12</v>
      </c>
      <c r="E1725" t="s">
        <v>210</v>
      </c>
      <c r="F1725" t="s">
        <v>34</v>
      </c>
      <c r="G1725" t="s">
        <v>35</v>
      </c>
      <c r="H1725">
        <v>5</v>
      </c>
      <c r="I1725">
        <v>465</v>
      </c>
      <c r="J1725">
        <v>71.23</v>
      </c>
    </row>
    <row r="1726" spans="1:10" x14ac:dyDescent="0.25">
      <c r="A1726" s="1">
        <v>45035</v>
      </c>
      <c r="B1726" t="s">
        <v>40</v>
      </c>
      <c r="C1726" t="s">
        <v>19</v>
      </c>
      <c r="D1726" t="s">
        <v>12</v>
      </c>
      <c r="E1726" t="s">
        <v>101</v>
      </c>
      <c r="F1726" t="s">
        <v>21</v>
      </c>
      <c r="G1726" t="s">
        <v>15</v>
      </c>
      <c r="H1726">
        <v>2</v>
      </c>
      <c r="I1726">
        <v>604</v>
      </c>
      <c r="J1726">
        <v>102.52</v>
      </c>
    </row>
    <row r="1727" spans="1:10" x14ac:dyDescent="0.25">
      <c r="A1727" s="1">
        <v>44836</v>
      </c>
      <c r="B1727" t="s">
        <v>32</v>
      </c>
      <c r="C1727" t="s">
        <v>19</v>
      </c>
      <c r="D1727" t="s">
        <v>12</v>
      </c>
      <c r="E1727" t="s">
        <v>52</v>
      </c>
      <c r="F1727" t="s">
        <v>42</v>
      </c>
      <c r="G1727" t="s">
        <v>28</v>
      </c>
      <c r="H1727">
        <v>2</v>
      </c>
      <c r="I1727">
        <v>2216</v>
      </c>
      <c r="J1727">
        <v>650.27</v>
      </c>
    </row>
    <row r="1728" spans="1:10" x14ac:dyDescent="0.25">
      <c r="A1728" s="1">
        <v>45083</v>
      </c>
      <c r="B1728" t="s">
        <v>16</v>
      </c>
      <c r="C1728" t="s">
        <v>17</v>
      </c>
      <c r="D1728" t="s">
        <v>12</v>
      </c>
      <c r="E1728" t="s">
        <v>105</v>
      </c>
      <c r="F1728" t="s">
        <v>23</v>
      </c>
      <c r="G1728" t="s">
        <v>24</v>
      </c>
      <c r="H1728">
        <v>4</v>
      </c>
      <c r="I1728">
        <v>1168</v>
      </c>
      <c r="J1728">
        <v>220.22</v>
      </c>
    </row>
    <row r="1729" spans="1:10" x14ac:dyDescent="0.25">
      <c r="A1729" s="1">
        <v>44587</v>
      </c>
      <c r="B1729" t="s">
        <v>36</v>
      </c>
      <c r="C1729" t="s">
        <v>17</v>
      </c>
      <c r="D1729" t="s">
        <v>12</v>
      </c>
      <c r="E1729" t="s">
        <v>412</v>
      </c>
      <c r="F1729" t="s">
        <v>222</v>
      </c>
      <c r="G1729" t="s">
        <v>35</v>
      </c>
      <c r="H1729">
        <v>7</v>
      </c>
      <c r="I1729">
        <v>4088</v>
      </c>
      <c r="J1729">
        <v>230.43</v>
      </c>
    </row>
    <row r="1730" spans="1:10" x14ac:dyDescent="0.25">
      <c r="A1730" s="1">
        <v>44616</v>
      </c>
      <c r="B1730" t="s">
        <v>49</v>
      </c>
      <c r="C1730" t="s">
        <v>17</v>
      </c>
      <c r="D1730" t="s">
        <v>12</v>
      </c>
      <c r="E1730" t="s">
        <v>307</v>
      </c>
      <c r="F1730" t="s">
        <v>156</v>
      </c>
      <c r="G1730" t="s">
        <v>28</v>
      </c>
      <c r="H1730">
        <v>7</v>
      </c>
      <c r="I1730">
        <v>2597</v>
      </c>
      <c r="J1730">
        <v>152.09</v>
      </c>
    </row>
    <row r="1731" spans="1:10" x14ac:dyDescent="0.25">
      <c r="A1731" s="1">
        <v>45160</v>
      </c>
      <c r="B1731" t="s">
        <v>32</v>
      </c>
      <c r="C1731" t="s">
        <v>19</v>
      </c>
      <c r="D1731" t="s">
        <v>12</v>
      </c>
      <c r="E1731" t="s">
        <v>77</v>
      </c>
      <c r="F1731" t="s">
        <v>78</v>
      </c>
      <c r="G1731" t="s">
        <v>28</v>
      </c>
      <c r="H1731">
        <v>3</v>
      </c>
      <c r="I1731">
        <v>2151</v>
      </c>
      <c r="J1731">
        <v>322.02999999999997</v>
      </c>
    </row>
    <row r="1732" spans="1:10" x14ac:dyDescent="0.25">
      <c r="A1732" s="1">
        <v>45543</v>
      </c>
      <c r="B1732" t="s">
        <v>55</v>
      </c>
      <c r="C1732" t="s">
        <v>19</v>
      </c>
      <c r="D1732" t="s">
        <v>12</v>
      </c>
      <c r="E1732" t="s">
        <v>105</v>
      </c>
      <c r="F1732" t="s">
        <v>23</v>
      </c>
      <c r="G1732" t="s">
        <v>24</v>
      </c>
      <c r="H1732">
        <v>6</v>
      </c>
      <c r="I1732">
        <v>462</v>
      </c>
      <c r="J1732">
        <v>71.22</v>
      </c>
    </row>
    <row r="1733" spans="1:10" x14ac:dyDescent="0.25">
      <c r="A1733" s="1">
        <v>44857</v>
      </c>
      <c r="B1733" t="s">
        <v>16</v>
      </c>
      <c r="C1733" t="s">
        <v>17</v>
      </c>
      <c r="D1733" t="s">
        <v>12</v>
      </c>
      <c r="E1733" t="s">
        <v>105</v>
      </c>
      <c r="F1733" t="s">
        <v>23</v>
      </c>
      <c r="G1733" t="s">
        <v>24</v>
      </c>
      <c r="H1733">
        <v>7</v>
      </c>
      <c r="I1733">
        <v>5957</v>
      </c>
      <c r="J1733">
        <v>1077.8599999999999</v>
      </c>
    </row>
    <row r="1734" spans="1:10" x14ac:dyDescent="0.25">
      <c r="A1734" s="1">
        <v>45273</v>
      </c>
      <c r="B1734" t="s">
        <v>40</v>
      </c>
      <c r="C1734" t="s">
        <v>19</v>
      </c>
      <c r="D1734" t="s">
        <v>12</v>
      </c>
      <c r="E1734" t="s">
        <v>74</v>
      </c>
      <c r="F1734" t="s">
        <v>23</v>
      </c>
      <c r="G1734" t="s">
        <v>24</v>
      </c>
      <c r="H1734">
        <v>6</v>
      </c>
      <c r="I1734">
        <v>6978</v>
      </c>
      <c r="J1734">
        <v>2028.63</v>
      </c>
    </row>
    <row r="1735" spans="1:10" x14ac:dyDescent="0.25">
      <c r="A1735" s="1">
        <v>45585</v>
      </c>
      <c r="B1735" t="s">
        <v>29</v>
      </c>
      <c r="C1735" t="s">
        <v>17</v>
      </c>
      <c r="D1735" t="s">
        <v>12</v>
      </c>
      <c r="E1735" t="s">
        <v>56</v>
      </c>
      <c r="F1735" t="s">
        <v>57</v>
      </c>
      <c r="G1735" t="s">
        <v>24</v>
      </c>
      <c r="H1735">
        <v>1</v>
      </c>
      <c r="I1735">
        <v>282</v>
      </c>
      <c r="J1735">
        <v>72.5</v>
      </c>
    </row>
    <row r="1736" spans="1:10" x14ac:dyDescent="0.25">
      <c r="A1736" s="1">
        <v>45265</v>
      </c>
      <c r="B1736" t="s">
        <v>25</v>
      </c>
      <c r="C1736" t="s">
        <v>19</v>
      </c>
      <c r="D1736" t="s">
        <v>12</v>
      </c>
      <c r="E1736" t="s">
        <v>56</v>
      </c>
      <c r="F1736" t="s">
        <v>57</v>
      </c>
      <c r="G1736" t="s">
        <v>24</v>
      </c>
      <c r="H1736">
        <v>1</v>
      </c>
      <c r="I1736">
        <v>157</v>
      </c>
      <c r="J1736">
        <v>27.65</v>
      </c>
    </row>
    <row r="1737" spans="1:10" x14ac:dyDescent="0.25">
      <c r="A1737" s="1">
        <v>45121</v>
      </c>
      <c r="B1737" t="s">
        <v>36</v>
      </c>
      <c r="C1737" t="s">
        <v>17</v>
      </c>
      <c r="D1737" t="s">
        <v>12</v>
      </c>
      <c r="E1737" t="s">
        <v>132</v>
      </c>
      <c r="F1737" t="s">
        <v>189</v>
      </c>
      <c r="G1737" t="s">
        <v>24</v>
      </c>
      <c r="H1737">
        <v>8</v>
      </c>
      <c r="I1737">
        <v>3304</v>
      </c>
      <c r="J1737">
        <v>404.33</v>
      </c>
    </row>
    <row r="1738" spans="1:10" x14ac:dyDescent="0.25">
      <c r="A1738" s="1">
        <v>44605</v>
      </c>
      <c r="B1738" t="s">
        <v>29</v>
      </c>
      <c r="C1738" t="s">
        <v>17</v>
      </c>
      <c r="D1738" t="s">
        <v>12</v>
      </c>
      <c r="E1738" t="s">
        <v>26</v>
      </c>
      <c r="F1738" t="s">
        <v>27</v>
      </c>
      <c r="G1738" t="s">
        <v>28</v>
      </c>
      <c r="H1738">
        <v>3</v>
      </c>
      <c r="I1738">
        <v>3051</v>
      </c>
      <c r="J1738">
        <v>201.26</v>
      </c>
    </row>
    <row r="1739" spans="1:10" x14ac:dyDescent="0.25">
      <c r="A1739" s="1">
        <v>45459</v>
      </c>
      <c r="B1739" t="s">
        <v>16</v>
      </c>
      <c r="C1739" t="s">
        <v>17</v>
      </c>
      <c r="D1739" t="s">
        <v>12</v>
      </c>
      <c r="E1739" t="s">
        <v>43</v>
      </c>
      <c r="F1739" t="s">
        <v>44</v>
      </c>
      <c r="G1739" t="s">
        <v>35</v>
      </c>
      <c r="H1739">
        <v>9</v>
      </c>
      <c r="I1739">
        <v>8082</v>
      </c>
      <c r="J1739">
        <v>1783.55</v>
      </c>
    </row>
    <row r="1740" spans="1:10" x14ac:dyDescent="0.25">
      <c r="A1740" s="1">
        <v>45579</v>
      </c>
      <c r="B1740" t="s">
        <v>55</v>
      </c>
      <c r="C1740" t="s">
        <v>19</v>
      </c>
      <c r="D1740" t="s">
        <v>12</v>
      </c>
      <c r="E1740" t="s">
        <v>43</v>
      </c>
      <c r="F1740" t="s">
        <v>44</v>
      </c>
      <c r="G1740" t="s">
        <v>35</v>
      </c>
      <c r="H1740">
        <v>3</v>
      </c>
      <c r="I1740">
        <v>510</v>
      </c>
      <c r="J1740">
        <v>110.38</v>
      </c>
    </row>
    <row r="1741" spans="1:10" x14ac:dyDescent="0.25">
      <c r="A1741" s="1">
        <v>45402</v>
      </c>
      <c r="B1741" t="s">
        <v>18</v>
      </c>
      <c r="C1741" t="s">
        <v>19</v>
      </c>
      <c r="D1741" t="s">
        <v>12</v>
      </c>
      <c r="E1741" t="s">
        <v>43</v>
      </c>
      <c r="F1741" t="s">
        <v>44</v>
      </c>
      <c r="G1741" t="s">
        <v>35</v>
      </c>
      <c r="H1741">
        <v>8</v>
      </c>
      <c r="I1741">
        <v>3976</v>
      </c>
      <c r="J1741">
        <v>1170.3599999999999</v>
      </c>
    </row>
    <row r="1742" spans="1:10" x14ac:dyDescent="0.25">
      <c r="A1742" s="1">
        <v>45286</v>
      </c>
      <c r="B1742" t="s">
        <v>40</v>
      </c>
      <c r="C1742" t="s">
        <v>19</v>
      </c>
      <c r="D1742" t="s">
        <v>12</v>
      </c>
      <c r="E1742" t="s">
        <v>52</v>
      </c>
      <c r="F1742" t="s">
        <v>42</v>
      </c>
      <c r="G1742" t="s">
        <v>28</v>
      </c>
      <c r="H1742">
        <v>9</v>
      </c>
      <c r="I1742">
        <v>828</v>
      </c>
      <c r="J1742">
        <v>59.99</v>
      </c>
    </row>
    <row r="1743" spans="1:10" x14ac:dyDescent="0.25">
      <c r="A1743" s="1">
        <v>45021</v>
      </c>
      <c r="B1743" t="s">
        <v>29</v>
      </c>
      <c r="C1743" t="s">
        <v>17</v>
      </c>
      <c r="D1743" t="s">
        <v>12</v>
      </c>
      <c r="E1743" t="s">
        <v>413</v>
      </c>
      <c r="F1743" t="s">
        <v>149</v>
      </c>
      <c r="G1743" t="s">
        <v>15</v>
      </c>
      <c r="H1743">
        <v>7</v>
      </c>
      <c r="I1743">
        <v>2457</v>
      </c>
      <c r="J1743">
        <v>388.11</v>
      </c>
    </row>
    <row r="1744" spans="1:10" x14ac:dyDescent="0.25">
      <c r="A1744" s="1">
        <v>45140</v>
      </c>
      <c r="B1744" t="s">
        <v>25</v>
      </c>
      <c r="C1744" t="s">
        <v>19</v>
      </c>
      <c r="D1744" t="s">
        <v>12</v>
      </c>
      <c r="E1744" t="s">
        <v>52</v>
      </c>
      <c r="F1744" t="s">
        <v>42</v>
      </c>
      <c r="G1744" t="s">
        <v>28</v>
      </c>
      <c r="H1744">
        <v>4</v>
      </c>
      <c r="I1744">
        <v>3924</v>
      </c>
      <c r="J1744">
        <v>298.07</v>
      </c>
    </row>
    <row r="1745" spans="1:10" x14ac:dyDescent="0.25">
      <c r="A1745" s="1">
        <v>44895</v>
      </c>
      <c r="B1745" t="s">
        <v>29</v>
      </c>
      <c r="C1745" t="s">
        <v>17</v>
      </c>
      <c r="D1745" t="s">
        <v>12</v>
      </c>
      <c r="E1745" t="s">
        <v>52</v>
      </c>
      <c r="F1745" t="s">
        <v>42</v>
      </c>
      <c r="G1745" t="s">
        <v>28</v>
      </c>
      <c r="H1745">
        <v>2</v>
      </c>
      <c r="I1745">
        <v>2018</v>
      </c>
      <c r="J1745">
        <v>227.75</v>
      </c>
    </row>
    <row r="1746" spans="1:10" x14ac:dyDescent="0.25">
      <c r="A1746" s="1">
        <v>45543</v>
      </c>
      <c r="B1746" t="s">
        <v>36</v>
      </c>
      <c r="C1746" t="s">
        <v>17</v>
      </c>
      <c r="D1746" t="s">
        <v>12</v>
      </c>
      <c r="E1746" t="s">
        <v>414</v>
      </c>
      <c r="F1746" t="s">
        <v>21</v>
      </c>
      <c r="G1746" t="s">
        <v>15</v>
      </c>
      <c r="H1746">
        <v>3</v>
      </c>
      <c r="I1746">
        <v>2043</v>
      </c>
      <c r="J1746">
        <v>479.9</v>
      </c>
    </row>
    <row r="1747" spans="1:10" x14ac:dyDescent="0.25">
      <c r="A1747" s="1">
        <v>45450</v>
      </c>
      <c r="B1747" t="s">
        <v>10</v>
      </c>
      <c r="C1747" t="s">
        <v>11</v>
      </c>
      <c r="D1747" t="s">
        <v>12</v>
      </c>
      <c r="E1747" t="s">
        <v>210</v>
      </c>
      <c r="F1747" t="s">
        <v>34</v>
      </c>
      <c r="G1747" t="s">
        <v>35</v>
      </c>
      <c r="H1747">
        <v>5</v>
      </c>
      <c r="I1747">
        <v>1035</v>
      </c>
      <c r="J1747">
        <v>187.12</v>
      </c>
    </row>
    <row r="1748" spans="1:10" x14ac:dyDescent="0.25">
      <c r="A1748" s="1">
        <v>45150</v>
      </c>
      <c r="B1748" t="s">
        <v>32</v>
      </c>
      <c r="C1748" t="s">
        <v>19</v>
      </c>
      <c r="D1748" t="s">
        <v>12</v>
      </c>
      <c r="E1748" t="s">
        <v>210</v>
      </c>
      <c r="F1748" t="s">
        <v>34</v>
      </c>
      <c r="G1748" t="s">
        <v>35</v>
      </c>
      <c r="H1748">
        <v>6</v>
      </c>
      <c r="I1748">
        <v>2724</v>
      </c>
      <c r="J1748">
        <v>675.53</v>
      </c>
    </row>
    <row r="1749" spans="1:10" x14ac:dyDescent="0.25">
      <c r="A1749" s="1">
        <v>45048</v>
      </c>
      <c r="B1749" t="s">
        <v>25</v>
      </c>
      <c r="C1749" t="s">
        <v>19</v>
      </c>
      <c r="D1749" t="s">
        <v>12</v>
      </c>
      <c r="E1749" t="s">
        <v>41</v>
      </c>
      <c r="F1749" t="s">
        <v>42</v>
      </c>
      <c r="G1749" t="s">
        <v>28</v>
      </c>
      <c r="H1749">
        <v>1</v>
      </c>
      <c r="I1749">
        <v>1120</v>
      </c>
      <c r="J1749">
        <v>127.32</v>
      </c>
    </row>
    <row r="1750" spans="1:10" x14ac:dyDescent="0.25">
      <c r="A1750" s="1">
        <v>45591</v>
      </c>
      <c r="B1750" t="s">
        <v>36</v>
      </c>
      <c r="C1750" t="s">
        <v>17</v>
      </c>
      <c r="D1750" t="s">
        <v>12</v>
      </c>
      <c r="E1750" t="s">
        <v>314</v>
      </c>
      <c r="F1750" t="s">
        <v>108</v>
      </c>
      <c r="G1750" t="s">
        <v>15</v>
      </c>
      <c r="H1750">
        <v>6</v>
      </c>
      <c r="I1750">
        <v>3438</v>
      </c>
      <c r="J1750">
        <v>631.95000000000005</v>
      </c>
    </row>
    <row r="1751" spans="1:10" x14ac:dyDescent="0.25">
      <c r="A1751" s="1">
        <v>44831</v>
      </c>
      <c r="B1751" t="s">
        <v>32</v>
      </c>
      <c r="C1751" t="s">
        <v>19</v>
      </c>
      <c r="D1751" t="s">
        <v>12</v>
      </c>
      <c r="E1751" t="s">
        <v>103</v>
      </c>
      <c r="F1751" t="s">
        <v>21</v>
      </c>
      <c r="G1751" t="s">
        <v>15</v>
      </c>
      <c r="H1751">
        <v>5</v>
      </c>
      <c r="I1751">
        <v>3170</v>
      </c>
      <c r="J1751">
        <v>379.27</v>
      </c>
    </row>
    <row r="1752" spans="1:10" x14ac:dyDescent="0.25">
      <c r="A1752" s="1">
        <v>45102</v>
      </c>
      <c r="B1752" t="s">
        <v>32</v>
      </c>
      <c r="C1752" t="s">
        <v>19</v>
      </c>
      <c r="D1752" t="s">
        <v>12</v>
      </c>
      <c r="E1752" t="s">
        <v>103</v>
      </c>
      <c r="F1752" t="s">
        <v>21</v>
      </c>
      <c r="G1752" t="s">
        <v>15</v>
      </c>
      <c r="H1752">
        <v>4</v>
      </c>
      <c r="I1752">
        <v>660</v>
      </c>
      <c r="J1752">
        <v>83.96</v>
      </c>
    </row>
    <row r="1753" spans="1:10" x14ac:dyDescent="0.25">
      <c r="A1753" s="1">
        <v>44870</v>
      </c>
      <c r="B1753" t="s">
        <v>18</v>
      </c>
      <c r="C1753" t="s">
        <v>19</v>
      </c>
      <c r="D1753" t="s">
        <v>12</v>
      </c>
      <c r="E1753" t="s">
        <v>103</v>
      </c>
      <c r="F1753" t="s">
        <v>21</v>
      </c>
      <c r="G1753" t="s">
        <v>15</v>
      </c>
      <c r="H1753">
        <v>7</v>
      </c>
      <c r="I1753">
        <v>4669</v>
      </c>
      <c r="J1753">
        <v>1088.1500000000001</v>
      </c>
    </row>
    <row r="1754" spans="1:10" x14ac:dyDescent="0.25">
      <c r="A1754" s="1">
        <v>44785</v>
      </c>
      <c r="B1754" t="s">
        <v>32</v>
      </c>
      <c r="C1754" t="s">
        <v>19</v>
      </c>
      <c r="D1754" t="s">
        <v>12</v>
      </c>
      <c r="E1754" t="s">
        <v>74</v>
      </c>
      <c r="F1754" t="s">
        <v>23</v>
      </c>
      <c r="G1754" t="s">
        <v>24</v>
      </c>
      <c r="H1754">
        <v>5</v>
      </c>
      <c r="I1754">
        <v>1045</v>
      </c>
      <c r="J1754">
        <v>89</v>
      </c>
    </row>
    <row r="1755" spans="1:10" x14ac:dyDescent="0.25">
      <c r="A1755" s="1">
        <v>44619</v>
      </c>
      <c r="B1755" t="s">
        <v>49</v>
      </c>
      <c r="C1755" t="s">
        <v>17</v>
      </c>
      <c r="D1755" t="s">
        <v>12</v>
      </c>
      <c r="E1755" t="s">
        <v>43</v>
      </c>
      <c r="F1755" t="s">
        <v>44</v>
      </c>
      <c r="G1755" t="s">
        <v>35</v>
      </c>
      <c r="H1755">
        <v>4</v>
      </c>
      <c r="I1755">
        <v>2724</v>
      </c>
      <c r="J1755">
        <v>229.47</v>
      </c>
    </row>
    <row r="1756" spans="1:10" x14ac:dyDescent="0.25">
      <c r="A1756" s="1">
        <v>45183</v>
      </c>
      <c r="B1756" t="s">
        <v>29</v>
      </c>
      <c r="C1756" t="s">
        <v>17</v>
      </c>
      <c r="D1756" t="s">
        <v>12</v>
      </c>
      <c r="E1756" t="s">
        <v>53</v>
      </c>
      <c r="F1756" t="s">
        <v>44</v>
      </c>
      <c r="G1756" t="s">
        <v>35</v>
      </c>
      <c r="H1756">
        <v>8</v>
      </c>
      <c r="I1756">
        <v>5312</v>
      </c>
      <c r="J1756">
        <v>1583</v>
      </c>
    </row>
    <row r="1757" spans="1:10" x14ac:dyDescent="0.25">
      <c r="A1757" s="1">
        <v>45619</v>
      </c>
      <c r="B1757" t="s">
        <v>18</v>
      </c>
      <c r="C1757" t="s">
        <v>19</v>
      </c>
      <c r="D1757" t="s">
        <v>12</v>
      </c>
      <c r="E1757" t="s">
        <v>52</v>
      </c>
      <c r="F1757" t="s">
        <v>42</v>
      </c>
      <c r="G1757" t="s">
        <v>28</v>
      </c>
      <c r="H1757">
        <v>4</v>
      </c>
      <c r="I1757">
        <v>4252</v>
      </c>
      <c r="J1757">
        <v>445.18</v>
      </c>
    </row>
    <row r="1758" spans="1:10" x14ac:dyDescent="0.25">
      <c r="A1758" s="1">
        <v>45574</v>
      </c>
      <c r="B1758" t="s">
        <v>10</v>
      </c>
      <c r="C1758" t="s">
        <v>11</v>
      </c>
      <c r="D1758" t="s">
        <v>12</v>
      </c>
      <c r="E1758" t="s">
        <v>384</v>
      </c>
      <c r="F1758" t="s">
        <v>23</v>
      </c>
      <c r="G1758" t="s">
        <v>24</v>
      </c>
      <c r="H1758">
        <v>7</v>
      </c>
      <c r="I1758">
        <v>8057</v>
      </c>
      <c r="J1758">
        <v>1652.27</v>
      </c>
    </row>
    <row r="1759" spans="1:10" x14ac:dyDescent="0.25">
      <c r="A1759" s="1">
        <v>45097</v>
      </c>
      <c r="B1759" t="s">
        <v>49</v>
      </c>
      <c r="C1759" t="s">
        <v>17</v>
      </c>
      <c r="D1759" t="s">
        <v>12</v>
      </c>
      <c r="E1759" t="s">
        <v>103</v>
      </c>
      <c r="F1759" t="s">
        <v>149</v>
      </c>
      <c r="G1759" t="s">
        <v>15</v>
      </c>
      <c r="H1759">
        <v>7</v>
      </c>
      <c r="I1759">
        <v>2023</v>
      </c>
      <c r="J1759">
        <v>274.25</v>
      </c>
    </row>
    <row r="1760" spans="1:10" x14ac:dyDescent="0.25">
      <c r="A1760" s="1">
        <v>45367</v>
      </c>
      <c r="B1760" t="s">
        <v>36</v>
      </c>
      <c r="C1760" t="s">
        <v>17</v>
      </c>
      <c r="D1760" t="s">
        <v>12</v>
      </c>
      <c r="E1760" t="s">
        <v>390</v>
      </c>
      <c r="F1760" t="s">
        <v>44</v>
      </c>
      <c r="G1760" t="s">
        <v>35</v>
      </c>
      <c r="H1760">
        <v>8</v>
      </c>
      <c r="I1760">
        <v>9416</v>
      </c>
      <c r="J1760">
        <v>2125.54</v>
      </c>
    </row>
    <row r="1761" spans="1:10" x14ac:dyDescent="0.25">
      <c r="A1761" s="1">
        <v>45257</v>
      </c>
      <c r="B1761" t="s">
        <v>36</v>
      </c>
      <c r="C1761" t="s">
        <v>17</v>
      </c>
      <c r="D1761" t="s">
        <v>12</v>
      </c>
      <c r="E1761" t="s">
        <v>192</v>
      </c>
      <c r="F1761" t="s">
        <v>149</v>
      </c>
      <c r="G1761" t="s">
        <v>15</v>
      </c>
      <c r="H1761">
        <v>8</v>
      </c>
      <c r="I1761">
        <v>7560</v>
      </c>
      <c r="J1761">
        <v>494.34</v>
      </c>
    </row>
    <row r="1762" spans="1:10" x14ac:dyDescent="0.25">
      <c r="A1762" s="1">
        <v>44934</v>
      </c>
      <c r="B1762" t="s">
        <v>36</v>
      </c>
      <c r="C1762" t="s">
        <v>17</v>
      </c>
      <c r="D1762" t="s">
        <v>12</v>
      </c>
      <c r="E1762" t="s">
        <v>22</v>
      </c>
      <c r="F1762" t="s">
        <v>23</v>
      </c>
      <c r="G1762" t="s">
        <v>24</v>
      </c>
      <c r="H1762">
        <v>2</v>
      </c>
      <c r="I1762">
        <v>828</v>
      </c>
      <c r="J1762">
        <v>50.07</v>
      </c>
    </row>
    <row r="1763" spans="1:10" x14ac:dyDescent="0.25">
      <c r="A1763" s="1">
        <v>45267</v>
      </c>
      <c r="B1763" t="s">
        <v>16</v>
      </c>
      <c r="C1763" t="s">
        <v>17</v>
      </c>
      <c r="D1763" t="s">
        <v>12</v>
      </c>
      <c r="E1763" t="s">
        <v>244</v>
      </c>
      <c r="F1763" t="s">
        <v>23</v>
      </c>
      <c r="G1763" t="s">
        <v>24</v>
      </c>
      <c r="H1763">
        <v>1</v>
      </c>
      <c r="I1763">
        <v>527</v>
      </c>
      <c r="J1763">
        <v>27.45</v>
      </c>
    </row>
    <row r="1764" spans="1:10" x14ac:dyDescent="0.25">
      <c r="A1764" s="1">
        <v>44815</v>
      </c>
      <c r="B1764" t="s">
        <v>49</v>
      </c>
      <c r="C1764" t="s">
        <v>17</v>
      </c>
      <c r="D1764" t="s">
        <v>12</v>
      </c>
      <c r="E1764" t="s">
        <v>37</v>
      </c>
      <c r="F1764" t="s">
        <v>34</v>
      </c>
      <c r="G1764" t="s">
        <v>35</v>
      </c>
      <c r="H1764">
        <v>2</v>
      </c>
      <c r="I1764">
        <v>1160</v>
      </c>
      <c r="J1764">
        <v>206.49</v>
      </c>
    </row>
    <row r="1765" spans="1:10" x14ac:dyDescent="0.25">
      <c r="A1765" s="1">
        <v>44649</v>
      </c>
      <c r="B1765" t="s">
        <v>16</v>
      </c>
      <c r="C1765" t="s">
        <v>17</v>
      </c>
      <c r="D1765" t="s">
        <v>12</v>
      </c>
      <c r="E1765" t="s">
        <v>75</v>
      </c>
      <c r="F1765" t="s">
        <v>108</v>
      </c>
      <c r="G1765" t="s">
        <v>15</v>
      </c>
      <c r="H1765">
        <v>5</v>
      </c>
      <c r="I1765">
        <v>5430</v>
      </c>
      <c r="J1765">
        <v>310.86</v>
      </c>
    </row>
    <row r="1766" spans="1:10" x14ac:dyDescent="0.25">
      <c r="A1766" s="1">
        <v>45306</v>
      </c>
      <c r="B1766" t="s">
        <v>18</v>
      </c>
      <c r="C1766" t="s">
        <v>19</v>
      </c>
      <c r="D1766" t="s">
        <v>12</v>
      </c>
      <c r="E1766" t="s">
        <v>326</v>
      </c>
      <c r="F1766" t="s">
        <v>34</v>
      </c>
      <c r="G1766" t="s">
        <v>35</v>
      </c>
      <c r="H1766">
        <v>7</v>
      </c>
      <c r="I1766">
        <v>6874</v>
      </c>
      <c r="J1766">
        <v>454.53</v>
      </c>
    </row>
    <row r="1767" spans="1:10" x14ac:dyDescent="0.25">
      <c r="A1767" s="1">
        <v>45119</v>
      </c>
      <c r="B1767" t="s">
        <v>10</v>
      </c>
      <c r="C1767" t="s">
        <v>11</v>
      </c>
      <c r="D1767" t="s">
        <v>12</v>
      </c>
      <c r="E1767" t="s">
        <v>415</v>
      </c>
      <c r="F1767" t="s">
        <v>84</v>
      </c>
      <c r="G1767" t="s">
        <v>28</v>
      </c>
      <c r="H1767">
        <v>8</v>
      </c>
      <c r="I1767">
        <v>8952</v>
      </c>
      <c r="J1767">
        <v>1825.37</v>
      </c>
    </row>
    <row r="1768" spans="1:10" x14ac:dyDescent="0.25">
      <c r="A1768" s="1">
        <v>44718</v>
      </c>
      <c r="B1768" t="s">
        <v>16</v>
      </c>
      <c r="C1768" t="s">
        <v>17</v>
      </c>
      <c r="D1768" t="s">
        <v>12</v>
      </c>
      <c r="E1768" t="s">
        <v>239</v>
      </c>
      <c r="F1768" t="s">
        <v>23</v>
      </c>
      <c r="G1768" t="s">
        <v>24</v>
      </c>
      <c r="H1768">
        <v>8</v>
      </c>
      <c r="I1768">
        <v>416</v>
      </c>
      <c r="J1768">
        <v>67.81</v>
      </c>
    </row>
    <row r="1769" spans="1:10" x14ac:dyDescent="0.25">
      <c r="A1769" s="1">
        <v>45248</v>
      </c>
      <c r="B1769" t="s">
        <v>40</v>
      </c>
      <c r="C1769" t="s">
        <v>19</v>
      </c>
      <c r="D1769" t="s">
        <v>12</v>
      </c>
      <c r="E1769" t="s">
        <v>341</v>
      </c>
      <c r="F1769" t="s">
        <v>46</v>
      </c>
      <c r="G1769" t="s">
        <v>15</v>
      </c>
      <c r="H1769">
        <v>3</v>
      </c>
      <c r="I1769">
        <v>1680</v>
      </c>
      <c r="J1769">
        <v>140.27000000000001</v>
      </c>
    </row>
    <row r="1770" spans="1:10" x14ac:dyDescent="0.25">
      <c r="A1770" s="1">
        <v>44800</v>
      </c>
      <c r="B1770" t="s">
        <v>16</v>
      </c>
      <c r="C1770" t="s">
        <v>17</v>
      </c>
      <c r="D1770" t="s">
        <v>12</v>
      </c>
      <c r="E1770" t="s">
        <v>341</v>
      </c>
      <c r="F1770" t="s">
        <v>46</v>
      </c>
      <c r="G1770" t="s">
        <v>15</v>
      </c>
      <c r="H1770">
        <v>7</v>
      </c>
      <c r="I1770">
        <v>4340</v>
      </c>
      <c r="J1770">
        <v>383.9</v>
      </c>
    </row>
    <row r="1771" spans="1:10" x14ac:dyDescent="0.25">
      <c r="A1771" s="1">
        <v>44577</v>
      </c>
      <c r="B1771" t="s">
        <v>55</v>
      </c>
      <c r="C1771" t="s">
        <v>19</v>
      </c>
      <c r="D1771" t="s">
        <v>12</v>
      </c>
      <c r="E1771" t="s">
        <v>86</v>
      </c>
      <c r="F1771" t="s">
        <v>84</v>
      </c>
      <c r="G1771" t="s">
        <v>28</v>
      </c>
      <c r="H1771">
        <v>9</v>
      </c>
      <c r="I1771">
        <v>7650</v>
      </c>
      <c r="J1771">
        <v>2130.8200000000002</v>
      </c>
    </row>
    <row r="1772" spans="1:10" x14ac:dyDescent="0.25">
      <c r="A1772" s="1">
        <v>45385</v>
      </c>
      <c r="B1772" t="s">
        <v>32</v>
      </c>
      <c r="C1772" t="s">
        <v>19</v>
      </c>
      <c r="D1772" t="s">
        <v>12</v>
      </c>
      <c r="E1772" t="s">
        <v>86</v>
      </c>
      <c r="F1772" t="s">
        <v>84</v>
      </c>
      <c r="G1772" t="s">
        <v>28</v>
      </c>
      <c r="H1772">
        <v>8</v>
      </c>
      <c r="I1772">
        <v>6328</v>
      </c>
      <c r="J1772">
        <v>412.76</v>
      </c>
    </row>
    <row r="1773" spans="1:10" x14ac:dyDescent="0.25">
      <c r="A1773" s="1">
        <v>44792</v>
      </c>
      <c r="B1773" t="s">
        <v>49</v>
      </c>
      <c r="C1773" t="s">
        <v>17</v>
      </c>
      <c r="D1773" t="s">
        <v>12</v>
      </c>
      <c r="E1773" t="s">
        <v>86</v>
      </c>
      <c r="F1773" t="s">
        <v>84</v>
      </c>
      <c r="G1773" t="s">
        <v>28</v>
      </c>
      <c r="H1773">
        <v>2</v>
      </c>
      <c r="I1773">
        <v>1312</v>
      </c>
      <c r="J1773">
        <v>344</v>
      </c>
    </row>
    <row r="1774" spans="1:10" x14ac:dyDescent="0.25">
      <c r="A1774" s="1">
        <v>44582</v>
      </c>
      <c r="B1774" t="s">
        <v>25</v>
      </c>
      <c r="C1774" t="s">
        <v>19</v>
      </c>
      <c r="D1774" t="s">
        <v>12</v>
      </c>
      <c r="E1774" t="s">
        <v>26</v>
      </c>
      <c r="F1774" t="s">
        <v>27</v>
      </c>
      <c r="G1774" t="s">
        <v>28</v>
      </c>
      <c r="H1774">
        <v>9</v>
      </c>
      <c r="I1774">
        <v>8055</v>
      </c>
      <c r="J1774">
        <v>2300.17</v>
      </c>
    </row>
    <row r="1775" spans="1:10" x14ac:dyDescent="0.25">
      <c r="A1775" s="1">
        <v>44639</v>
      </c>
      <c r="B1775" t="s">
        <v>25</v>
      </c>
      <c r="C1775" t="s">
        <v>19</v>
      </c>
      <c r="D1775" t="s">
        <v>12</v>
      </c>
      <c r="E1775" t="s">
        <v>26</v>
      </c>
      <c r="F1775" t="s">
        <v>27</v>
      </c>
      <c r="G1775" t="s">
        <v>28</v>
      </c>
      <c r="H1775">
        <v>2</v>
      </c>
      <c r="I1775">
        <v>840</v>
      </c>
      <c r="J1775">
        <v>153.61000000000001</v>
      </c>
    </row>
    <row r="1776" spans="1:10" x14ac:dyDescent="0.25">
      <c r="A1776" s="1">
        <v>45001</v>
      </c>
      <c r="B1776" t="s">
        <v>18</v>
      </c>
      <c r="C1776" t="s">
        <v>19</v>
      </c>
      <c r="D1776" t="s">
        <v>12</v>
      </c>
      <c r="E1776" t="s">
        <v>416</v>
      </c>
      <c r="F1776" t="s">
        <v>108</v>
      </c>
      <c r="G1776" t="s">
        <v>15</v>
      </c>
      <c r="H1776">
        <v>9</v>
      </c>
      <c r="I1776">
        <v>9423</v>
      </c>
      <c r="J1776">
        <v>2794.89</v>
      </c>
    </row>
    <row r="1777" spans="1:10" x14ac:dyDescent="0.25">
      <c r="A1777" s="1">
        <v>45290</v>
      </c>
      <c r="B1777" t="s">
        <v>36</v>
      </c>
      <c r="C1777" t="s">
        <v>17</v>
      </c>
      <c r="D1777" t="s">
        <v>12</v>
      </c>
      <c r="E1777" t="s">
        <v>178</v>
      </c>
      <c r="F1777" t="s">
        <v>34</v>
      </c>
      <c r="G1777" t="s">
        <v>35</v>
      </c>
      <c r="H1777">
        <v>8</v>
      </c>
      <c r="I1777">
        <v>6520</v>
      </c>
      <c r="J1777">
        <v>1113.1199999999999</v>
      </c>
    </row>
    <row r="1778" spans="1:10" x14ac:dyDescent="0.25">
      <c r="A1778" s="1">
        <v>44854</v>
      </c>
      <c r="B1778" t="s">
        <v>55</v>
      </c>
      <c r="C1778" t="s">
        <v>19</v>
      </c>
      <c r="D1778" t="s">
        <v>12</v>
      </c>
      <c r="E1778" t="s">
        <v>22</v>
      </c>
      <c r="F1778" t="s">
        <v>23</v>
      </c>
      <c r="G1778" t="s">
        <v>24</v>
      </c>
      <c r="H1778">
        <v>3</v>
      </c>
      <c r="I1778">
        <v>1950</v>
      </c>
      <c r="J1778">
        <v>116.12</v>
      </c>
    </row>
    <row r="1779" spans="1:10" x14ac:dyDescent="0.25">
      <c r="A1779" s="1">
        <v>45215</v>
      </c>
      <c r="B1779" t="s">
        <v>25</v>
      </c>
      <c r="C1779" t="s">
        <v>19</v>
      </c>
      <c r="D1779" t="s">
        <v>12</v>
      </c>
      <c r="E1779" t="s">
        <v>159</v>
      </c>
      <c r="F1779" t="s">
        <v>23</v>
      </c>
      <c r="G1779" t="s">
        <v>24</v>
      </c>
      <c r="H1779">
        <v>6</v>
      </c>
      <c r="I1779">
        <v>5928</v>
      </c>
      <c r="J1779">
        <v>1177.2</v>
      </c>
    </row>
    <row r="1780" spans="1:10" x14ac:dyDescent="0.25">
      <c r="A1780" s="1">
        <v>45136</v>
      </c>
      <c r="B1780" t="s">
        <v>25</v>
      </c>
      <c r="C1780" t="s">
        <v>19</v>
      </c>
      <c r="D1780" t="s">
        <v>12</v>
      </c>
      <c r="E1780" t="s">
        <v>56</v>
      </c>
      <c r="F1780" t="s">
        <v>57</v>
      </c>
      <c r="G1780" t="s">
        <v>24</v>
      </c>
      <c r="H1780">
        <v>7</v>
      </c>
      <c r="I1780">
        <v>4809</v>
      </c>
      <c r="J1780">
        <v>1418.72</v>
      </c>
    </row>
    <row r="1781" spans="1:10" x14ac:dyDescent="0.25">
      <c r="A1781" s="1">
        <v>45081</v>
      </c>
      <c r="B1781" t="s">
        <v>40</v>
      </c>
      <c r="C1781" t="s">
        <v>19</v>
      </c>
      <c r="D1781" t="s">
        <v>12</v>
      </c>
      <c r="E1781" t="s">
        <v>37</v>
      </c>
      <c r="F1781" t="s">
        <v>34</v>
      </c>
      <c r="G1781" t="s">
        <v>35</v>
      </c>
      <c r="H1781">
        <v>4</v>
      </c>
      <c r="I1781">
        <v>356</v>
      </c>
      <c r="J1781">
        <v>23.4</v>
      </c>
    </row>
    <row r="1782" spans="1:10" x14ac:dyDescent="0.25">
      <c r="A1782" s="1">
        <v>45044</v>
      </c>
      <c r="B1782" t="s">
        <v>55</v>
      </c>
      <c r="C1782" t="s">
        <v>19</v>
      </c>
      <c r="D1782" t="s">
        <v>12</v>
      </c>
      <c r="E1782" t="s">
        <v>417</v>
      </c>
      <c r="F1782" t="s">
        <v>83</v>
      </c>
      <c r="G1782" t="s">
        <v>28</v>
      </c>
      <c r="H1782">
        <v>2</v>
      </c>
      <c r="I1782">
        <v>570</v>
      </c>
      <c r="J1782">
        <v>94.39</v>
      </c>
    </row>
    <row r="1783" spans="1:10" x14ac:dyDescent="0.25">
      <c r="A1783" s="1">
        <v>44694</v>
      </c>
      <c r="B1783" t="s">
        <v>36</v>
      </c>
      <c r="C1783" t="s">
        <v>17</v>
      </c>
      <c r="D1783" t="s">
        <v>12</v>
      </c>
      <c r="E1783" t="s">
        <v>64</v>
      </c>
      <c r="F1783" t="s">
        <v>84</v>
      </c>
      <c r="G1783" t="s">
        <v>28</v>
      </c>
      <c r="H1783">
        <v>7</v>
      </c>
      <c r="I1783">
        <v>7791</v>
      </c>
      <c r="J1783">
        <v>907.96</v>
      </c>
    </row>
    <row r="1784" spans="1:10" x14ac:dyDescent="0.25">
      <c r="A1784" s="1">
        <v>45422</v>
      </c>
      <c r="B1784" t="s">
        <v>32</v>
      </c>
      <c r="C1784" t="s">
        <v>19</v>
      </c>
      <c r="D1784" t="s">
        <v>12</v>
      </c>
      <c r="E1784" t="s">
        <v>64</v>
      </c>
      <c r="F1784" t="s">
        <v>84</v>
      </c>
      <c r="G1784" t="s">
        <v>28</v>
      </c>
      <c r="H1784">
        <v>4</v>
      </c>
      <c r="I1784">
        <v>4168</v>
      </c>
      <c r="J1784">
        <v>494.48</v>
      </c>
    </row>
    <row r="1785" spans="1:10" x14ac:dyDescent="0.25">
      <c r="A1785" s="1">
        <v>45159</v>
      </c>
      <c r="B1785" t="s">
        <v>18</v>
      </c>
      <c r="C1785" t="s">
        <v>19</v>
      </c>
      <c r="D1785" t="s">
        <v>12</v>
      </c>
      <c r="E1785" t="s">
        <v>132</v>
      </c>
      <c r="F1785" t="s">
        <v>63</v>
      </c>
      <c r="G1785" t="s">
        <v>28</v>
      </c>
      <c r="H1785">
        <v>2</v>
      </c>
      <c r="I1785">
        <v>684</v>
      </c>
      <c r="J1785">
        <v>183.85</v>
      </c>
    </row>
    <row r="1786" spans="1:10" x14ac:dyDescent="0.25">
      <c r="A1786" s="1">
        <v>45296</v>
      </c>
      <c r="B1786" t="s">
        <v>40</v>
      </c>
      <c r="C1786" t="s">
        <v>19</v>
      </c>
      <c r="D1786" t="s">
        <v>12</v>
      </c>
      <c r="E1786" t="s">
        <v>52</v>
      </c>
      <c r="F1786" t="s">
        <v>42</v>
      </c>
      <c r="G1786" t="s">
        <v>28</v>
      </c>
      <c r="H1786">
        <v>7</v>
      </c>
      <c r="I1786">
        <v>3857</v>
      </c>
      <c r="J1786">
        <v>447.99</v>
      </c>
    </row>
    <row r="1787" spans="1:10" x14ac:dyDescent="0.25">
      <c r="A1787" s="1">
        <v>45542</v>
      </c>
      <c r="B1787" t="s">
        <v>25</v>
      </c>
      <c r="C1787" t="s">
        <v>19</v>
      </c>
      <c r="D1787" t="s">
        <v>12</v>
      </c>
      <c r="E1787" t="s">
        <v>62</v>
      </c>
      <c r="F1787" t="s">
        <v>59</v>
      </c>
      <c r="G1787" t="s">
        <v>28</v>
      </c>
      <c r="H1787">
        <v>5</v>
      </c>
      <c r="I1787">
        <v>3250</v>
      </c>
      <c r="J1787">
        <v>699.99</v>
      </c>
    </row>
    <row r="1788" spans="1:10" x14ac:dyDescent="0.25">
      <c r="A1788" s="1">
        <v>45141</v>
      </c>
      <c r="B1788" t="s">
        <v>10</v>
      </c>
      <c r="C1788" t="s">
        <v>11</v>
      </c>
      <c r="D1788" t="s">
        <v>12</v>
      </c>
      <c r="E1788" t="s">
        <v>62</v>
      </c>
      <c r="F1788" t="s">
        <v>59</v>
      </c>
      <c r="G1788" t="s">
        <v>28</v>
      </c>
      <c r="H1788">
        <v>6</v>
      </c>
      <c r="I1788">
        <v>1194</v>
      </c>
      <c r="J1788">
        <v>79.62</v>
      </c>
    </row>
    <row r="1789" spans="1:10" x14ac:dyDescent="0.25">
      <c r="A1789" s="1">
        <v>45053</v>
      </c>
      <c r="B1789" t="s">
        <v>55</v>
      </c>
      <c r="C1789" t="s">
        <v>19</v>
      </c>
      <c r="D1789" t="s">
        <v>12</v>
      </c>
      <c r="E1789" t="s">
        <v>329</v>
      </c>
      <c r="F1789" t="s">
        <v>149</v>
      </c>
      <c r="G1789" t="s">
        <v>15</v>
      </c>
      <c r="H1789">
        <v>6</v>
      </c>
      <c r="I1789">
        <v>3486</v>
      </c>
      <c r="J1789">
        <v>320.91000000000003</v>
      </c>
    </row>
    <row r="1790" spans="1:10" x14ac:dyDescent="0.25">
      <c r="A1790" s="1">
        <v>44778</v>
      </c>
      <c r="B1790" t="s">
        <v>36</v>
      </c>
      <c r="C1790" t="s">
        <v>17</v>
      </c>
      <c r="D1790" t="s">
        <v>12</v>
      </c>
      <c r="E1790" t="s">
        <v>210</v>
      </c>
      <c r="F1790" t="s">
        <v>34</v>
      </c>
      <c r="G1790" t="s">
        <v>35</v>
      </c>
      <c r="H1790">
        <v>7</v>
      </c>
      <c r="I1790">
        <v>1554</v>
      </c>
      <c r="J1790">
        <v>370.97</v>
      </c>
    </row>
    <row r="1791" spans="1:10" x14ac:dyDescent="0.25">
      <c r="A1791" s="1">
        <v>45492</v>
      </c>
      <c r="B1791" t="s">
        <v>32</v>
      </c>
      <c r="C1791" t="s">
        <v>19</v>
      </c>
      <c r="D1791" t="s">
        <v>12</v>
      </c>
      <c r="E1791" t="s">
        <v>56</v>
      </c>
      <c r="F1791" t="s">
        <v>57</v>
      </c>
      <c r="G1791" t="s">
        <v>24</v>
      </c>
      <c r="H1791">
        <v>3</v>
      </c>
      <c r="I1791">
        <v>2601</v>
      </c>
      <c r="J1791">
        <v>463.36</v>
      </c>
    </row>
    <row r="1792" spans="1:10" x14ac:dyDescent="0.25">
      <c r="A1792" s="1">
        <v>44880</v>
      </c>
      <c r="B1792" t="s">
        <v>29</v>
      </c>
      <c r="C1792" t="s">
        <v>17</v>
      </c>
      <c r="D1792" t="s">
        <v>12</v>
      </c>
      <c r="E1792" t="s">
        <v>243</v>
      </c>
      <c r="F1792" t="s">
        <v>78</v>
      </c>
      <c r="G1792" t="s">
        <v>28</v>
      </c>
      <c r="H1792">
        <v>4</v>
      </c>
      <c r="I1792">
        <v>3616</v>
      </c>
      <c r="J1792">
        <v>745.75</v>
      </c>
    </row>
    <row r="1793" spans="1:10" x14ac:dyDescent="0.25">
      <c r="A1793" s="1">
        <v>44958</v>
      </c>
      <c r="B1793" t="s">
        <v>16</v>
      </c>
      <c r="C1793" t="s">
        <v>17</v>
      </c>
      <c r="D1793" t="s">
        <v>12</v>
      </c>
      <c r="E1793" t="s">
        <v>243</v>
      </c>
      <c r="F1793" t="s">
        <v>78</v>
      </c>
      <c r="G1793" t="s">
        <v>28</v>
      </c>
      <c r="H1793">
        <v>5</v>
      </c>
      <c r="I1793">
        <v>3350</v>
      </c>
      <c r="J1793">
        <v>986.33</v>
      </c>
    </row>
    <row r="1794" spans="1:10" x14ac:dyDescent="0.25">
      <c r="A1794" s="1">
        <v>45280</v>
      </c>
      <c r="B1794" t="s">
        <v>32</v>
      </c>
      <c r="C1794" t="s">
        <v>19</v>
      </c>
      <c r="D1794" t="s">
        <v>12</v>
      </c>
      <c r="E1794" t="s">
        <v>361</v>
      </c>
      <c r="F1794" t="s">
        <v>27</v>
      </c>
      <c r="G1794" t="s">
        <v>28</v>
      </c>
      <c r="H1794">
        <v>5</v>
      </c>
      <c r="I1794">
        <v>2545</v>
      </c>
      <c r="J1794">
        <v>588.47</v>
      </c>
    </row>
    <row r="1795" spans="1:10" x14ac:dyDescent="0.25">
      <c r="A1795" s="1">
        <v>45530</v>
      </c>
      <c r="B1795" t="s">
        <v>36</v>
      </c>
      <c r="C1795" t="s">
        <v>17</v>
      </c>
      <c r="D1795" t="s">
        <v>12</v>
      </c>
      <c r="E1795" t="s">
        <v>307</v>
      </c>
      <c r="F1795" t="s">
        <v>156</v>
      </c>
      <c r="G1795" t="s">
        <v>28</v>
      </c>
      <c r="H1795">
        <v>1</v>
      </c>
      <c r="I1795">
        <v>545</v>
      </c>
      <c r="J1795">
        <v>68.28</v>
      </c>
    </row>
    <row r="1796" spans="1:10" x14ac:dyDescent="0.25">
      <c r="A1796" s="1">
        <v>45279</v>
      </c>
      <c r="B1796" t="s">
        <v>16</v>
      </c>
      <c r="C1796" t="s">
        <v>17</v>
      </c>
      <c r="D1796" t="s">
        <v>12</v>
      </c>
      <c r="E1796" t="s">
        <v>246</v>
      </c>
      <c r="F1796" t="s">
        <v>34</v>
      </c>
      <c r="G1796" t="s">
        <v>35</v>
      </c>
      <c r="H1796">
        <v>7</v>
      </c>
      <c r="I1796">
        <v>1470</v>
      </c>
      <c r="J1796">
        <v>178.85</v>
      </c>
    </row>
    <row r="1797" spans="1:10" x14ac:dyDescent="0.25">
      <c r="A1797" s="1">
        <v>45260</v>
      </c>
      <c r="B1797" t="s">
        <v>25</v>
      </c>
      <c r="C1797" t="s">
        <v>19</v>
      </c>
      <c r="D1797" t="s">
        <v>12</v>
      </c>
      <c r="E1797" t="s">
        <v>306</v>
      </c>
      <c r="F1797" t="s">
        <v>200</v>
      </c>
      <c r="G1797" t="s">
        <v>28</v>
      </c>
      <c r="H1797">
        <v>3</v>
      </c>
      <c r="I1797">
        <v>3126</v>
      </c>
      <c r="J1797">
        <v>870.95</v>
      </c>
    </row>
    <row r="1798" spans="1:10" x14ac:dyDescent="0.25">
      <c r="A1798" s="1">
        <v>45653</v>
      </c>
      <c r="B1798" t="s">
        <v>55</v>
      </c>
      <c r="C1798" t="s">
        <v>19</v>
      </c>
      <c r="D1798" t="s">
        <v>12</v>
      </c>
      <c r="E1798" t="s">
        <v>306</v>
      </c>
      <c r="F1798" t="s">
        <v>200</v>
      </c>
      <c r="G1798" t="s">
        <v>28</v>
      </c>
      <c r="H1798">
        <v>3</v>
      </c>
      <c r="I1798">
        <v>1368</v>
      </c>
      <c r="J1798">
        <v>302.29000000000002</v>
      </c>
    </row>
    <row r="1799" spans="1:10" x14ac:dyDescent="0.25">
      <c r="A1799" s="1">
        <v>45647</v>
      </c>
      <c r="B1799" t="s">
        <v>29</v>
      </c>
      <c r="C1799" t="s">
        <v>17</v>
      </c>
      <c r="D1799" t="s">
        <v>12</v>
      </c>
      <c r="E1799" t="s">
        <v>306</v>
      </c>
      <c r="F1799" t="s">
        <v>200</v>
      </c>
      <c r="G1799" t="s">
        <v>28</v>
      </c>
      <c r="H1799">
        <v>9</v>
      </c>
      <c r="I1799">
        <v>7083</v>
      </c>
      <c r="J1799">
        <v>1353.39</v>
      </c>
    </row>
    <row r="1800" spans="1:10" x14ac:dyDescent="0.25">
      <c r="A1800" s="1">
        <v>45319</v>
      </c>
      <c r="B1800" t="s">
        <v>10</v>
      </c>
      <c r="C1800" t="s">
        <v>11</v>
      </c>
      <c r="D1800" t="s">
        <v>12</v>
      </c>
      <c r="E1800" t="s">
        <v>306</v>
      </c>
      <c r="F1800" t="s">
        <v>200</v>
      </c>
      <c r="G1800" t="s">
        <v>28</v>
      </c>
      <c r="H1800">
        <v>2</v>
      </c>
      <c r="I1800">
        <v>1994</v>
      </c>
      <c r="J1800">
        <v>453.74</v>
      </c>
    </row>
    <row r="1801" spans="1:10" x14ac:dyDescent="0.25">
      <c r="A1801" s="1">
        <v>44807</v>
      </c>
      <c r="B1801" t="s">
        <v>25</v>
      </c>
      <c r="C1801" t="s">
        <v>19</v>
      </c>
      <c r="D1801" t="s">
        <v>12</v>
      </c>
      <c r="E1801" t="s">
        <v>37</v>
      </c>
      <c r="F1801" t="s">
        <v>34</v>
      </c>
      <c r="G1801" t="s">
        <v>35</v>
      </c>
      <c r="H1801">
        <v>4</v>
      </c>
      <c r="I1801">
        <v>4716</v>
      </c>
      <c r="J1801">
        <v>1084.1600000000001</v>
      </c>
    </row>
    <row r="1802" spans="1:10" x14ac:dyDescent="0.25">
      <c r="A1802" s="1">
        <v>45351</v>
      </c>
      <c r="B1802" t="s">
        <v>36</v>
      </c>
      <c r="C1802" t="s">
        <v>17</v>
      </c>
      <c r="D1802" t="s">
        <v>12</v>
      </c>
      <c r="E1802" t="s">
        <v>37</v>
      </c>
      <c r="F1802" t="s">
        <v>34</v>
      </c>
      <c r="G1802" t="s">
        <v>35</v>
      </c>
      <c r="H1802">
        <v>1</v>
      </c>
      <c r="I1802">
        <v>975</v>
      </c>
      <c r="J1802">
        <v>125.85</v>
      </c>
    </row>
    <row r="1803" spans="1:10" x14ac:dyDescent="0.25">
      <c r="A1803" s="1">
        <v>45037</v>
      </c>
      <c r="B1803" t="s">
        <v>40</v>
      </c>
      <c r="C1803" t="s">
        <v>19</v>
      </c>
      <c r="D1803" t="s">
        <v>12</v>
      </c>
      <c r="E1803" t="s">
        <v>43</v>
      </c>
      <c r="F1803" t="s">
        <v>44</v>
      </c>
      <c r="G1803" t="s">
        <v>35</v>
      </c>
      <c r="H1803">
        <v>9</v>
      </c>
      <c r="I1803">
        <v>9891</v>
      </c>
      <c r="J1803">
        <v>1774.03</v>
      </c>
    </row>
    <row r="1804" spans="1:10" x14ac:dyDescent="0.25">
      <c r="A1804" s="1">
        <v>45436</v>
      </c>
      <c r="B1804" t="s">
        <v>32</v>
      </c>
      <c r="C1804" t="s">
        <v>19</v>
      </c>
      <c r="D1804" t="s">
        <v>12</v>
      </c>
      <c r="E1804" t="s">
        <v>418</v>
      </c>
      <c r="F1804" t="s">
        <v>39</v>
      </c>
      <c r="G1804" t="s">
        <v>35</v>
      </c>
      <c r="H1804">
        <v>2</v>
      </c>
      <c r="I1804">
        <v>626</v>
      </c>
      <c r="J1804">
        <v>159.49</v>
      </c>
    </row>
    <row r="1805" spans="1:10" x14ac:dyDescent="0.25">
      <c r="A1805" s="1">
        <v>45431</v>
      </c>
      <c r="B1805" t="s">
        <v>36</v>
      </c>
      <c r="C1805" t="s">
        <v>17</v>
      </c>
      <c r="D1805" t="s">
        <v>12</v>
      </c>
      <c r="E1805" t="s">
        <v>419</v>
      </c>
      <c r="F1805" t="s">
        <v>46</v>
      </c>
      <c r="G1805" t="s">
        <v>15</v>
      </c>
      <c r="H1805">
        <v>8</v>
      </c>
      <c r="I1805">
        <v>5632</v>
      </c>
      <c r="J1805">
        <v>1620.04</v>
      </c>
    </row>
    <row r="1806" spans="1:10" x14ac:dyDescent="0.25">
      <c r="A1806" s="1">
        <v>45545</v>
      </c>
      <c r="B1806" t="s">
        <v>10</v>
      </c>
      <c r="C1806" t="s">
        <v>11</v>
      </c>
      <c r="D1806" t="s">
        <v>12</v>
      </c>
      <c r="E1806" t="s">
        <v>419</v>
      </c>
      <c r="F1806" t="s">
        <v>46</v>
      </c>
      <c r="G1806" t="s">
        <v>15</v>
      </c>
      <c r="H1806">
        <v>3</v>
      </c>
      <c r="I1806">
        <v>2568</v>
      </c>
      <c r="J1806">
        <v>734.6</v>
      </c>
    </row>
    <row r="1807" spans="1:10" x14ac:dyDescent="0.25">
      <c r="A1807" s="1">
        <v>45181</v>
      </c>
      <c r="B1807" t="s">
        <v>18</v>
      </c>
      <c r="C1807" t="s">
        <v>19</v>
      </c>
      <c r="D1807" t="s">
        <v>12</v>
      </c>
      <c r="E1807" t="s">
        <v>56</v>
      </c>
      <c r="F1807" t="s">
        <v>57</v>
      </c>
      <c r="G1807" t="s">
        <v>24</v>
      </c>
      <c r="H1807">
        <v>7</v>
      </c>
      <c r="I1807">
        <v>5285</v>
      </c>
      <c r="J1807">
        <v>629.07000000000005</v>
      </c>
    </row>
    <row r="1808" spans="1:10" x14ac:dyDescent="0.25">
      <c r="A1808" s="1">
        <v>45238</v>
      </c>
      <c r="B1808" t="s">
        <v>25</v>
      </c>
      <c r="C1808" t="s">
        <v>19</v>
      </c>
      <c r="D1808" t="s">
        <v>12</v>
      </c>
      <c r="E1808" t="s">
        <v>111</v>
      </c>
      <c r="F1808" t="s">
        <v>115</v>
      </c>
      <c r="G1808" t="s">
        <v>15</v>
      </c>
      <c r="H1808">
        <v>2</v>
      </c>
      <c r="I1808">
        <v>516</v>
      </c>
      <c r="J1808">
        <v>122.77</v>
      </c>
    </row>
    <row r="1809" spans="1:10" x14ac:dyDescent="0.25">
      <c r="A1809" s="1">
        <v>44712</v>
      </c>
      <c r="B1809" t="s">
        <v>36</v>
      </c>
      <c r="C1809" t="s">
        <v>17</v>
      </c>
      <c r="D1809" t="s">
        <v>12</v>
      </c>
      <c r="E1809" t="s">
        <v>22</v>
      </c>
      <c r="F1809" t="s">
        <v>23</v>
      </c>
      <c r="G1809" t="s">
        <v>24</v>
      </c>
      <c r="H1809">
        <v>3</v>
      </c>
      <c r="I1809">
        <v>2139</v>
      </c>
      <c r="J1809">
        <v>503.08</v>
      </c>
    </row>
    <row r="1810" spans="1:10" x14ac:dyDescent="0.25">
      <c r="A1810" s="1">
        <v>44931</v>
      </c>
      <c r="B1810" t="s">
        <v>55</v>
      </c>
      <c r="C1810" t="s">
        <v>19</v>
      </c>
      <c r="D1810" t="s">
        <v>12</v>
      </c>
      <c r="E1810" t="s">
        <v>96</v>
      </c>
      <c r="F1810" t="s">
        <v>34</v>
      </c>
      <c r="G1810" t="s">
        <v>35</v>
      </c>
      <c r="H1810">
        <v>9</v>
      </c>
      <c r="I1810">
        <v>8136</v>
      </c>
      <c r="J1810">
        <v>1923.89</v>
      </c>
    </row>
    <row r="1811" spans="1:10" x14ac:dyDescent="0.25">
      <c r="A1811" s="1">
        <v>45590</v>
      </c>
      <c r="B1811" t="s">
        <v>55</v>
      </c>
      <c r="C1811" t="s">
        <v>19</v>
      </c>
      <c r="D1811" t="s">
        <v>12</v>
      </c>
      <c r="E1811" t="s">
        <v>37</v>
      </c>
      <c r="F1811" t="s">
        <v>34</v>
      </c>
      <c r="G1811" t="s">
        <v>35</v>
      </c>
      <c r="H1811">
        <v>5</v>
      </c>
      <c r="I1811">
        <v>2130</v>
      </c>
      <c r="J1811">
        <v>318.99</v>
      </c>
    </row>
    <row r="1812" spans="1:10" x14ac:dyDescent="0.25">
      <c r="A1812" s="1">
        <v>45383</v>
      </c>
      <c r="B1812" t="s">
        <v>29</v>
      </c>
      <c r="C1812" t="s">
        <v>17</v>
      </c>
      <c r="D1812" t="s">
        <v>12</v>
      </c>
      <c r="E1812" t="s">
        <v>420</v>
      </c>
      <c r="F1812" t="s">
        <v>34</v>
      </c>
      <c r="G1812" t="s">
        <v>35</v>
      </c>
      <c r="H1812">
        <v>5</v>
      </c>
      <c r="I1812">
        <v>3445</v>
      </c>
      <c r="J1812">
        <v>202.15</v>
      </c>
    </row>
    <row r="1813" spans="1:10" x14ac:dyDescent="0.25">
      <c r="A1813" s="1">
        <v>45642</v>
      </c>
      <c r="B1813" t="s">
        <v>18</v>
      </c>
      <c r="C1813" t="s">
        <v>19</v>
      </c>
      <c r="D1813" t="s">
        <v>12</v>
      </c>
      <c r="E1813" t="s">
        <v>382</v>
      </c>
      <c r="F1813" t="s">
        <v>78</v>
      </c>
      <c r="G1813" t="s">
        <v>28</v>
      </c>
      <c r="H1813">
        <v>8</v>
      </c>
      <c r="I1813">
        <v>5376</v>
      </c>
      <c r="J1813">
        <v>429.84</v>
      </c>
    </row>
    <row r="1814" spans="1:10" x14ac:dyDescent="0.25">
      <c r="A1814" s="1">
        <v>45143</v>
      </c>
      <c r="B1814" t="s">
        <v>10</v>
      </c>
      <c r="C1814" t="s">
        <v>11</v>
      </c>
      <c r="D1814" t="s">
        <v>12</v>
      </c>
      <c r="E1814" t="s">
        <v>382</v>
      </c>
      <c r="F1814" t="s">
        <v>78</v>
      </c>
      <c r="G1814" t="s">
        <v>28</v>
      </c>
      <c r="H1814">
        <v>6</v>
      </c>
      <c r="I1814">
        <v>3006</v>
      </c>
      <c r="J1814">
        <v>730.14</v>
      </c>
    </row>
    <row r="1815" spans="1:10" x14ac:dyDescent="0.25">
      <c r="A1815" s="1">
        <v>44926</v>
      </c>
      <c r="B1815" t="s">
        <v>29</v>
      </c>
      <c r="C1815" t="s">
        <v>17</v>
      </c>
      <c r="D1815" t="s">
        <v>12</v>
      </c>
      <c r="E1815" t="s">
        <v>382</v>
      </c>
      <c r="F1815" t="s">
        <v>78</v>
      </c>
      <c r="G1815" t="s">
        <v>28</v>
      </c>
      <c r="H1815">
        <v>7</v>
      </c>
      <c r="I1815">
        <v>3941</v>
      </c>
      <c r="J1815">
        <v>1113.8499999999999</v>
      </c>
    </row>
    <row r="1816" spans="1:10" x14ac:dyDescent="0.25">
      <c r="A1816" s="1">
        <v>44995</v>
      </c>
      <c r="B1816" t="s">
        <v>36</v>
      </c>
      <c r="C1816" t="s">
        <v>17</v>
      </c>
      <c r="D1816" t="s">
        <v>12</v>
      </c>
      <c r="E1816" t="s">
        <v>75</v>
      </c>
      <c r="F1816" t="s">
        <v>63</v>
      </c>
      <c r="G1816" t="s">
        <v>28</v>
      </c>
      <c r="H1816">
        <v>5</v>
      </c>
      <c r="I1816">
        <v>3350</v>
      </c>
      <c r="J1816">
        <v>389.95</v>
      </c>
    </row>
    <row r="1817" spans="1:10" x14ac:dyDescent="0.25">
      <c r="A1817" s="1">
        <v>45417</v>
      </c>
      <c r="B1817" t="s">
        <v>10</v>
      </c>
      <c r="C1817" t="s">
        <v>11</v>
      </c>
      <c r="D1817" t="s">
        <v>12</v>
      </c>
      <c r="E1817" t="s">
        <v>75</v>
      </c>
      <c r="F1817" t="s">
        <v>63</v>
      </c>
      <c r="G1817" t="s">
        <v>28</v>
      </c>
      <c r="H1817">
        <v>3</v>
      </c>
      <c r="I1817">
        <v>2019</v>
      </c>
      <c r="J1817">
        <v>265.44</v>
      </c>
    </row>
    <row r="1818" spans="1:10" x14ac:dyDescent="0.25">
      <c r="A1818" s="1">
        <v>44721</v>
      </c>
      <c r="B1818" t="s">
        <v>29</v>
      </c>
      <c r="C1818" t="s">
        <v>17</v>
      </c>
      <c r="D1818" t="s">
        <v>12</v>
      </c>
      <c r="E1818" t="s">
        <v>22</v>
      </c>
      <c r="F1818" t="s">
        <v>23</v>
      </c>
      <c r="G1818" t="s">
        <v>24</v>
      </c>
      <c r="H1818">
        <v>8</v>
      </c>
      <c r="I1818">
        <v>2416</v>
      </c>
      <c r="J1818">
        <v>403.38</v>
      </c>
    </row>
    <row r="1819" spans="1:10" x14ac:dyDescent="0.25">
      <c r="A1819" s="1">
        <v>44694</v>
      </c>
      <c r="B1819" t="s">
        <v>36</v>
      </c>
      <c r="C1819" t="s">
        <v>17</v>
      </c>
      <c r="D1819" t="s">
        <v>12</v>
      </c>
      <c r="E1819" t="s">
        <v>70</v>
      </c>
      <c r="F1819" t="s">
        <v>71</v>
      </c>
      <c r="G1819" t="s">
        <v>35</v>
      </c>
      <c r="H1819">
        <v>8</v>
      </c>
      <c r="I1819">
        <v>6160</v>
      </c>
      <c r="J1819">
        <v>684.71</v>
      </c>
    </row>
    <row r="1820" spans="1:10" x14ac:dyDescent="0.25">
      <c r="A1820" s="1">
        <v>44658</v>
      </c>
      <c r="B1820" t="s">
        <v>10</v>
      </c>
      <c r="C1820" t="s">
        <v>11</v>
      </c>
      <c r="D1820" t="s">
        <v>12</v>
      </c>
      <c r="E1820" t="s">
        <v>26</v>
      </c>
      <c r="F1820" t="s">
        <v>27</v>
      </c>
      <c r="G1820" t="s">
        <v>28</v>
      </c>
      <c r="H1820">
        <v>4</v>
      </c>
      <c r="I1820">
        <v>2796</v>
      </c>
      <c r="J1820">
        <v>682.65</v>
      </c>
    </row>
    <row r="1821" spans="1:10" x14ac:dyDescent="0.25">
      <c r="A1821" s="1">
        <v>45645</v>
      </c>
      <c r="B1821" t="s">
        <v>32</v>
      </c>
      <c r="C1821" t="s">
        <v>19</v>
      </c>
      <c r="D1821" t="s">
        <v>12</v>
      </c>
      <c r="E1821" t="s">
        <v>75</v>
      </c>
      <c r="F1821" t="s">
        <v>108</v>
      </c>
      <c r="G1821" t="s">
        <v>15</v>
      </c>
      <c r="H1821">
        <v>7</v>
      </c>
      <c r="I1821">
        <v>7700</v>
      </c>
      <c r="J1821">
        <v>1573.41</v>
      </c>
    </row>
    <row r="1822" spans="1:10" x14ac:dyDescent="0.25">
      <c r="A1822" s="1">
        <v>45460</v>
      </c>
      <c r="B1822" t="s">
        <v>32</v>
      </c>
      <c r="C1822" t="s">
        <v>19</v>
      </c>
      <c r="D1822" t="s">
        <v>12</v>
      </c>
      <c r="E1822" t="s">
        <v>75</v>
      </c>
      <c r="F1822" t="s">
        <v>108</v>
      </c>
      <c r="G1822" t="s">
        <v>15</v>
      </c>
      <c r="H1822">
        <v>5</v>
      </c>
      <c r="I1822">
        <v>2095</v>
      </c>
      <c r="J1822">
        <v>193.93</v>
      </c>
    </row>
    <row r="1823" spans="1:10" x14ac:dyDescent="0.25">
      <c r="A1823" s="1">
        <v>45560</v>
      </c>
      <c r="B1823" t="s">
        <v>25</v>
      </c>
      <c r="C1823" t="s">
        <v>19</v>
      </c>
      <c r="D1823" t="s">
        <v>12</v>
      </c>
      <c r="E1823" t="s">
        <v>53</v>
      </c>
      <c r="F1823" t="s">
        <v>54</v>
      </c>
      <c r="G1823" t="s">
        <v>24</v>
      </c>
      <c r="H1823">
        <v>5</v>
      </c>
      <c r="I1823">
        <v>5990</v>
      </c>
      <c r="J1823">
        <v>1548.62</v>
      </c>
    </row>
    <row r="1824" spans="1:10" x14ac:dyDescent="0.25">
      <c r="A1824" s="1">
        <v>45653</v>
      </c>
      <c r="B1824" t="s">
        <v>32</v>
      </c>
      <c r="C1824" t="s">
        <v>19</v>
      </c>
      <c r="D1824" t="s">
        <v>12</v>
      </c>
      <c r="E1824" t="s">
        <v>132</v>
      </c>
      <c r="F1824" t="s">
        <v>115</v>
      </c>
      <c r="G1824" t="s">
        <v>15</v>
      </c>
      <c r="H1824">
        <v>2</v>
      </c>
      <c r="I1824">
        <v>1206</v>
      </c>
      <c r="J1824">
        <v>307.02</v>
      </c>
    </row>
    <row r="1825" spans="1:10" x14ac:dyDescent="0.25">
      <c r="A1825" s="1">
        <v>45366</v>
      </c>
      <c r="B1825" t="s">
        <v>32</v>
      </c>
      <c r="C1825" t="s">
        <v>19</v>
      </c>
      <c r="D1825" t="s">
        <v>12</v>
      </c>
      <c r="E1825" t="s">
        <v>37</v>
      </c>
      <c r="F1825" t="s">
        <v>34</v>
      </c>
      <c r="G1825" t="s">
        <v>35</v>
      </c>
      <c r="H1825">
        <v>5</v>
      </c>
      <c r="I1825">
        <v>1330</v>
      </c>
      <c r="J1825">
        <v>285.77999999999997</v>
      </c>
    </row>
    <row r="1826" spans="1:10" x14ac:dyDescent="0.25">
      <c r="A1826" s="1">
        <v>44767</v>
      </c>
      <c r="B1826" t="s">
        <v>25</v>
      </c>
      <c r="C1826" t="s">
        <v>19</v>
      </c>
      <c r="D1826" t="s">
        <v>12</v>
      </c>
      <c r="E1826" t="s">
        <v>136</v>
      </c>
      <c r="F1826" t="s">
        <v>65</v>
      </c>
      <c r="G1826" t="s">
        <v>35</v>
      </c>
      <c r="H1826">
        <v>6</v>
      </c>
      <c r="I1826">
        <v>2706</v>
      </c>
      <c r="J1826">
        <v>766.68</v>
      </c>
    </row>
    <row r="1827" spans="1:10" x14ac:dyDescent="0.25">
      <c r="A1827" s="1">
        <v>44940</v>
      </c>
      <c r="B1827" t="s">
        <v>55</v>
      </c>
      <c r="C1827" t="s">
        <v>19</v>
      </c>
      <c r="D1827" t="s">
        <v>12</v>
      </c>
      <c r="E1827" t="s">
        <v>421</v>
      </c>
      <c r="F1827" t="s">
        <v>21</v>
      </c>
      <c r="G1827" t="s">
        <v>15</v>
      </c>
      <c r="H1827">
        <v>3</v>
      </c>
      <c r="I1827">
        <v>426</v>
      </c>
      <c r="J1827">
        <v>50.8</v>
      </c>
    </row>
    <row r="1828" spans="1:10" x14ac:dyDescent="0.25">
      <c r="A1828" s="1">
        <v>45609</v>
      </c>
      <c r="B1828" t="s">
        <v>18</v>
      </c>
      <c r="C1828" t="s">
        <v>19</v>
      </c>
      <c r="D1828" t="s">
        <v>12</v>
      </c>
      <c r="E1828" t="s">
        <v>91</v>
      </c>
      <c r="F1828" t="s">
        <v>133</v>
      </c>
      <c r="G1828" t="s">
        <v>28</v>
      </c>
      <c r="H1828">
        <v>1</v>
      </c>
      <c r="I1828">
        <v>414</v>
      </c>
      <c r="J1828">
        <v>50.26</v>
      </c>
    </row>
    <row r="1829" spans="1:10" x14ac:dyDescent="0.25">
      <c r="A1829" s="1">
        <v>45472</v>
      </c>
      <c r="B1829" t="s">
        <v>55</v>
      </c>
      <c r="C1829" t="s">
        <v>19</v>
      </c>
      <c r="D1829" t="s">
        <v>12</v>
      </c>
      <c r="E1829" t="s">
        <v>134</v>
      </c>
      <c r="F1829" t="s">
        <v>51</v>
      </c>
      <c r="G1829" t="s">
        <v>35</v>
      </c>
      <c r="H1829">
        <v>5</v>
      </c>
      <c r="I1829">
        <v>5465</v>
      </c>
      <c r="J1829">
        <v>546.33000000000004</v>
      </c>
    </row>
    <row r="1830" spans="1:10" x14ac:dyDescent="0.25">
      <c r="A1830" s="1">
        <v>45434</v>
      </c>
      <c r="B1830" t="s">
        <v>18</v>
      </c>
      <c r="C1830" t="s">
        <v>19</v>
      </c>
      <c r="D1830" t="s">
        <v>12</v>
      </c>
      <c r="E1830" t="s">
        <v>422</v>
      </c>
      <c r="F1830" t="s">
        <v>34</v>
      </c>
      <c r="G1830" t="s">
        <v>35</v>
      </c>
      <c r="H1830">
        <v>3</v>
      </c>
      <c r="I1830">
        <v>726</v>
      </c>
      <c r="J1830">
        <v>71.06</v>
      </c>
    </row>
    <row r="1831" spans="1:10" x14ac:dyDescent="0.25">
      <c r="A1831" s="1">
        <v>44681</v>
      </c>
      <c r="B1831" t="s">
        <v>32</v>
      </c>
      <c r="C1831" t="s">
        <v>19</v>
      </c>
      <c r="D1831" t="s">
        <v>12</v>
      </c>
      <c r="E1831" t="s">
        <v>423</v>
      </c>
      <c r="F1831" t="s">
        <v>54</v>
      </c>
      <c r="G1831" t="s">
        <v>24</v>
      </c>
      <c r="H1831">
        <v>1</v>
      </c>
      <c r="I1831">
        <v>1001</v>
      </c>
      <c r="J1831">
        <v>225.75</v>
      </c>
    </row>
    <row r="1832" spans="1:10" x14ac:dyDescent="0.25">
      <c r="A1832" s="1">
        <v>44608</v>
      </c>
      <c r="B1832" t="s">
        <v>16</v>
      </c>
      <c r="C1832" t="s">
        <v>17</v>
      </c>
      <c r="D1832" t="s">
        <v>12</v>
      </c>
      <c r="E1832" t="s">
        <v>52</v>
      </c>
      <c r="F1832" t="s">
        <v>42</v>
      </c>
      <c r="G1832" t="s">
        <v>28</v>
      </c>
      <c r="H1832">
        <v>9</v>
      </c>
      <c r="I1832">
        <v>7362</v>
      </c>
      <c r="J1832">
        <v>1866.65</v>
      </c>
    </row>
    <row r="1833" spans="1:10" x14ac:dyDescent="0.25">
      <c r="A1833" s="1">
        <v>44695</v>
      </c>
      <c r="B1833" t="s">
        <v>49</v>
      </c>
      <c r="C1833" t="s">
        <v>17</v>
      </c>
      <c r="D1833" t="s">
        <v>12</v>
      </c>
      <c r="E1833" t="s">
        <v>52</v>
      </c>
      <c r="F1833" t="s">
        <v>42</v>
      </c>
      <c r="G1833" t="s">
        <v>28</v>
      </c>
      <c r="H1833">
        <v>4</v>
      </c>
      <c r="I1833">
        <v>2284</v>
      </c>
      <c r="J1833">
        <v>576.59</v>
      </c>
    </row>
    <row r="1834" spans="1:10" x14ac:dyDescent="0.25">
      <c r="A1834" s="1">
        <v>44912</v>
      </c>
      <c r="B1834" t="s">
        <v>18</v>
      </c>
      <c r="C1834" t="s">
        <v>19</v>
      </c>
      <c r="D1834" t="s">
        <v>12</v>
      </c>
      <c r="E1834" t="s">
        <v>52</v>
      </c>
      <c r="F1834" t="s">
        <v>42</v>
      </c>
      <c r="G1834" t="s">
        <v>28</v>
      </c>
      <c r="H1834">
        <v>4</v>
      </c>
      <c r="I1834">
        <v>2940</v>
      </c>
      <c r="J1834">
        <v>566.36</v>
      </c>
    </row>
    <row r="1835" spans="1:10" x14ac:dyDescent="0.25">
      <c r="A1835" s="1">
        <v>45062</v>
      </c>
      <c r="B1835" t="s">
        <v>10</v>
      </c>
      <c r="C1835" t="s">
        <v>11</v>
      </c>
      <c r="D1835" t="s">
        <v>12</v>
      </c>
      <c r="E1835" t="s">
        <v>22</v>
      </c>
      <c r="F1835" t="s">
        <v>23</v>
      </c>
      <c r="G1835" t="s">
        <v>24</v>
      </c>
      <c r="H1835">
        <v>4</v>
      </c>
      <c r="I1835">
        <v>3068</v>
      </c>
      <c r="J1835">
        <v>868.89</v>
      </c>
    </row>
    <row r="1836" spans="1:10" x14ac:dyDescent="0.25">
      <c r="A1836" s="1">
        <v>45511</v>
      </c>
      <c r="B1836" t="s">
        <v>40</v>
      </c>
      <c r="C1836" t="s">
        <v>19</v>
      </c>
      <c r="D1836" t="s">
        <v>12</v>
      </c>
      <c r="E1836" t="s">
        <v>210</v>
      </c>
      <c r="F1836" t="s">
        <v>34</v>
      </c>
      <c r="G1836" t="s">
        <v>35</v>
      </c>
      <c r="H1836">
        <v>3</v>
      </c>
      <c r="I1836">
        <v>3477</v>
      </c>
      <c r="J1836">
        <v>862.21</v>
      </c>
    </row>
    <row r="1837" spans="1:10" x14ac:dyDescent="0.25">
      <c r="A1837" s="1">
        <v>45508</v>
      </c>
      <c r="B1837" t="s">
        <v>32</v>
      </c>
      <c r="C1837" t="s">
        <v>19</v>
      </c>
      <c r="D1837" t="s">
        <v>12</v>
      </c>
      <c r="E1837" t="s">
        <v>52</v>
      </c>
      <c r="F1837" t="s">
        <v>42</v>
      </c>
      <c r="G1837" t="s">
        <v>28</v>
      </c>
      <c r="H1837">
        <v>9</v>
      </c>
      <c r="I1837">
        <v>4014</v>
      </c>
      <c r="J1837">
        <v>204.48</v>
      </c>
    </row>
    <row r="1838" spans="1:10" x14ac:dyDescent="0.25">
      <c r="A1838" s="1">
        <v>45511</v>
      </c>
      <c r="B1838" t="s">
        <v>36</v>
      </c>
      <c r="C1838" t="s">
        <v>17</v>
      </c>
      <c r="D1838" t="s">
        <v>12</v>
      </c>
      <c r="E1838" t="s">
        <v>338</v>
      </c>
      <c r="F1838" t="s">
        <v>27</v>
      </c>
      <c r="G1838" t="s">
        <v>28</v>
      </c>
      <c r="H1838">
        <v>8</v>
      </c>
      <c r="I1838">
        <v>7200</v>
      </c>
      <c r="J1838">
        <v>804.53</v>
      </c>
    </row>
    <row r="1839" spans="1:10" x14ac:dyDescent="0.25">
      <c r="A1839" s="1">
        <v>45385</v>
      </c>
      <c r="B1839" t="s">
        <v>32</v>
      </c>
      <c r="C1839" t="s">
        <v>19</v>
      </c>
      <c r="D1839" t="s">
        <v>12</v>
      </c>
      <c r="E1839" t="s">
        <v>26</v>
      </c>
      <c r="F1839" t="s">
        <v>27</v>
      </c>
      <c r="G1839" t="s">
        <v>28</v>
      </c>
      <c r="H1839">
        <v>3</v>
      </c>
      <c r="I1839">
        <v>735</v>
      </c>
      <c r="J1839">
        <v>134.53</v>
      </c>
    </row>
    <row r="1840" spans="1:10" x14ac:dyDescent="0.25">
      <c r="A1840" s="1">
        <v>44957</v>
      </c>
      <c r="B1840" t="s">
        <v>36</v>
      </c>
      <c r="C1840" t="s">
        <v>17</v>
      </c>
      <c r="D1840" t="s">
        <v>12</v>
      </c>
      <c r="E1840" t="s">
        <v>56</v>
      </c>
      <c r="F1840" t="s">
        <v>57</v>
      </c>
      <c r="G1840" t="s">
        <v>24</v>
      </c>
      <c r="H1840">
        <v>3</v>
      </c>
      <c r="I1840">
        <v>2964</v>
      </c>
      <c r="J1840">
        <v>446.54</v>
      </c>
    </row>
    <row r="1841" spans="1:10" x14ac:dyDescent="0.25">
      <c r="A1841" s="1">
        <v>44645</v>
      </c>
      <c r="B1841" t="s">
        <v>25</v>
      </c>
      <c r="C1841" t="s">
        <v>19</v>
      </c>
      <c r="D1841" t="s">
        <v>12</v>
      </c>
      <c r="E1841" t="s">
        <v>103</v>
      </c>
      <c r="F1841" t="s">
        <v>149</v>
      </c>
      <c r="G1841" t="s">
        <v>15</v>
      </c>
      <c r="H1841">
        <v>9</v>
      </c>
      <c r="I1841">
        <v>3699</v>
      </c>
      <c r="J1841">
        <v>276.07</v>
      </c>
    </row>
    <row r="1842" spans="1:10" x14ac:dyDescent="0.25">
      <c r="A1842" s="1">
        <v>44695</v>
      </c>
      <c r="B1842" t="s">
        <v>10</v>
      </c>
      <c r="C1842" t="s">
        <v>11</v>
      </c>
      <c r="D1842" t="s">
        <v>12</v>
      </c>
      <c r="E1842" t="s">
        <v>22</v>
      </c>
      <c r="F1842" t="s">
        <v>23</v>
      </c>
      <c r="G1842" t="s">
        <v>24</v>
      </c>
      <c r="H1842">
        <v>3</v>
      </c>
      <c r="I1842">
        <v>1563</v>
      </c>
      <c r="J1842">
        <v>221.62</v>
      </c>
    </row>
    <row r="1843" spans="1:10" x14ac:dyDescent="0.25">
      <c r="A1843" s="1">
        <v>45120</v>
      </c>
      <c r="B1843" t="s">
        <v>16</v>
      </c>
      <c r="C1843" t="s">
        <v>17</v>
      </c>
      <c r="D1843" t="s">
        <v>12</v>
      </c>
      <c r="E1843" t="s">
        <v>298</v>
      </c>
      <c r="F1843" t="s">
        <v>46</v>
      </c>
      <c r="G1843" t="s">
        <v>15</v>
      </c>
      <c r="H1843">
        <v>2</v>
      </c>
      <c r="I1843">
        <v>124</v>
      </c>
      <c r="J1843">
        <v>32.270000000000003</v>
      </c>
    </row>
    <row r="1844" spans="1:10" x14ac:dyDescent="0.25">
      <c r="A1844" s="1">
        <v>45110</v>
      </c>
      <c r="B1844" t="s">
        <v>16</v>
      </c>
      <c r="C1844" t="s">
        <v>17</v>
      </c>
      <c r="D1844" t="s">
        <v>12</v>
      </c>
      <c r="E1844" t="s">
        <v>56</v>
      </c>
      <c r="F1844" t="s">
        <v>57</v>
      </c>
      <c r="G1844" t="s">
        <v>24</v>
      </c>
      <c r="H1844">
        <v>2</v>
      </c>
      <c r="I1844">
        <v>416</v>
      </c>
      <c r="J1844">
        <v>71.680000000000007</v>
      </c>
    </row>
    <row r="1845" spans="1:10" x14ac:dyDescent="0.25">
      <c r="A1845" s="1">
        <v>44992</v>
      </c>
      <c r="B1845" t="s">
        <v>25</v>
      </c>
      <c r="C1845" t="s">
        <v>19</v>
      </c>
      <c r="D1845" t="s">
        <v>12</v>
      </c>
      <c r="E1845" t="s">
        <v>20</v>
      </c>
      <c r="F1845" t="s">
        <v>21</v>
      </c>
      <c r="G1845" t="s">
        <v>15</v>
      </c>
      <c r="H1845">
        <v>8</v>
      </c>
      <c r="I1845">
        <v>2624</v>
      </c>
      <c r="J1845">
        <v>294.24</v>
      </c>
    </row>
    <row r="1846" spans="1:10" x14ac:dyDescent="0.25">
      <c r="A1846" s="1">
        <v>45600</v>
      </c>
      <c r="B1846" t="s">
        <v>29</v>
      </c>
      <c r="C1846" t="s">
        <v>17</v>
      </c>
      <c r="D1846" t="s">
        <v>12</v>
      </c>
      <c r="E1846" t="s">
        <v>37</v>
      </c>
      <c r="F1846" t="s">
        <v>34</v>
      </c>
      <c r="G1846" t="s">
        <v>35</v>
      </c>
      <c r="H1846">
        <v>4</v>
      </c>
      <c r="I1846">
        <v>1636</v>
      </c>
      <c r="J1846">
        <v>134.85</v>
      </c>
    </row>
    <row r="1847" spans="1:10" x14ac:dyDescent="0.25">
      <c r="A1847" s="1">
        <v>45284</v>
      </c>
      <c r="B1847" t="s">
        <v>29</v>
      </c>
      <c r="C1847" t="s">
        <v>17</v>
      </c>
      <c r="D1847" t="s">
        <v>12</v>
      </c>
      <c r="E1847" t="s">
        <v>243</v>
      </c>
      <c r="F1847" t="s">
        <v>23</v>
      </c>
      <c r="G1847" t="s">
        <v>24</v>
      </c>
      <c r="H1847">
        <v>8</v>
      </c>
      <c r="I1847">
        <v>8200</v>
      </c>
      <c r="J1847">
        <v>1978.93</v>
      </c>
    </row>
    <row r="1848" spans="1:10" x14ac:dyDescent="0.25">
      <c r="A1848" s="1">
        <v>44630</v>
      </c>
      <c r="B1848" t="s">
        <v>16</v>
      </c>
      <c r="C1848" t="s">
        <v>17</v>
      </c>
      <c r="D1848" t="s">
        <v>12</v>
      </c>
      <c r="E1848" t="s">
        <v>112</v>
      </c>
      <c r="F1848" t="s">
        <v>63</v>
      </c>
      <c r="G1848" t="s">
        <v>28</v>
      </c>
      <c r="H1848">
        <v>5</v>
      </c>
      <c r="I1848">
        <v>5615</v>
      </c>
      <c r="J1848">
        <v>715.58</v>
      </c>
    </row>
    <row r="1849" spans="1:10" x14ac:dyDescent="0.25">
      <c r="A1849" s="1">
        <v>44834</v>
      </c>
      <c r="B1849" t="s">
        <v>10</v>
      </c>
      <c r="C1849" t="s">
        <v>11</v>
      </c>
      <c r="D1849" t="s">
        <v>12</v>
      </c>
      <c r="E1849" t="s">
        <v>92</v>
      </c>
      <c r="F1849" t="s">
        <v>44</v>
      </c>
      <c r="G1849" t="s">
        <v>35</v>
      </c>
      <c r="H1849">
        <v>5</v>
      </c>
      <c r="I1849">
        <v>3085</v>
      </c>
      <c r="J1849">
        <v>413.52</v>
      </c>
    </row>
    <row r="1850" spans="1:10" x14ac:dyDescent="0.25">
      <c r="A1850" s="1">
        <v>45633</v>
      </c>
      <c r="B1850" t="s">
        <v>49</v>
      </c>
      <c r="C1850" t="s">
        <v>17</v>
      </c>
      <c r="D1850" t="s">
        <v>12</v>
      </c>
      <c r="E1850" t="s">
        <v>92</v>
      </c>
      <c r="F1850" t="s">
        <v>44</v>
      </c>
      <c r="G1850" t="s">
        <v>35</v>
      </c>
      <c r="H1850">
        <v>6</v>
      </c>
      <c r="I1850">
        <v>3198</v>
      </c>
      <c r="J1850">
        <v>913.76</v>
      </c>
    </row>
    <row r="1851" spans="1:10" x14ac:dyDescent="0.25">
      <c r="A1851" s="1">
        <v>44605</v>
      </c>
      <c r="B1851" t="s">
        <v>25</v>
      </c>
      <c r="C1851" t="s">
        <v>19</v>
      </c>
      <c r="D1851" t="s">
        <v>12</v>
      </c>
      <c r="E1851" t="s">
        <v>424</v>
      </c>
      <c r="F1851" t="s">
        <v>34</v>
      </c>
      <c r="G1851" t="s">
        <v>35</v>
      </c>
      <c r="H1851">
        <v>4</v>
      </c>
      <c r="I1851">
        <v>1848</v>
      </c>
      <c r="J1851">
        <v>374.66</v>
      </c>
    </row>
    <row r="1852" spans="1:10" x14ac:dyDescent="0.25">
      <c r="A1852" s="1">
        <v>45027</v>
      </c>
      <c r="B1852" t="s">
        <v>32</v>
      </c>
      <c r="C1852" t="s">
        <v>19</v>
      </c>
      <c r="D1852" t="s">
        <v>12</v>
      </c>
      <c r="E1852" t="s">
        <v>74</v>
      </c>
      <c r="F1852" t="s">
        <v>23</v>
      </c>
      <c r="G1852" t="s">
        <v>24</v>
      </c>
      <c r="H1852">
        <v>4</v>
      </c>
      <c r="I1852">
        <v>652</v>
      </c>
      <c r="J1852">
        <v>116.06</v>
      </c>
    </row>
    <row r="1853" spans="1:10" x14ac:dyDescent="0.25">
      <c r="A1853" s="1">
        <v>44887</v>
      </c>
      <c r="B1853" t="s">
        <v>16</v>
      </c>
      <c r="C1853" t="s">
        <v>17</v>
      </c>
      <c r="D1853" t="s">
        <v>12</v>
      </c>
      <c r="E1853" t="s">
        <v>298</v>
      </c>
      <c r="F1853" t="s">
        <v>46</v>
      </c>
      <c r="G1853" t="s">
        <v>15</v>
      </c>
      <c r="H1853">
        <v>6</v>
      </c>
      <c r="I1853">
        <v>2940</v>
      </c>
      <c r="J1853">
        <v>609.99</v>
      </c>
    </row>
    <row r="1854" spans="1:10" x14ac:dyDescent="0.25">
      <c r="A1854" s="1">
        <v>44710</v>
      </c>
      <c r="B1854" t="s">
        <v>29</v>
      </c>
      <c r="C1854" t="s">
        <v>17</v>
      </c>
      <c r="D1854" t="s">
        <v>12</v>
      </c>
      <c r="E1854" t="s">
        <v>298</v>
      </c>
      <c r="F1854" t="s">
        <v>46</v>
      </c>
      <c r="G1854" t="s">
        <v>15</v>
      </c>
      <c r="H1854">
        <v>4</v>
      </c>
      <c r="I1854">
        <v>3912</v>
      </c>
      <c r="J1854">
        <v>454.89</v>
      </c>
    </row>
    <row r="1855" spans="1:10" x14ac:dyDescent="0.25">
      <c r="A1855" s="1">
        <v>44843</v>
      </c>
      <c r="B1855" t="s">
        <v>18</v>
      </c>
      <c r="C1855" t="s">
        <v>19</v>
      </c>
      <c r="D1855" t="s">
        <v>12</v>
      </c>
      <c r="E1855" t="s">
        <v>52</v>
      </c>
      <c r="F1855" t="s">
        <v>42</v>
      </c>
      <c r="G1855" t="s">
        <v>28</v>
      </c>
      <c r="H1855">
        <v>8</v>
      </c>
      <c r="I1855">
        <v>9392</v>
      </c>
      <c r="J1855">
        <v>891.07</v>
      </c>
    </row>
    <row r="1856" spans="1:10" x14ac:dyDescent="0.25">
      <c r="A1856" s="1">
        <v>44855</v>
      </c>
      <c r="B1856" t="s">
        <v>36</v>
      </c>
      <c r="C1856" t="s">
        <v>17</v>
      </c>
      <c r="D1856" t="s">
        <v>12</v>
      </c>
      <c r="E1856" t="s">
        <v>22</v>
      </c>
      <c r="F1856" t="s">
        <v>23</v>
      </c>
      <c r="G1856" t="s">
        <v>24</v>
      </c>
      <c r="H1856">
        <v>1</v>
      </c>
      <c r="I1856">
        <v>312</v>
      </c>
      <c r="J1856">
        <v>43.01</v>
      </c>
    </row>
    <row r="1857" spans="1:10" x14ac:dyDescent="0.25">
      <c r="A1857" s="1">
        <v>45254</v>
      </c>
      <c r="B1857" t="s">
        <v>55</v>
      </c>
      <c r="C1857" t="s">
        <v>19</v>
      </c>
      <c r="D1857" t="s">
        <v>12</v>
      </c>
      <c r="E1857" t="s">
        <v>105</v>
      </c>
      <c r="F1857" t="s">
        <v>23</v>
      </c>
      <c r="G1857" t="s">
        <v>24</v>
      </c>
      <c r="H1857">
        <v>9</v>
      </c>
      <c r="I1857">
        <v>7731</v>
      </c>
      <c r="J1857">
        <v>1459.74</v>
      </c>
    </row>
    <row r="1858" spans="1:10" x14ac:dyDescent="0.25">
      <c r="A1858" s="1">
        <v>45100</v>
      </c>
      <c r="B1858" t="s">
        <v>18</v>
      </c>
      <c r="C1858" t="s">
        <v>19</v>
      </c>
      <c r="D1858" t="s">
        <v>12</v>
      </c>
      <c r="E1858" t="s">
        <v>74</v>
      </c>
      <c r="F1858" t="s">
        <v>23</v>
      </c>
      <c r="G1858" t="s">
        <v>24</v>
      </c>
      <c r="H1858">
        <v>1</v>
      </c>
      <c r="I1858">
        <v>1081</v>
      </c>
      <c r="J1858">
        <v>229.32</v>
      </c>
    </row>
    <row r="1859" spans="1:10" x14ac:dyDescent="0.25">
      <c r="A1859" s="1">
        <v>45154</v>
      </c>
      <c r="B1859" t="s">
        <v>40</v>
      </c>
      <c r="C1859" t="s">
        <v>19</v>
      </c>
      <c r="D1859" t="s">
        <v>12</v>
      </c>
      <c r="E1859" t="s">
        <v>37</v>
      </c>
      <c r="F1859" t="s">
        <v>34</v>
      </c>
      <c r="G1859" t="s">
        <v>35</v>
      </c>
      <c r="H1859">
        <v>6</v>
      </c>
      <c r="I1859">
        <v>1926</v>
      </c>
      <c r="J1859">
        <v>393.01</v>
      </c>
    </row>
    <row r="1860" spans="1:10" x14ac:dyDescent="0.25">
      <c r="A1860" s="1">
        <v>44768</v>
      </c>
      <c r="B1860" t="s">
        <v>36</v>
      </c>
      <c r="C1860" t="s">
        <v>17</v>
      </c>
      <c r="D1860" t="s">
        <v>12</v>
      </c>
      <c r="E1860" t="s">
        <v>37</v>
      </c>
      <c r="F1860" t="s">
        <v>34</v>
      </c>
      <c r="G1860" t="s">
        <v>35</v>
      </c>
      <c r="H1860">
        <v>3</v>
      </c>
      <c r="I1860">
        <v>936</v>
      </c>
      <c r="J1860">
        <v>88.51</v>
      </c>
    </row>
    <row r="1861" spans="1:10" x14ac:dyDescent="0.25">
      <c r="A1861" s="1">
        <v>45655</v>
      </c>
      <c r="B1861" t="s">
        <v>55</v>
      </c>
      <c r="C1861" t="s">
        <v>19</v>
      </c>
      <c r="D1861" t="s">
        <v>12</v>
      </c>
      <c r="E1861" t="s">
        <v>81</v>
      </c>
      <c r="F1861" t="s">
        <v>46</v>
      </c>
      <c r="G1861" t="s">
        <v>15</v>
      </c>
      <c r="H1861">
        <v>9</v>
      </c>
      <c r="I1861">
        <v>8550</v>
      </c>
      <c r="J1861">
        <v>1970.98</v>
      </c>
    </row>
    <row r="1862" spans="1:10" x14ac:dyDescent="0.25">
      <c r="A1862" s="1">
        <v>45162</v>
      </c>
      <c r="B1862" t="s">
        <v>36</v>
      </c>
      <c r="C1862" t="s">
        <v>17</v>
      </c>
      <c r="D1862" t="s">
        <v>12</v>
      </c>
      <c r="E1862" t="s">
        <v>81</v>
      </c>
      <c r="F1862" t="s">
        <v>46</v>
      </c>
      <c r="G1862" t="s">
        <v>15</v>
      </c>
      <c r="H1862">
        <v>4</v>
      </c>
      <c r="I1862">
        <v>2468</v>
      </c>
      <c r="J1862">
        <v>457.51</v>
      </c>
    </row>
    <row r="1863" spans="1:10" x14ac:dyDescent="0.25">
      <c r="A1863" s="1">
        <v>45173</v>
      </c>
      <c r="B1863" t="s">
        <v>18</v>
      </c>
      <c r="C1863" t="s">
        <v>19</v>
      </c>
      <c r="D1863" t="s">
        <v>12</v>
      </c>
      <c r="E1863" t="s">
        <v>56</v>
      </c>
      <c r="F1863" t="s">
        <v>57</v>
      </c>
      <c r="G1863" t="s">
        <v>24</v>
      </c>
      <c r="H1863">
        <v>3</v>
      </c>
      <c r="I1863">
        <v>801</v>
      </c>
      <c r="J1863">
        <v>90.34</v>
      </c>
    </row>
    <row r="1864" spans="1:10" x14ac:dyDescent="0.25">
      <c r="A1864" s="1">
        <v>44929</v>
      </c>
      <c r="B1864" t="s">
        <v>55</v>
      </c>
      <c r="C1864" t="s">
        <v>19</v>
      </c>
      <c r="D1864" t="s">
        <v>12</v>
      </c>
      <c r="E1864" t="s">
        <v>425</v>
      </c>
      <c r="F1864" t="s">
        <v>189</v>
      </c>
      <c r="G1864" t="s">
        <v>24</v>
      </c>
      <c r="H1864">
        <v>9</v>
      </c>
      <c r="I1864">
        <v>2655</v>
      </c>
      <c r="J1864">
        <v>701.11</v>
      </c>
    </row>
    <row r="1865" spans="1:10" x14ac:dyDescent="0.25">
      <c r="A1865" s="1">
        <v>45260</v>
      </c>
      <c r="B1865" t="s">
        <v>32</v>
      </c>
      <c r="C1865" t="s">
        <v>19</v>
      </c>
      <c r="D1865" t="s">
        <v>12</v>
      </c>
      <c r="E1865" t="s">
        <v>105</v>
      </c>
      <c r="F1865" t="s">
        <v>23</v>
      </c>
      <c r="G1865" t="s">
        <v>24</v>
      </c>
      <c r="H1865">
        <v>8</v>
      </c>
      <c r="I1865">
        <v>3928</v>
      </c>
      <c r="J1865">
        <v>700.38</v>
      </c>
    </row>
    <row r="1866" spans="1:10" x14ac:dyDescent="0.25">
      <c r="A1866" s="1">
        <v>45484</v>
      </c>
      <c r="B1866" t="s">
        <v>36</v>
      </c>
      <c r="C1866" t="s">
        <v>17</v>
      </c>
      <c r="D1866" t="s">
        <v>12</v>
      </c>
      <c r="E1866" t="s">
        <v>47</v>
      </c>
      <c r="F1866" t="s">
        <v>156</v>
      </c>
      <c r="G1866" t="s">
        <v>28</v>
      </c>
      <c r="H1866">
        <v>8</v>
      </c>
      <c r="I1866">
        <v>6488</v>
      </c>
      <c r="J1866">
        <v>1438.34</v>
      </c>
    </row>
    <row r="1867" spans="1:10" x14ac:dyDescent="0.25">
      <c r="A1867" s="1">
        <v>45325</v>
      </c>
      <c r="B1867" t="s">
        <v>29</v>
      </c>
      <c r="C1867" t="s">
        <v>17</v>
      </c>
      <c r="D1867" t="s">
        <v>12</v>
      </c>
      <c r="E1867" t="s">
        <v>130</v>
      </c>
      <c r="F1867" t="s">
        <v>54</v>
      </c>
      <c r="G1867" t="s">
        <v>24</v>
      </c>
      <c r="H1867">
        <v>9</v>
      </c>
      <c r="I1867">
        <v>7695</v>
      </c>
      <c r="J1867">
        <v>1749.26</v>
      </c>
    </row>
    <row r="1868" spans="1:10" x14ac:dyDescent="0.25">
      <c r="A1868" s="1">
        <v>45126</v>
      </c>
      <c r="B1868" t="s">
        <v>29</v>
      </c>
      <c r="C1868" t="s">
        <v>17</v>
      </c>
      <c r="D1868" t="s">
        <v>12</v>
      </c>
      <c r="E1868" t="s">
        <v>224</v>
      </c>
      <c r="F1868" t="s">
        <v>34</v>
      </c>
      <c r="G1868" t="s">
        <v>35</v>
      </c>
      <c r="H1868">
        <v>2</v>
      </c>
      <c r="I1868">
        <v>1856</v>
      </c>
      <c r="J1868">
        <v>468.19</v>
      </c>
    </row>
    <row r="1869" spans="1:10" x14ac:dyDescent="0.25">
      <c r="A1869" s="1">
        <v>44665</v>
      </c>
      <c r="B1869" t="s">
        <v>32</v>
      </c>
      <c r="C1869" t="s">
        <v>19</v>
      </c>
      <c r="D1869" t="s">
        <v>12</v>
      </c>
      <c r="E1869" t="s">
        <v>52</v>
      </c>
      <c r="F1869" t="s">
        <v>42</v>
      </c>
      <c r="G1869" t="s">
        <v>28</v>
      </c>
      <c r="H1869">
        <v>7</v>
      </c>
      <c r="I1869">
        <v>1519</v>
      </c>
      <c r="J1869">
        <v>403.63</v>
      </c>
    </row>
    <row r="1870" spans="1:10" x14ac:dyDescent="0.25">
      <c r="A1870" s="1">
        <v>45310</v>
      </c>
      <c r="B1870" t="s">
        <v>18</v>
      </c>
      <c r="C1870" t="s">
        <v>19</v>
      </c>
      <c r="D1870" t="s">
        <v>12</v>
      </c>
      <c r="E1870" t="s">
        <v>37</v>
      </c>
      <c r="F1870" t="s">
        <v>34</v>
      </c>
      <c r="G1870" t="s">
        <v>35</v>
      </c>
      <c r="H1870">
        <v>3</v>
      </c>
      <c r="I1870">
        <v>3549</v>
      </c>
      <c r="J1870">
        <v>996.05</v>
      </c>
    </row>
    <row r="1871" spans="1:10" x14ac:dyDescent="0.25">
      <c r="A1871" s="1">
        <v>45547</v>
      </c>
      <c r="B1871" t="s">
        <v>55</v>
      </c>
      <c r="C1871" t="s">
        <v>19</v>
      </c>
      <c r="D1871" t="s">
        <v>12</v>
      </c>
      <c r="E1871" t="s">
        <v>426</v>
      </c>
      <c r="F1871" t="s">
        <v>267</v>
      </c>
      <c r="G1871" t="s">
        <v>24</v>
      </c>
      <c r="H1871">
        <v>3</v>
      </c>
      <c r="I1871">
        <v>1656</v>
      </c>
      <c r="J1871">
        <v>378.84</v>
      </c>
    </row>
    <row r="1872" spans="1:10" x14ac:dyDescent="0.25">
      <c r="A1872" s="1">
        <v>45528</v>
      </c>
      <c r="B1872" t="s">
        <v>49</v>
      </c>
      <c r="C1872" t="s">
        <v>17</v>
      </c>
      <c r="D1872" t="s">
        <v>12</v>
      </c>
      <c r="E1872" t="s">
        <v>148</v>
      </c>
      <c r="F1872" t="s">
        <v>149</v>
      </c>
      <c r="G1872" t="s">
        <v>15</v>
      </c>
      <c r="H1872">
        <v>7</v>
      </c>
      <c r="I1872">
        <v>812</v>
      </c>
      <c r="J1872">
        <v>175.55</v>
      </c>
    </row>
    <row r="1873" spans="1:10" x14ac:dyDescent="0.25">
      <c r="A1873" s="1">
        <v>44920</v>
      </c>
      <c r="B1873" t="s">
        <v>16</v>
      </c>
      <c r="C1873" t="s">
        <v>17</v>
      </c>
      <c r="D1873" t="s">
        <v>12</v>
      </c>
      <c r="E1873" t="s">
        <v>148</v>
      </c>
      <c r="F1873" t="s">
        <v>149</v>
      </c>
      <c r="G1873" t="s">
        <v>15</v>
      </c>
      <c r="H1873">
        <v>5</v>
      </c>
      <c r="I1873">
        <v>3730</v>
      </c>
      <c r="J1873">
        <v>864.41</v>
      </c>
    </row>
    <row r="1874" spans="1:10" x14ac:dyDescent="0.25">
      <c r="A1874" s="1">
        <v>45284</v>
      </c>
      <c r="B1874" t="s">
        <v>36</v>
      </c>
      <c r="C1874" t="s">
        <v>17</v>
      </c>
      <c r="D1874" t="s">
        <v>12</v>
      </c>
      <c r="E1874" t="s">
        <v>328</v>
      </c>
      <c r="F1874" t="s">
        <v>191</v>
      </c>
      <c r="G1874" t="s">
        <v>35</v>
      </c>
      <c r="H1874">
        <v>1</v>
      </c>
      <c r="I1874">
        <v>1161</v>
      </c>
      <c r="J1874">
        <v>210.87</v>
      </c>
    </row>
    <row r="1875" spans="1:10" x14ac:dyDescent="0.25">
      <c r="A1875" s="1">
        <v>44699</v>
      </c>
      <c r="B1875" t="s">
        <v>29</v>
      </c>
      <c r="C1875" t="s">
        <v>17</v>
      </c>
      <c r="D1875" t="s">
        <v>12</v>
      </c>
      <c r="E1875" t="s">
        <v>427</v>
      </c>
      <c r="F1875" t="s">
        <v>42</v>
      </c>
      <c r="G1875" t="s">
        <v>28</v>
      </c>
      <c r="H1875">
        <v>3</v>
      </c>
      <c r="I1875">
        <v>2256</v>
      </c>
      <c r="J1875">
        <v>282.52</v>
      </c>
    </row>
    <row r="1876" spans="1:10" x14ac:dyDescent="0.25">
      <c r="A1876" s="1">
        <v>45563</v>
      </c>
      <c r="B1876" t="s">
        <v>36</v>
      </c>
      <c r="C1876" t="s">
        <v>17</v>
      </c>
      <c r="D1876" t="s">
        <v>12</v>
      </c>
      <c r="E1876" t="s">
        <v>171</v>
      </c>
      <c r="F1876" t="s">
        <v>94</v>
      </c>
      <c r="G1876" t="s">
        <v>24</v>
      </c>
      <c r="H1876">
        <v>1</v>
      </c>
      <c r="I1876">
        <v>359</v>
      </c>
      <c r="J1876">
        <v>78.17</v>
      </c>
    </row>
    <row r="1877" spans="1:10" x14ac:dyDescent="0.25">
      <c r="A1877" s="1">
        <v>45374</v>
      </c>
      <c r="B1877" t="s">
        <v>29</v>
      </c>
      <c r="C1877" t="s">
        <v>17</v>
      </c>
      <c r="D1877" t="s">
        <v>12</v>
      </c>
      <c r="E1877" t="s">
        <v>154</v>
      </c>
      <c r="F1877" t="s">
        <v>115</v>
      </c>
      <c r="G1877" t="s">
        <v>15</v>
      </c>
      <c r="H1877">
        <v>2</v>
      </c>
      <c r="I1877">
        <v>130</v>
      </c>
      <c r="J1877">
        <v>11.1</v>
      </c>
    </row>
    <row r="1878" spans="1:10" x14ac:dyDescent="0.25">
      <c r="A1878" s="1">
        <v>44830</v>
      </c>
      <c r="B1878" t="s">
        <v>16</v>
      </c>
      <c r="C1878" t="s">
        <v>17</v>
      </c>
      <c r="D1878" t="s">
        <v>12</v>
      </c>
      <c r="E1878" t="s">
        <v>237</v>
      </c>
      <c r="F1878" t="s">
        <v>149</v>
      </c>
      <c r="G1878" t="s">
        <v>15</v>
      </c>
      <c r="H1878">
        <v>8</v>
      </c>
      <c r="I1878">
        <v>4248</v>
      </c>
      <c r="J1878">
        <v>831.54</v>
      </c>
    </row>
    <row r="1879" spans="1:10" x14ac:dyDescent="0.25">
      <c r="A1879" s="1">
        <v>45569</v>
      </c>
      <c r="B1879" t="s">
        <v>25</v>
      </c>
      <c r="C1879" t="s">
        <v>19</v>
      </c>
      <c r="D1879" t="s">
        <v>12</v>
      </c>
      <c r="E1879" t="s">
        <v>382</v>
      </c>
      <c r="F1879" t="s">
        <v>78</v>
      </c>
      <c r="G1879" t="s">
        <v>28</v>
      </c>
      <c r="H1879">
        <v>5</v>
      </c>
      <c r="I1879">
        <v>1825</v>
      </c>
      <c r="J1879">
        <v>221.47</v>
      </c>
    </row>
    <row r="1880" spans="1:10" x14ac:dyDescent="0.25">
      <c r="A1880" s="1">
        <v>45560</v>
      </c>
      <c r="B1880" t="s">
        <v>49</v>
      </c>
      <c r="C1880" t="s">
        <v>17</v>
      </c>
      <c r="D1880" t="s">
        <v>12</v>
      </c>
      <c r="E1880" t="s">
        <v>43</v>
      </c>
      <c r="F1880" t="s">
        <v>44</v>
      </c>
      <c r="G1880" t="s">
        <v>35</v>
      </c>
      <c r="H1880">
        <v>2</v>
      </c>
      <c r="I1880">
        <v>876</v>
      </c>
      <c r="J1880">
        <v>224.01</v>
      </c>
    </row>
    <row r="1881" spans="1:10" x14ac:dyDescent="0.25">
      <c r="A1881" s="1">
        <v>44929</v>
      </c>
      <c r="B1881" t="s">
        <v>25</v>
      </c>
      <c r="C1881" t="s">
        <v>19</v>
      </c>
      <c r="D1881" t="s">
        <v>12</v>
      </c>
      <c r="E1881" t="s">
        <v>56</v>
      </c>
      <c r="F1881" t="s">
        <v>57</v>
      </c>
      <c r="G1881" t="s">
        <v>24</v>
      </c>
      <c r="H1881">
        <v>9</v>
      </c>
      <c r="I1881">
        <v>9180</v>
      </c>
      <c r="J1881">
        <v>2752.84</v>
      </c>
    </row>
    <row r="1882" spans="1:10" x14ac:dyDescent="0.25">
      <c r="A1882" s="1">
        <v>45377</v>
      </c>
      <c r="B1882" t="s">
        <v>36</v>
      </c>
      <c r="C1882" t="s">
        <v>17</v>
      </c>
      <c r="D1882" t="s">
        <v>12</v>
      </c>
      <c r="E1882" t="s">
        <v>428</v>
      </c>
      <c r="F1882" t="s">
        <v>23</v>
      </c>
      <c r="G1882" t="s">
        <v>24</v>
      </c>
      <c r="H1882">
        <v>5</v>
      </c>
      <c r="I1882">
        <v>1765</v>
      </c>
      <c r="J1882">
        <v>160.88999999999999</v>
      </c>
    </row>
    <row r="1883" spans="1:10" x14ac:dyDescent="0.25">
      <c r="A1883" s="1">
        <v>44840</v>
      </c>
      <c r="B1883" t="s">
        <v>36</v>
      </c>
      <c r="C1883" t="s">
        <v>17</v>
      </c>
      <c r="D1883" t="s">
        <v>12</v>
      </c>
      <c r="E1883" t="s">
        <v>75</v>
      </c>
      <c r="F1883" t="s">
        <v>108</v>
      </c>
      <c r="G1883" t="s">
        <v>15</v>
      </c>
      <c r="H1883">
        <v>2</v>
      </c>
      <c r="I1883">
        <v>1504</v>
      </c>
      <c r="J1883">
        <v>164.51</v>
      </c>
    </row>
    <row r="1884" spans="1:10" x14ac:dyDescent="0.25">
      <c r="A1884" s="1">
        <v>44742</v>
      </c>
      <c r="B1884" t="s">
        <v>49</v>
      </c>
      <c r="C1884" t="s">
        <v>17</v>
      </c>
      <c r="D1884" t="s">
        <v>12</v>
      </c>
      <c r="E1884" t="s">
        <v>105</v>
      </c>
      <c r="F1884" t="s">
        <v>23</v>
      </c>
      <c r="G1884" t="s">
        <v>24</v>
      </c>
      <c r="H1884">
        <v>9</v>
      </c>
      <c r="I1884">
        <v>1881</v>
      </c>
      <c r="J1884">
        <v>430.78</v>
      </c>
    </row>
    <row r="1885" spans="1:10" x14ac:dyDescent="0.25">
      <c r="A1885" s="1">
        <v>44577</v>
      </c>
      <c r="B1885" t="s">
        <v>49</v>
      </c>
      <c r="C1885" t="s">
        <v>17</v>
      </c>
      <c r="D1885" t="s">
        <v>12</v>
      </c>
      <c r="E1885" t="s">
        <v>376</v>
      </c>
      <c r="F1885" t="s">
        <v>34</v>
      </c>
      <c r="G1885" t="s">
        <v>35</v>
      </c>
      <c r="H1885">
        <v>9</v>
      </c>
      <c r="I1885">
        <v>7425</v>
      </c>
      <c r="J1885">
        <v>1533.72</v>
      </c>
    </row>
    <row r="1886" spans="1:10" x14ac:dyDescent="0.25">
      <c r="A1886" s="1">
        <v>44850</v>
      </c>
      <c r="B1886" t="s">
        <v>18</v>
      </c>
      <c r="C1886" t="s">
        <v>19</v>
      </c>
      <c r="D1886" t="s">
        <v>12</v>
      </c>
      <c r="E1886" t="s">
        <v>22</v>
      </c>
      <c r="F1886" t="s">
        <v>23</v>
      </c>
      <c r="G1886" t="s">
        <v>24</v>
      </c>
      <c r="H1886">
        <v>9</v>
      </c>
      <c r="I1886">
        <v>720</v>
      </c>
      <c r="J1886">
        <v>192.83</v>
      </c>
    </row>
    <row r="1887" spans="1:10" x14ac:dyDescent="0.25">
      <c r="A1887" s="1">
        <v>45419</v>
      </c>
      <c r="B1887" t="s">
        <v>40</v>
      </c>
      <c r="C1887" t="s">
        <v>19</v>
      </c>
      <c r="D1887" t="s">
        <v>12</v>
      </c>
      <c r="E1887" t="s">
        <v>92</v>
      </c>
      <c r="F1887" t="s">
        <v>44</v>
      </c>
      <c r="G1887" t="s">
        <v>35</v>
      </c>
      <c r="H1887">
        <v>5</v>
      </c>
      <c r="I1887">
        <v>2985</v>
      </c>
      <c r="J1887">
        <v>698.22</v>
      </c>
    </row>
    <row r="1888" spans="1:10" x14ac:dyDescent="0.25">
      <c r="A1888" s="1">
        <v>44565</v>
      </c>
      <c r="B1888" t="s">
        <v>55</v>
      </c>
      <c r="C1888" t="s">
        <v>19</v>
      </c>
      <c r="D1888" t="s">
        <v>12</v>
      </c>
      <c r="E1888" t="s">
        <v>92</v>
      </c>
      <c r="F1888" t="s">
        <v>44</v>
      </c>
      <c r="G1888" t="s">
        <v>35</v>
      </c>
      <c r="H1888">
        <v>9</v>
      </c>
      <c r="I1888">
        <v>711</v>
      </c>
      <c r="J1888">
        <v>200.11</v>
      </c>
    </row>
    <row r="1889" spans="1:10" x14ac:dyDescent="0.25">
      <c r="A1889" s="1">
        <v>45517</v>
      </c>
      <c r="B1889" t="s">
        <v>10</v>
      </c>
      <c r="C1889" t="s">
        <v>11</v>
      </c>
      <c r="D1889" t="s">
        <v>12</v>
      </c>
      <c r="E1889" t="s">
        <v>377</v>
      </c>
      <c r="F1889" t="s">
        <v>115</v>
      </c>
      <c r="G1889" t="s">
        <v>15</v>
      </c>
      <c r="H1889">
        <v>6</v>
      </c>
      <c r="I1889">
        <v>6276</v>
      </c>
      <c r="J1889">
        <v>1396.25</v>
      </c>
    </row>
    <row r="1890" spans="1:10" x14ac:dyDescent="0.25">
      <c r="A1890" s="1">
        <v>44939</v>
      </c>
      <c r="B1890" t="s">
        <v>16</v>
      </c>
      <c r="C1890" t="s">
        <v>17</v>
      </c>
      <c r="D1890" t="s">
        <v>12</v>
      </c>
      <c r="E1890" t="s">
        <v>429</v>
      </c>
      <c r="F1890" t="s">
        <v>21</v>
      </c>
      <c r="G1890" t="s">
        <v>15</v>
      </c>
      <c r="H1890">
        <v>7</v>
      </c>
      <c r="I1890">
        <v>7966</v>
      </c>
      <c r="J1890">
        <v>955.8</v>
      </c>
    </row>
    <row r="1891" spans="1:10" x14ac:dyDescent="0.25">
      <c r="A1891" s="1">
        <v>44999</v>
      </c>
      <c r="B1891" t="s">
        <v>29</v>
      </c>
      <c r="C1891" t="s">
        <v>17</v>
      </c>
      <c r="D1891" t="s">
        <v>12</v>
      </c>
      <c r="E1891" t="s">
        <v>145</v>
      </c>
      <c r="F1891" t="s">
        <v>44</v>
      </c>
      <c r="G1891" t="s">
        <v>35</v>
      </c>
      <c r="H1891">
        <v>8</v>
      </c>
      <c r="I1891">
        <v>4200</v>
      </c>
      <c r="J1891">
        <v>854.89</v>
      </c>
    </row>
    <row r="1892" spans="1:10" x14ac:dyDescent="0.25">
      <c r="A1892" s="1">
        <v>45429</v>
      </c>
      <c r="B1892" t="s">
        <v>55</v>
      </c>
      <c r="C1892" t="s">
        <v>19</v>
      </c>
      <c r="D1892" t="s">
        <v>12</v>
      </c>
      <c r="E1892" t="s">
        <v>224</v>
      </c>
      <c r="F1892" t="s">
        <v>34</v>
      </c>
      <c r="G1892" t="s">
        <v>35</v>
      </c>
      <c r="H1892">
        <v>7</v>
      </c>
      <c r="I1892">
        <v>455</v>
      </c>
      <c r="J1892">
        <v>80</v>
      </c>
    </row>
    <row r="1893" spans="1:10" x14ac:dyDescent="0.25">
      <c r="A1893" s="1">
        <v>45580</v>
      </c>
      <c r="B1893" t="s">
        <v>49</v>
      </c>
      <c r="C1893" t="s">
        <v>17</v>
      </c>
      <c r="D1893" t="s">
        <v>12</v>
      </c>
      <c r="E1893" t="s">
        <v>224</v>
      </c>
      <c r="F1893" t="s">
        <v>34</v>
      </c>
      <c r="G1893" t="s">
        <v>35</v>
      </c>
      <c r="H1893">
        <v>8</v>
      </c>
      <c r="I1893">
        <v>5040</v>
      </c>
      <c r="J1893">
        <v>465.36</v>
      </c>
    </row>
    <row r="1894" spans="1:10" x14ac:dyDescent="0.25">
      <c r="A1894" s="1">
        <v>45180</v>
      </c>
      <c r="B1894" t="s">
        <v>16</v>
      </c>
      <c r="C1894" t="s">
        <v>17</v>
      </c>
      <c r="D1894" t="s">
        <v>12</v>
      </c>
      <c r="E1894" t="s">
        <v>136</v>
      </c>
      <c r="F1894" t="s">
        <v>65</v>
      </c>
      <c r="G1894" t="s">
        <v>35</v>
      </c>
      <c r="H1894">
        <v>1</v>
      </c>
      <c r="I1894">
        <v>856</v>
      </c>
      <c r="J1894">
        <v>87.69</v>
      </c>
    </row>
    <row r="1895" spans="1:10" x14ac:dyDescent="0.25">
      <c r="A1895" s="1">
        <v>45127</v>
      </c>
      <c r="B1895" t="s">
        <v>36</v>
      </c>
      <c r="C1895" t="s">
        <v>17</v>
      </c>
      <c r="D1895" t="s">
        <v>12</v>
      </c>
      <c r="E1895" t="s">
        <v>430</v>
      </c>
      <c r="F1895" t="s">
        <v>65</v>
      </c>
      <c r="G1895" t="s">
        <v>35</v>
      </c>
      <c r="H1895">
        <v>5</v>
      </c>
      <c r="I1895">
        <v>5230</v>
      </c>
      <c r="J1895">
        <v>385.77</v>
      </c>
    </row>
    <row r="1896" spans="1:10" x14ac:dyDescent="0.25">
      <c r="A1896" s="1">
        <v>44639</v>
      </c>
      <c r="B1896" t="s">
        <v>55</v>
      </c>
      <c r="C1896" t="s">
        <v>19</v>
      </c>
      <c r="D1896" t="s">
        <v>12</v>
      </c>
      <c r="E1896" t="s">
        <v>53</v>
      </c>
      <c r="F1896" t="s">
        <v>44</v>
      </c>
      <c r="G1896" t="s">
        <v>35</v>
      </c>
      <c r="H1896">
        <v>5</v>
      </c>
      <c r="I1896">
        <v>4635</v>
      </c>
      <c r="J1896">
        <v>769.03</v>
      </c>
    </row>
    <row r="1897" spans="1:10" x14ac:dyDescent="0.25">
      <c r="A1897" s="1">
        <v>45633</v>
      </c>
      <c r="B1897" t="s">
        <v>55</v>
      </c>
      <c r="C1897" t="s">
        <v>19</v>
      </c>
      <c r="D1897" t="s">
        <v>12</v>
      </c>
      <c r="E1897" t="s">
        <v>87</v>
      </c>
      <c r="F1897" t="s">
        <v>46</v>
      </c>
      <c r="G1897" t="s">
        <v>15</v>
      </c>
      <c r="H1897">
        <v>6</v>
      </c>
      <c r="I1897">
        <v>5508</v>
      </c>
      <c r="J1897">
        <v>360.28</v>
      </c>
    </row>
    <row r="1898" spans="1:10" x14ac:dyDescent="0.25">
      <c r="A1898" s="1">
        <v>45083</v>
      </c>
      <c r="B1898" t="s">
        <v>40</v>
      </c>
      <c r="C1898" t="s">
        <v>19</v>
      </c>
      <c r="D1898" t="s">
        <v>12</v>
      </c>
      <c r="E1898" t="s">
        <v>103</v>
      </c>
      <c r="F1898" t="s">
        <v>21</v>
      </c>
      <c r="G1898" t="s">
        <v>15</v>
      </c>
      <c r="H1898">
        <v>1</v>
      </c>
      <c r="I1898">
        <v>258</v>
      </c>
      <c r="J1898">
        <v>27.01</v>
      </c>
    </row>
    <row r="1899" spans="1:10" x14ac:dyDescent="0.25">
      <c r="A1899" s="1">
        <v>45120</v>
      </c>
      <c r="B1899" t="s">
        <v>40</v>
      </c>
      <c r="C1899" t="s">
        <v>19</v>
      </c>
      <c r="D1899" t="s">
        <v>12</v>
      </c>
      <c r="E1899" t="s">
        <v>242</v>
      </c>
      <c r="F1899" t="s">
        <v>21</v>
      </c>
      <c r="G1899" t="s">
        <v>15</v>
      </c>
      <c r="H1899">
        <v>1</v>
      </c>
      <c r="I1899">
        <v>677</v>
      </c>
      <c r="J1899">
        <v>88.41</v>
      </c>
    </row>
    <row r="1900" spans="1:10" x14ac:dyDescent="0.25">
      <c r="A1900" s="1">
        <v>45117</v>
      </c>
      <c r="B1900" t="s">
        <v>36</v>
      </c>
      <c r="C1900" t="s">
        <v>17</v>
      </c>
      <c r="D1900" t="s">
        <v>12</v>
      </c>
      <c r="E1900" t="s">
        <v>37</v>
      </c>
      <c r="F1900" t="s">
        <v>34</v>
      </c>
      <c r="G1900" t="s">
        <v>35</v>
      </c>
      <c r="H1900">
        <v>5</v>
      </c>
      <c r="I1900">
        <v>4545</v>
      </c>
      <c r="J1900">
        <v>755.05</v>
      </c>
    </row>
    <row r="1901" spans="1:10" x14ac:dyDescent="0.25">
      <c r="A1901" s="1">
        <v>45544</v>
      </c>
      <c r="B1901" t="s">
        <v>40</v>
      </c>
      <c r="C1901" t="s">
        <v>19</v>
      </c>
      <c r="D1901" t="s">
        <v>12</v>
      </c>
      <c r="E1901" t="s">
        <v>377</v>
      </c>
      <c r="F1901" t="s">
        <v>115</v>
      </c>
      <c r="G1901" t="s">
        <v>15</v>
      </c>
      <c r="H1901">
        <v>5</v>
      </c>
      <c r="I1901">
        <v>4370</v>
      </c>
      <c r="J1901">
        <v>1255.3599999999999</v>
      </c>
    </row>
    <row r="1902" spans="1:10" x14ac:dyDescent="0.25">
      <c r="A1902" s="1">
        <v>44932</v>
      </c>
      <c r="B1902" t="s">
        <v>49</v>
      </c>
      <c r="C1902" t="s">
        <v>17</v>
      </c>
      <c r="D1902" t="s">
        <v>12</v>
      </c>
      <c r="E1902" t="s">
        <v>377</v>
      </c>
      <c r="F1902" t="s">
        <v>115</v>
      </c>
      <c r="G1902" t="s">
        <v>15</v>
      </c>
      <c r="H1902">
        <v>3</v>
      </c>
      <c r="I1902">
        <v>372</v>
      </c>
      <c r="J1902">
        <v>57.51</v>
      </c>
    </row>
    <row r="1903" spans="1:10" x14ac:dyDescent="0.25">
      <c r="A1903" s="1">
        <v>45540</v>
      </c>
      <c r="B1903" t="s">
        <v>25</v>
      </c>
      <c r="C1903" t="s">
        <v>19</v>
      </c>
      <c r="D1903" t="s">
        <v>12</v>
      </c>
      <c r="E1903" t="s">
        <v>26</v>
      </c>
      <c r="F1903" t="s">
        <v>27</v>
      </c>
      <c r="G1903" t="s">
        <v>28</v>
      </c>
      <c r="H1903">
        <v>9</v>
      </c>
      <c r="I1903">
        <v>3177</v>
      </c>
      <c r="J1903">
        <v>629.96</v>
      </c>
    </row>
    <row r="1904" spans="1:10" x14ac:dyDescent="0.25">
      <c r="A1904" s="1">
        <v>45035</v>
      </c>
      <c r="B1904" t="s">
        <v>10</v>
      </c>
      <c r="C1904" t="s">
        <v>11</v>
      </c>
      <c r="D1904" t="s">
        <v>12</v>
      </c>
      <c r="E1904" t="s">
        <v>52</v>
      </c>
      <c r="F1904" t="s">
        <v>42</v>
      </c>
      <c r="G1904" t="s">
        <v>28</v>
      </c>
      <c r="H1904">
        <v>7</v>
      </c>
      <c r="I1904">
        <v>1659</v>
      </c>
      <c r="J1904">
        <v>127.48</v>
      </c>
    </row>
    <row r="1905" spans="1:10" x14ac:dyDescent="0.25">
      <c r="A1905" s="1">
        <v>45036</v>
      </c>
      <c r="B1905" t="s">
        <v>18</v>
      </c>
      <c r="C1905" t="s">
        <v>19</v>
      </c>
      <c r="D1905" t="s">
        <v>12</v>
      </c>
      <c r="E1905" t="s">
        <v>22</v>
      </c>
      <c r="F1905" t="s">
        <v>23</v>
      </c>
      <c r="G1905" t="s">
        <v>24</v>
      </c>
      <c r="H1905">
        <v>3</v>
      </c>
      <c r="I1905">
        <v>3360</v>
      </c>
      <c r="J1905">
        <v>759.31</v>
      </c>
    </row>
    <row r="1906" spans="1:10" x14ac:dyDescent="0.25">
      <c r="A1906" s="1">
        <v>44987</v>
      </c>
      <c r="B1906" t="s">
        <v>40</v>
      </c>
      <c r="C1906" t="s">
        <v>19</v>
      </c>
      <c r="D1906" t="s">
        <v>12</v>
      </c>
      <c r="E1906" t="s">
        <v>210</v>
      </c>
      <c r="F1906" t="s">
        <v>34</v>
      </c>
      <c r="G1906" t="s">
        <v>35</v>
      </c>
      <c r="H1906">
        <v>2</v>
      </c>
      <c r="I1906">
        <v>1132</v>
      </c>
      <c r="J1906">
        <v>290.56</v>
      </c>
    </row>
    <row r="1907" spans="1:10" x14ac:dyDescent="0.25">
      <c r="A1907" s="1">
        <v>45570</v>
      </c>
      <c r="B1907" t="s">
        <v>32</v>
      </c>
      <c r="C1907" t="s">
        <v>19</v>
      </c>
      <c r="D1907" t="s">
        <v>12</v>
      </c>
      <c r="E1907" t="s">
        <v>43</v>
      </c>
      <c r="F1907" t="s">
        <v>44</v>
      </c>
      <c r="G1907" t="s">
        <v>35</v>
      </c>
      <c r="H1907">
        <v>5</v>
      </c>
      <c r="I1907">
        <v>1815</v>
      </c>
      <c r="J1907">
        <v>468.62</v>
      </c>
    </row>
    <row r="1908" spans="1:10" x14ac:dyDescent="0.25">
      <c r="A1908" s="1">
        <v>45241</v>
      </c>
      <c r="B1908" t="s">
        <v>16</v>
      </c>
      <c r="C1908" t="s">
        <v>17</v>
      </c>
      <c r="D1908" t="s">
        <v>12</v>
      </c>
      <c r="E1908" t="s">
        <v>43</v>
      </c>
      <c r="F1908" t="s">
        <v>44</v>
      </c>
      <c r="G1908" t="s">
        <v>35</v>
      </c>
      <c r="H1908">
        <v>1</v>
      </c>
      <c r="I1908">
        <v>459</v>
      </c>
      <c r="J1908">
        <v>125.19</v>
      </c>
    </row>
    <row r="1909" spans="1:10" x14ac:dyDescent="0.25">
      <c r="A1909" s="1">
        <v>45245</v>
      </c>
      <c r="B1909" t="s">
        <v>40</v>
      </c>
      <c r="C1909" t="s">
        <v>19</v>
      </c>
      <c r="D1909" t="s">
        <v>12</v>
      </c>
      <c r="E1909" t="s">
        <v>103</v>
      </c>
      <c r="F1909" t="s">
        <v>149</v>
      </c>
      <c r="G1909" t="s">
        <v>15</v>
      </c>
      <c r="H1909">
        <v>1</v>
      </c>
      <c r="I1909">
        <v>1128</v>
      </c>
      <c r="J1909">
        <v>73.739999999999995</v>
      </c>
    </row>
    <row r="1910" spans="1:10" x14ac:dyDescent="0.25">
      <c r="A1910" s="1">
        <v>45595</v>
      </c>
      <c r="B1910" t="s">
        <v>36</v>
      </c>
      <c r="C1910" t="s">
        <v>17</v>
      </c>
      <c r="D1910" t="s">
        <v>12</v>
      </c>
      <c r="E1910" t="s">
        <v>132</v>
      </c>
      <c r="F1910" t="s">
        <v>100</v>
      </c>
      <c r="G1910" t="s">
        <v>35</v>
      </c>
      <c r="H1910">
        <v>6</v>
      </c>
      <c r="I1910">
        <v>1170</v>
      </c>
      <c r="J1910">
        <v>104.63</v>
      </c>
    </row>
    <row r="1911" spans="1:10" x14ac:dyDescent="0.25">
      <c r="A1911" s="1">
        <v>44774</v>
      </c>
      <c r="B1911" t="s">
        <v>32</v>
      </c>
      <c r="C1911" t="s">
        <v>19</v>
      </c>
      <c r="D1911" t="s">
        <v>12</v>
      </c>
      <c r="E1911" t="s">
        <v>47</v>
      </c>
      <c r="F1911" t="s">
        <v>46</v>
      </c>
      <c r="G1911" t="s">
        <v>15</v>
      </c>
      <c r="H1911">
        <v>5</v>
      </c>
      <c r="I1911">
        <v>4420</v>
      </c>
      <c r="J1911">
        <v>380.69</v>
      </c>
    </row>
    <row r="1912" spans="1:10" x14ac:dyDescent="0.25">
      <c r="A1912" s="1">
        <v>45351</v>
      </c>
      <c r="B1912" t="s">
        <v>40</v>
      </c>
      <c r="C1912" t="s">
        <v>19</v>
      </c>
      <c r="D1912" t="s">
        <v>12</v>
      </c>
      <c r="E1912" t="s">
        <v>26</v>
      </c>
      <c r="F1912" t="s">
        <v>27</v>
      </c>
      <c r="G1912" t="s">
        <v>28</v>
      </c>
      <c r="H1912">
        <v>6</v>
      </c>
      <c r="I1912">
        <v>456</v>
      </c>
      <c r="J1912">
        <v>69.150000000000006</v>
      </c>
    </row>
    <row r="1913" spans="1:10" x14ac:dyDescent="0.25">
      <c r="A1913" s="1">
        <v>45347</v>
      </c>
      <c r="B1913" t="s">
        <v>18</v>
      </c>
      <c r="C1913" t="s">
        <v>19</v>
      </c>
      <c r="D1913" t="s">
        <v>12</v>
      </c>
      <c r="E1913" t="s">
        <v>136</v>
      </c>
      <c r="F1913" t="s">
        <v>65</v>
      </c>
      <c r="G1913" t="s">
        <v>35</v>
      </c>
      <c r="H1913">
        <v>2</v>
      </c>
      <c r="I1913">
        <v>1458</v>
      </c>
      <c r="J1913">
        <v>154.79</v>
      </c>
    </row>
    <row r="1914" spans="1:10" x14ac:dyDescent="0.25">
      <c r="A1914" s="1">
        <v>45467</v>
      </c>
      <c r="B1914" t="s">
        <v>36</v>
      </c>
      <c r="C1914" t="s">
        <v>17</v>
      </c>
      <c r="D1914" t="s">
        <v>12</v>
      </c>
      <c r="E1914" t="s">
        <v>52</v>
      </c>
      <c r="F1914" t="s">
        <v>42</v>
      </c>
      <c r="G1914" t="s">
        <v>28</v>
      </c>
      <c r="H1914">
        <v>7</v>
      </c>
      <c r="I1914">
        <v>2989</v>
      </c>
      <c r="J1914">
        <v>197.58</v>
      </c>
    </row>
    <row r="1915" spans="1:10" x14ac:dyDescent="0.25">
      <c r="A1915" s="1">
        <v>45646</v>
      </c>
      <c r="B1915" t="s">
        <v>25</v>
      </c>
      <c r="C1915" t="s">
        <v>19</v>
      </c>
      <c r="D1915" t="s">
        <v>12</v>
      </c>
      <c r="E1915" t="s">
        <v>132</v>
      </c>
      <c r="F1915" t="s">
        <v>115</v>
      </c>
      <c r="G1915" t="s">
        <v>15</v>
      </c>
      <c r="H1915">
        <v>4</v>
      </c>
      <c r="I1915">
        <v>3424</v>
      </c>
      <c r="J1915">
        <v>845.68</v>
      </c>
    </row>
    <row r="1916" spans="1:10" x14ac:dyDescent="0.25">
      <c r="A1916" s="1">
        <v>45579</v>
      </c>
      <c r="B1916" t="s">
        <v>16</v>
      </c>
      <c r="C1916" t="s">
        <v>17</v>
      </c>
      <c r="D1916" t="s">
        <v>12</v>
      </c>
      <c r="E1916" t="s">
        <v>270</v>
      </c>
      <c r="F1916" t="s">
        <v>54</v>
      </c>
      <c r="G1916" t="s">
        <v>24</v>
      </c>
      <c r="H1916">
        <v>2</v>
      </c>
      <c r="I1916">
        <v>1226</v>
      </c>
      <c r="J1916">
        <v>124.25</v>
      </c>
    </row>
    <row r="1917" spans="1:10" x14ac:dyDescent="0.25">
      <c r="A1917" s="1">
        <v>45612</v>
      </c>
      <c r="B1917" t="s">
        <v>55</v>
      </c>
      <c r="C1917" t="s">
        <v>19</v>
      </c>
      <c r="D1917" t="s">
        <v>12</v>
      </c>
      <c r="E1917" t="s">
        <v>52</v>
      </c>
      <c r="F1917" t="s">
        <v>42</v>
      </c>
      <c r="G1917" t="s">
        <v>28</v>
      </c>
      <c r="H1917">
        <v>8</v>
      </c>
      <c r="I1917">
        <v>6760</v>
      </c>
      <c r="J1917">
        <v>1097.6300000000001</v>
      </c>
    </row>
    <row r="1918" spans="1:10" x14ac:dyDescent="0.25">
      <c r="A1918" s="1">
        <v>45194</v>
      </c>
      <c r="B1918" t="s">
        <v>40</v>
      </c>
      <c r="C1918" t="s">
        <v>19</v>
      </c>
      <c r="D1918" t="s">
        <v>12</v>
      </c>
      <c r="E1918" t="s">
        <v>52</v>
      </c>
      <c r="F1918" t="s">
        <v>42</v>
      </c>
      <c r="G1918" t="s">
        <v>28</v>
      </c>
      <c r="H1918">
        <v>1</v>
      </c>
      <c r="I1918">
        <v>111</v>
      </c>
      <c r="J1918">
        <v>13.61</v>
      </c>
    </row>
    <row r="1919" spans="1:10" x14ac:dyDescent="0.25">
      <c r="A1919" s="1">
        <v>45086</v>
      </c>
      <c r="B1919" t="s">
        <v>10</v>
      </c>
      <c r="C1919" t="s">
        <v>11</v>
      </c>
      <c r="D1919" t="s">
        <v>12</v>
      </c>
      <c r="E1919" t="s">
        <v>431</v>
      </c>
      <c r="F1919" t="s">
        <v>84</v>
      </c>
      <c r="G1919" t="s">
        <v>28</v>
      </c>
      <c r="H1919">
        <v>5</v>
      </c>
      <c r="I1919">
        <v>3275</v>
      </c>
      <c r="J1919">
        <v>222.29</v>
      </c>
    </row>
    <row r="1920" spans="1:10" x14ac:dyDescent="0.25">
      <c r="A1920" s="1">
        <v>45543</v>
      </c>
      <c r="B1920" t="s">
        <v>29</v>
      </c>
      <c r="C1920" t="s">
        <v>17</v>
      </c>
      <c r="D1920" t="s">
        <v>12</v>
      </c>
      <c r="E1920" t="s">
        <v>431</v>
      </c>
      <c r="F1920" t="s">
        <v>84</v>
      </c>
      <c r="G1920" t="s">
        <v>28</v>
      </c>
      <c r="H1920">
        <v>3</v>
      </c>
      <c r="I1920">
        <v>2508</v>
      </c>
      <c r="J1920">
        <v>498.69</v>
      </c>
    </row>
    <row r="1921" spans="1:10" x14ac:dyDescent="0.25">
      <c r="A1921" s="1">
        <v>45536</v>
      </c>
      <c r="B1921" t="s">
        <v>49</v>
      </c>
      <c r="C1921" t="s">
        <v>17</v>
      </c>
      <c r="D1921" t="s">
        <v>12</v>
      </c>
      <c r="E1921" t="s">
        <v>56</v>
      </c>
      <c r="F1921" t="s">
        <v>57</v>
      </c>
      <c r="G1921" t="s">
        <v>24</v>
      </c>
      <c r="H1921">
        <v>8</v>
      </c>
      <c r="I1921">
        <v>904</v>
      </c>
      <c r="J1921">
        <v>202.35</v>
      </c>
    </row>
    <row r="1922" spans="1:10" x14ac:dyDescent="0.25">
      <c r="A1922" s="1">
        <v>45540</v>
      </c>
      <c r="B1922" t="s">
        <v>10</v>
      </c>
      <c r="C1922" t="s">
        <v>11</v>
      </c>
      <c r="D1922" t="s">
        <v>12</v>
      </c>
      <c r="E1922" t="s">
        <v>70</v>
      </c>
      <c r="F1922" t="s">
        <v>71</v>
      </c>
      <c r="G1922" t="s">
        <v>35</v>
      </c>
      <c r="H1922">
        <v>3</v>
      </c>
      <c r="I1922">
        <v>1506</v>
      </c>
      <c r="J1922">
        <v>427.84</v>
      </c>
    </row>
    <row r="1923" spans="1:10" x14ac:dyDescent="0.25">
      <c r="A1923" s="1">
        <v>44857</v>
      </c>
      <c r="B1923" t="s">
        <v>40</v>
      </c>
      <c r="C1923" t="s">
        <v>19</v>
      </c>
      <c r="D1923" t="s">
        <v>12</v>
      </c>
      <c r="E1923" t="s">
        <v>332</v>
      </c>
      <c r="F1923" t="s">
        <v>94</v>
      </c>
      <c r="G1923" t="s">
        <v>24</v>
      </c>
      <c r="H1923">
        <v>3</v>
      </c>
      <c r="I1923">
        <v>987</v>
      </c>
      <c r="J1923">
        <v>97.01</v>
      </c>
    </row>
    <row r="1924" spans="1:10" x14ac:dyDescent="0.25">
      <c r="A1924" s="1">
        <v>44590</v>
      </c>
      <c r="B1924" t="s">
        <v>40</v>
      </c>
      <c r="C1924" t="s">
        <v>19</v>
      </c>
      <c r="D1924" t="s">
        <v>12</v>
      </c>
      <c r="E1924" t="s">
        <v>432</v>
      </c>
      <c r="F1924" t="s">
        <v>21</v>
      </c>
      <c r="G1924" t="s">
        <v>15</v>
      </c>
      <c r="H1924">
        <v>7</v>
      </c>
      <c r="I1924">
        <v>2968</v>
      </c>
      <c r="J1924">
        <v>728.94</v>
      </c>
    </row>
    <row r="1925" spans="1:10" x14ac:dyDescent="0.25">
      <c r="A1925" s="1">
        <v>44637</v>
      </c>
      <c r="B1925" t="s">
        <v>16</v>
      </c>
      <c r="C1925" t="s">
        <v>17</v>
      </c>
      <c r="D1925" t="s">
        <v>12</v>
      </c>
      <c r="E1925" t="s">
        <v>52</v>
      </c>
      <c r="F1925" t="s">
        <v>42</v>
      </c>
      <c r="G1925" t="s">
        <v>28</v>
      </c>
      <c r="H1925">
        <v>5</v>
      </c>
      <c r="I1925">
        <v>4200</v>
      </c>
      <c r="J1925">
        <v>746.86</v>
      </c>
    </row>
    <row r="1926" spans="1:10" x14ac:dyDescent="0.25">
      <c r="A1926" s="1">
        <v>45307</v>
      </c>
      <c r="B1926" t="s">
        <v>32</v>
      </c>
      <c r="C1926" t="s">
        <v>19</v>
      </c>
      <c r="D1926" t="s">
        <v>12</v>
      </c>
      <c r="E1926" t="s">
        <v>22</v>
      </c>
      <c r="F1926" t="s">
        <v>23</v>
      </c>
      <c r="G1926" t="s">
        <v>24</v>
      </c>
      <c r="H1926">
        <v>5</v>
      </c>
      <c r="I1926">
        <v>1645</v>
      </c>
      <c r="J1926">
        <v>313.66000000000003</v>
      </c>
    </row>
    <row r="1927" spans="1:10" x14ac:dyDescent="0.25">
      <c r="A1927" s="1">
        <v>45621</v>
      </c>
      <c r="B1927" t="s">
        <v>10</v>
      </c>
      <c r="C1927" t="s">
        <v>11</v>
      </c>
      <c r="D1927" t="s">
        <v>12</v>
      </c>
      <c r="E1927" t="s">
        <v>22</v>
      </c>
      <c r="F1927" t="s">
        <v>23</v>
      </c>
      <c r="G1927" t="s">
        <v>24</v>
      </c>
      <c r="H1927">
        <v>3</v>
      </c>
      <c r="I1927">
        <v>3282</v>
      </c>
      <c r="J1927">
        <v>492.59</v>
      </c>
    </row>
    <row r="1928" spans="1:10" x14ac:dyDescent="0.25">
      <c r="A1928" s="1">
        <v>44605</v>
      </c>
      <c r="B1928" t="s">
        <v>29</v>
      </c>
      <c r="C1928" t="s">
        <v>17</v>
      </c>
      <c r="D1928" t="s">
        <v>12</v>
      </c>
      <c r="E1928" t="s">
        <v>56</v>
      </c>
      <c r="F1928" t="s">
        <v>57</v>
      </c>
      <c r="G1928" t="s">
        <v>24</v>
      </c>
      <c r="H1928">
        <v>9</v>
      </c>
      <c r="I1928">
        <v>4914</v>
      </c>
      <c r="J1928">
        <v>1160.45</v>
      </c>
    </row>
    <row r="1929" spans="1:10" x14ac:dyDescent="0.25">
      <c r="A1929" s="1">
        <v>45015</v>
      </c>
      <c r="B1929" t="s">
        <v>55</v>
      </c>
      <c r="C1929" t="s">
        <v>19</v>
      </c>
      <c r="D1929" t="s">
        <v>12</v>
      </c>
      <c r="E1929" t="s">
        <v>121</v>
      </c>
      <c r="F1929" t="s">
        <v>57</v>
      </c>
      <c r="G1929" t="s">
        <v>24</v>
      </c>
      <c r="H1929">
        <v>6</v>
      </c>
      <c r="I1929">
        <v>3924</v>
      </c>
      <c r="J1929">
        <v>762.96</v>
      </c>
    </row>
    <row r="1930" spans="1:10" x14ac:dyDescent="0.25">
      <c r="A1930" s="1">
        <v>45181</v>
      </c>
      <c r="B1930" t="s">
        <v>29</v>
      </c>
      <c r="C1930" t="s">
        <v>17</v>
      </c>
      <c r="D1930" t="s">
        <v>12</v>
      </c>
      <c r="E1930" t="s">
        <v>26</v>
      </c>
      <c r="F1930" t="s">
        <v>27</v>
      </c>
      <c r="G1930" t="s">
        <v>28</v>
      </c>
      <c r="H1930">
        <v>6</v>
      </c>
      <c r="I1930">
        <v>420</v>
      </c>
      <c r="J1930">
        <v>65.62</v>
      </c>
    </row>
    <row r="1931" spans="1:10" x14ac:dyDescent="0.25">
      <c r="A1931" s="1">
        <v>45471</v>
      </c>
      <c r="B1931" t="s">
        <v>10</v>
      </c>
      <c r="C1931" t="s">
        <v>11</v>
      </c>
      <c r="D1931" t="s">
        <v>12</v>
      </c>
      <c r="E1931" t="s">
        <v>13</v>
      </c>
      <c r="F1931" t="s">
        <v>14</v>
      </c>
      <c r="G1931" t="s">
        <v>15</v>
      </c>
      <c r="H1931">
        <v>4</v>
      </c>
      <c r="I1931">
        <v>1544</v>
      </c>
      <c r="J1931">
        <v>106.02</v>
      </c>
    </row>
    <row r="1932" spans="1:10" x14ac:dyDescent="0.25">
      <c r="A1932" s="1">
        <v>44802</v>
      </c>
      <c r="B1932" t="s">
        <v>29</v>
      </c>
      <c r="C1932" t="s">
        <v>17</v>
      </c>
      <c r="D1932" t="s">
        <v>12</v>
      </c>
      <c r="E1932" t="s">
        <v>37</v>
      </c>
      <c r="F1932" t="s">
        <v>34</v>
      </c>
      <c r="G1932" t="s">
        <v>35</v>
      </c>
      <c r="H1932">
        <v>2</v>
      </c>
      <c r="I1932">
        <v>2046</v>
      </c>
      <c r="J1932">
        <v>233.47</v>
      </c>
    </row>
    <row r="1933" spans="1:10" x14ac:dyDescent="0.25">
      <c r="A1933" s="1">
        <v>45252</v>
      </c>
      <c r="B1933" t="s">
        <v>29</v>
      </c>
      <c r="C1933" t="s">
        <v>17</v>
      </c>
      <c r="D1933" t="s">
        <v>12</v>
      </c>
      <c r="E1933" t="s">
        <v>41</v>
      </c>
      <c r="F1933" t="s">
        <v>63</v>
      </c>
      <c r="G1933" t="s">
        <v>28</v>
      </c>
      <c r="H1933">
        <v>2</v>
      </c>
      <c r="I1933">
        <v>1548</v>
      </c>
      <c r="J1933">
        <v>157.47999999999999</v>
      </c>
    </row>
    <row r="1934" spans="1:10" x14ac:dyDescent="0.25">
      <c r="A1934" s="1">
        <v>45056</v>
      </c>
      <c r="B1934" t="s">
        <v>49</v>
      </c>
      <c r="C1934" t="s">
        <v>17</v>
      </c>
      <c r="D1934" t="s">
        <v>12</v>
      </c>
      <c r="E1934" t="s">
        <v>37</v>
      </c>
      <c r="F1934" t="s">
        <v>34</v>
      </c>
      <c r="G1934" t="s">
        <v>35</v>
      </c>
      <c r="H1934">
        <v>4</v>
      </c>
      <c r="I1934">
        <v>3184</v>
      </c>
      <c r="J1934">
        <v>478.27</v>
      </c>
    </row>
    <row r="1935" spans="1:10" x14ac:dyDescent="0.25">
      <c r="A1935" s="1">
        <v>45582</v>
      </c>
      <c r="B1935" t="s">
        <v>10</v>
      </c>
      <c r="C1935" t="s">
        <v>11</v>
      </c>
      <c r="D1935" t="s">
        <v>12</v>
      </c>
      <c r="E1935" t="s">
        <v>26</v>
      </c>
      <c r="F1935" t="s">
        <v>27</v>
      </c>
      <c r="G1935" t="s">
        <v>28</v>
      </c>
      <c r="H1935">
        <v>5</v>
      </c>
      <c r="I1935">
        <v>3385</v>
      </c>
      <c r="J1935">
        <v>774.86</v>
      </c>
    </row>
    <row r="1936" spans="1:10" x14ac:dyDescent="0.25">
      <c r="A1936" s="1">
        <v>45210</v>
      </c>
      <c r="B1936" t="s">
        <v>36</v>
      </c>
      <c r="C1936" t="s">
        <v>17</v>
      </c>
      <c r="D1936" t="s">
        <v>12</v>
      </c>
      <c r="E1936" t="s">
        <v>26</v>
      </c>
      <c r="F1936" t="s">
        <v>27</v>
      </c>
      <c r="G1936" t="s">
        <v>28</v>
      </c>
      <c r="H1936">
        <v>1</v>
      </c>
      <c r="I1936">
        <v>59</v>
      </c>
      <c r="J1936">
        <v>10.32</v>
      </c>
    </row>
    <row r="1937" spans="1:10" x14ac:dyDescent="0.25">
      <c r="A1937" s="1">
        <v>45430</v>
      </c>
      <c r="B1937" t="s">
        <v>36</v>
      </c>
      <c r="C1937" t="s">
        <v>17</v>
      </c>
      <c r="D1937" t="s">
        <v>12</v>
      </c>
      <c r="E1937" t="s">
        <v>37</v>
      </c>
      <c r="F1937" t="s">
        <v>34</v>
      </c>
      <c r="G1937" t="s">
        <v>35</v>
      </c>
      <c r="H1937">
        <v>8</v>
      </c>
      <c r="I1937">
        <v>5976</v>
      </c>
      <c r="J1937">
        <v>1016.99</v>
      </c>
    </row>
    <row r="1938" spans="1:10" x14ac:dyDescent="0.25">
      <c r="A1938" s="1">
        <v>44956</v>
      </c>
      <c r="B1938" t="s">
        <v>16</v>
      </c>
      <c r="C1938" t="s">
        <v>17</v>
      </c>
      <c r="D1938" t="s">
        <v>12</v>
      </c>
      <c r="E1938" t="s">
        <v>37</v>
      </c>
      <c r="F1938" t="s">
        <v>34</v>
      </c>
      <c r="G1938" t="s">
        <v>35</v>
      </c>
      <c r="H1938">
        <v>3</v>
      </c>
      <c r="I1938">
        <v>1791</v>
      </c>
      <c r="J1938">
        <v>122.5</v>
      </c>
    </row>
    <row r="1939" spans="1:10" x14ac:dyDescent="0.25">
      <c r="A1939" s="1">
        <v>44939</v>
      </c>
      <c r="B1939" t="s">
        <v>32</v>
      </c>
      <c r="C1939" t="s">
        <v>19</v>
      </c>
      <c r="D1939" t="s">
        <v>12</v>
      </c>
      <c r="E1939" t="s">
        <v>112</v>
      </c>
      <c r="F1939" t="s">
        <v>63</v>
      </c>
      <c r="G1939" t="s">
        <v>28</v>
      </c>
      <c r="H1939">
        <v>2</v>
      </c>
      <c r="I1939">
        <v>1644</v>
      </c>
      <c r="J1939">
        <v>189.32</v>
      </c>
    </row>
    <row r="1940" spans="1:10" x14ac:dyDescent="0.25">
      <c r="A1940" s="1">
        <v>45429</v>
      </c>
      <c r="B1940" t="s">
        <v>18</v>
      </c>
      <c r="C1940" t="s">
        <v>19</v>
      </c>
      <c r="D1940" t="s">
        <v>12</v>
      </c>
      <c r="E1940" t="s">
        <v>433</v>
      </c>
      <c r="F1940" t="s">
        <v>156</v>
      </c>
      <c r="G1940" t="s">
        <v>28</v>
      </c>
      <c r="H1940">
        <v>8</v>
      </c>
      <c r="I1940">
        <v>6584</v>
      </c>
      <c r="J1940">
        <v>544.62</v>
      </c>
    </row>
    <row r="1941" spans="1:10" x14ac:dyDescent="0.25">
      <c r="A1941" s="1">
        <v>44776</v>
      </c>
      <c r="B1941" t="s">
        <v>29</v>
      </c>
      <c r="C1941" t="s">
        <v>17</v>
      </c>
      <c r="D1941" t="s">
        <v>12</v>
      </c>
      <c r="E1941" t="s">
        <v>26</v>
      </c>
      <c r="F1941" t="s">
        <v>27</v>
      </c>
      <c r="G1941" t="s">
        <v>28</v>
      </c>
      <c r="H1941">
        <v>5</v>
      </c>
      <c r="I1941">
        <v>1620</v>
      </c>
      <c r="J1941">
        <v>325.87</v>
      </c>
    </row>
    <row r="1942" spans="1:10" x14ac:dyDescent="0.25">
      <c r="A1942" s="1">
        <v>45328</v>
      </c>
      <c r="B1942" t="s">
        <v>16</v>
      </c>
      <c r="C1942" t="s">
        <v>17</v>
      </c>
      <c r="D1942" t="s">
        <v>12</v>
      </c>
      <c r="E1942" t="s">
        <v>434</v>
      </c>
      <c r="F1942" t="s">
        <v>65</v>
      </c>
      <c r="G1942" t="s">
        <v>35</v>
      </c>
      <c r="H1942">
        <v>9</v>
      </c>
      <c r="I1942">
        <v>2736</v>
      </c>
      <c r="J1942">
        <v>407.22</v>
      </c>
    </row>
    <row r="1943" spans="1:10" x14ac:dyDescent="0.25">
      <c r="A1943" s="1">
        <v>45393</v>
      </c>
      <c r="B1943" t="s">
        <v>36</v>
      </c>
      <c r="C1943" t="s">
        <v>17</v>
      </c>
      <c r="D1943" t="s">
        <v>12</v>
      </c>
      <c r="E1943" t="s">
        <v>434</v>
      </c>
      <c r="F1943" t="s">
        <v>65</v>
      </c>
      <c r="G1943" t="s">
        <v>35</v>
      </c>
      <c r="H1943">
        <v>4</v>
      </c>
      <c r="I1943">
        <v>1064</v>
      </c>
      <c r="J1943">
        <v>274.47000000000003</v>
      </c>
    </row>
    <row r="1944" spans="1:10" x14ac:dyDescent="0.25">
      <c r="A1944" s="1">
        <v>45461</v>
      </c>
      <c r="B1944" t="s">
        <v>25</v>
      </c>
      <c r="C1944" t="s">
        <v>19</v>
      </c>
      <c r="D1944" t="s">
        <v>12</v>
      </c>
      <c r="E1944" t="s">
        <v>372</v>
      </c>
      <c r="F1944" t="s">
        <v>23</v>
      </c>
      <c r="G1944" t="s">
        <v>24</v>
      </c>
      <c r="H1944">
        <v>7</v>
      </c>
      <c r="I1944">
        <v>2667</v>
      </c>
      <c r="J1944">
        <v>363.5</v>
      </c>
    </row>
    <row r="1945" spans="1:10" x14ac:dyDescent="0.25">
      <c r="A1945" s="1">
        <v>45019</v>
      </c>
      <c r="B1945" t="s">
        <v>29</v>
      </c>
      <c r="C1945" t="s">
        <v>17</v>
      </c>
      <c r="D1945" t="s">
        <v>12</v>
      </c>
      <c r="E1945" t="s">
        <v>401</v>
      </c>
      <c r="F1945" t="s">
        <v>23</v>
      </c>
      <c r="G1945" t="s">
        <v>24</v>
      </c>
      <c r="H1945">
        <v>3</v>
      </c>
      <c r="I1945">
        <v>735</v>
      </c>
      <c r="J1945">
        <v>217.79</v>
      </c>
    </row>
    <row r="1946" spans="1:10" x14ac:dyDescent="0.25">
      <c r="A1946" s="1">
        <v>45644</v>
      </c>
      <c r="B1946" t="s">
        <v>55</v>
      </c>
      <c r="C1946" t="s">
        <v>19</v>
      </c>
      <c r="D1946" t="s">
        <v>12</v>
      </c>
      <c r="E1946" t="s">
        <v>401</v>
      </c>
      <c r="F1946" t="s">
        <v>23</v>
      </c>
      <c r="G1946" t="s">
        <v>24</v>
      </c>
      <c r="H1946">
        <v>1</v>
      </c>
      <c r="I1946">
        <v>58</v>
      </c>
      <c r="J1946">
        <v>11.25</v>
      </c>
    </row>
    <row r="1947" spans="1:10" x14ac:dyDescent="0.25">
      <c r="A1947" s="1">
        <v>45041</v>
      </c>
      <c r="B1947" t="s">
        <v>25</v>
      </c>
      <c r="C1947" t="s">
        <v>19</v>
      </c>
      <c r="D1947" t="s">
        <v>12</v>
      </c>
      <c r="E1947" t="s">
        <v>187</v>
      </c>
      <c r="F1947" t="s">
        <v>23</v>
      </c>
      <c r="G1947" t="s">
        <v>24</v>
      </c>
      <c r="H1947">
        <v>7</v>
      </c>
      <c r="I1947">
        <v>3136</v>
      </c>
      <c r="J1947">
        <v>850.3</v>
      </c>
    </row>
    <row r="1948" spans="1:10" x14ac:dyDescent="0.25">
      <c r="A1948" s="1">
        <v>45186</v>
      </c>
      <c r="B1948" t="s">
        <v>16</v>
      </c>
      <c r="C1948" t="s">
        <v>17</v>
      </c>
      <c r="D1948" t="s">
        <v>12</v>
      </c>
      <c r="E1948" t="s">
        <v>435</v>
      </c>
      <c r="F1948" t="s">
        <v>78</v>
      </c>
      <c r="G1948" t="s">
        <v>28</v>
      </c>
      <c r="H1948">
        <v>4</v>
      </c>
      <c r="I1948">
        <v>3936</v>
      </c>
      <c r="J1948">
        <v>374.34</v>
      </c>
    </row>
    <row r="1949" spans="1:10" x14ac:dyDescent="0.25">
      <c r="A1949" s="1">
        <v>44888</v>
      </c>
      <c r="B1949" t="s">
        <v>40</v>
      </c>
      <c r="C1949" t="s">
        <v>19</v>
      </c>
      <c r="D1949" t="s">
        <v>12</v>
      </c>
      <c r="E1949" t="s">
        <v>74</v>
      </c>
      <c r="F1949" t="s">
        <v>23</v>
      </c>
      <c r="G1949" t="s">
        <v>24</v>
      </c>
      <c r="H1949">
        <v>9</v>
      </c>
      <c r="I1949">
        <v>6102</v>
      </c>
      <c r="J1949">
        <v>947.91</v>
      </c>
    </row>
    <row r="1950" spans="1:10" x14ac:dyDescent="0.25">
      <c r="A1950" s="1">
        <v>45429</v>
      </c>
      <c r="B1950" t="s">
        <v>40</v>
      </c>
      <c r="C1950" t="s">
        <v>19</v>
      </c>
      <c r="D1950" t="s">
        <v>12</v>
      </c>
      <c r="E1950" t="s">
        <v>74</v>
      </c>
      <c r="F1950" t="s">
        <v>23</v>
      </c>
      <c r="G1950" t="s">
        <v>24</v>
      </c>
      <c r="H1950">
        <v>8</v>
      </c>
      <c r="I1950">
        <v>9408</v>
      </c>
      <c r="J1950">
        <v>552.44000000000005</v>
      </c>
    </row>
    <row r="1951" spans="1:10" x14ac:dyDescent="0.25">
      <c r="A1951" s="1">
        <v>44909</v>
      </c>
      <c r="B1951" t="s">
        <v>16</v>
      </c>
      <c r="C1951" t="s">
        <v>17</v>
      </c>
      <c r="D1951" t="s">
        <v>12</v>
      </c>
      <c r="E1951" t="s">
        <v>26</v>
      </c>
      <c r="F1951" t="s">
        <v>27</v>
      </c>
      <c r="G1951" t="s">
        <v>28</v>
      </c>
      <c r="H1951">
        <v>9</v>
      </c>
      <c r="I1951">
        <v>7875</v>
      </c>
      <c r="J1951">
        <v>1243.56</v>
      </c>
    </row>
    <row r="1952" spans="1:10" x14ac:dyDescent="0.25">
      <c r="A1952" s="1">
        <v>45578</v>
      </c>
      <c r="B1952" t="s">
        <v>49</v>
      </c>
      <c r="C1952" t="s">
        <v>17</v>
      </c>
      <c r="D1952" t="s">
        <v>12</v>
      </c>
      <c r="E1952" t="s">
        <v>182</v>
      </c>
      <c r="F1952" t="s">
        <v>183</v>
      </c>
      <c r="G1952" t="s">
        <v>15</v>
      </c>
      <c r="H1952">
        <v>9</v>
      </c>
      <c r="I1952">
        <v>9900</v>
      </c>
      <c r="J1952">
        <v>576.79999999999995</v>
      </c>
    </row>
    <row r="1953" spans="1:10" x14ac:dyDescent="0.25">
      <c r="A1953" s="1">
        <v>45581</v>
      </c>
      <c r="B1953" t="s">
        <v>49</v>
      </c>
      <c r="C1953" t="s">
        <v>17</v>
      </c>
      <c r="D1953" t="s">
        <v>12</v>
      </c>
      <c r="E1953" t="s">
        <v>22</v>
      </c>
      <c r="F1953" t="s">
        <v>23</v>
      </c>
      <c r="G1953" t="s">
        <v>24</v>
      </c>
      <c r="H1953">
        <v>2</v>
      </c>
      <c r="I1953">
        <v>430</v>
      </c>
      <c r="J1953">
        <v>114.91</v>
      </c>
    </row>
    <row r="1954" spans="1:10" x14ac:dyDescent="0.25">
      <c r="A1954" s="1">
        <v>45187</v>
      </c>
      <c r="B1954" t="s">
        <v>16</v>
      </c>
      <c r="C1954" t="s">
        <v>17</v>
      </c>
      <c r="D1954" t="s">
        <v>12</v>
      </c>
      <c r="E1954" t="s">
        <v>22</v>
      </c>
      <c r="F1954" t="s">
        <v>23</v>
      </c>
      <c r="G1954" t="s">
        <v>24</v>
      </c>
      <c r="H1954">
        <v>3</v>
      </c>
      <c r="I1954">
        <v>813</v>
      </c>
      <c r="J1954">
        <v>238.1</v>
      </c>
    </row>
    <row r="1955" spans="1:10" x14ac:dyDescent="0.25">
      <c r="A1955" s="1">
        <v>45269</v>
      </c>
      <c r="B1955" t="s">
        <v>25</v>
      </c>
      <c r="C1955" t="s">
        <v>19</v>
      </c>
      <c r="D1955" t="s">
        <v>12</v>
      </c>
      <c r="E1955" t="s">
        <v>75</v>
      </c>
      <c r="F1955" t="s">
        <v>63</v>
      </c>
      <c r="G1955" t="s">
        <v>28</v>
      </c>
      <c r="H1955">
        <v>4</v>
      </c>
      <c r="I1955">
        <v>4176</v>
      </c>
      <c r="J1955">
        <v>980.11</v>
      </c>
    </row>
    <row r="1956" spans="1:10" x14ac:dyDescent="0.25">
      <c r="A1956" s="1">
        <v>45201</v>
      </c>
      <c r="B1956" t="s">
        <v>25</v>
      </c>
      <c r="C1956" t="s">
        <v>19</v>
      </c>
      <c r="D1956" t="s">
        <v>12</v>
      </c>
      <c r="E1956" t="s">
        <v>74</v>
      </c>
      <c r="F1956" t="s">
        <v>23</v>
      </c>
      <c r="G1956" t="s">
        <v>24</v>
      </c>
      <c r="H1956">
        <v>4</v>
      </c>
      <c r="I1956">
        <v>3084</v>
      </c>
      <c r="J1956">
        <v>348.38</v>
      </c>
    </row>
    <row r="1957" spans="1:10" x14ac:dyDescent="0.25">
      <c r="A1957" s="1">
        <v>44651</v>
      </c>
      <c r="B1957" t="s">
        <v>16</v>
      </c>
      <c r="C1957" t="s">
        <v>17</v>
      </c>
      <c r="D1957" t="s">
        <v>12</v>
      </c>
      <c r="E1957" t="s">
        <v>47</v>
      </c>
      <c r="F1957" t="s">
        <v>100</v>
      </c>
      <c r="G1957" t="s">
        <v>35</v>
      </c>
      <c r="H1957">
        <v>7</v>
      </c>
      <c r="I1957">
        <v>8008</v>
      </c>
      <c r="J1957">
        <v>1593.65</v>
      </c>
    </row>
    <row r="1958" spans="1:10" x14ac:dyDescent="0.25">
      <c r="A1958" s="1">
        <v>45455</v>
      </c>
      <c r="B1958" t="s">
        <v>32</v>
      </c>
      <c r="C1958" t="s">
        <v>19</v>
      </c>
      <c r="D1958" t="s">
        <v>12</v>
      </c>
      <c r="E1958" t="s">
        <v>47</v>
      </c>
      <c r="F1958" t="s">
        <v>100</v>
      </c>
      <c r="G1958" t="s">
        <v>35</v>
      </c>
      <c r="H1958">
        <v>4</v>
      </c>
      <c r="I1958">
        <v>4608</v>
      </c>
      <c r="J1958">
        <v>963.5</v>
      </c>
    </row>
    <row r="1959" spans="1:10" x14ac:dyDescent="0.25">
      <c r="A1959" s="1">
        <v>45459</v>
      </c>
      <c r="B1959" t="s">
        <v>29</v>
      </c>
      <c r="C1959" t="s">
        <v>17</v>
      </c>
      <c r="D1959" t="s">
        <v>12</v>
      </c>
      <c r="E1959" t="s">
        <v>56</v>
      </c>
      <c r="F1959" t="s">
        <v>57</v>
      </c>
      <c r="G1959" t="s">
        <v>24</v>
      </c>
      <c r="H1959">
        <v>4</v>
      </c>
      <c r="I1959">
        <v>4356</v>
      </c>
      <c r="J1959">
        <v>614.62</v>
      </c>
    </row>
    <row r="1960" spans="1:10" x14ac:dyDescent="0.25">
      <c r="A1960" s="1">
        <v>45173</v>
      </c>
      <c r="B1960" t="s">
        <v>10</v>
      </c>
      <c r="C1960" t="s">
        <v>11</v>
      </c>
      <c r="D1960" t="s">
        <v>12</v>
      </c>
      <c r="E1960" t="s">
        <v>70</v>
      </c>
      <c r="F1960" t="s">
        <v>71</v>
      </c>
      <c r="G1960" t="s">
        <v>35</v>
      </c>
      <c r="H1960">
        <v>1</v>
      </c>
      <c r="I1960">
        <v>566</v>
      </c>
      <c r="J1960">
        <v>169.17</v>
      </c>
    </row>
    <row r="1961" spans="1:10" x14ac:dyDescent="0.25">
      <c r="A1961" s="1">
        <v>44897</v>
      </c>
      <c r="B1961" t="s">
        <v>55</v>
      </c>
      <c r="C1961" t="s">
        <v>19</v>
      </c>
      <c r="D1961" t="s">
        <v>12</v>
      </c>
      <c r="E1961" t="s">
        <v>172</v>
      </c>
      <c r="F1961" t="s">
        <v>173</v>
      </c>
      <c r="G1961" t="s">
        <v>24</v>
      </c>
      <c r="H1961">
        <v>7</v>
      </c>
      <c r="I1961">
        <v>945</v>
      </c>
      <c r="J1961">
        <v>75.209999999999994</v>
      </c>
    </row>
    <row r="1962" spans="1:10" x14ac:dyDescent="0.25">
      <c r="A1962" s="1">
        <v>44877</v>
      </c>
      <c r="B1962" t="s">
        <v>32</v>
      </c>
      <c r="C1962" t="s">
        <v>19</v>
      </c>
      <c r="D1962" t="s">
        <v>12</v>
      </c>
      <c r="E1962" t="s">
        <v>304</v>
      </c>
      <c r="F1962" t="s">
        <v>42</v>
      </c>
      <c r="G1962" t="s">
        <v>28</v>
      </c>
      <c r="H1962">
        <v>4</v>
      </c>
      <c r="I1962">
        <v>2200</v>
      </c>
      <c r="J1962">
        <v>484.33</v>
      </c>
    </row>
    <row r="1963" spans="1:10" x14ac:dyDescent="0.25">
      <c r="A1963" s="1">
        <v>45656</v>
      </c>
      <c r="B1963" t="s">
        <v>16</v>
      </c>
      <c r="C1963" t="s">
        <v>17</v>
      </c>
      <c r="D1963" t="s">
        <v>12</v>
      </c>
      <c r="E1963" t="s">
        <v>52</v>
      </c>
      <c r="F1963" t="s">
        <v>42</v>
      </c>
      <c r="G1963" t="s">
        <v>28</v>
      </c>
      <c r="H1963">
        <v>1</v>
      </c>
      <c r="I1963">
        <v>746</v>
      </c>
      <c r="J1963">
        <v>131.25</v>
      </c>
    </row>
    <row r="1964" spans="1:10" x14ac:dyDescent="0.25">
      <c r="A1964" s="1">
        <v>45632</v>
      </c>
      <c r="B1964" t="s">
        <v>36</v>
      </c>
      <c r="C1964" t="s">
        <v>17</v>
      </c>
      <c r="D1964" t="s">
        <v>12</v>
      </c>
      <c r="E1964" t="s">
        <v>26</v>
      </c>
      <c r="F1964" t="s">
        <v>27</v>
      </c>
      <c r="G1964" t="s">
        <v>28</v>
      </c>
      <c r="H1964">
        <v>5</v>
      </c>
      <c r="I1964">
        <v>3505</v>
      </c>
      <c r="J1964">
        <v>678.18</v>
      </c>
    </row>
    <row r="1965" spans="1:10" x14ac:dyDescent="0.25">
      <c r="A1965" s="1">
        <v>45438</v>
      </c>
      <c r="B1965" t="s">
        <v>36</v>
      </c>
      <c r="C1965" t="s">
        <v>17</v>
      </c>
      <c r="D1965" t="s">
        <v>12</v>
      </c>
      <c r="E1965" t="s">
        <v>56</v>
      </c>
      <c r="F1965" t="s">
        <v>57</v>
      </c>
      <c r="G1965" t="s">
        <v>24</v>
      </c>
      <c r="H1965">
        <v>5</v>
      </c>
      <c r="I1965">
        <v>4795</v>
      </c>
      <c r="J1965">
        <v>819.12</v>
      </c>
    </row>
    <row r="1966" spans="1:10" x14ac:dyDescent="0.25">
      <c r="A1966" s="1">
        <v>45585</v>
      </c>
      <c r="B1966" t="s">
        <v>36</v>
      </c>
      <c r="C1966" t="s">
        <v>17</v>
      </c>
      <c r="D1966" t="s">
        <v>12</v>
      </c>
      <c r="E1966" t="s">
        <v>64</v>
      </c>
      <c r="F1966" t="s">
        <v>65</v>
      </c>
      <c r="G1966" t="s">
        <v>35</v>
      </c>
      <c r="H1966">
        <v>5</v>
      </c>
      <c r="I1966">
        <v>4590</v>
      </c>
      <c r="J1966">
        <v>650.04999999999995</v>
      </c>
    </row>
    <row r="1967" spans="1:10" x14ac:dyDescent="0.25">
      <c r="A1967" s="1">
        <v>45050</v>
      </c>
      <c r="B1967" t="s">
        <v>36</v>
      </c>
      <c r="C1967" t="s">
        <v>17</v>
      </c>
      <c r="D1967" t="s">
        <v>12</v>
      </c>
      <c r="E1967" t="s">
        <v>148</v>
      </c>
      <c r="F1967" t="s">
        <v>149</v>
      </c>
      <c r="G1967" t="s">
        <v>15</v>
      </c>
      <c r="H1967">
        <v>4</v>
      </c>
      <c r="I1967">
        <v>2092</v>
      </c>
      <c r="J1967">
        <v>467.02</v>
      </c>
    </row>
    <row r="1968" spans="1:10" x14ac:dyDescent="0.25">
      <c r="A1968" s="1">
        <v>45421</v>
      </c>
      <c r="B1968" t="s">
        <v>16</v>
      </c>
      <c r="C1968" t="s">
        <v>17</v>
      </c>
      <c r="D1968" t="s">
        <v>12</v>
      </c>
      <c r="E1968" t="s">
        <v>210</v>
      </c>
      <c r="F1968" t="s">
        <v>34</v>
      </c>
      <c r="G1968" t="s">
        <v>35</v>
      </c>
      <c r="H1968">
        <v>8</v>
      </c>
      <c r="I1968">
        <v>3568</v>
      </c>
      <c r="J1968">
        <v>334.13</v>
      </c>
    </row>
    <row r="1969" spans="1:10" x14ac:dyDescent="0.25">
      <c r="A1969" s="1">
        <v>45267</v>
      </c>
      <c r="B1969" t="s">
        <v>40</v>
      </c>
      <c r="C1969" t="s">
        <v>19</v>
      </c>
      <c r="D1969" t="s">
        <v>12</v>
      </c>
      <c r="E1969" t="s">
        <v>26</v>
      </c>
      <c r="F1969" t="s">
        <v>27</v>
      </c>
      <c r="G1969" t="s">
        <v>28</v>
      </c>
      <c r="H1969">
        <v>9</v>
      </c>
      <c r="I1969">
        <v>10404</v>
      </c>
      <c r="J1969">
        <v>2028.21</v>
      </c>
    </row>
    <row r="1970" spans="1:10" x14ac:dyDescent="0.25">
      <c r="A1970" s="1">
        <v>44905</v>
      </c>
      <c r="B1970" t="s">
        <v>10</v>
      </c>
      <c r="C1970" t="s">
        <v>11</v>
      </c>
      <c r="D1970" t="s">
        <v>12</v>
      </c>
      <c r="E1970" t="s">
        <v>112</v>
      </c>
      <c r="F1970" t="s">
        <v>63</v>
      </c>
      <c r="G1970" t="s">
        <v>28</v>
      </c>
      <c r="H1970">
        <v>9</v>
      </c>
      <c r="I1970">
        <v>7029</v>
      </c>
      <c r="J1970">
        <v>1005.58</v>
      </c>
    </row>
    <row r="1971" spans="1:10" x14ac:dyDescent="0.25">
      <c r="A1971" s="1">
        <v>44886</v>
      </c>
      <c r="B1971" t="s">
        <v>55</v>
      </c>
      <c r="C1971" t="s">
        <v>19</v>
      </c>
      <c r="D1971" t="s">
        <v>12</v>
      </c>
      <c r="E1971" t="s">
        <v>436</v>
      </c>
      <c r="F1971" t="s">
        <v>34</v>
      </c>
      <c r="G1971" t="s">
        <v>35</v>
      </c>
      <c r="H1971">
        <v>8</v>
      </c>
      <c r="I1971">
        <v>664</v>
      </c>
      <c r="J1971">
        <v>126.6</v>
      </c>
    </row>
    <row r="1972" spans="1:10" x14ac:dyDescent="0.25">
      <c r="A1972" s="1">
        <v>45616</v>
      </c>
      <c r="B1972" t="s">
        <v>18</v>
      </c>
      <c r="C1972" t="s">
        <v>19</v>
      </c>
      <c r="D1972" t="s">
        <v>12</v>
      </c>
      <c r="E1972" t="s">
        <v>52</v>
      </c>
      <c r="F1972" t="s">
        <v>42</v>
      </c>
      <c r="G1972" t="s">
        <v>28</v>
      </c>
      <c r="H1972">
        <v>3</v>
      </c>
      <c r="I1972">
        <v>1923</v>
      </c>
      <c r="J1972">
        <v>274</v>
      </c>
    </row>
    <row r="1973" spans="1:10" x14ac:dyDescent="0.25">
      <c r="A1973" s="1">
        <v>44895</v>
      </c>
      <c r="B1973" t="s">
        <v>10</v>
      </c>
      <c r="C1973" t="s">
        <v>11</v>
      </c>
      <c r="D1973" t="s">
        <v>12</v>
      </c>
      <c r="E1973" t="s">
        <v>52</v>
      </c>
      <c r="F1973" t="s">
        <v>42</v>
      </c>
      <c r="G1973" t="s">
        <v>28</v>
      </c>
      <c r="H1973">
        <v>7</v>
      </c>
      <c r="I1973">
        <v>2471</v>
      </c>
      <c r="J1973">
        <v>566.51</v>
      </c>
    </row>
    <row r="1974" spans="1:10" x14ac:dyDescent="0.25">
      <c r="A1974" s="1">
        <v>45294</v>
      </c>
      <c r="B1974" t="s">
        <v>40</v>
      </c>
      <c r="C1974" t="s">
        <v>19</v>
      </c>
      <c r="D1974" t="s">
        <v>12</v>
      </c>
      <c r="E1974" t="s">
        <v>37</v>
      </c>
      <c r="F1974" t="s">
        <v>34</v>
      </c>
      <c r="G1974" t="s">
        <v>35</v>
      </c>
      <c r="H1974">
        <v>2</v>
      </c>
      <c r="I1974">
        <v>258</v>
      </c>
      <c r="J1974">
        <v>64.12</v>
      </c>
    </row>
    <row r="1975" spans="1:10" x14ac:dyDescent="0.25">
      <c r="A1975" s="1">
        <v>45594</v>
      </c>
      <c r="B1975" t="s">
        <v>32</v>
      </c>
      <c r="C1975" t="s">
        <v>19</v>
      </c>
      <c r="D1975" t="s">
        <v>12</v>
      </c>
      <c r="E1975" t="s">
        <v>37</v>
      </c>
      <c r="F1975" t="s">
        <v>34</v>
      </c>
      <c r="G1975" t="s">
        <v>35</v>
      </c>
      <c r="H1975">
        <v>9</v>
      </c>
      <c r="I1975">
        <v>1134</v>
      </c>
      <c r="J1975">
        <v>267.26</v>
      </c>
    </row>
    <row r="1976" spans="1:10" x14ac:dyDescent="0.25">
      <c r="A1976" s="1">
        <v>45559</v>
      </c>
      <c r="B1976" t="s">
        <v>29</v>
      </c>
      <c r="C1976" t="s">
        <v>17</v>
      </c>
      <c r="D1976" t="s">
        <v>12</v>
      </c>
      <c r="E1976" t="s">
        <v>22</v>
      </c>
      <c r="F1976" t="s">
        <v>23</v>
      </c>
      <c r="G1976" t="s">
        <v>24</v>
      </c>
      <c r="H1976">
        <v>5</v>
      </c>
      <c r="I1976">
        <v>855</v>
      </c>
      <c r="J1976">
        <v>238.83</v>
      </c>
    </row>
    <row r="1977" spans="1:10" x14ac:dyDescent="0.25">
      <c r="A1977" s="1">
        <v>45391</v>
      </c>
      <c r="B1977" t="s">
        <v>32</v>
      </c>
      <c r="C1977" t="s">
        <v>19</v>
      </c>
      <c r="D1977" t="s">
        <v>12</v>
      </c>
      <c r="E1977" t="s">
        <v>127</v>
      </c>
      <c r="F1977" t="s">
        <v>57</v>
      </c>
      <c r="G1977" t="s">
        <v>24</v>
      </c>
      <c r="H1977">
        <v>9</v>
      </c>
      <c r="I1977">
        <v>3231</v>
      </c>
      <c r="J1977">
        <v>670.85</v>
      </c>
    </row>
    <row r="1978" spans="1:10" x14ac:dyDescent="0.25">
      <c r="A1978" s="1">
        <v>45540</v>
      </c>
      <c r="B1978" t="s">
        <v>18</v>
      </c>
      <c r="C1978" t="s">
        <v>19</v>
      </c>
      <c r="D1978" t="s">
        <v>12</v>
      </c>
      <c r="E1978" t="s">
        <v>157</v>
      </c>
      <c r="F1978" t="s">
        <v>21</v>
      </c>
      <c r="G1978" t="s">
        <v>15</v>
      </c>
      <c r="H1978">
        <v>7</v>
      </c>
      <c r="I1978">
        <v>3591</v>
      </c>
      <c r="J1978">
        <v>266.58999999999997</v>
      </c>
    </row>
    <row r="1979" spans="1:10" x14ac:dyDescent="0.25">
      <c r="A1979" s="1">
        <v>45325</v>
      </c>
      <c r="B1979" t="s">
        <v>25</v>
      </c>
      <c r="C1979" t="s">
        <v>19</v>
      </c>
      <c r="D1979" t="s">
        <v>12</v>
      </c>
      <c r="E1979" t="s">
        <v>41</v>
      </c>
      <c r="F1979" t="s">
        <v>63</v>
      </c>
      <c r="G1979" t="s">
        <v>28</v>
      </c>
      <c r="H1979">
        <v>2</v>
      </c>
      <c r="I1979">
        <v>254</v>
      </c>
      <c r="J1979">
        <v>20.48</v>
      </c>
    </row>
    <row r="1980" spans="1:10" x14ac:dyDescent="0.25">
      <c r="A1980" s="1">
        <v>45002</v>
      </c>
      <c r="B1980" t="s">
        <v>40</v>
      </c>
      <c r="C1980" t="s">
        <v>19</v>
      </c>
      <c r="D1980" t="s">
        <v>12</v>
      </c>
      <c r="E1980" t="s">
        <v>41</v>
      </c>
      <c r="F1980" t="s">
        <v>63</v>
      </c>
      <c r="G1980" t="s">
        <v>28</v>
      </c>
      <c r="H1980">
        <v>5</v>
      </c>
      <c r="I1980">
        <v>5930</v>
      </c>
      <c r="J1980">
        <v>1193.32</v>
      </c>
    </row>
    <row r="1981" spans="1:10" x14ac:dyDescent="0.25">
      <c r="A1981" s="1">
        <v>45488</v>
      </c>
      <c r="B1981" t="s">
        <v>29</v>
      </c>
      <c r="C1981" t="s">
        <v>17</v>
      </c>
      <c r="D1981" t="s">
        <v>12</v>
      </c>
      <c r="E1981" t="s">
        <v>41</v>
      </c>
      <c r="F1981" t="s">
        <v>63</v>
      </c>
      <c r="G1981" t="s">
        <v>28</v>
      </c>
      <c r="H1981">
        <v>2</v>
      </c>
      <c r="I1981">
        <v>1344</v>
      </c>
      <c r="J1981">
        <v>297.99</v>
      </c>
    </row>
    <row r="1982" spans="1:10" x14ac:dyDescent="0.25">
      <c r="A1982" s="1">
        <v>45005</v>
      </c>
      <c r="B1982" t="s">
        <v>55</v>
      </c>
      <c r="C1982" t="s">
        <v>19</v>
      </c>
      <c r="D1982" t="s">
        <v>12</v>
      </c>
      <c r="E1982" t="s">
        <v>437</v>
      </c>
      <c r="F1982" t="s">
        <v>23</v>
      </c>
      <c r="G1982" t="s">
        <v>24</v>
      </c>
      <c r="H1982">
        <v>1</v>
      </c>
      <c r="I1982">
        <v>920</v>
      </c>
      <c r="J1982">
        <v>98.31</v>
      </c>
    </row>
    <row r="1983" spans="1:10" x14ac:dyDescent="0.25">
      <c r="A1983" s="1">
        <v>44801</v>
      </c>
      <c r="B1983" t="s">
        <v>10</v>
      </c>
      <c r="C1983" t="s">
        <v>11</v>
      </c>
      <c r="D1983" t="s">
        <v>12</v>
      </c>
      <c r="E1983" t="s">
        <v>437</v>
      </c>
      <c r="F1983" t="s">
        <v>23</v>
      </c>
      <c r="G1983" t="s">
        <v>24</v>
      </c>
      <c r="H1983">
        <v>9</v>
      </c>
      <c r="I1983">
        <v>5454</v>
      </c>
      <c r="J1983">
        <v>385.51</v>
      </c>
    </row>
    <row r="1984" spans="1:10" x14ac:dyDescent="0.25">
      <c r="A1984" s="1">
        <v>44896</v>
      </c>
      <c r="B1984" t="s">
        <v>55</v>
      </c>
      <c r="C1984" t="s">
        <v>19</v>
      </c>
      <c r="D1984" t="s">
        <v>12</v>
      </c>
      <c r="E1984" t="s">
        <v>56</v>
      </c>
      <c r="F1984" t="s">
        <v>57</v>
      </c>
      <c r="G1984" t="s">
        <v>24</v>
      </c>
      <c r="H1984">
        <v>8</v>
      </c>
      <c r="I1984">
        <v>9512</v>
      </c>
      <c r="J1984">
        <v>663.23</v>
      </c>
    </row>
    <row r="1985" spans="1:10" x14ac:dyDescent="0.25">
      <c r="A1985" s="1">
        <v>44947</v>
      </c>
      <c r="B1985" t="s">
        <v>16</v>
      </c>
      <c r="C1985" t="s">
        <v>17</v>
      </c>
      <c r="D1985" t="s">
        <v>12</v>
      </c>
      <c r="E1985" t="s">
        <v>43</v>
      </c>
      <c r="F1985" t="s">
        <v>44</v>
      </c>
      <c r="G1985" t="s">
        <v>35</v>
      </c>
      <c r="H1985">
        <v>4</v>
      </c>
      <c r="I1985">
        <v>2972</v>
      </c>
      <c r="J1985">
        <v>827.46</v>
      </c>
    </row>
    <row r="1986" spans="1:10" x14ac:dyDescent="0.25">
      <c r="A1986" s="1">
        <v>45435</v>
      </c>
      <c r="B1986" t="s">
        <v>32</v>
      </c>
      <c r="C1986" t="s">
        <v>19</v>
      </c>
      <c r="D1986" t="s">
        <v>12</v>
      </c>
      <c r="E1986" t="s">
        <v>52</v>
      </c>
      <c r="F1986" t="s">
        <v>42</v>
      </c>
      <c r="G1986" t="s">
        <v>28</v>
      </c>
      <c r="H1986">
        <v>3</v>
      </c>
      <c r="I1986">
        <v>3360</v>
      </c>
      <c r="J1986">
        <v>465.02</v>
      </c>
    </row>
    <row r="1987" spans="1:10" x14ac:dyDescent="0.25">
      <c r="A1987" s="1">
        <v>44858</v>
      </c>
      <c r="B1987" t="s">
        <v>18</v>
      </c>
      <c r="C1987" t="s">
        <v>19</v>
      </c>
      <c r="D1987" t="s">
        <v>12</v>
      </c>
      <c r="E1987" t="s">
        <v>52</v>
      </c>
      <c r="F1987" t="s">
        <v>42</v>
      </c>
      <c r="G1987" t="s">
        <v>28</v>
      </c>
      <c r="H1987">
        <v>4</v>
      </c>
      <c r="I1987">
        <v>1004</v>
      </c>
      <c r="J1987">
        <v>240.13</v>
      </c>
    </row>
    <row r="1988" spans="1:10" x14ac:dyDescent="0.25">
      <c r="A1988" s="1">
        <v>45651</v>
      </c>
      <c r="B1988" t="s">
        <v>29</v>
      </c>
      <c r="C1988" t="s">
        <v>17</v>
      </c>
      <c r="D1988" t="s">
        <v>12</v>
      </c>
      <c r="E1988" t="s">
        <v>56</v>
      </c>
      <c r="F1988" t="s">
        <v>57</v>
      </c>
      <c r="G1988" t="s">
        <v>24</v>
      </c>
      <c r="H1988">
        <v>2</v>
      </c>
      <c r="I1988">
        <v>1944</v>
      </c>
      <c r="J1988">
        <v>332.55</v>
      </c>
    </row>
    <row r="1989" spans="1:10" x14ac:dyDescent="0.25">
      <c r="A1989" s="1">
        <v>45187</v>
      </c>
      <c r="B1989" t="s">
        <v>36</v>
      </c>
      <c r="C1989" t="s">
        <v>17</v>
      </c>
      <c r="D1989" t="s">
        <v>12</v>
      </c>
      <c r="E1989" t="s">
        <v>288</v>
      </c>
      <c r="F1989" t="s">
        <v>156</v>
      </c>
      <c r="G1989" t="s">
        <v>28</v>
      </c>
      <c r="H1989">
        <v>5</v>
      </c>
      <c r="I1989">
        <v>5055</v>
      </c>
      <c r="J1989">
        <v>1200.0899999999999</v>
      </c>
    </row>
    <row r="1990" spans="1:10" x14ac:dyDescent="0.25">
      <c r="A1990" s="1">
        <v>44760</v>
      </c>
      <c r="B1990" t="s">
        <v>32</v>
      </c>
      <c r="C1990" t="s">
        <v>19</v>
      </c>
      <c r="D1990" t="s">
        <v>12</v>
      </c>
      <c r="E1990" t="s">
        <v>75</v>
      </c>
      <c r="F1990" t="s">
        <v>63</v>
      </c>
      <c r="G1990" t="s">
        <v>28</v>
      </c>
      <c r="H1990">
        <v>2</v>
      </c>
      <c r="I1990">
        <v>128</v>
      </c>
      <c r="J1990">
        <v>8.33</v>
      </c>
    </row>
    <row r="1991" spans="1:10" x14ac:dyDescent="0.25">
      <c r="A1991" s="1">
        <v>45360</v>
      </c>
      <c r="B1991" t="s">
        <v>40</v>
      </c>
      <c r="C1991" t="s">
        <v>19</v>
      </c>
      <c r="D1991" t="s">
        <v>12</v>
      </c>
      <c r="E1991" t="s">
        <v>75</v>
      </c>
      <c r="F1991" t="s">
        <v>63</v>
      </c>
      <c r="G1991" t="s">
        <v>28</v>
      </c>
      <c r="H1991">
        <v>3</v>
      </c>
      <c r="I1991">
        <v>633</v>
      </c>
      <c r="J1991">
        <v>163.03</v>
      </c>
    </row>
    <row r="1992" spans="1:10" x14ac:dyDescent="0.25">
      <c r="A1992" s="1">
        <v>44909</v>
      </c>
      <c r="B1992" t="s">
        <v>10</v>
      </c>
      <c r="C1992" t="s">
        <v>11</v>
      </c>
      <c r="D1992" t="s">
        <v>12</v>
      </c>
      <c r="E1992" t="s">
        <v>72</v>
      </c>
      <c r="F1992" t="s">
        <v>21</v>
      </c>
      <c r="G1992" t="s">
        <v>15</v>
      </c>
      <c r="H1992">
        <v>3</v>
      </c>
      <c r="I1992">
        <v>2523</v>
      </c>
      <c r="J1992">
        <v>506.7</v>
      </c>
    </row>
    <row r="1993" spans="1:10" x14ac:dyDescent="0.25">
      <c r="A1993" s="1">
        <v>45236</v>
      </c>
      <c r="B1993" t="s">
        <v>10</v>
      </c>
      <c r="C1993" t="s">
        <v>11</v>
      </c>
      <c r="D1993" t="s">
        <v>12</v>
      </c>
      <c r="E1993" t="s">
        <v>138</v>
      </c>
      <c r="F1993" t="s">
        <v>94</v>
      </c>
      <c r="G1993" t="s">
        <v>24</v>
      </c>
      <c r="H1993">
        <v>1</v>
      </c>
      <c r="I1993">
        <v>196</v>
      </c>
      <c r="J1993">
        <v>39.6</v>
      </c>
    </row>
    <row r="1994" spans="1:10" x14ac:dyDescent="0.25">
      <c r="A1994" s="1">
        <v>44603</v>
      </c>
      <c r="B1994" t="s">
        <v>10</v>
      </c>
      <c r="C1994" t="s">
        <v>11</v>
      </c>
      <c r="D1994" t="s">
        <v>12</v>
      </c>
      <c r="E1994" t="s">
        <v>67</v>
      </c>
      <c r="F1994" t="s">
        <v>54</v>
      </c>
      <c r="G1994" t="s">
        <v>24</v>
      </c>
      <c r="H1994">
        <v>9</v>
      </c>
      <c r="I1994">
        <v>4212</v>
      </c>
      <c r="J1994">
        <v>552.96</v>
      </c>
    </row>
    <row r="1995" spans="1:10" x14ac:dyDescent="0.25">
      <c r="A1995" s="1">
        <v>45379</v>
      </c>
      <c r="B1995" t="s">
        <v>36</v>
      </c>
      <c r="C1995" t="s">
        <v>17</v>
      </c>
      <c r="D1995" t="s">
        <v>12</v>
      </c>
      <c r="E1995" t="s">
        <v>52</v>
      </c>
      <c r="F1995" t="s">
        <v>42</v>
      </c>
      <c r="G1995" t="s">
        <v>28</v>
      </c>
      <c r="H1995">
        <v>1</v>
      </c>
      <c r="I1995">
        <v>63</v>
      </c>
      <c r="J1995">
        <v>17.29</v>
      </c>
    </row>
    <row r="1996" spans="1:10" x14ac:dyDescent="0.25">
      <c r="A1996" s="1">
        <v>45109</v>
      </c>
      <c r="B1996" t="s">
        <v>16</v>
      </c>
      <c r="C1996" t="s">
        <v>17</v>
      </c>
      <c r="D1996" t="s">
        <v>12</v>
      </c>
      <c r="E1996" t="s">
        <v>52</v>
      </c>
      <c r="F1996" t="s">
        <v>42</v>
      </c>
      <c r="G1996" t="s">
        <v>28</v>
      </c>
      <c r="H1996">
        <v>8</v>
      </c>
      <c r="I1996">
        <v>2752</v>
      </c>
      <c r="J1996">
        <v>394.66</v>
      </c>
    </row>
    <row r="1997" spans="1:10" x14ac:dyDescent="0.25">
      <c r="A1997" s="1">
        <v>45607</v>
      </c>
      <c r="B1997" t="s">
        <v>16</v>
      </c>
      <c r="C1997" t="s">
        <v>17</v>
      </c>
      <c r="D1997" t="s">
        <v>12</v>
      </c>
      <c r="E1997" t="s">
        <v>164</v>
      </c>
      <c r="F1997" t="s">
        <v>94</v>
      </c>
      <c r="G1997" t="s">
        <v>24</v>
      </c>
      <c r="H1997">
        <v>3</v>
      </c>
      <c r="I1997">
        <v>1989</v>
      </c>
      <c r="J1997">
        <v>419.61</v>
      </c>
    </row>
    <row r="1998" spans="1:10" x14ac:dyDescent="0.25">
      <c r="A1998" s="1">
        <v>45360</v>
      </c>
      <c r="B1998" t="s">
        <v>55</v>
      </c>
      <c r="C1998" t="s">
        <v>19</v>
      </c>
      <c r="D1998" t="s">
        <v>12</v>
      </c>
      <c r="E1998" t="s">
        <v>52</v>
      </c>
      <c r="F1998" t="s">
        <v>42</v>
      </c>
      <c r="G1998" t="s">
        <v>28</v>
      </c>
      <c r="H1998">
        <v>8</v>
      </c>
      <c r="I1998">
        <v>8032</v>
      </c>
      <c r="J1998">
        <v>466.19</v>
      </c>
    </row>
    <row r="1999" spans="1:10" x14ac:dyDescent="0.25">
      <c r="A1999" s="1">
        <v>44582</v>
      </c>
      <c r="B1999" t="s">
        <v>18</v>
      </c>
      <c r="C1999" t="s">
        <v>19</v>
      </c>
      <c r="D1999" t="s">
        <v>12</v>
      </c>
      <c r="E1999" t="s">
        <v>52</v>
      </c>
      <c r="F1999" t="s">
        <v>42</v>
      </c>
      <c r="G1999" t="s">
        <v>28</v>
      </c>
      <c r="H1999">
        <v>6</v>
      </c>
      <c r="I1999">
        <v>3702</v>
      </c>
      <c r="J1999">
        <v>407.34</v>
      </c>
    </row>
    <row r="2000" spans="1:10" x14ac:dyDescent="0.25">
      <c r="A2000" s="1">
        <v>44851</v>
      </c>
      <c r="B2000" t="s">
        <v>32</v>
      </c>
      <c r="C2000" t="s">
        <v>19</v>
      </c>
      <c r="D2000" t="s">
        <v>12</v>
      </c>
      <c r="E2000" t="s">
        <v>26</v>
      </c>
      <c r="F2000" t="s">
        <v>27</v>
      </c>
      <c r="G2000" t="s">
        <v>28</v>
      </c>
      <c r="H2000">
        <v>8</v>
      </c>
      <c r="I2000">
        <v>456</v>
      </c>
      <c r="J2000">
        <v>90.24</v>
      </c>
    </row>
    <row r="2001" spans="1:10" x14ac:dyDescent="0.25">
      <c r="A2001" s="1">
        <v>44967</v>
      </c>
      <c r="B2001" t="s">
        <v>25</v>
      </c>
      <c r="C2001" t="s">
        <v>19</v>
      </c>
      <c r="D2001" t="s">
        <v>12</v>
      </c>
      <c r="E2001" t="s">
        <v>22</v>
      </c>
      <c r="F2001" t="s">
        <v>23</v>
      </c>
      <c r="G2001" t="s">
        <v>24</v>
      </c>
      <c r="H2001">
        <v>7</v>
      </c>
      <c r="I2001">
        <v>5355</v>
      </c>
      <c r="J2001">
        <v>1143.1600000000001</v>
      </c>
    </row>
    <row r="2002" spans="1:10" x14ac:dyDescent="0.25">
      <c r="A2002" s="1">
        <v>45355</v>
      </c>
      <c r="B2002" t="s">
        <v>25</v>
      </c>
      <c r="C2002" t="s">
        <v>19</v>
      </c>
      <c r="D2002" t="s">
        <v>12</v>
      </c>
      <c r="E2002" t="s">
        <v>56</v>
      </c>
      <c r="F2002" t="s">
        <v>57</v>
      </c>
      <c r="G2002" t="s">
        <v>24</v>
      </c>
      <c r="H2002">
        <v>1</v>
      </c>
      <c r="I2002">
        <v>972</v>
      </c>
      <c r="J2002">
        <v>261.91000000000003</v>
      </c>
    </row>
    <row r="2003" spans="1:10" x14ac:dyDescent="0.25">
      <c r="A2003" s="1">
        <v>44569</v>
      </c>
      <c r="B2003" t="s">
        <v>29</v>
      </c>
      <c r="C2003" t="s">
        <v>17</v>
      </c>
      <c r="D2003" t="s">
        <v>12</v>
      </c>
      <c r="E2003" t="s">
        <v>52</v>
      </c>
      <c r="F2003" t="s">
        <v>42</v>
      </c>
      <c r="G2003" t="s">
        <v>28</v>
      </c>
      <c r="H2003">
        <v>5</v>
      </c>
      <c r="I2003">
        <v>3290</v>
      </c>
      <c r="J2003">
        <v>797.82</v>
      </c>
    </row>
    <row r="2004" spans="1:10" x14ac:dyDescent="0.25">
      <c r="A2004" s="1">
        <v>44889</v>
      </c>
      <c r="B2004" t="s">
        <v>55</v>
      </c>
      <c r="C2004" t="s">
        <v>19</v>
      </c>
      <c r="D2004" t="s">
        <v>12</v>
      </c>
      <c r="E2004" t="s">
        <v>322</v>
      </c>
      <c r="F2004" t="s">
        <v>42</v>
      </c>
      <c r="G2004" t="s">
        <v>28</v>
      </c>
      <c r="H2004">
        <v>1</v>
      </c>
      <c r="I2004">
        <v>735</v>
      </c>
      <c r="J2004">
        <v>139.31</v>
      </c>
    </row>
    <row r="2005" spans="1:10" x14ac:dyDescent="0.25">
      <c r="A2005" s="1">
        <v>45589</v>
      </c>
      <c r="B2005" t="s">
        <v>18</v>
      </c>
      <c r="C2005" t="s">
        <v>19</v>
      </c>
      <c r="D2005" t="s">
        <v>12</v>
      </c>
      <c r="E2005" t="s">
        <v>224</v>
      </c>
      <c r="F2005" t="s">
        <v>34</v>
      </c>
      <c r="G2005" t="s">
        <v>35</v>
      </c>
      <c r="H2005">
        <v>3</v>
      </c>
      <c r="I2005">
        <v>3336</v>
      </c>
      <c r="J2005">
        <v>798.26</v>
      </c>
    </row>
    <row r="2006" spans="1:10" x14ac:dyDescent="0.25">
      <c r="A2006" s="1">
        <v>44837</v>
      </c>
      <c r="B2006" t="s">
        <v>49</v>
      </c>
      <c r="C2006" t="s">
        <v>17</v>
      </c>
      <c r="D2006" t="s">
        <v>12</v>
      </c>
      <c r="E2006" t="s">
        <v>210</v>
      </c>
      <c r="F2006" t="s">
        <v>34</v>
      </c>
      <c r="G2006" t="s">
        <v>35</v>
      </c>
      <c r="H2006">
        <v>3</v>
      </c>
      <c r="I2006">
        <v>2082</v>
      </c>
      <c r="J2006">
        <v>346.53</v>
      </c>
    </row>
    <row r="2007" spans="1:10" x14ac:dyDescent="0.25">
      <c r="A2007" s="1">
        <v>45491</v>
      </c>
      <c r="B2007" t="s">
        <v>49</v>
      </c>
      <c r="C2007" t="s">
        <v>17</v>
      </c>
      <c r="D2007" t="s">
        <v>12</v>
      </c>
      <c r="E2007" t="s">
        <v>238</v>
      </c>
      <c r="F2007" t="s">
        <v>191</v>
      </c>
      <c r="G2007" t="s">
        <v>35</v>
      </c>
      <c r="H2007">
        <v>2</v>
      </c>
      <c r="I2007">
        <v>1340</v>
      </c>
      <c r="J2007">
        <v>129.88999999999999</v>
      </c>
    </row>
    <row r="2008" spans="1:10" x14ac:dyDescent="0.25">
      <c r="A2008" s="1">
        <v>44633</v>
      </c>
      <c r="B2008" t="s">
        <v>55</v>
      </c>
      <c r="C2008" t="s">
        <v>19</v>
      </c>
      <c r="D2008" t="s">
        <v>12</v>
      </c>
      <c r="E2008" t="s">
        <v>130</v>
      </c>
      <c r="F2008" t="s">
        <v>14</v>
      </c>
      <c r="G2008" t="s">
        <v>15</v>
      </c>
      <c r="H2008">
        <v>5</v>
      </c>
      <c r="I2008">
        <v>1160</v>
      </c>
      <c r="J2008">
        <v>227.13</v>
      </c>
    </row>
    <row r="2009" spans="1:10" x14ac:dyDescent="0.25">
      <c r="A2009" s="1">
        <v>45556</v>
      </c>
      <c r="B2009" t="s">
        <v>36</v>
      </c>
      <c r="C2009" t="s">
        <v>17</v>
      </c>
      <c r="D2009" t="s">
        <v>12</v>
      </c>
      <c r="E2009" t="s">
        <v>56</v>
      </c>
      <c r="F2009" t="s">
        <v>57</v>
      </c>
      <c r="G2009" t="s">
        <v>24</v>
      </c>
      <c r="H2009">
        <v>4</v>
      </c>
      <c r="I2009">
        <v>1272</v>
      </c>
      <c r="J2009">
        <v>299.83999999999997</v>
      </c>
    </row>
    <row r="2010" spans="1:10" x14ac:dyDescent="0.25">
      <c r="A2010" s="1">
        <v>44575</v>
      </c>
      <c r="B2010" t="s">
        <v>10</v>
      </c>
      <c r="C2010" t="s">
        <v>11</v>
      </c>
      <c r="D2010" t="s">
        <v>12</v>
      </c>
      <c r="E2010" t="s">
        <v>52</v>
      </c>
      <c r="F2010" t="s">
        <v>42</v>
      </c>
      <c r="G2010" t="s">
        <v>28</v>
      </c>
      <c r="H2010">
        <v>3</v>
      </c>
      <c r="I2010">
        <v>2817</v>
      </c>
      <c r="J2010">
        <v>588.47</v>
      </c>
    </row>
    <row r="2011" spans="1:10" x14ac:dyDescent="0.25">
      <c r="A2011" s="1">
        <v>45356</v>
      </c>
      <c r="B2011" t="s">
        <v>36</v>
      </c>
      <c r="C2011" t="s">
        <v>17</v>
      </c>
      <c r="D2011" t="s">
        <v>12</v>
      </c>
      <c r="E2011" t="s">
        <v>52</v>
      </c>
      <c r="F2011" t="s">
        <v>42</v>
      </c>
      <c r="G2011" t="s">
        <v>28</v>
      </c>
      <c r="H2011">
        <v>3</v>
      </c>
      <c r="I2011">
        <v>1464</v>
      </c>
      <c r="J2011">
        <v>264.67</v>
      </c>
    </row>
    <row r="2012" spans="1:10" x14ac:dyDescent="0.25">
      <c r="A2012" s="1">
        <v>44970</v>
      </c>
      <c r="B2012" t="s">
        <v>29</v>
      </c>
      <c r="C2012" t="s">
        <v>17</v>
      </c>
      <c r="D2012" t="s">
        <v>12</v>
      </c>
      <c r="E2012" t="s">
        <v>52</v>
      </c>
      <c r="F2012" t="s">
        <v>42</v>
      </c>
      <c r="G2012" t="s">
        <v>28</v>
      </c>
      <c r="H2012">
        <v>1</v>
      </c>
      <c r="I2012">
        <v>307</v>
      </c>
      <c r="J2012">
        <v>60.51</v>
      </c>
    </row>
    <row r="2013" spans="1:10" x14ac:dyDescent="0.25">
      <c r="A2013" s="1">
        <v>44835</v>
      </c>
      <c r="B2013" t="s">
        <v>18</v>
      </c>
      <c r="C2013" t="s">
        <v>19</v>
      </c>
      <c r="D2013" t="s">
        <v>12</v>
      </c>
      <c r="E2013" t="s">
        <v>43</v>
      </c>
      <c r="F2013" t="s">
        <v>44</v>
      </c>
      <c r="G2013" t="s">
        <v>35</v>
      </c>
      <c r="H2013">
        <v>6</v>
      </c>
      <c r="I2013">
        <v>5706</v>
      </c>
      <c r="J2013">
        <v>1306.92</v>
      </c>
    </row>
    <row r="2014" spans="1:10" x14ac:dyDescent="0.25">
      <c r="A2014" s="1">
        <v>45437</v>
      </c>
      <c r="B2014" t="s">
        <v>29</v>
      </c>
      <c r="C2014" t="s">
        <v>17</v>
      </c>
      <c r="D2014" t="s">
        <v>12</v>
      </c>
      <c r="E2014" t="s">
        <v>37</v>
      </c>
      <c r="F2014" t="s">
        <v>34</v>
      </c>
      <c r="G2014" t="s">
        <v>35</v>
      </c>
      <c r="H2014">
        <v>1</v>
      </c>
      <c r="I2014">
        <v>1112</v>
      </c>
      <c r="J2014">
        <v>100.47</v>
      </c>
    </row>
    <row r="2015" spans="1:10" x14ac:dyDescent="0.25">
      <c r="A2015" s="1">
        <v>45122</v>
      </c>
      <c r="B2015" t="s">
        <v>49</v>
      </c>
      <c r="C2015" t="s">
        <v>17</v>
      </c>
      <c r="D2015" t="s">
        <v>12</v>
      </c>
      <c r="E2015" t="s">
        <v>236</v>
      </c>
      <c r="F2015" t="s">
        <v>438</v>
      </c>
      <c r="G2015" t="s">
        <v>28</v>
      </c>
      <c r="H2015">
        <v>1</v>
      </c>
      <c r="I2015">
        <v>1147</v>
      </c>
      <c r="J2015">
        <v>133.47999999999999</v>
      </c>
    </row>
    <row r="2016" spans="1:10" x14ac:dyDescent="0.25">
      <c r="A2016" s="1">
        <v>44968</v>
      </c>
      <c r="B2016" t="s">
        <v>55</v>
      </c>
      <c r="C2016" t="s">
        <v>19</v>
      </c>
      <c r="D2016" t="s">
        <v>12</v>
      </c>
      <c r="E2016" t="s">
        <v>439</v>
      </c>
      <c r="F2016" t="s">
        <v>191</v>
      </c>
      <c r="G2016" t="s">
        <v>35</v>
      </c>
      <c r="H2016">
        <v>2</v>
      </c>
      <c r="I2016">
        <v>330</v>
      </c>
      <c r="J2016">
        <v>66.569999999999993</v>
      </c>
    </row>
    <row r="2017" spans="1:10" x14ac:dyDescent="0.25">
      <c r="A2017" s="1">
        <v>45119</v>
      </c>
      <c r="B2017" t="s">
        <v>36</v>
      </c>
      <c r="C2017" t="s">
        <v>17</v>
      </c>
      <c r="D2017" t="s">
        <v>12</v>
      </c>
      <c r="E2017" t="s">
        <v>136</v>
      </c>
      <c r="F2017" t="s">
        <v>65</v>
      </c>
      <c r="G2017" t="s">
        <v>35</v>
      </c>
      <c r="H2017">
        <v>4</v>
      </c>
      <c r="I2017">
        <v>2176</v>
      </c>
      <c r="J2017">
        <v>250.89</v>
      </c>
    </row>
    <row r="2018" spans="1:10" x14ac:dyDescent="0.25">
      <c r="A2018" s="1">
        <v>44639</v>
      </c>
      <c r="B2018" t="s">
        <v>29</v>
      </c>
      <c r="C2018" t="s">
        <v>17</v>
      </c>
      <c r="D2018" t="s">
        <v>12</v>
      </c>
      <c r="E2018" t="s">
        <v>74</v>
      </c>
      <c r="F2018" t="s">
        <v>23</v>
      </c>
      <c r="G2018" t="s">
        <v>24</v>
      </c>
      <c r="H2018">
        <v>7</v>
      </c>
      <c r="I2018">
        <v>7616</v>
      </c>
      <c r="J2018">
        <v>1317.79</v>
      </c>
    </row>
    <row r="2019" spans="1:10" x14ac:dyDescent="0.25">
      <c r="A2019" s="1">
        <v>45489</v>
      </c>
      <c r="B2019" t="s">
        <v>10</v>
      </c>
      <c r="C2019" t="s">
        <v>11</v>
      </c>
      <c r="D2019" t="s">
        <v>12</v>
      </c>
      <c r="E2019" t="s">
        <v>210</v>
      </c>
      <c r="F2019" t="s">
        <v>34</v>
      </c>
      <c r="G2019" t="s">
        <v>35</v>
      </c>
      <c r="H2019">
        <v>1</v>
      </c>
      <c r="I2019">
        <v>1091</v>
      </c>
      <c r="J2019">
        <v>258.3</v>
      </c>
    </row>
    <row r="2020" spans="1:10" x14ac:dyDescent="0.25">
      <c r="A2020" s="1">
        <v>45385</v>
      </c>
      <c r="B2020" t="s">
        <v>18</v>
      </c>
      <c r="C2020" t="s">
        <v>19</v>
      </c>
      <c r="D2020" t="s">
        <v>12</v>
      </c>
      <c r="E2020" t="s">
        <v>56</v>
      </c>
      <c r="F2020" t="s">
        <v>57</v>
      </c>
      <c r="G2020" t="s">
        <v>24</v>
      </c>
      <c r="H2020">
        <v>2</v>
      </c>
      <c r="I2020">
        <v>1026</v>
      </c>
      <c r="J2020">
        <v>279.76</v>
      </c>
    </row>
    <row r="2021" spans="1:10" x14ac:dyDescent="0.25">
      <c r="A2021" s="1">
        <v>45613</v>
      </c>
      <c r="B2021" t="s">
        <v>18</v>
      </c>
      <c r="C2021" t="s">
        <v>19</v>
      </c>
      <c r="D2021" t="s">
        <v>12</v>
      </c>
      <c r="E2021" t="s">
        <v>52</v>
      </c>
      <c r="F2021" t="s">
        <v>42</v>
      </c>
      <c r="G2021" t="s">
        <v>28</v>
      </c>
      <c r="H2021">
        <v>2</v>
      </c>
      <c r="I2021">
        <v>210</v>
      </c>
      <c r="J2021">
        <v>42.04</v>
      </c>
    </row>
    <row r="2022" spans="1:10" x14ac:dyDescent="0.25">
      <c r="A2022" s="1">
        <v>44821</v>
      </c>
      <c r="B2022" t="s">
        <v>10</v>
      </c>
      <c r="C2022" t="s">
        <v>11</v>
      </c>
      <c r="D2022" t="s">
        <v>12</v>
      </c>
      <c r="E2022" t="s">
        <v>43</v>
      </c>
      <c r="F2022" t="s">
        <v>44</v>
      </c>
      <c r="G2022" t="s">
        <v>35</v>
      </c>
      <c r="H2022">
        <v>2</v>
      </c>
      <c r="I2022">
        <v>180</v>
      </c>
      <c r="J2022">
        <v>10.78</v>
      </c>
    </row>
    <row r="2023" spans="1:10" x14ac:dyDescent="0.25">
      <c r="A2023" s="1">
        <v>45547</v>
      </c>
      <c r="B2023" t="s">
        <v>18</v>
      </c>
      <c r="C2023" t="s">
        <v>19</v>
      </c>
      <c r="D2023" t="s">
        <v>12</v>
      </c>
      <c r="E2023" t="s">
        <v>74</v>
      </c>
      <c r="F2023" t="s">
        <v>23</v>
      </c>
      <c r="G2023" t="s">
        <v>24</v>
      </c>
      <c r="H2023">
        <v>4</v>
      </c>
      <c r="I2023">
        <v>380</v>
      </c>
      <c r="J2023">
        <v>72.88</v>
      </c>
    </row>
    <row r="2024" spans="1:10" x14ac:dyDescent="0.25">
      <c r="A2024" s="1">
        <v>45151</v>
      </c>
      <c r="B2024" t="s">
        <v>36</v>
      </c>
      <c r="C2024" t="s">
        <v>17</v>
      </c>
      <c r="D2024" t="s">
        <v>12</v>
      </c>
      <c r="E2024" t="s">
        <v>93</v>
      </c>
      <c r="F2024" t="s">
        <v>94</v>
      </c>
      <c r="G2024" t="s">
        <v>24</v>
      </c>
      <c r="H2024">
        <v>8</v>
      </c>
      <c r="I2024">
        <v>7664</v>
      </c>
      <c r="J2024">
        <v>1580.55</v>
      </c>
    </row>
    <row r="2025" spans="1:10" x14ac:dyDescent="0.25">
      <c r="A2025" s="1">
        <v>44856</v>
      </c>
      <c r="B2025" t="s">
        <v>40</v>
      </c>
      <c r="C2025" t="s">
        <v>19</v>
      </c>
      <c r="D2025" t="s">
        <v>12</v>
      </c>
      <c r="E2025" t="s">
        <v>37</v>
      </c>
      <c r="F2025" t="s">
        <v>34</v>
      </c>
      <c r="G2025" t="s">
        <v>35</v>
      </c>
      <c r="H2025">
        <v>8</v>
      </c>
      <c r="I2025">
        <v>6056</v>
      </c>
      <c r="J2025">
        <v>1029.9000000000001</v>
      </c>
    </row>
    <row r="2026" spans="1:10" x14ac:dyDescent="0.25">
      <c r="A2026" s="1">
        <v>44589</v>
      </c>
      <c r="B2026" t="s">
        <v>16</v>
      </c>
      <c r="C2026" t="s">
        <v>17</v>
      </c>
      <c r="D2026" t="s">
        <v>12</v>
      </c>
      <c r="E2026" t="s">
        <v>196</v>
      </c>
      <c r="F2026" t="s">
        <v>54</v>
      </c>
      <c r="G2026" t="s">
        <v>24</v>
      </c>
      <c r="H2026">
        <v>6</v>
      </c>
      <c r="I2026">
        <v>606</v>
      </c>
      <c r="J2026">
        <v>104.52</v>
      </c>
    </row>
    <row r="2027" spans="1:10" x14ac:dyDescent="0.25">
      <c r="A2027" s="1">
        <v>45381</v>
      </c>
      <c r="B2027" t="s">
        <v>36</v>
      </c>
      <c r="C2027" t="s">
        <v>17</v>
      </c>
      <c r="D2027" t="s">
        <v>12</v>
      </c>
      <c r="E2027" t="s">
        <v>75</v>
      </c>
      <c r="F2027" t="s">
        <v>63</v>
      </c>
      <c r="G2027" t="s">
        <v>28</v>
      </c>
      <c r="H2027">
        <v>3</v>
      </c>
      <c r="I2027">
        <v>750</v>
      </c>
      <c r="J2027">
        <v>193.86</v>
      </c>
    </row>
    <row r="2028" spans="1:10" x14ac:dyDescent="0.25">
      <c r="A2028" s="1">
        <v>45637</v>
      </c>
      <c r="B2028" t="s">
        <v>10</v>
      </c>
      <c r="C2028" t="s">
        <v>11</v>
      </c>
      <c r="D2028" t="s">
        <v>12</v>
      </c>
      <c r="E2028" t="s">
        <v>37</v>
      </c>
      <c r="F2028" t="s">
        <v>34</v>
      </c>
      <c r="G2028" t="s">
        <v>35</v>
      </c>
      <c r="H2028">
        <v>2</v>
      </c>
      <c r="I2028">
        <v>1218</v>
      </c>
      <c r="J2028">
        <v>218.88</v>
      </c>
    </row>
    <row r="2029" spans="1:10" x14ac:dyDescent="0.25">
      <c r="A2029" s="1">
        <v>45011</v>
      </c>
      <c r="B2029" t="s">
        <v>55</v>
      </c>
      <c r="C2029" t="s">
        <v>19</v>
      </c>
      <c r="D2029" t="s">
        <v>12</v>
      </c>
      <c r="E2029" t="s">
        <v>62</v>
      </c>
      <c r="F2029" t="s">
        <v>63</v>
      </c>
      <c r="G2029" t="s">
        <v>28</v>
      </c>
      <c r="H2029">
        <v>2</v>
      </c>
      <c r="I2029">
        <v>2162</v>
      </c>
      <c r="J2029">
        <v>355.45</v>
      </c>
    </row>
    <row r="2030" spans="1:10" x14ac:dyDescent="0.25">
      <c r="A2030" s="1">
        <v>44998</v>
      </c>
      <c r="B2030" t="s">
        <v>29</v>
      </c>
      <c r="C2030" t="s">
        <v>17</v>
      </c>
      <c r="D2030" t="s">
        <v>12</v>
      </c>
      <c r="E2030" t="s">
        <v>72</v>
      </c>
      <c r="F2030" t="s">
        <v>21</v>
      </c>
      <c r="G2030" t="s">
        <v>15</v>
      </c>
      <c r="H2030">
        <v>9</v>
      </c>
      <c r="I2030">
        <v>2223</v>
      </c>
      <c r="J2030">
        <v>347.01</v>
      </c>
    </row>
    <row r="2031" spans="1:10" x14ac:dyDescent="0.25">
      <c r="A2031" s="1">
        <v>45188</v>
      </c>
      <c r="B2031" t="s">
        <v>40</v>
      </c>
      <c r="C2031" t="s">
        <v>19</v>
      </c>
      <c r="D2031" t="s">
        <v>12</v>
      </c>
      <c r="E2031" t="s">
        <v>201</v>
      </c>
      <c r="F2031" t="s">
        <v>23</v>
      </c>
      <c r="G2031" t="s">
        <v>24</v>
      </c>
      <c r="H2031">
        <v>7</v>
      </c>
      <c r="I2031">
        <v>4452</v>
      </c>
      <c r="J2031">
        <v>920.05</v>
      </c>
    </row>
    <row r="2032" spans="1:10" x14ac:dyDescent="0.25">
      <c r="A2032" s="1">
        <v>44600</v>
      </c>
      <c r="B2032" t="s">
        <v>10</v>
      </c>
      <c r="C2032" t="s">
        <v>11</v>
      </c>
      <c r="D2032" t="s">
        <v>12</v>
      </c>
      <c r="E2032" t="s">
        <v>66</v>
      </c>
      <c r="F2032" t="s">
        <v>34</v>
      </c>
      <c r="G2032" t="s">
        <v>35</v>
      </c>
      <c r="H2032">
        <v>1</v>
      </c>
      <c r="I2032">
        <v>184</v>
      </c>
      <c r="J2032">
        <v>50.19</v>
      </c>
    </row>
    <row r="2033" spans="1:10" x14ac:dyDescent="0.25">
      <c r="A2033" s="1">
        <v>44656</v>
      </c>
      <c r="B2033" t="s">
        <v>29</v>
      </c>
      <c r="C2033" t="s">
        <v>17</v>
      </c>
      <c r="D2033" t="s">
        <v>12</v>
      </c>
      <c r="E2033" t="s">
        <v>66</v>
      </c>
      <c r="F2033" t="s">
        <v>34</v>
      </c>
      <c r="G2033" t="s">
        <v>35</v>
      </c>
      <c r="H2033">
        <v>3</v>
      </c>
      <c r="I2033">
        <v>288</v>
      </c>
      <c r="J2033">
        <v>77.38</v>
      </c>
    </row>
    <row r="2034" spans="1:10" x14ac:dyDescent="0.25">
      <c r="A2034" s="1">
        <v>45315</v>
      </c>
      <c r="B2034" t="s">
        <v>25</v>
      </c>
      <c r="C2034" t="s">
        <v>19</v>
      </c>
      <c r="D2034" t="s">
        <v>12</v>
      </c>
      <c r="E2034" t="s">
        <v>52</v>
      </c>
      <c r="F2034" t="s">
        <v>42</v>
      </c>
      <c r="G2034" t="s">
        <v>28</v>
      </c>
      <c r="H2034">
        <v>2</v>
      </c>
      <c r="I2034">
        <v>834</v>
      </c>
      <c r="J2034">
        <v>150.12</v>
      </c>
    </row>
    <row r="2035" spans="1:10" x14ac:dyDescent="0.25">
      <c r="A2035" s="1">
        <v>45158</v>
      </c>
      <c r="B2035" t="s">
        <v>49</v>
      </c>
      <c r="C2035" t="s">
        <v>17</v>
      </c>
      <c r="D2035" t="s">
        <v>12</v>
      </c>
      <c r="E2035" t="s">
        <v>52</v>
      </c>
      <c r="F2035" t="s">
        <v>42</v>
      </c>
      <c r="G2035" t="s">
        <v>28</v>
      </c>
      <c r="H2035">
        <v>5</v>
      </c>
      <c r="I2035">
        <v>4025</v>
      </c>
      <c r="J2035">
        <v>923.17</v>
      </c>
    </row>
    <row r="2036" spans="1:10" x14ac:dyDescent="0.25">
      <c r="A2036" s="1">
        <v>45177</v>
      </c>
      <c r="B2036" t="s">
        <v>29</v>
      </c>
      <c r="C2036" t="s">
        <v>17</v>
      </c>
      <c r="D2036" t="s">
        <v>12</v>
      </c>
      <c r="E2036" t="s">
        <v>162</v>
      </c>
      <c r="F2036" t="s">
        <v>34</v>
      </c>
      <c r="G2036" t="s">
        <v>35</v>
      </c>
      <c r="H2036">
        <v>7</v>
      </c>
      <c r="I2036">
        <v>4732</v>
      </c>
      <c r="J2036">
        <v>1084.28</v>
      </c>
    </row>
    <row r="2037" spans="1:10" x14ac:dyDescent="0.25">
      <c r="A2037" s="1">
        <v>44700</v>
      </c>
      <c r="B2037" t="s">
        <v>29</v>
      </c>
      <c r="C2037" t="s">
        <v>17</v>
      </c>
      <c r="D2037" t="s">
        <v>12</v>
      </c>
      <c r="E2037" t="s">
        <v>162</v>
      </c>
      <c r="F2037" t="s">
        <v>34</v>
      </c>
      <c r="G2037" t="s">
        <v>35</v>
      </c>
      <c r="H2037">
        <v>5</v>
      </c>
      <c r="I2037">
        <v>4025</v>
      </c>
      <c r="J2037">
        <v>407.72</v>
      </c>
    </row>
    <row r="2038" spans="1:10" x14ac:dyDescent="0.25">
      <c r="A2038" s="1">
        <v>45122</v>
      </c>
      <c r="B2038" t="s">
        <v>10</v>
      </c>
      <c r="C2038" t="s">
        <v>11</v>
      </c>
      <c r="D2038" t="s">
        <v>12</v>
      </c>
      <c r="E2038" t="s">
        <v>223</v>
      </c>
      <c r="F2038" t="s">
        <v>23</v>
      </c>
      <c r="G2038" t="s">
        <v>24</v>
      </c>
      <c r="H2038">
        <v>8</v>
      </c>
      <c r="I2038">
        <v>2416</v>
      </c>
      <c r="J2038">
        <v>500.93</v>
      </c>
    </row>
    <row r="2039" spans="1:10" x14ac:dyDescent="0.25">
      <c r="A2039" s="1">
        <v>45367</v>
      </c>
      <c r="B2039" t="s">
        <v>18</v>
      </c>
      <c r="C2039" t="s">
        <v>19</v>
      </c>
      <c r="D2039" t="s">
        <v>12</v>
      </c>
      <c r="E2039" t="s">
        <v>134</v>
      </c>
      <c r="F2039" t="s">
        <v>42</v>
      </c>
      <c r="G2039" t="s">
        <v>28</v>
      </c>
      <c r="H2039">
        <v>7</v>
      </c>
      <c r="I2039">
        <v>1897</v>
      </c>
      <c r="J2039">
        <v>524.69000000000005</v>
      </c>
    </row>
    <row r="2040" spans="1:10" x14ac:dyDescent="0.25">
      <c r="A2040" s="1">
        <v>44667</v>
      </c>
      <c r="B2040" t="s">
        <v>16</v>
      </c>
      <c r="C2040" t="s">
        <v>17</v>
      </c>
      <c r="D2040" t="s">
        <v>12</v>
      </c>
      <c r="E2040" t="s">
        <v>22</v>
      </c>
      <c r="F2040" t="s">
        <v>23</v>
      </c>
      <c r="G2040" t="s">
        <v>24</v>
      </c>
      <c r="H2040">
        <v>4</v>
      </c>
      <c r="I2040">
        <v>840</v>
      </c>
      <c r="J2040">
        <v>190.13</v>
      </c>
    </row>
    <row r="2041" spans="1:10" x14ac:dyDescent="0.25">
      <c r="A2041" s="1">
        <v>44563</v>
      </c>
      <c r="B2041" t="s">
        <v>16</v>
      </c>
      <c r="C2041" t="s">
        <v>17</v>
      </c>
      <c r="D2041" t="s">
        <v>12</v>
      </c>
      <c r="E2041" t="s">
        <v>210</v>
      </c>
      <c r="F2041" t="s">
        <v>34</v>
      </c>
      <c r="G2041" t="s">
        <v>35</v>
      </c>
      <c r="H2041">
        <v>8</v>
      </c>
      <c r="I2041">
        <v>6600</v>
      </c>
      <c r="J2041">
        <v>360.45</v>
      </c>
    </row>
    <row r="2042" spans="1:10" x14ac:dyDescent="0.25">
      <c r="A2042" s="1">
        <v>44854</v>
      </c>
      <c r="B2042" t="s">
        <v>55</v>
      </c>
      <c r="C2042" t="s">
        <v>19</v>
      </c>
      <c r="D2042" t="s">
        <v>12</v>
      </c>
      <c r="E2042" t="s">
        <v>210</v>
      </c>
      <c r="F2042" t="s">
        <v>34</v>
      </c>
      <c r="G2042" t="s">
        <v>35</v>
      </c>
      <c r="H2042">
        <v>2</v>
      </c>
      <c r="I2042">
        <v>2362</v>
      </c>
      <c r="J2042">
        <v>342.27</v>
      </c>
    </row>
    <row r="2043" spans="1:10" x14ac:dyDescent="0.25">
      <c r="A2043" s="1">
        <v>45326</v>
      </c>
      <c r="B2043" t="s">
        <v>29</v>
      </c>
      <c r="C2043" t="s">
        <v>17</v>
      </c>
      <c r="D2043" t="s">
        <v>12</v>
      </c>
      <c r="E2043" t="s">
        <v>176</v>
      </c>
      <c r="F2043" t="s">
        <v>84</v>
      </c>
      <c r="G2043" t="s">
        <v>28</v>
      </c>
      <c r="H2043">
        <v>6</v>
      </c>
      <c r="I2043">
        <v>2958</v>
      </c>
      <c r="J2043">
        <v>577.27</v>
      </c>
    </row>
    <row r="2044" spans="1:10" x14ac:dyDescent="0.25">
      <c r="A2044" s="1">
        <v>45373</v>
      </c>
      <c r="B2044" t="s">
        <v>18</v>
      </c>
      <c r="C2044" t="s">
        <v>19</v>
      </c>
      <c r="D2044" t="s">
        <v>12</v>
      </c>
      <c r="E2044" t="s">
        <v>56</v>
      </c>
      <c r="F2044" t="s">
        <v>57</v>
      </c>
      <c r="G2044" t="s">
        <v>24</v>
      </c>
      <c r="H2044">
        <v>1</v>
      </c>
      <c r="I2044">
        <v>477</v>
      </c>
      <c r="J2044">
        <v>56.49</v>
      </c>
    </row>
    <row r="2045" spans="1:10" x14ac:dyDescent="0.25">
      <c r="A2045" s="1">
        <v>44716</v>
      </c>
      <c r="B2045" t="s">
        <v>49</v>
      </c>
      <c r="C2045" t="s">
        <v>17</v>
      </c>
      <c r="D2045" t="s">
        <v>12</v>
      </c>
      <c r="E2045" t="s">
        <v>56</v>
      </c>
      <c r="F2045" t="s">
        <v>57</v>
      </c>
      <c r="G2045" t="s">
        <v>24</v>
      </c>
      <c r="H2045">
        <v>3</v>
      </c>
      <c r="I2045">
        <v>942</v>
      </c>
      <c r="J2045">
        <v>84.8</v>
      </c>
    </row>
    <row r="2046" spans="1:10" x14ac:dyDescent="0.25">
      <c r="A2046" s="1">
        <v>44947</v>
      </c>
      <c r="B2046" t="s">
        <v>25</v>
      </c>
      <c r="C2046" t="s">
        <v>19</v>
      </c>
      <c r="D2046" t="s">
        <v>12</v>
      </c>
      <c r="E2046" t="s">
        <v>91</v>
      </c>
      <c r="F2046" t="s">
        <v>149</v>
      </c>
      <c r="G2046" t="s">
        <v>15</v>
      </c>
      <c r="H2046">
        <v>2</v>
      </c>
      <c r="I2046">
        <v>2084</v>
      </c>
      <c r="J2046">
        <v>586.72</v>
      </c>
    </row>
    <row r="2047" spans="1:10" x14ac:dyDescent="0.25">
      <c r="A2047" s="1">
        <v>45154</v>
      </c>
      <c r="B2047" t="s">
        <v>18</v>
      </c>
      <c r="C2047" t="s">
        <v>19</v>
      </c>
      <c r="D2047" t="s">
        <v>12</v>
      </c>
      <c r="E2047" t="s">
        <v>56</v>
      </c>
      <c r="F2047" t="s">
        <v>57</v>
      </c>
      <c r="G2047" t="s">
        <v>24</v>
      </c>
      <c r="H2047">
        <v>6</v>
      </c>
      <c r="I2047">
        <v>4584</v>
      </c>
      <c r="J2047">
        <v>473.37</v>
      </c>
    </row>
    <row r="2048" spans="1:10" x14ac:dyDescent="0.25">
      <c r="A2048" s="1">
        <v>44709</v>
      </c>
      <c r="B2048" t="s">
        <v>10</v>
      </c>
      <c r="C2048" t="s">
        <v>11</v>
      </c>
      <c r="D2048" t="s">
        <v>12</v>
      </c>
      <c r="E2048" t="s">
        <v>56</v>
      </c>
      <c r="F2048" t="s">
        <v>57</v>
      </c>
      <c r="G2048" t="s">
        <v>24</v>
      </c>
      <c r="H2048">
        <v>1</v>
      </c>
      <c r="I2048">
        <v>1118</v>
      </c>
      <c r="J2048">
        <v>319.27999999999997</v>
      </c>
    </row>
    <row r="2049" spans="1:10" x14ac:dyDescent="0.25">
      <c r="A2049" s="1">
        <v>45412</v>
      </c>
      <c r="B2049" t="s">
        <v>16</v>
      </c>
      <c r="C2049" t="s">
        <v>17</v>
      </c>
      <c r="D2049" t="s">
        <v>12</v>
      </c>
      <c r="E2049" t="s">
        <v>22</v>
      </c>
      <c r="F2049" t="s">
        <v>23</v>
      </c>
      <c r="G2049" t="s">
        <v>24</v>
      </c>
      <c r="H2049">
        <v>9</v>
      </c>
      <c r="I2049">
        <v>4005</v>
      </c>
      <c r="J2049">
        <v>652.15</v>
      </c>
    </row>
    <row r="2050" spans="1:10" x14ac:dyDescent="0.25">
      <c r="A2050" s="1">
        <v>45355</v>
      </c>
      <c r="B2050" t="s">
        <v>32</v>
      </c>
      <c r="C2050" t="s">
        <v>19</v>
      </c>
      <c r="D2050" t="s">
        <v>12</v>
      </c>
      <c r="E2050" t="s">
        <v>22</v>
      </c>
      <c r="F2050" t="s">
        <v>23</v>
      </c>
      <c r="G2050" t="s">
        <v>24</v>
      </c>
      <c r="H2050">
        <v>5</v>
      </c>
      <c r="I2050">
        <v>4610</v>
      </c>
      <c r="J2050">
        <v>1293.3699999999999</v>
      </c>
    </row>
    <row r="2051" spans="1:10" x14ac:dyDescent="0.25">
      <c r="A2051" s="1">
        <v>45579</v>
      </c>
      <c r="B2051" t="s">
        <v>49</v>
      </c>
      <c r="C2051" t="s">
        <v>17</v>
      </c>
      <c r="D2051" t="s">
        <v>12</v>
      </c>
      <c r="E2051" t="s">
        <v>52</v>
      </c>
      <c r="F2051" t="s">
        <v>42</v>
      </c>
      <c r="G2051" t="s">
        <v>28</v>
      </c>
      <c r="H2051">
        <v>1</v>
      </c>
      <c r="I2051">
        <v>551</v>
      </c>
      <c r="J2051">
        <v>86.84</v>
      </c>
    </row>
    <row r="2052" spans="1:10" x14ac:dyDescent="0.25">
      <c r="A2052" s="1">
        <v>44778</v>
      </c>
      <c r="B2052" t="s">
        <v>10</v>
      </c>
      <c r="C2052" t="s">
        <v>11</v>
      </c>
      <c r="D2052" t="s">
        <v>12</v>
      </c>
      <c r="E2052" t="s">
        <v>52</v>
      </c>
      <c r="F2052" t="s">
        <v>42</v>
      </c>
      <c r="G2052" t="s">
        <v>28</v>
      </c>
      <c r="H2052">
        <v>1</v>
      </c>
      <c r="I2052">
        <v>75</v>
      </c>
      <c r="J2052">
        <v>19.29</v>
      </c>
    </row>
    <row r="2053" spans="1:10" x14ac:dyDescent="0.25">
      <c r="A2053" s="1">
        <v>45279</v>
      </c>
      <c r="B2053" t="s">
        <v>16</v>
      </c>
      <c r="C2053" t="s">
        <v>17</v>
      </c>
      <c r="D2053" t="s">
        <v>12</v>
      </c>
      <c r="E2053" t="s">
        <v>22</v>
      </c>
      <c r="F2053" t="s">
        <v>23</v>
      </c>
      <c r="G2053" t="s">
        <v>24</v>
      </c>
      <c r="H2053">
        <v>6</v>
      </c>
      <c r="I2053">
        <v>6576</v>
      </c>
      <c r="J2053">
        <v>1899.67</v>
      </c>
    </row>
    <row r="2054" spans="1:10" x14ac:dyDescent="0.25">
      <c r="A2054" s="1">
        <v>45011</v>
      </c>
      <c r="B2054" t="s">
        <v>10</v>
      </c>
      <c r="C2054" t="s">
        <v>11</v>
      </c>
      <c r="D2054" t="s">
        <v>12</v>
      </c>
      <c r="E2054" t="s">
        <v>22</v>
      </c>
      <c r="F2054" t="s">
        <v>23</v>
      </c>
      <c r="G2054" t="s">
        <v>24</v>
      </c>
      <c r="H2054">
        <v>6</v>
      </c>
      <c r="I2054">
        <v>6432</v>
      </c>
      <c r="J2054">
        <v>1410.52</v>
      </c>
    </row>
    <row r="2055" spans="1:10" x14ac:dyDescent="0.25">
      <c r="A2055" s="1">
        <v>44781</v>
      </c>
      <c r="B2055" t="s">
        <v>29</v>
      </c>
      <c r="C2055" t="s">
        <v>17</v>
      </c>
      <c r="D2055" t="s">
        <v>12</v>
      </c>
      <c r="E2055" t="s">
        <v>244</v>
      </c>
      <c r="F2055" t="s">
        <v>23</v>
      </c>
      <c r="G2055" t="s">
        <v>24</v>
      </c>
      <c r="H2055">
        <v>7</v>
      </c>
      <c r="I2055">
        <v>7763</v>
      </c>
      <c r="J2055">
        <v>1444.27</v>
      </c>
    </row>
    <row r="2056" spans="1:10" x14ac:dyDescent="0.25">
      <c r="A2056" s="1">
        <v>45353</v>
      </c>
      <c r="B2056" t="s">
        <v>36</v>
      </c>
      <c r="C2056" t="s">
        <v>17</v>
      </c>
      <c r="D2056" t="s">
        <v>12</v>
      </c>
      <c r="E2056" t="s">
        <v>74</v>
      </c>
      <c r="F2056" t="s">
        <v>23</v>
      </c>
      <c r="G2056" t="s">
        <v>24</v>
      </c>
      <c r="H2056">
        <v>7</v>
      </c>
      <c r="I2056">
        <v>2240</v>
      </c>
      <c r="J2056">
        <v>622.29</v>
      </c>
    </row>
    <row r="2057" spans="1:10" x14ac:dyDescent="0.25">
      <c r="A2057" s="1">
        <v>44899</v>
      </c>
      <c r="B2057" t="s">
        <v>29</v>
      </c>
      <c r="C2057" t="s">
        <v>17</v>
      </c>
      <c r="D2057" t="s">
        <v>12</v>
      </c>
      <c r="E2057" t="s">
        <v>37</v>
      </c>
      <c r="F2057" t="s">
        <v>34</v>
      </c>
      <c r="G2057" t="s">
        <v>35</v>
      </c>
      <c r="H2057">
        <v>6</v>
      </c>
      <c r="I2057">
        <v>5298</v>
      </c>
      <c r="J2057">
        <v>1209.8800000000001</v>
      </c>
    </row>
    <row r="2058" spans="1:10" x14ac:dyDescent="0.25">
      <c r="A2058" s="1">
        <v>45122</v>
      </c>
      <c r="B2058" t="s">
        <v>32</v>
      </c>
      <c r="C2058" t="s">
        <v>19</v>
      </c>
      <c r="D2058" t="s">
        <v>12</v>
      </c>
      <c r="E2058" t="s">
        <v>26</v>
      </c>
      <c r="F2058" t="s">
        <v>27</v>
      </c>
      <c r="G2058" t="s">
        <v>28</v>
      </c>
      <c r="H2058">
        <v>2</v>
      </c>
      <c r="I2058">
        <v>116</v>
      </c>
      <c r="J2058">
        <v>32.270000000000003</v>
      </c>
    </row>
    <row r="2059" spans="1:10" x14ac:dyDescent="0.25">
      <c r="A2059" s="1">
        <v>44594</v>
      </c>
      <c r="B2059" t="s">
        <v>18</v>
      </c>
      <c r="C2059" t="s">
        <v>19</v>
      </c>
      <c r="D2059" t="s">
        <v>12</v>
      </c>
      <c r="E2059" t="s">
        <v>22</v>
      </c>
      <c r="F2059" t="s">
        <v>23</v>
      </c>
      <c r="G2059" t="s">
        <v>24</v>
      </c>
      <c r="H2059">
        <v>8</v>
      </c>
      <c r="I2059">
        <v>6728</v>
      </c>
      <c r="J2059">
        <v>1140.19</v>
      </c>
    </row>
    <row r="2060" spans="1:10" x14ac:dyDescent="0.25">
      <c r="A2060" s="1">
        <v>44897</v>
      </c>
      <c r="B2060" t="s">
        <v>36</v>
      </c>
      <c r="C2060" t="s">
        <v>17</v>
      </c>
      <c r="D2060" t="s">
        <v>12</v>
      </c>
      <c r="E2060" t="s">
        <v>22</v>
      </c>
      <c r="F2060" t="s">
        <v>23</v>
      </c>
      <c r="G2060" t="s">
        <v>24</v>
      </c>
      <c r="H2060">
        <v>5</v>
      </c>
      <c r="I2060">
        <v>490</v>
      </c>
      <c r="J2060">
        <v>55.59</v>
      </c>
    </row>
    <row r="2061" spans="1:10" x14ac:dyDescent="0.25">
      <c r="A2061" s="1">
        <v>45317</v>
      </c>
      <c r="B2061" t="s">
        <v>36</v>
      </c>
      <c r="C2061" t="s">
        <v>17</v>
      </c>
      <c r="D2061" t="s">
        <v>12</v>
      </c>
      <c r="E2061" t="s">
        <v>26</v>
      </c>
      <c r="F2061" t="s">
        <v>27</v>
      </c>
      <c r="G2061" t="s">
        <v>28</v>
      </c>
      <c r="H2061">
        <v>7</v>
      </c>
      <c r="I2061">
        <v>2765</v>
      </c>
      <c r="J2061">
        <v>699.86</v>
      </c>
    </row>
    <row r="2062" spans="1:10" x14ac:dyDescent="0.25">
      <c r="A2062" s="1">
        <v>44672</v>
      </c>
      <c r="B2062" t="s">
        <v>40</v>
      </c>
      <c r="C2062" t="s">
        <v>19</v>
      </c>
      <c r="D2062" t="s">
        <v>12</v>
      </c>
      <c r="E2062" t="s">
        <v>430</v>
      </c>
      <c r="F2062" t="s">
        <v>65</v>
      </c>
      <c r="G2062" t="s">
        <v>35</v>
      </c>
      <c r="H2062">
        <v>8</v>
      </c>
      <c r="I2062">
        <v>2680</v>
      </c>
      <c r="J2062">
        <v>598.97</v>
      </c>
    </row>
    <row r="2063" spans="1:10" x14ac:dyDescent="0.25">
      <c r="A2063" s="1">
        <v>45157</v>
      </c>
      <c r="B2063" t="s">
        <v>25</v>
      </c>
      <c r="C2063" t="s">
        <v>19</v>
      </c>
      <c r="D2063" t="s">
        <v>12</v>
      </c>
      <c r="E2063" t="s">
        <v>52</v>
      </c>
      <c r="F2063" t="s">
        <v>42</v>
      </c>
      <c r="G2063" t="s">
        <v>28</v>
      </c>
      <c r="H2063">
        <v>2</v>
      </c>
      <c r="I2063">
        <v>2174</v>
      </c>
      <c r="J2063">
        <v>335.37</v>
      </c>
    </row>
    <row r="2064" spans="1:10" x14ac:dyDescent="0.25">
      <c r="A2064" s="1">
        <v>45393</v>
      </c>
      <c r="B2064" t="s">
        <v>36</v>
      </c>
      <c r="C2064" t="s">
        <v>17</v>
      </c>
      <c r="D2064" t="s">
        <v>12</v>
      </c>
      <c r="E2064" t="s">
        <v>317</v>
      </c>
      <c r="F2064" t="s">
        <v>115</v>
      </c>
      <c r="G2064" t="s">
        <v>15</v>
      </c>
      <c r="H2064">
        <v>9</v>
      </c>
      <c r="I2064">
        <v>5562</v>
      </c>
      <c r="J2064">
        <v>1258.1199999999999</v>
      </c>
    </row>
    <row r="2065" spans="1:10" x14ac:dyDescent="0.25">
      <c r="A2065" s="1">
        <v>44831</v>
      </c>
      <c r="B2065" t="s">
        <v>40</v>
      </c>
      <c r="C2065" t="s">
        <v>19</v>
      </c>
      <c r="D2065" t="s">
        <v>12</v>
      </c>
      <c r="E2065" t="s">
        <v>329</v>
      </c>
      <c r="F2065" t="s">
        <v>339</v>
      </c>
      <c r="G2065" t="s">
        <v>28</v>
      </c>
      <c r="H2065">
        <v>8</v>
      </c>
      <c r="I2065">
        <v>9208</v>
      </c>
      <c r="J2065">
        <v>2595.33</v>
      </c>
    </row>
    <row r="2066" spans="1:10" x14ac:dyDescent="0.25">
      <c r="A2066" s="1">
        <v>45535</v>
      </c>
      <c r="B2066" t="s">
        <v>40</v>
      </c>
      <c r="C2066" t="s">
        <v>19</v>
      </c>
      <c r="D2066" t="s">
        <v>12</v>
      </c>
      <c r="E2066" t="s">
        <v>22</v>
      </c>
      <c r="F2066" t="s">
        <v>23</v>
      </c>
      <c r="G2066" t="s">
        <v>24</v>
      </c>
      <c r="H2066">
        <v>4</v>
      </c>
      <c r="I2066">
        <v>4512</v>
      </c>
      <c r="J2066">
        <v>546.71</v>
      </c>
    </row>
    <row r="2067" spans="1:10" x14ac:dyDescent="0.25">
      <c r="A2067" s="1">
        <v>45355</v>
      </c>
      <c r="B2067" t="s">
        <v>25</v>
      </c>
      <c r="C2067" t="s">
        <v>19</v>
      </c>
      <c r="D2067" t="s">
        <v>12</v>
      </c>
      <c r="E2067" t="s">
        <v>22</v>
      </c>
      <c r="F2067" t="s">
        <v>23</v>
      </c>
      <c r="G2067" t="s">
        <v>24</v>
      </c>
      <c r="H2067">
        <v>9</v>
      </c>
      <c r="I2067">
        <v>7974</v>
      </c>
      <c r="J2067">
        <v>1965.96</v>
      </c>
    </row>
    <row r="2068" spans="1:10" x14ac:dyDescent="0.25">
      <c r="A2068" s="1">
        <v>44681</v>
      </c>
      <c r="B2068" t="s">
        <v>36</v>
      </c>
      <c r="C2068" t="s">
        <v>17</v>
      </c>
      <c r="D2068" t="s">
        <v>12</v>
      </c>
      <c r="E2068" t="s">
        <v>43</v>
      </c>
      <c r="F2068" t="s">
        <v>44</v>
      </c>
      <c r="G2068" t="s">
        <v>35</v>
      </c>
      <c r="H2068">
        <v>6</v>
      </c>
      <c r="I2068">
        <v>4944</v>
      </c>
      <c r="J2068">
        <v>1335.04</v>
      </c>
    </row>
    <row r="2069" spans="1:10" x14ac:dyDescent="0.25">
      <c r="A2069" s="1">
        <v>44639</v>
      </c>
      <c r="B2069" t="s">
        <v>10</v>
      </c>
      <c r="C2069" t="s">
        <v>11</v>
      </c>
      <c r="D2069" t="s">
        <v>12</v>
      </c>
      <c r="E2069" t="s">
        <v>43</v>
      </c>
      <c r="F2069" t="s">
        <v>44</v>
      </c>
      <c r="G2069" t="s">
        <v>35</v>
      </c>
      <c r="H2069">
        <v>3</v>
      </c>
      <c r="I2069">
        <v>1611</v>
      </c>
      <c r="J2069">
        <v>234.84</v>
      </c>
    </row>
    <row r="2070" spans="1:10" x14ac:dyDescent="0.25">
      <c r="A2070" s="1">
        <v>45478</v>
      </c>
      <c r="B2070" t="s">
        <v>32</v>
      </c>
      <c r="C2070" t="s">
        <v>19</v>
      </c>
      <c r="D2070" t="s">
        <v>12</v>
      </c>
      <c r="E2070" t="s">
        <v>104</v>
      </c>
      <c r="F2070" t="s">
        <v>115</v>
      </c>
      <c r="G2070" t="s">
        <v>15</v>
      </c>
      <c r="H2070">
        <v>9</v>
      </c>
      <c r="I2070">
        <v>4599</v>
      </c>
      <c r="J2070">
        <v>618.89</v>
      </c>
    </row>
    <row r="2071" spans="1:10" x14ac:dyDescent="0.25">
      <c r="A2071" s="1">
        <v>45372</v>
      </c>
      <c r="B2071" t="s">
        <v>55</v>
      </c>
      <c r="C2071" t="s">
        <v>19</v>
      </c>
      <c r="D2071" t="s">
        <v>12</v>
      </c>
      <c r="E2071" t="s">
        <v>74</v>
      </c>
      <c r="F2071" t="s">
        <v>23</v>
      </c>
      <c r="G2071" t="s">
        <v>24</v>
      </c>
      <c r="H2071">
        <v>6</v>
      </c>
      <c r="I2071">
        <v>4380</v>
      </c>
      <c r="J2071">
        <v>419.3</v>
      </c>
    </row>
    <row r="2072" spans="1:10" x14ac:dyDescent="0.25">
      <c r="A2072" s="1">
        <v>45585</v>
      </c>
      <c r="B2072" t="s">
        <v>29</v>
      </c>
      <c r="C2072" t="s">
        <v>17</v>
      </c>
      <c r="D2072" t="s">
        <v>12</v>
      </c>
      <c r="E2072" t="s">
        <v>242</v>
      </c>
      <c r="F2072" t="s">
        <v>21</v>
      </c>
      <c r="G2072" t="s">
        <v>15</v>
      </c>
      <c r="H2072">
        <v>2</v>
      </c>
      <c r="I2072">
        <v>2376</v>
      </c>
      <c r="J2072">
        <v>580.26</v>
      </c>
    </row>
    <row r="2073" spans="1:10" x14ac:dyDescent="0.25">
      <c r="A2073" s="1">
        <v>44929</v>
      </c>
      <c r="B2073" t="s">
        <v>36</v>
      </c>
      <c r="C2073" t="s">
        <v>17</v>
      </c>
      <c r="D2073" t="s">
        <v>12</v>
      </c>
      <c r="E2073" t="s">
        <v>66</v>
      </c>
      <c r="F2073" t="s">
        <v>34</v>
      </c>
      <c r="G2073" t="s">
        <v>35</v>
      </c>
      <c r="H2073">
        <v>9</v>
      </c>
      <c r="I2073">
        <v>6588</v>
      </c>
      <c r="J2073">
        <v>1800.9</v>
      </c>
    </row>
    <row r="2074" spans="1:10" x14ac:dyDescent="0.25">
      <c r="A2074" s="1">
        <v>44566</v>
      </c>
      <c r="B2074" t="s">
        <v>16</v>
      </c>
      <c r="C2074" t="s">
        <v>17</v>
      </c>
      <c r="D2074" t="s">
        <v>12</v>
      </c>
      <c r="E2074" t="s">
        <v>382</v>
      </c>
      <c r="F2074" t="s">
        <v>78</v>
      </c>
      <c r="G2074" t="s">
        <v>28</v>
      </c>
      <c r="H2074">
        <v>5</v>
      </c>
      <c r="I2074">
        <v>3745</v>
      </c>
      <c r="J2074">
        <v>720.08</v>
      </c>
    </row>
    <row r="2075" spans="1:10" x14ac:dyDescent="0.25">
      <c r="A2075" s="1">
        <v>44730</v>
      </c>
      <c r="B2075" t="s">
        <v>25</v>
      </c>
      <c r="C2075" t="s">
        <v>19</v>
      </c>
      <c r="D2075" t="s">
        <v>12</v>
      </c>
      <c r="E2075" t="s">
        <v>317</v>
      </c>
      <c r="F2075" t="s">
        <v>115</v>
      </c>
      <c r="G2075" t="s">
        <v>15</v>
      </c>
      <c r="H2075">
        <v>5</v>
      </c>
      <c r="I2075">
        <v>5305</v>
      </c>
      <c r="J2075">
        <v>1389.25</v>
      </c>
    </row>
    <row r="2076" spans="1:10" x14ac:dyDescent="0.25">
      <c r="A2076" s="1">
        <v>45065</v>
      </c>
      <c r="B2076" t="s">
        <v>18</v>
      </c>
      <c r="C2076" t="s">
        <v>19</v>
      </c>
      <c r="D2076" t="s">
        <v>12</v>
      </c>
      <c r="E2076" t="s">
        <v>37</v>
      </c>
      <c r="F2076" t="s">
        <v>34</v>
      </c>
      <c r="G2076" t="s">
        <v>35</v>
      </c>
      <c r="H2076">
        <v>8</v>
      </c>
      <c r="I2076">
        <v>1608</v>
      </c>
      <c r="J2076">
        <v>332.12</v>
      </c>
    </row>
    <row r="2077" spans="1:10" x14ac:dyDescent="0.25">
      <c r="A2077" s="1">
        <v>45491</v>
      </c>
      <c r="B2077" t="s">
        <v>36</v>
      </c>
      <c r="C2077" t="s">
        <v>17</v>
      </c>
      <c r="D2077" t="s">
        <v>12</v>
      </c>
      <c r="E2077" t="s">
        <v>37</v>
      </c>
      <c r="F2077" t="s">
        <v>34</v>
      </c>
      <c r="G2077" t="s">
        <v>35</v>
      </c>
      <c r="H2077">
        <v>9</v>
      </c>
      <c r="I2077">
        <v>4977</v>
      </c>
      <c r="J2077">
        <v>745.81</v>
      </c>
    </row>
    <row r="2078" spans="1:10" x14ac:dyDescent="0.25">
      <c r="A2078" s="1">
        <v>44601</v>
      </c>
      <c r="B2078" t="s">
        <v>40</v>
      </c>
      <c r="C2078" t="s">
        <v>19</v>
      </c>
      <c r="D2078" t="s">
        <v>12</v>
      </c>
      <c r="E2078" t="s">
        <v>37</v>
      </c>
      <c r="F2078" t="s">
        <v>34</v>
      </c>
      <c r="G2078" t="s">
        <v>35</v>
      </c>
      <c r="H2078">
        <v>7</v>
      </c>
      <c r="I2078">
        <v>4529</v>
      </c>
      <c r="J2078">
        <v>273.97000000000003</v>
      </c>
    </row>
    <row r="2079" spans="1:10" x14ac:dyDescent="0.25">
      <c r="A2079" s="1">
        <v>45397</v>
      </c>
      <c r="B2079" t="s">
        <v>25</v>
      </c>
      <c r="C2079" t="s">
        <v>19</v>
      </c>
      <c r="D2079" t="s">
        <v>12</v>
      </c>
      <c r="E2079" t="s">
        <v>37</v>
      </c>
      <c r="F2079" t="s">
        <v>34</v>
      </c>
      <c r="G2079" t="s">
        <v>35</v>
      </c>
      <c r="H2079">
        <v>7</v>
      </c>
      <c r="I2079">
        <v>4690</v>
      </c>
      <c r="J2079">
        <v>319.42</v>
      </c>
    </row>
    <row r="2080" spans="1:10" x14ac:dyDescent="0.25">
      <c r="A2080" s="1">
        <v>45608</v>
      </c>
      <c r="B2080" t="s">
        <v>49</v>
      </c>
      <c r="C2080" t="s">
        <v>17</v>
      </c>
      <c r="D2080" t="s">
        <v>12</v>
      </c>
      <c r="E2080" t="s">
        <v>52</v>
      </c>
      <c r="F2080" t="s">
        <v>42</v>
      </c>
      <c r="G2080" t="s">
        <v>28</v>
      </c>
      <c r="H2080">
        <v>4</v>
      </c>
      <c r="I2080">
        <v>2424</v>
      </c>
      <c r="J2080">
        <v>544.07000000000005</v>
      </c>
    </row>
    <row r="2081" spans="1:10" x14ac:dyDescent="0.25">
      <c r="A2081" s="1">
        <v>45623</v>
      </c>
      <c r="B2081" t="s">
        <v>49</v>
      </c>
      <c r="C2081" t="s">
        <v>17</v>
      </c>
      <c r="D2081" t="s">
        <v>12</v>
      </c>
      <c r="E2081" t="s">
        <v>20</v>
      </c>
      <c r="F2081" t="s">
        <v>21</v>
      </c>
      <c r="G2081" t="s">
        <v>15</v>
      </c>
      <c r="H2081">
        <v>6</v>
      </c>
      <c r="I2081">
        <v>3594</v>
      </c>
      <c r="J2081">
        <v>610.77</v>
      </c>
    </row>
    <row r="2082" spans="1:10" x14ac:dyDescent="0.25">
      <c r="A2082" s="1">
        <v>44684</v>
      </c>
      <c r="B2082" t="s">
        <v>49</v>
      </c>
      <c r="C2082" t="s">
        <v>17</v>
      </c>
      <c r="D2082" t="s">
        <v>12</v>
      </c>
      <c r="E2082" t="s">
        <v>237</v>
      </c>
      <c r="F2082" t="s">
        <v>149</v>
      </c>
      <c r="G2082" t="s">
        <v>15</v>
      </c>
      <c r="H2082">
        <v>7</v>
      </c>
      <c r="I2082">
        <v>3962</v>
      </c>
      <c r="J2082">
        <v>491.9</v>
      </c>
    </row>
    <row r="2083" spans="1:10" x14ac:dyDescent="0.25">
      <c r="A2083" s="1">
        <v>45365</v>
      </c>
      <c r="B2083" t="s">
        <v>25</v>
      </c>
      <c r="C2083" t="s">
        <v>19</v>
      </c>
      <c r="D2083" t="s">
        <v>12</v>
      </c>
      <c r="E2083" t="s">
        <v>120</v>
      </c>
      <c r="F2083" t="s">
        <v>21</v>
      </c>
      <c r="G2083" t="s">
        <v>15</v>
      </c>
      <c r="H2083">
        <v>2</v>
      </c>
      <c r="I2083">
        <v>944</v>
      </c>
      <c r="J2083">
        <v>149.38</v>
      </c>
    </row>
    <row r="2084" spans="1:10" x14ac:dyDescent="0.25">
      <c r="A2084" s="1">
        <v>44915</v>
      </c>
      <c r="B2084" t="s">
        <v>32</v>
      </c>
      <c r="C2084" t="s">
        <v>19</v>
      </c>
      <c r="D2084" t="s">
        <v>12</v>
      </c>
      <c r="E2084" t="s">
        <v>74</v>
      </c>
      <c r="F2084" t="s">
        <v>23</v>
      </c>
      <c r="G2084" t="s">
        <v>24</v>
      </c>
      <c r="H2084">
        <v>6</v>
      </c>
      <c r="I2084">
        <v>6792</v>
      </c>
      <c r="J2084">
        <v>1787.97</v>
      </c>
    </row>
    <row r="2085" spans="1:10" x14ac:dyDescent="0.25">
      <c r="A2085" s="1">
        <v>44991</v>
      </c>
      <c r="B2085" t="s">
        <v>18</v>
      </c>
      <c r="C2085" t="s">
        <v>19</v>
      </c>
      <c r="D2085" t="s">
        <v>12</v>
      </c>
      <c r="E2085" t="s">
        <v>192</v>
      </c>
      <c r="F2085" t="s">
        <v>149</v>
      </c>
      <c r="G2085" t="s">
        <v>15</v>
      </c>
      <c r="H2085">
        <v>7</v>
      </c>
      <c r="I2085">
        <v>6804</v>
      </c>
      <c r="J2085">
        <v>1383.81</v>
      </c>
    </row>
    <row r="2086" spans="1:10" x14ac:dyDescent="0.25">
      <c r="A2086" s="1">
        <v>45555</v>
      </c>
      <c r="B2086" t="s">
        <v>25</v>
      </c>
      <c r="C2086" t="s">
        <v>19</v>
      </c>
      <c r="D2086" t="s">
        <v>12</v>
      </c>
      <c r="E2086" t="s">
        <v>440</v>
      </c>
      <c r="F2086" t="s">
        <v>34</v>
      </c>
      <c r="G2086" t="s">
        <v>35</v>
      </c>
      <c r="H2086">
        <v>6</v>
      </c>
      <c r="I2086">
        <v>816</v>
      </c>
      <c r="J2086">
        <v>98.75</v>
      </c>
    </row>
    <row r="2087" spans="1:10" x14ac:dyDescent="0.25">
      <c r="A2087" s="1">
        <v>44752</v>
      </c>
      <c r="B2087" t="s">
        <v>36</v>
      </c>
      <c r="C2087" t="s">
        <v>17</v>
      </c>
      <c r="D2087" t="s">
        <v>12</v>
      </c>
      <c r="E2087" t="s">
        <v>161</v>
      </c>
      <c r="F2087" t="s">
        <v>34</v>
      </c>
      <c r="G2087" t="s">
        <v>35</v>
      </c>
      <c r="H2087">
        <v>6</v>
      </c>
      <c r="I2087">
        <v>5916</v>
      </c>
      <c r="J2087">
        <v>544.59</v>
      </c>
    </row>
    <row r="2088" spans="1:10" x14ac:dyDescent="0.25">
      <c r="A2088" s="1">
        <v>44729</v>
      </c>
      <c r="B2088" t="s">
        <v>16</v>
      </c>
      <c r="C2088" t="s">
        <v>17</v>
      </c>
      <c r="D2088" t="s">
        <v>12</v>
      </c>
      <c r="E2088" t="s">
        <v>116</v>
      </c>
      <c r="F2088" t="s">
        <v>23</v>
      </c>
      <c r="G2088" t="s">
        <v>24</v>
      </c>
      <c r="H2088">
        <v>5</v>
      </c>
      <c r="I2088">
        <v>5730</v>
      </c>
      <c r="J2088">
        <v>310.58</v>
      </c>
    </row>
    <row r="2089" spans="1:10" x14ac:dyDescent="0.25">
      <c r="A2089" s="1">
        <v>45425</v>
      </c>
      <c r="B2089" t="s">
        <v>29</v>
      </c>
      <c r="C2089" t="s">
        <v>17</v>
      </c>
      <c r="D2089" t="s">
        <v>12</v>
      </c>
      <c r="E2089" t="s">
        <v>92</v>
      </c>
      <c r="F2089" t="s">
        <v>44</v>
      </c>
      <c r="G2089" t="s">
        <v>35</v>
      </c>
      <c r="H2089">
        <v>7</v>
      </c>
      <c r="I2089">
        <v>8288</v>
      </c>
      <c r="J2089">
        <v>785.54</v>
      </c>
    </row>
    <row r="2090" spans="1:10" x14ac:dyDescent="0.25">
      <c r="A2090" s="1">
        <v>44736</v>
      </c>
      <c r="B2090" t="s">
        <v>29</v>
      </c>
      <c r="C2090" t="s">
        <v>17</v>
      </c>
      <c r="D2090" t="s">
        <v>12</v>
      </c>
      <c r="E2090" t="s">
        <v>22</v>
      </c>
      <c r="F2090" t="s">
        <v>23</v>
      </c>
      <c r="G2090" t="s">
        <v>24</v>
      </c>
      <c r="H2090">
        <v>2</v>
      </c>
      <c r="I2090">
        <v>2046</v>
      </c>
      <c r="J2090">
        <v>394.93</v>
      </c>
    </row>
    <row r="2091" spans="1:10" x14ac:dyDescent="0.25">
      <c r="A2091" s="1">
        <v>44717</v>
      </c>
      <c r="B2091" t="s">
        <v>18</v>
      </c>
      <c r="C2091" t="s">
        <v>19</v>
      </c>
      <c r="D2091" t="s">
        <v>12</v>
      </c>
      <c r="E2091" t="s">
        <v>52</v>
      </c>
      <c r="F2091" t="s">
        <v>42</v>
      </c>
      <c r="G2091" t="s">
        <v>28</v>
      </c>
      <c r="H2091">
        <v>9</v>
      </c>
      <c r="I2091">
        <v>5031</v>
      </c>
      <c r="J2091">
        <v>1149.48</v>
      </c>
    </row>
    <row r="2092" spans="1:10" x14ac:dyDescent="0.25">
      <c r="A2092" s="1">
        <v>44630</v>
      </c>
      <c r="B2092" t="s">
        <v>49</v>
      </c>
      <c r="C2092" t="s">
        <v>17</v>
      </c>
      <c r="D2092" t="s">
        <v>12</v>
      </c>
      <c r="E2092" t="s">
        <v>52</v>
      </c>
      <c r="F2092" t="s">
        <v>42</v>
      </c>
      <c r="G2092" t="s">
        <v>28</v>
      </c>
      <c r="H2092">
        <v>9</v>
      </c>
      <c r="I2092">
        <v>1764</v>
      </c>
      <c r="J2092">
        <v>417.95</v>
      </c>
    </row>
    <row r="2093" spans="1:10" x14ac:dyDescent="0.25">
      <c r="A2093" s="1">
        <v>44765</v>
      </c>
      <c r="B2093" t="s">
        <v>55</v>
      </c>
      <c r="C2093" t="s">
        <v>19</v>
      </c>
      <c r="D2093" t="s">
        <v>12</v>
      </c>
      <c r="E2093" t="s">
        <v>74</v>
      </c>
      <c r="F2093" t="s">
        <v>23</v>
      </c>
      <c r="G2093" t="s">
        <v>24</v>
      </c>
      <c r="H2093">
        <v>8</v>
      </c>
      <c r="I2093">
        <v>1880</v>
      </c>
      <c r="J2093">
        <v>486.88</v>
      </c>
    </row>
    <row r="2094" spans="1:10" x14ac:dyDescent="0.25">
      <c r="A2094" s="1">
        <v>45285</v>
      </c>
      <c r="B2094" t="s">
        <v>32</v>
      </c>
      <c r="C2094" t="s">
        <v>19</v>
      </c>
      <c r="D2094" t="s">
        <v>12</v>
      </c>
      <c r="E2094" t="s">
        <v>56</v>
      </c>
      <c r="F2094" t="s">
        <v>57</v>
      </c>
      <c r="G2094" t="s">
        <v>24</v>
      </c>
      <c r="H2094">
        <v>2</v>
      </c>
      <c r="I2094">
        <v>200</v>
      </c>
      <c r="J2094">
        <v>10.45</v>
      </c>
    </row>
    <row r="2095" spans="1:10" x14ac:dyDescent="0.25">
      <c r="A2095" s="1">
        <v>44840</v>
      </c>
      <c r="B2095" t="s">
        <v>16</v>
      </c>
      <c r="C2095" t="s">
        <v>17</v>
      </c>
      <c r="D2095" t="s">
        <v>12</v>
      </c>
      <c r="E2095" t="s">
        <v>104</v>
      </c>
      <c r="F2095" t="s">
        <v>39</v>
      </c>
      <c r="G2095" t="s">
        <v>35</v>
      </c>
      <c r="H2095">
        <v>3</v>
      </c>
      <c r="I2095">
        <v>2688</v>
      </c>
      <c r="J2095">
        <v>476.77</v>
      </c>
    </row>
    <row r="2096" spans="1:10" x14ac:dyDescent="0.25">
      <c r="A2096" s="1">
        <v>44928</v>
      </c>
      <c r="B2096" t="s">
        <v>55</v>
      </c>
      <c r="C2096" t="s">
        <v>19</v>
      </c>
      <c r="D2096" t="s">
        <v>12</v>
      </c>
      <c r="E2096" t="s">
        <v>441</v>
      </c>
      <c r="F2096" t="s">
        <v>63</v>
      </c>
      <c r="G2096" t="s">
        <v>28</v>
      </c>
      <c r="H2096">
        <v>4</v>
      </c>
      <c r="I2096">
        <v>3216</v>
      </c>
      <c r="J2096">
        <v>213.81</v>
      </c>
    </row>
    <row r="2097" spans="1:10" x14ac:dyDescent="0.25">
      <c r="A2097" s="1">
        <v>45281</v>
      </c>
      <c r="B2097" t="s">
        <v>25</v>
      </c>
      <c r="C2097" t="s">
        <v>19</v>
      </c>
      <c r="D2097" t="s">
        <v>12</v>
      </c>
      <c r="E2097" t="s">
        <v>52</v>
      </c>
      <c r="F2097" t="s">
        <v>42</v>
      </c>
      <c r="G2097" t="s">
        <v>28</v>
      </c>
      <c r="H2097">
        <v>8</v>
      </c>
      <c r="I2097">
        <v>8440</v>
      </c>
      <c r="J2097">
        <v>1504.18</v>
      </c>
    </row>
    <row r="2098" spans="1:10" x14ac:dyDescent="0.25">
      <c r="A2098" s="1">
        <v>45408</v>
      </c>
      <c r="B2098" t="s">
        <v>18</v>
      </c>
      <c r="C2098" t="s">
        <v>19</v>
      </c>
      <c r="D2098" t="s">
        <v>12</v>
      </c>
      <c r="E2098" t="s">
        <v>136</v>
      </c>
      <c r="F2098" t="s">
        <v>65</v>
      </c>
      <c r="G2098" t="s">
        <v>35</v>
      </c>
      <c r="H2098">
        <v>7</v>
      </c>
      <c r="I2098">
        <v>1582</v>
      </c>
      <c r="J2098">
        <v>208.42</v>
      </c>
    </row>
    <row r="2099" spans="1:10" x14ac:dyDescent="0.25">
      <c r="A2099" s="1">
        <v>45485</v>
      </c>
      <c r="B2099" t="s">
        <v>55</v>
      </c>
      <c r="C2099" t="s">
        <v>19</v>
      </c>
      <c r="D2099" t="s">
        <v>12</v>
      </c>
      <c r="E2099" t="s">
        <v>136</v>
      </c>
      <c r="F2099" t="s">
        <v>65</v>
      </c>
      <c r="G2099" t="s">
        <v>35</v>
      </c>
      <c r="H2099">
        <v>1</v>
      </c>
      <c r="I2099">
        <v>58</v>
      </c>
      <c r="J2099">
        <v>10.79</v>
      </c>
    </row>
    <row r="2100" spans="1:10" x14ac:dyDescent="0.25">
      <c r="A2100" s="1">
        <v>44646</v>
      </c>
      <c r="B2100" t="s">
        <v>32</v>
      </c>
      <c r="C2100" t="s">
        <v>19</v>
      </c>
      <c r="D2100" t="s">
        <v>12</v>
      </c>
      <c r="E2100" t="s">
        <v>195</v>
      </c>
      <c r="F2100" t="s">
        <v>63</v>
      </c>
      <c r="G2100" t="s">
        <v>28</v>
      </c>
      <c r="H2100">
        <v>8</v>
      </c>
      <c r="I2100">
        <v>608</v>
      </c>
      <c r="J2100">
        <v>163.18</v>
      </c>
    </row>
    <row r="2101" spans="1:10" x14ac:dyDescent="0.25">
      <c r="A2101" s="1">
        <v>45615</v>
      </c>
      <c r="B2101" t="s">
        <v>40</v>
      </c>
      <c r="C2101" t="s">
        <v>19</v>
      </c>
      <c r="D2101" t="s">
        <v>12</v>
      </c>
      <c r="E2101" t="s">
        <v>195</v>
      </c>
      <c r="F2101" t="s">
        <v>63</v>
      </c>
      <c r="G2101" t="s">
        <v>28</v>
      </c>
      <c r="H2101">
        <v>3</v>
      </c>
      <c r="I2101">
        <v>183</v>
      </c>
      <c r="J2101">
        <v>41.82</v>
      </c>
    </row>
    <row r="2102" spans="1:10" x14ac:dyDescent="0.25">
      <c r="A2102" s="1">
        <v>45475</v>
      </c>
      <c r="B2102" t="s">
        <v>36</v>
      </c>
      <c r="C2102" t="s">
        <v>17</v>
      </c>
      <c r="D2102" t="s">
        <v>12</v>
      </c>
      <c r="E2102" t="s">
        <v>132</v>
      </c>
      <c r="F2102" t="s">
        <v>63</v>
      </c>
      <c r="G2102" t="s">
        <v>28</v>
      </c>
      <c r="H2102">
        <v>5</v>
      </c>
      <c r="I2102">
        <v>3105</v>
      </c>
      <c r="J2102">
        <v>744.26</v>
      </c>
    </row>
    <row r="2103" spans="1:10" x14ac:dyDescent="0.25">
      <c r="A2103" s="1">
        <v>45029</v>
      </c>
      <c r="B2103" t="s">
        <v>36</v>
      </c>
      <c r="C2103" t="s">
        <v>17</v>
      </c>
      <c r="D2103" t="s">
        <v>12</v>
      </c>
      <c r="E2103" t="s">
        <v>130</v>
      </c>
      <c r="F2103" t="s">
        <v>54</v>
      </c>
      <c r="G2103" t="s">
        <v>24</v>
      </c>
      <c r="H2103">
        <v>5</v>
      </c>
      <c r="I2103">
        <v>2450</v>
      </c>
      <c r="J2103">
        <v>485.18</v>
      </c>
    </row>
    <row r="2104" spans="1:10" x14ac:dyDescent="0.25">
      <c r="A2104" s="1">
        <v>44900</v>
      </c>
      <c r="B2104" t="s">
        <v>55</v>
      </c>
      <c r="C2104" t="s">
        <v>19</v>
      </c>
      <c r="D2104" t="s">
        <v>12</v>
      </c>
      <c r="E2104" t="s">
        <v>180</v>
      </c>
      <c r="F2104" t="s">
        <v>34</v>
      </c>
      <c r="G2104" t="s">
        <v>35</v>
      </c>
      <c r="H2104">
        <v>3</v>
      </c>
      <c r="I2104">
        <v>3024</v>
      </c>
      <c r="J2104">
        <v>622.29</v>
      </c>
    </row>
    <row r="2105" spans="1:10" x14ac:dyDescent="0.25">
      <c r="A2105" s="1">
        <v>45036</v>
      </c>
      <c r="B2105" t="s">
        <v>10</v>
      </c>
      <c r="C2105" t="s">
        <v>11</v>
      </c>
      <c r="D2105" t="s">
        <v>12</v>
      </c>
      <c r="E2105" t="s">
        <v>331</v>
      </c>
      <c r="F2105" t="s">
        <v>23</v>
      </c>
      <c r="G2105" t="s">
        <v>24</v>
      </c>
      <c r="H2105">
        <v>4</v>
      </c>
      <c r="I2105">
        <v>3856</v>
      </c>
      <c r="J2105">
        <v>747.79</v>
      </c>
    </row>
    <row r="2106" spans="1:10" x14ac:dyDescent="0.25">
      <c r="A2106" s="1">
        <v>45362</v>
      </c>
      <c r="B2106" t="s">
        <v>49</v>
      </c>
      <c r="C2106" t="s">
        <v>17</v>
      </c>
      <c r="D2106" t="s">
        <v>12</v>
      </c>
      <c r="E2106" t="s">
        <v>331</v>
      </c>
      <c r="F2106" t="s">
        <v>23</v>
      </c>
      <c r="G2106" t="s">
        <v>24</v>
      </c>
      <c r="H2106">
        <v>7</v>
      </c>
      <c r="I2106">
        <v>532</v>
      </c>
      <c r="J2106">
        <v>121.03</v>
      </c>
    </row>
    <row r="2107" spans="1:10" x14ac:dyDescent="0.25">
      <c r="A2107" s="1">
        <v>44976</v>
      </c>
      <c r="B2107" t="s">
        <v>40</v>
      </c>
      <c r="C2107" t="s">
        <v>19</v>
      </c>
      <c r="D2107" t="s">
        <v>12</v>
      </c>
      <c r="E2107" t="s">
        <v>331</v>
      </c>
      <c r="F2107" t="s">
        <v>23</v>
      </c>
      <c r="G2107" t="s">
        <v>24</v>
      </c>
      <c r="H2107">
        <v>4</v>
      </c>
      <c r="I2107">
        <v>3152</v>
      </c>
      <c r="J2107">
        <v>307.62</v>
      </c>
    </row>
    <row r="2108" spans="1:10" x14ac:dyDescent="0.25">
      <c r="A2108" s="1">
        <v>45264</v>
      </c>
      <c r="B2108" t="s">
        <v>36</v>
      </c>
      <c r="C2108" t="s">
        <v>17</v>
      </c>
      <c r="D2108" t="s">
        <v>12</v>
      </c>
      <c r="E2108" t="s">
        <v>331</v>
      </c>
      <c r="F2108" t="s">
        <v>23</v>
      </c>
      <c r="G2108" t="s">
        <v>24</v>
      </c>
      <c r="H2108">
        <v>9</v>
      </c>
      <c r="I2108">
        <v>8586</v>
      </c>
      <c r="J2108">
        <v>1555.82</v>
      </c>
    </row>
    <row r="2109" spans="1:10" x14ac:dyDescent="0.25">
      <c r="A2109" s="1">
        <v>44855</v>
      </c>
      <c r="B2109" t="s">
        <v>36</v>
      </c>
      <c r="C2109" t="s">
        <v>17</v>
      </c>
      <c r="D2109" t="s">
        <v>12</v>
      </c>
      <c r="E2109" t="s">
        <v>442</v>
      </c>
      <c r="F2109" t="s">
        <v>23</v>
      </c>
      <c r="G2109" t="s">
        <v>24</v>
      </c>
      <c r="H2109">
        <v>2</v>
      </c>
      <c r="I2109">
        <v>1046</v>
      </c>
      <c r="J2109">
        <v>273.38</v>
      </c>
    </row>
    <row r="2110" spans="1:10" x14ac:dyDescent="0.25">
      <c r="A2110" s="1">
        <v>44607</v>
      </c>
      <c r="B2110" t="s">
        <v>18</v>
      </c>
      <c r="C2110" t="s">
        <v>19</v>
      </c>
      <c r="D2110" t="s">
        <v>12</v>
      </c>
      <c r="E2110" t="s">
        <v>215</v>
      </c>
      <c r="F2110" t="s">
        <v>122</v>
      </c>
      <c r="G2110" t="s">
        <v>35</v>
      </c>
      <c r="H2110">
        <v>4</v>
      </c>
      <c r="I2110">
        <v>3452</v>
      </c>
      <c r="J2110">
        <v>560.30999999999995</v>
      </c>
    </row>
    <row r="2111" spans="1:10" x14ac:dyDescent="0.25">
      <c r="A2111" s="1">
        <v>44632</v>
      </c>
      <c r="B2111" t="s">
        <v>36</v>
      </c>
      <c r="C2111" t="s">
        <v>17</v>
      </c>
      <c r="D2111" t="s">
        <v>12</v>
      </c>
      <c r="E2111" t="s">
        <v>443</v>
      </c>
      <c r="F2111" t="s">
        <v>34</v>
      </c>
      <c r="G2111" t="s">
        <v>35</v>
      </c>
      <c r="H2111">
        <v>4</v>
      </c>
      <c r="I2111">
        <v>2368</v>
      </c>
      <c r="J2111">
        <v>361.02</v>
      </c>
    </row>
    <row r="2112" spans="1:10" x14ac:dyDescent="0.25">
      <c r="A2112" s="1">
        <v>44854</v>
      </c>
      <c r="B2112" t="s">
        <v>25</v>
      </c>
      <c r="C2112" t="s">
        <v>19</v>
      </c>
      <c r="D2112" t="s">
        <v>12</v>
      </c>
      <c r="E2112" t="s">
        <v>74</v>
      </c>
      <c r="F2112" t="s">
        <v>23</v>
      </c>
      <c r="G2112" t="s">
        <v>24</v>
      </c>
      <c r="H2112">
        <v>2</v>
      </c>
      <c r="I2112">
        <v>1924</v>
      </c>
      <c r="J2112">
        <v>422.25</v>
      </c>
    </row>
    <row r="2113" spans="1:10" x14ac:dyDescent="0.25">
      <c r="A2113" s="1">
        <v>44823</v>
      </c>
      <c r="B2113" t="s">
        <v>55</v>
      </c>
      <c r="C2113" t="s">
        <v>19</v>
      </c>
      <c r="D2113" t="s">
        <v>12</v>
      </c>
      <c r="E2113" t="s">
        <v>444</v>
      </c>
      <c r="F2113" t="s">
        <v>23</v>
      </c>
      <c r="G2113" t="s">
        <v>24</v>
      </c>
      <c r="H2113">
        <v>5</v>
      </c>
      <c r="I2113">
        <v>4580</v>
      </c>
      <c r="J2113">
        <v>1148.06</v>
      </c>
    </row>
    <row r="2114" spans="1:10" x14ac:dyDescent="0.25">
      <c r="A2114" s="1">
        <v>45598</v>
      </c>
      <c r="B2114" t="s">
        <v>29</v>
      </c>
      <c r="C2114" t="s">
        <v>17</v>
      </c>
      <c r="D2114" t="s">
        <v>12</v>
      </c>
      <c r="E2114" t="s">
        <v>22</v>
      </c>
      <c r="F2114" t="s">
        <v>23</v>
      </c>
      <c r="G2114" t="s">
        <v>24</v>
      </c>
      <c r="H2114">
        <v>5</v>
      </c>
      <c r="I2114">
        <v>3735</v>
      </c>
      <c r="J2114">
        <v>423.94</v>
      </c>
    </row>
    <row r="2115" spans="1:10" x14ac:dyDescent="0.25">
      <c r="A2115" s="1">
        <v>45059</v>
      </c>
      <c r="B2115" t="s">
        <v>36</v>
      </c>
      <c r="C2115" t="s">
        <v>17</v>
      </c>
      <c r="D2115" t="s">
        <v>12</v>
      </c>
      <c r="E2115" t="s">
        <v>52</v>
      </c>
      <c r="F2115" t="s">
        <v>42</v>
      </c>
      <c r="G2115" t="s">
        <v>28</v>
      </c>
      <c r="H2115">
        <v>4</v>
      </c>
      <c r="I2115">
        <v>2476</v>
      </c>
      <c r="J2115">
        <v>417.16</v>
      </c>
    </row>
    <row r="2116" spans="1:10" x14ac:dyDescent="0.25">
      <c r="A2116" s="1">
        <v>45120</v>
      </c>
      <c r="B2116" t="s">
        <v>55</v>
      </c>
      <c r="C2116" t="s">
        <v>19</v>
      </c>
      <c r="D2116" t="s">
        <v>12</v>
      </c>
      <c r="E2116" t="s">
        <v>445</v>
      </c>
      <c r="F2116" t="s">
        <v>39</v>
      </c>
      <c r="G2116" t="s">
        <v>35</v>
      </c>
      <c r="H2116">
        <v>2</v>
      </c>
      <c r="I2116">
        <v>162</v>
      </c>
      <c r="J2116">
        <v>16.510000000000002</v>
      </c>
    </row>
    <row r="2117" spans="1:10" x14ac:dyDescent="0.25">
      <c r="A2117" s="1">
        <v>44746</v>
      </c>
      <c r="B2117" t="s">
        <v>10</v>
      </c>
      <c r="C2117" t="s">
        <v>11</v>
      </c>
      <c r="D2117" t="s">
        <v>12</v>
      </c>
      <c r="E2117" t="s">
        <v>22</v>
      </c>
      <c r="F2117" t="s">
        <v>23</v>
      </c>
      <c r="G2117" t="s">
        <v>24</v>
      </c>
      <c r="H2117">
        <v>3</v>
      </c>
      <c r="I2117">
        <v>258</v>
      </c>
      <c r="J2117">
        <v>38.03</v>
      </c>
    </row>
    <row r="2118" spans="1:10" x14ac:dyDescent="0.25">
      <c r="A2118" s="1">
        <v>44639</v>
      </c>
      <c r="B2118" t="s">
        <v>49</v>
      </c>
      <c r="C2118" t="s">
        <v>17</v>
      </c>
      <c r="D2118" t="s">
        <v>12</v>
      </c>
      <c r="E2118" t="s">
        <v>37</v>
      </c>
      <c r="F2118" t="s">
        <v>34</v>
      </c>
      <c r="G2118" t="s">
        <v>35</v>
      </c>
      <c r="H2118">
        <v>4</v>
      </c>
      <c r="I2118">
        <v>3524</v>
      </c>
      <c r="J2118">
        <v>998.29</v>
      </c>
    </row>
    <row r="2119" spans="1:10" x14ac:dyDescent="0.25">
      <c r="A2119" s="1">
        <v>45073</v>
      </c>
      <c r="B2119" t="s">
        <v>32</v>
      </c>
      <c r="C2119" t="s">
        <v>19</v>
      </c>
      <c r="D2119" t="s">
        <v>12</v>
      </c>
      <c r="E2119" t="s">
        <v>62</v>
      </c>
      <c r="F2119" t="s">
        <v>59</v>
      </c>
      <c r="G2119" t="s">
        <v>28</v>
      </c>
      <c r="H2119">
        <v>8</v>
      </c>
      <c r="I2119">
        <v>6184</v>
      </c>
      <c r="J2119">
        <v>1796.9</v>
      </c>
    </row>
    <row r="2120" spans="1:10" x14ac:dyDescent="0.25">
      <c r="A2120" s="1">
        <v>44992</v>
      </c>
      <c r="B2120" t="s">
        <v>36</v>
      </c>
      <c r="C2120" t="s">
        <v>17</v>
      </c>
      <c r="D2120" t="s">
        <v>12</v>
      </c>
      <c r="E2120" t="s">
        <v>182</v>
      </c>
      <c r="F2120" t="s">
        <v>183</v>
      </c>
      <c r="G2120" t="s">
        <v>15</v>
      </c>
      <c r="H2120">
        <v>6</v>
      </c>
      <c r="I2120">
        <v>3750</v>
      </c>
      <c r="J2120">
        <v>645.69000000000005</v>
      </c>
    </row>
    <row r="2121" spans="1:10" x14ac:dyDescent="0.25">
      <c r="A2121" s="1">
        <v>44666</v>
      </c>
      <c r="B2121" t="s">
        <v>16</v>
      </c>
      <c r="C2121" t="s">
        <v>17</v>
      </c>
      <c r="D2121" t="s">
        <v>12</v>
      </c>
      <c r="E2121" t="s">
        <v>146</v>
      </c>
      <c r="F2121" t="s">
        <v>21</v>
      </c>
      <c r="G2121" t="s">
        <v>15</v>
      </c>
      <c r="H2121">
        <v>5</v>
      </c>
      <c r="I2121">
        <v>1465</v>
      </c>
      <c r="J2121">
        <v>424.64</v>
      </c>
    </row>
    <row r="2122" spans="1:10" x14ac:dyDescent="0.25">
      <c r="A2122" s="1">
        <v>45379</v>
      </c>
      <c r="B2122" t="s">
        <v>25</v>
      </c>
      <c r="C2122" t="s">
        <v>19</v>
      </c>
      <c r="D2122" t="s">
        <v>12</v>
      </c>
      <c r="E2122" t="s">
        <v>97</v>
      </c>
      <c r="F2122" t="s">
        <v>23</v>
      </c>
      <c r="G2122" t="s">
        <v>24</v>
      </c>
      <c r="H2122">
        <v>4</v>
      </c>
      <c r="I2122">
        <v>4480</v>
      </c>
      <c r="J2122">
        <v>412.05</v>
      </c>
    </row>
    <row r="2123" spans="1:10" x14ac:dyDescent="0.25">
      <c r="A2123" s="1">
        <v>45351</v>
      </c>
      <c r="B2123" t="s">
        <v>55</v>
      </c>
      <c r="C2123" t="s">
        <v>19</v>
      </c>
      <c r="D2123" t="s">
        <v>12</v>
      </c>
      <c r="E2123" t="s">
        <v>75</v>
      </c>
      <c r="F2123" t="s">
        <v>108</v>
      </c>
      <c r="G2123" t="s">
        <v>15</v>
      </c>
      <c r="H2123">
        <v>8</v>
      </c>
      <c r="I2123">
        <v>1544</v>
      </c>
      <c r="J2123">
        <v>281.22000000000003</v>
      </c>
    </row>
    <row r="2124" spans="1:10" x14ac:dyDescent="0.25">
      <c r="A2124" s="1">
        <v>45312</v>
      </c>
      <c r="B2124" t="s">
        <v>29</v>
      </c>
      <c r="C2124" t="s">
        <v>17</v>
      </c>
      <c r="D2124" t="s">
        <v>12</v>
      </c>
      <c r="E2124" t="s">
        <v>74</v>
      </c>
      <c r="F2124" t="s">
        <v>23</v>
      </c>
      <c r="G2124" t="s">
        <v>24</v>
      </c>
      <c r="H2124">
        <v>9</v>
      </c>
      <c r="I2124">
        <v>7974</v>
      </c>
      <c r="J2124">
        <v>1181.04</v>
      </c>
    </row>
    <row r="2125" spans="1:10" x14ac:dyDescent="0.25">
      <c r="A2125" s="1">
        <v>45381</v>
      </c>
      <c r="B2125" t="s">
        <v>10</v>
      </c>
      <c r="C2125" t="s">
        <v>11</v>
      </c>
      <c r="D2125" t="s">
        <v>12</v>
      </c>
      <c r="E2125" t="s">
        <v>74</v>
      </c>
      <c r="F2125" t="s">
        <v>23</v>
      </c>
      <c r="G2125" t="s">
        <v>24</v>
      </c>
      <c r="H2125">
        <v>5</v>
      </c>
      <c r="I2125">
        <v>5920</v>
      </c>
      <c r="J2125">
        <v>1679.15</v>
      </c>
    </row>
    <row r="2126" spans="1:10" x14ac:dyDescent="0.25">
      <c r="A2126" s="1">
        <v>45567</v>
      </c>
      <c r="B2126" t="s">
        <v>32</v>
      </c>
      <c r="C2126" t="s">
        <v>19</v>
      </c>
      <c r="D2126" t="s">
        <v>12</v>
      </c>
      <c r="E2126" t="s">
        <v>52</v>
      </c>
      <c r="F2126" t="s">
        <v>42</v>
      </c>
      <c r="G2126" t="s">
        <v>28</v>
      </c>
      <c r="H2126">
        <v>8</v>
      </c>
      <c r="I2126">
        <v>8792</v>
      </c>
      <c r="J2126">
        <v>2045.54</v>
      </c>
    </row>
    <row r="2127" spans="1:10" x14ac:dyDescent="0.25">
      <c r="A2127" s="1">
        <v>45278</v>
      </c>
      <c r="B2127" t="s">
        <v>32</v>
      </c>
      <c r="C2127" t="s">
        <v>19</v>
      </c>
      <c r="D2127" t="s">
        <v>12</v>
      </c>
      <c r="E2127" t="s">
        <v>307</v>
      </c>
      <c r="F2127" t="s">
        <v>156</v>
      </c>
      <c r="G2127" t="s">
        <v>28</v>
      </c>
      <c r="H2127">
        <v>1</v>
      </c>
      <c r="I2127">
        <v>294</v>
      </c>
      <c r="J2127">
        <v>52.37</v>
      </c>
    </row>
    <row r="2128" spans="1:10" x14ac:dyDescent="0.25">
      <c r="A2128" s="1">
        <v>44584</v>
      </c>
      <c r="B2128" t="s">
        <v>25</v>
      </c>
      <c r="C2128" t="s">
        <v>19</v>
      </c>
      <c r="D2128" t="s">
        <v>12</v>
      </c>
      <c r="E2128" t="s">
        <v>37</v>
      </c>
      <c r="F2128" t="s">
        <v>34</v>
      </c>
      <c r="G2128" t="s">
        <v>35</v>
      </c>
      <c r="H2128">
        <v>7</v>
      </c>
      <c r="I2128">
        <v>1169</v>
      </c>
      <c r="J2128">
        <v>264.37</v>
      </c>
    </row>
    <row r="2129" spans="1:10" x14ac:dyDescent="0.25">
      <c r="A2129" s="1">
        <v>45336</v>
      </c>
      <c r="B2129" t="s">
        <v>25</v>
      </c>
      <c r="C2129" t="s">
        <v>19</v>
      </c>
      <c r="D2129" t="s">
        <v>12</v>
      </c>
      <c r="E2129" t="s">
        <v>37</v>
      </c>
      <c r="F2129" t="s">
        <v>34</v>
      </c>
      <c r="G2129" t="s">
        <v>35</v>
      </c>
      <c r="H2129">
        <v>8</v>
      </c>
      <c r="I2129">
        <v>9232</v>
      </c>
      <c r="J2129">
        <v>880.52</v>
      </c>
    </row>
    <row r="2130" spans="1:10" x14ac:dyDescent="0.25">
      <c r="A2130" s="1">
        <v>45208</v>
      </c>
      <c r="B2130" t="s">
        <v>29</v>
      </c>
      <c r="C2130" t="s">
        <v>17</v>
      </c>
      <c r="D2130" t="s">
        <v>12</v>
      </c>
      <c r="E2130" t="s">
        <v>105</v>
      </c>
      <c r="F2130" t="s">
        <v>23</v>
      </c>
      <c r="G2130" t="s">
        <v>24</v>
      </c>
      <c r="H2130">
        <v>4</v>
      </c>
      <c r="I2130">
        <v>1396</v>
      </c>
      <c r="J2130">
        <v>135.47999999999999</v>
      </c>
    </row>
    <row r="2131" spans="1:10" x14ac:dyDescent="0.25">
      <c r="A2131" s="1">
        <v>45314</v>
      </c>
      <c r="B2131" t="s">
        <v>25</v>
      </c>
      <c r="C2131" t="s">
        <v>19</v>
      </c>
      <c r="D2131" t="s">
        <v>12</v>
      </c>
      <c r="E2131" t="s">
        <v>56</v>
      </c>
      <c r="F2131" t="s">
        <v>57</v>
      </c>
      <c r="G2131" t="s">
        <v>24</v>
      </c>
      <c r="H2131">
        <v>9</v>
      </c>
      <c r="I2131">
        <v>10188</v>
      </c>
      <c r="J2131">
        <v>1408.18</v>
      </c>
    </row>
    <row r="2132" spans="1:10" x14ac:dyDescent="0.25">
      <c r="A2132" s="1">
        <v>44817</v>
      </c>
      <c r="B2132" t="s">
        <v>36</v>
      </c>
      <c r="C2132" t="s">
        <v>17</v>
      </c>
      <c r="D2132" t="s">
        <v>12</v>
      </c>
      <c r="E2132" t="s">
        <v>20</v>
      </c>
      <c r="F2132" t="s">
        <v>21</v>
      </c>
      <c r="G2132" t="s">
        <v>15</v>
      </c>
      <c r="H2132">
        <v>2</v>
      </c>
      <c r="I2132">
        <v>222</v>
      </c>
      <c r="J2132">
        <v>23.65</v>
      </c>
    </row>
    <row r="2133" spans="1:10" x14ac:dyDescent="0.25">
      <c r="A2133" s="1">
        <v>45385</v>
      </c>
      <c r="B2133" t="s">
        <v>36</v>
      </c>
      <c r="C2133" t="s">
        <v>17</v>
      </c>
      <c r="D2133" t="s">
        <v>12</v>
      </c>
      <c r="E2133" t="s">
        <v>134</v>
      </c>
      <c r="F2133" t="s">
        <v>42</v>
      </c>
      <c r="G2133" t="s">
        <v>28</v>
      </c>
      <c r="H2133">
        <v>2</v>
      </c>
      <c r="I2133">
        <v>1328</v>
      </c>
      <c r="J2133">
        <v>358.07</v>
      </c>
    </row>
    <row r="2134" spans="1:10" x14ac:dyDescent="0.25">
      <c r="A2134" s="1">
        <v>45602</v>
      </c>
      <c r="B2134" t="s">
        <v>10</v>
      </c>
      <c r="C2134" t="s">
        <v>11</v>
      </c>
      <c r="D2134" t="s">
        <v>12</v>
      </c>
      <c r="E2134" t="s">
        <v>390</v>
      </c>
      <c r="F2134" t="s">
        <v>44</v>
      </c>
      <c r="G2134" t="s">
        <v>35</v>
      </c>
      <c r="H2134">
        <v>9</v>
      </c>
      <c r="I2134">
        <v>5085</v>
      </c>
      <c r="J2134">
        <v>488.63</v>
      </c>
    </row>
    <row r="2135" spans="1:10" x14ac:dyDescent="0.25">
      <c r="A2135" s="1">
        <v>45506</v>
      </c>
      <c r="B2135" t="s">
        <v>16</v>
      </c>
      <c r="C2135" t="s">
        <v>17</v>
      </c>
      <c r="D2135" t="s">
        <v>12</v>
      </c>
      <c r="E2135" t="s">
        <v>74</v>
      </c>
      <c r="F2135" t="s">
        <v>23</v>
      </c>
      <c r="G2135" t="s">
        <v>24</v>
      </c>
      <c r="H2135">
        <v>3</v>
      </c>
      <c r="I2135">
        <v>1245</v>
      </c>
      <c r="J2135">
        <v>229.73</v>
      </c>
    </row>
    <row r="2136" spans="1:10" x14ac:dyDescent="0.25">
      <c r="A2136" s="1">
        <v>44791</v>
      </c>
      <c r="B2136" t="s">
        <v>18</v>
      </c>
      <c r="C2136" t="s">
        <v>19</v>
      </c>
      <c r="D2136" t="s">
        <v>12</v>
      </c>
      <c r="E2136" t="s">
        <v>74</v>
      </c>
      <c r="F2136" t="s">
        <v>23</v>
      </c>
      <c r="G2136" t="s">
        <v>24</v>
      </c>
      <c r="H2136">
        <v>2</v>
      </c>
      <c r="I2136">
        <v>960</v>
      </c>
      <c r="J2136">
        <v>124.02</v>
      </c>
    </row>
    <row r="2137" spans="1:10" x14ac:dyDescent="0.25">
      <c r="A2137" s="1">
        <v>45354</v>
      </c>
      <c r="B2137" t="s">
        <v>40</v>
      </c>
      <c r="C2137" t="s">
        <v>19</v>
      </c>
      <c r="D2137" t="s">
        <v>12</v>
      </c>
      <c r="E2137" t="s">
        <v>52</v>
      </c>
      <c r="F2137" t="s">
        <v>42</v>
      </c>
      <c r="G2137" t="s">
        <v>28</v>
      </c>
      <c r="H2137">
        <v>9</v>
      </c>
      <c r="I2137">
        <v>5553</v>
      </c>
      <c r="J2137">
        <v>329.79</v>
      </c>
    </row>
    <row r="2138" spans="1:10" x14ac:dyDescent="0.25">
      <c r="A2138" s="1">
        <v>45179</v>
      </c>
      <c r="B2138" t="s">
        <v>49</v>
      </c>
      <c r="C2138" t="s">
        <v>17</v>
      </c>
      <c r="D2138" t="s">
        <v>12</v>
      </c>
      <c r="E2138" t="s">
        <v>187</v>
      </c>
      <c r="F2138" t="s">
        <v>23</v>
      </c>
      <c r="G2138" t="s">
        <v>24</v>
      </c>
      <c r="H2138">
        <v>2</v>
      </c>
      <c r="I2138">
        <v>1790</v>
      </c>
      <c r="J2138">
        <v>236.76</v>
      </c>
    </row>
    <row r="2139" spans="1:10" x14ac:dyDescent="0.25">
      <c r="A2139" s="1">
        <v>45484</v>
      </c>
      <c r="B2139" t="s">
        <v>49</v>
      </c>
      <c r="C2139" t="s">
        <v>17</v>
      </c>
      <c r="D2139" t="s">
        <v>12</v>
      </c>
      <c r="E2139" t="s">
        <v>162</v>
      </c>
      <c r="F2139" t="s">
        <v>23</v>
      </c>
      <c r="G2139" t="s">
        <v>24</v>
      </c>
      <c r="H2139">
        <v>8</v>
      </c>
      <c r="I2139">
        <v>2712</v>
      </c>
      <c r="J2139">
        <v>247.84</v>
      </c>
    </row>
    <row r="2140" spans="1:10" x14ac:dyDescent="0.25">
      <c r="A2140" s="1">
        <v>45418</v>
      </c>
      <c r="B2140" t="s">
        <v>55</v>
      </c>
      <c r="C2140" t="s">
        <v>19</v>
      </c>
      <c r="D2140" t="s">
        <v>12</v>
      </c>
      <c r="E2140" t="s">
        <v>162</v>
      </c>
      <c r="F2140" t="s">
        <v>23</v>
      </c>
      <c r="G2140" t="s">
        <v>24</v>
      </c>
      <c r="H2140">
        <v>1</v>
      </c>
      <c r="I2140">
        <v>632</v>
      </c>
      <c r="J2140">
        <v>89.14</v>
      </c>
    </row>
    <row r="2141" spans="1:10" x14ac:dyDescent="0.25">
      <c r="A2141" s="1">
        <v>44574</v>
      </c>
      <c r="B2141" t="s">
        <v>29</v>
      </c>
      <c r="C2141" t="s">
        <v>17</v>
      </c>
      <c r="D2141" t="s">
        <v>12</v>
      </c>
      <c r="E2141" t="s">
        <v>26</v>
      </c>
      <c r="F2141" t="s">
        <v>27</v>
      </c>
      <c r="G2141" t="s">
        <v>28</v>
      </c>
      <c r="H2141">
        <v>8</v>
      </c>
      <c r="I2141">
        <v>4904</v>
      </c>
      <c r="J2141">
        <v>520.74</v>
      </c>
    </row>
    <row r="2142" spans="1:10" x14ac:dyDescent="0.25">
      <c r="A2142" s="1">
        <v>44900</v>
      </c>
      <c r="B2142" t="s">
        <v>49</v>
      </c>
      <c r="C2142" t="s">
        <v>17</v>
      </c>
      <c r="D2142" t="s">
        <v>12</v>
      </c>
      <c r="E2142" t="s">
        <v>75</v>
      </c>
      <c r="F2142" t="s">
        <v>63</v>
      </c>
      <c r="G2142" t="s">
        <v>28</v>
      </c>
      <c r="H2142">
        <v>1</v>
      </c>
      <c r="I2142">
        <v>361</v>
      </c>
      <c r="J2142">
        <v>58.8</v>
      </c>
    </row>
    <row r="2143" spans="1:10" x14ac:dyDescent="0.25">
      <c r="A2143" s="1">
        <v>44603</v>
      </c>
      <c r="B2143" t="s">
        <v>10</v>
      </c>
      <c r="C2143" t="s">
        <v>11</v>
      </c>
      <c r="D2143" t="s">
        <v>12</v>
      </c>
      <c r="E2143" t="s">
        <v>392</v>
      </c>
      <c r="F2143" t="s">
        <v>65</v>
      </c>
      <c r="G2143" t="s">
        <v>35</v>
      </c>
      <c r="H2143">
        <v>9</v>
      </c>
      <c r="I2143">
        <v>7290</v>
      </c>
      <c r="J2143">
        <v>841.07</v>
      </c>
    </row>
    <row r="2144" spans="1:10" x14ac:dyDescent="0.25">
      <c r="A2144" s="1">
        <v>45359</v>
      </c>
      <c r="B2144" t="s">
        <v>32</v>
      </c>
      <c r="C2144" t="s">
        <v>19</v>
      </c>
      <c r="D2144" t="s">
        <v>12</v>
      </c>
      <c r="E2144" t="s">
        <v>37</v>
      </c>
      <c r="F2144" t="s">
        <v>34</v>
      </c>
      <c r="G2144" t="s">
        <v>35</v>
      </c>
      <c r="H2144">
        <v>4</v>
      </c>
      <c r="I2144">
        <v>2052</v>
      </c>
      <c r="J2144">
        <v>181.64</v>
      </c>
    </row>
    <row r="2145" spans="1:10" x14ac:dyDescent="0.25">
      <c r="A2145" s="1">
        <v>45433</v>
      </c>
      <c r="B2145" t="s">
        <v>16</v>
      </c>
      <c r="C2145" t="s">
        <v>17</v>
      </c>
      <c r="D2145" t="s">
        <v>12</v>
      </c>
      <c r="E2145" t="s">
        <v>91</v>
      </c>
      <c r="F2145" t="s">
        <v>149</v>
      </c>
      <c r="G2145" t="s">
        <v>15</v>
      </c>
      <c r="H2145">
        <v>3</v>
      </c>
      <c r="I2145">
        <v>1842</v>
      </c>
      <c r="J2145">
        <v>112.85</v>
      </c>
    </row>
    <row r="2146" spans="1:10" x14ac:dyDescent="0.25">
      <c r="A2146" s="1">
        <v>45266</v>
      </c>
      <c r="B2146" t="s">
        <v>16</v>
      </c>
      <c r="C2146" t="s">
        <v>17</v>
      </c>
      <c r="D2146" t="s">
        <v>12</v>
      </c>
      <c r="E2146" t="s">
        <v>187</v>
      </c>
      <c r="F2146" t="s">
        <v>23</v>
      </c>
      <c r="G2146" t="s">
        <v>24</v>
      </c>
      <c r="H2146">
        <v>9</v>
      </c>
      <c r="I2146">
        <v>10593</v>
      </c>
      <c r="J2146">
        <v>2488.69</v>
      </c>
    </row>
    <row r="2147" spans="1:10" x14ac:dyDescent="0.25">
      <c r="A2147" s="1">
        <v>44801</v>
      </c>
      <c r="B2147" t="s">
        <v>25</v>
      </c>
      <c r="C2147" t="s">
        <v>19</v>
      </c>
      <c r="D2147" t="s">
        <v>12</v>
      </c>
      <c r="E2147" t="s">
        <v>393</v>
      </c>
      <c r="F2147" t="s">
        <v>394</v>
      </c>
      <c r="G2147" t="s">
        <v>24</v>
      </c>
      <c r="H2147">
        <v>6</v>
      </c>
      <c r="I2147">
        <v>1218</v>
      </c>
      <c r="J2147">
        <v>129.36000000000001</v>
      </c>
    </row>
    <row r="2148" spans="1:10" x14ac:dyDescent="0.25">
      <c r="A2148" s="1">
        <v>45249</v>
      </c>
      <c r="B2148" t="s">
        <v>16</v>
      </c>
      <c r="C2148" t="s">
        <v>17</v>
      </c>
      <c r="D2148" t="s">
        <v>12</v>
      </c>
      <c r="E2148" t="s">
        <v>112</v>
      </c>
      <c r="F2148" t="s">
        <v>63</v>
      </c>
      <c r="G2148" t="s">
        <v>28</v>
      </c>
      <c r="H2148">
        <v>5</v>
      </c>
      <c r="I2148">
        <v>4240</v>
      </c>
      <c r="J2148">
        <v>426.41</v>
      </c>
    </row>
    <row r="2149" spans="1:10" x14ac:dyDescent="0.25">
      <c r="A2149" s="1">
        <v>45594</v>
      </c>
      <c r="B2149" t="s">
        <v>49</v>
      </c>
      <c r="C2149" t="s">
        <v>17</v>
      </c>
      <c r="D2149" t="s">
        <v>12</v>
      </c>
      <c r="E2149" t="s">
        <v>328</v>
      </c>
      <c r="F2149" t="s">
        <v>191</v>
      </c>
      <c r="G2149" t="s">
        <v>35</v>
      </c>
      <c r="H2149">
        <v>2</v>
      </c>
      <c r="I2149">
        <v>226</v>
      </c>
      <c r="J2149">
        <v>38.520000000000003</v>
      </c>
    </row>
    <row r="2150" spans="1:10" x14ac:dyDescent="0.25">
      <c r="A2150" s="1">
        <v>44645</v>
      </c>
      <c r="B2150" t="s">
        <v>25</v>
      </c>
      <c r="C2150" t="s">
        <v>19</v>
      </c>
      <c r="D2150" t="s">
        <v>12</v>
      </c>
      <c r="E2150" t="s">
        <v>22</v>
      </c>
      <c r="F2150" t="s">
        <v>23</v>
      </c>
      <c r="G2150" t="s">
        <v>24</v>
      </c>
      <c r="H2150">
        <v>6</v>
      </c>
      <c r="I2150">
        <v>5154</v>
      </c>
      <c r="J2150">
        <v>1072.8</v>
      </c>
    </row>
    <row r="2151" spans="1:10" x14ac:dyDescent="0.25">
      <c r="A2151" s="1">
        <v>45137</v>
      </c>
      <c r="B2151" t="s">
        <v>16</v>
      </c>
      <c r="C2151" t="s">
        <v>17</v>
      </c>
      <c r="D2151" t="s">
        <v>12</v>
      </c>
      <c r="E2151" t="s">
        <v>395</v>
      </c>
      <c r="F2151" t="s">
        <v>57</v>
      </c>
      <c r="G2151" t="s">
        <v>24</v>
      </c>
      <c r="H2151">
        <v>6</v>
      </c>
      <c r="I2151">
        <v>1236</v>
      </c>
      <c r="J2151">
        <v>304.88</v>
      </c>
    </row>
    <row r="2152" spans="1:10" x14ac:dyDescent="0.25">
      <c r="A2152" s="1">
        <v>44879</v>
      </c>
      <c r="B2152" t="s">
        <v>18</v>
      </c>
      <c r="C2152" t="s">
        <v>19</v>
      </c>
      <c r="D2152" t="s">
        <v>12</v>
      </c>
      <c r="E2152" t="s">
        <v>396</v>
      </c>
      <c r="F2152" t="s">
        <v>44</v>
      </c>
      <c r="G2152" t="s">
        <v>35</v>
      </c>
      <c r="H2152">
        <v>1</v>
      </c>
      <c r="I2152">
        <v>1179</v>
      </c>
      <c r="J2152">
        <v>159.41999999999999</v>
      </c>
    </row>
    <row r="2153" spans="1:10" x14ac:dyDescent="0.25">
      <c r="A2153" s="1">
        <v>45655</v>
      </c>
      <c r="B2153" t="s">
        <v>10</v>
      </c>
      <c r="C2153" t="s">
        <v>11</v>
      </c>
      <c r="D2153" t="s">
        <v>12</v>
      </c>
      <c r="E2153" t="s">
        <v>396</v>
      </c>
      <c r="F2153" t="s">
        <v>44</v>
      </c>
      <c r="G2153" t="s">
        <v>35</v>
      </c>
      <c r="H2153">
        <v>5</v>
      </c>
      <c r="I2153">
        <v>2275</v>
      </c>
      <c r="J2153">
        <v>313.5</v>
      </c>
    </row>
    <row r="2154" spans="1:10" x14ac:dyDescent="0.25">
      <c r="A2154" s="1">
        <v>45067</v>
      </c>
      <c r="B2154" t="s">
        <v>32</v>
      </c>
      <c r="C2154" t="s">
        <v>19</v>
      </c>
      <c r="D2154" t="s">
        <v>12</v>
      </c>
      <c r="E2154" t="s">
        <v>396</v>
      </c>
      <c r="F2154" t="s">
        <v>44</v>
      </c>
      <c r="G2154" t="s">
        <v>35</v>
      </c>
      <c r="H2154">
        <v>7</v>
      </c>
      <c r="I2154">
        <v>6188</v>
      </c>
      <c r="J2154">
        <v>1231.3</v>
      </c>
    </row>
    <row r="2155" spans="1:10" x14ac:dyDescent="0.25">
      <c r="A2155" s="1">
        <v>45276</v>
      </c>
      <c r="B2155" t="s">
        <v>29</v>
      </c>
      <c r="C2155" t="s">
        <v>17</v>
      </c>
      <c r="D2155" t="s">
        <v>12</v>
      </c>
      <c r="E2155" t="s">
        <v>158</v>
      </c>
      <c r="F2155" t="s">
        <v>21</v>
      </c>
      <c r="G2155" t="s">
        <v>15</v>
      </c>
      <c r="H2155">
        <v>3</v>
      </c>
      <c r="I2155">
        <v>2946</v>
      </c>
      <c r="J2155">
        <v>666.99</v>
      </c>
    </row>
    <row r="2156" spans="1:10" x14ac:dyDescent="0.25">
      <c r="A2156" s="1">
        <v>45179</v>
      </c>
      <c r="B2156" t="s">
        <v>29</v>
      </c>
      <c r="C2156" t="s">
        <v>17</v>
      </c>
      <c r="D2156" t="s">
        <v>12</v>
      </c>
      <c r="E2156" t="s">
        <v>285</v>
      </c>
      <c r="F2156" t="s">
        <v>34</v>
      </c>
      <c r="G2156" t="s">
        <v>35</v>
      </c>
      <c r="H2156">
        <v>5</v>
      </c>
      <c r="I2156">
        <v>5085</v>
      </c>
      <c r="J2156">
        <v>1172.1199999999999</v>
      </c>
    </row>
    <row r="2157" spans="1:10" x14ac:dyDescent="0.25">
      <c r="A2157" s="1">
        <v>44683</v>
      </c>
      <c r="B2157" t="s">
        <v>49</v>
      </c>
      <c r="C2157" t="s">
        <v>17</v>
      </c>
      <c r="D2157" t="s">
        <v>12</v>
      </c>
      <c r="E2157" t="s">
        <v>187</v>
      </c>
      <c r="F2157" t="s">
        <v>23</v>
      </c>
      <c r="G2157" t="s">
        <v>24</v>
      </c>
      <c r="H2157">
        <v>2</v>
      </c>
      <c r="I2157">
        <v>712</v>
      </c>
      <c r="J2157">
        <v>205.53</v>
      </c>
    </row>
    <row r="2158" spans="1:10" x14ac:dyDescent="0.25">
      <c r="A2158" s="1">
        <v>44960</v>
      </c>
      <c r="B2158" t="s">
        <v>32</v>
      </c>
      <c r="C2158" t="s">
        <v>19</v>
      </c>
      <c r="D2158" t="s">
        <v>12</v>
      </c>
      <c r="E2158" t="s">
        <v>52</v>
      </c>
      <c r="F2158" t="s">
        <v>42</v>
      </c>
      <c r="G2158" t="s">
        <v>28</v>
      </c>
      <c r="H2158">
        <v>6</v>
      </c>
      <c r="I2158">
        <v>648</v>
      </c>
      <c r="J2158">
        <v>62.25</v>
      </c>
    </row>
    <row r="2159" spans="1:10" x14ac:dyDescent="0.25">
      <c r="A2159" s="1">
        <v>44959</v>
      </c>
      <c r="B2159" t="s">
        <v>16</v>
      </c>
      <c r="C2159" t="s">
        <v>17</v>
      </c>
      <c r="D2159" t="s">
        <v>12</v>
      </c>
      <c r="E2159" t="s">
        <v>52</v>
      </c>
      <c r="F2159" t="s">
        <v>42</v>
      </c>
      <c r="G2159" t="s">
        <v>28</v>
      </c>
      <c r="H2159">
        <v>5</v>
      </c>
      <c r="I2159">
        <v>2735</v>
      </c>
      <c r="J2159">
        <v>483.2</v>
      </c>
    </row>
    <row r="2160" spans="1:10" x14ac:dyDescent="0.25">
      <c r="A2160" s="1">
        <v>44921</v>
      </c>
      <c r="B2160" t="s">
        <v>10</v>
      </c>
      <c r="C2160" t="s">
        <v>11</v>
      </c>
      <c r="D2160" t="s">
        <v>12</v>
      </c>
      <c r="E2160" t="s">
        <v>52</v>
      </c>
      <c r="F2160" t="s">
        <v>42</v>
      </c>
      <c r="G2160" t="s">
        <v>28</v>
      </c>
      <c r="H2160">
        <v>6</v>
      </c>
      <c r="I2160">
        <v>2910</v>
      </c>
      <c r="J2160">
        <v>173.45</v>
      </c>
    </row>
    <row r="2161" spans="1:10" x14ac:dyDescent="0.25">
      <c r="A2161" s="1">
        <v>44696</v>
      </c>
      <c r="B2161" t="s">
        <v>32</v>
      </c>
      <c r="C2161" t="s">
        <v>19</v>
      </c>
      <c r="D2161" t="s">
        <v>12</v>
      </c>
      <c r="E2161" t="s">
        <v>397</v>
      </c>
      <c r="F2161" t="s">
        <v>23</v>
      </c>
      <c r="G2161" t="s">
        <v>24</v>
      </c>
      <c r="H2161">
        <v>1</v>
      </c>
      <c r="I2161">
        <v>263</v>
      </c>
      <c r="J2161">
        <v>69.39</v>
      </c>
    </row>
    <row r="2162" spans="1:10" x14ac:dyDescent="0.25">
      <c r="A2162" s="1">
        <v>45265</v>
      </c>
      <c r="B2162" t="s">
        <v>40</v>
      </c>
      <c r="C2162" t="s">
        <v>19</v>
      </c>
      <c r="D2162" t="s">
        <v>12</v>
      </c>
      <c r="E2162" t="s">
        <v>43</v>
      </c>
      <c r="F2162" t="s">
        <v>44</v>
      </c>
      <c r="G2162" t="s">
        <v>35</v>
      </c>
      <c r="H2162">
        <v>2</v>
      </c>
      <c r="I2162">
        <v>876</v>
      </c>
      <c r="J2162">
        <v>66.680000000000007</v>
      </c>
    </row>
    <row r="2163" spans="1:10" x14ac:dyDescent="0.25">
      <c r="A2163" s="1">
        <v>45235</v>
      </c>
      <c r="B2163" t="s">
        <v>16</v>
      </c>
      <c r="C2163" t="s">
        <v>17</v>
      </c>
      <c r="D2163" t="s">
        <v>12</v>
      </c>
      <c r="E2163" t="s">
        <v>72</v>
      </c>
      <c r="F2163" t="s">
        <v>21</v>
      </c>
      <c r="G2163" t="s">
        <v>15</v>
      </c>
      <c r="H2163">
        <v>1</v>
      </c>
      <c r="I2163">
        <v>913</v>
      </c>
      <c r="J2163">
        <v>162.24</v>
      </c>
    </row>
    <row r="2164" spans="1:10" x14ac:dyDescent="0.25">
      <c r="A2164" s="1">
        <v>45578</v>
      </c>
      <c r="B2164" t="s">
        <v>55</v>
      </c>
      <c r="C2164" t="s">
        <v>19</v>
      </c>
      <c r="D2164" t="s">
        <v>12</v>
      </c>
      <c r="E2164" t="s">
        <v>72</v>
      </c>
      <c r="F2164" t="s">
        <v>21</v>
      </c>
      <c r="G2164" t="s">
        <v>15</v>
      </c>
      <c r="H2164">
        <v>9</v>
      </c>
      <c r="I2164">
        <v>594</v>
      </c>
      <c r="J2164">
        <v>93.92</v>
      </c>
    </row>
    <row r="2165" spans="1:10" x14ac:dyDescent="0.25">
      <c r="A2165" s="1">
        <v>44619</v>
      </c>
      <c r="B2165" t="s">
        <v>29</v>
      </c>
      <c r="C2165" t="s">
        <v>17</v>
      </c>
      <c r="D2165" t="s">
        <v>12</v>
      </c>
      <c r="E2165" t="s">
        <v>52</v>
      </c>
      <c r="F2165" t="s">
        <v>42</v>
      </c>
      <c r="G2165" t="s">
        <v>28</v>
      </c>
      <c r="H2165">
        <v>2</v>
      </c>
      <c r="I2165">
        <v>956</v>
      </c>
      <c r="J2165">
        <v>202.14</v>
      </c>
    </row>
    <row r="2166" spans="1:10" x14ac:dyDescent="0.25">
      <c r="A2166" s="1">
        <v>45460</v>
      </c>
      <c r="B2166" t="s">
        <v>55</v>
      </c>
      <c r="C2166" t="s">
        <v>19</v>
      </c>
      <c r="D2166" t="s">
        <v>12</v>
      </c>
      <c r="E2166" t="s">
        <v>52</v>
      </c>
      <c r="F2166" t="s">
        <v>42</v>
      </c>
      <c r="G2166" t="s">
        <v>28</v>
      </c>
      <c r="H2166">
        <v>7</v>
      </c>
      <c r="I2166">
        <v>7301</v>
      </c>
      <c r="J2166">
        <v>2026.43</v>
      </c>
    </row>
    <row r="2167" spans="1:10" x14ac:dyDescent="0.25">
      <c r="A2167" s="1">
        <v>45060</v>
      </c>
      <c r="B2167" t="s">
        <v>29</v>
      </c>
      <c r="C2167" t="s">
        <v>17</v>
      </c>
      <c r="D2167" t="s">
        <v>12</v>
      </c>
      <c r="E2167" t="s">
        <v>251</v>
      </c>
      <c r="F2167" t="s">
        <v>108</v>
      </c>
      <c r="G2167" t="s">
        <v>15</v>
      </c>
      <c r="H2167">
        <v>6</v>
      </c>
      <c r="I2167">
        <v>5754</v>
      </c>
      <c r="J2167">
        <v>1628.61</v>
      </c>
    </row>
    <row r="2168" spans="1:10" x14ac:dyDescent="0.25">
      <c r="A2168" s="1">
        <v>44733</v>
      </c>
      <c r="B2168" t="s">
        <v>29</v>
      </c>
      <c r="C2168" t="s">
        <v>17</v>
      </c>
      <c r="D2168" t="s">
        <v>12</v>
      </c>
      <c r="E2168" t="s">
        <v>251</v>
      </c>
      <c r="F2168" t="s">
        <v>108</v>
      </c>
      <c r="G2168" t="s">
        <v>15</v>
      </c>
      <c r="H2168">
        <v>4</v>
      </c>
      <c r="I2168">
        <v>1372</v>
      </c>
      <c r="J2168">
        <v>274.47000000000003</v>
      </c>
    </row>
    <row r="2169" spans="1:10" x14ac:dyDescent="0.25">
      <c r="A2169" s="1">
        <v>44750</v>
      </c>
      <c r="B2169" t="s">
        <v>29</v>
      </c>
      <c r="C2169" t="s">
        <v>17</v>
      </c>
      <c r="D2169" t="s">
        <v>12</v>
      </c>
      <c r="E2169" t="s">
        <v>103</v>
      </c>
      <c r="F2169" t="s">
        <v>21</v>
      </c>
      <c r="G2169" t="s">
        <v>15</v>
      </c>
      <c r="H2169">
        <v>8</v>
      </c>
      <c r="I2169">
        <v>920</v>
      </c>
      <c r="J2169">
        <v>214.27</v>
      </c>
    </row>
    <row r="2170" spans="1:10" x14ac:dyDescent="0.25">
      <c r="A2170" s="1">
        <v>45309</v>
      </c>
      <c r="B2170" t="s">
        <v>40</v>
      </c>
      <c r="C2170" t="s">
        <v>19</v>
      </c>
      <c r="D2170" t="s">
        <v>12</v>
      </c>
      <c r="E2170" t="s">
        <v>103</v>
      </c>
      <c r="F2170" t="s">
        <v>21</v>
      </c>
      <c r="G2170" t="s">
        <v>15</v>
      </c>
      <c r="H2170">
        <v>3</v>
      </c>
      <c r="I2170">
        <v>885</v>
      </c>
      <c r="J2170">
        <v>150.79</v>
      </c>
    </row>
    <row r="2171" spans="1:10" x14ac:dyDescent="0.25">
      <c r="A2171" s="1">
        <v>45656</v>
      </c>
      <c r="B2171" t="s">
        <v>25</v>
      </c>
      <c r="C2171" t="s">
        <v>19</v>
      </c>
      <c r="D2171" t="s">
        <v>12</v>
      </c>
      <c r="E2171" t="s">
        <v>93</v>
      </c>
      <c r="F2171" t="s">
        <v>94</v>
      </c>
      <c r="G2171" t="s">
        <v>24</v>
      </c>
      <c r="H2171">
        <v>1</v>
      </c>
      <c r="I2171">
        <v>379</v>
      </c>
      <c r="J2171">
        <v>39.409999999999997</v>
      </c>
    </row>
    <row r="2172" spans="1:10" x14ac:dyDescent="0.25">
      <c r="A2172" s="1">
        <v>45544</v>
      </c>
      <c r="B2172" t="s">
        <v>29</v>
      </c>
      <c r="C2172" t="s">
        <v>17</v>
      </c>
      <c r="D2172" t="s">
        <v>12</v>
      </c>
      <c r="E2172" t="s">
        <v>26</v>
      </c>
      <c r="F2172" t="s">
        <v>27</v>
      </c>
      <c r="G2172" t="s">
        <v>28</v>
      </c>
      <c r="H2172">
        <v>8</v>
      </c>
      <c r="I2172">
        <v>1024</v>
      </c>
      <c r="J2172">
        <v>201.92</v>
      </c>
    </row>
    <row r="2173" spans="1:10" x14ac:dyDescent="0.25">
      <c r="A2173" s="1">
        <v>45416</v>
      </c>
      <c r="B2173" t="s">
        <v>49</v>
      </c>
      <c r="C2173" t="s">
        <v>17</v>
      </c>
      <c r="D2173" t="s">
        <v>12</v>
      </c>
      <c r="E2173" t="s">
        <v>22</v>
      </c>
      <c r="F2173" t="s">
        <v>23</v>
      </c>
      <c r="G2173" t="s">
        <v>24</v>
      </c>
      <c r="H2173">
        <v>4</v>
      </c>
      <c r="I2173">
        <v>4312</v>
      </c>
      <c r="J2173">
        <v>388.48</v>
      </c>
    </row>
    <row r="2174" spans="1:10" x14ac:dyDescent="0.25">
      <c r="A2174" s="1">
        <v>45083</v>
      </c>
      <c r="B2174" t="s">
        <v>16</v>
      </c>
      <c r="C2174" t="s">
        <v>17</v>
      </c>
      <c r="D2174" t="s">
        <v>12</v>
      </c>
      <c r="E2174" t="s">
        <v>26</v>
      </c>
      <c r="F2174" t="s">
        <v>27</v>
      </c>
      <c r="G2174" t="s">
        <v>28</v>
      </c>
      <c r="H2174">
        <v>5</v>
      </c>
      <c r="I2174">
        <v>5030</v>
      </c>
      <c r="J2174">
        <v>540.73</v>
      </c>
    </row>
    <row r="2175" spans="1:10" x14ac:dyDescent="0.25">
      <c r="A2175" s="1">
        <v>44592</v>
      </c>
      <c r="B2175" t="s">
        <v>40</v>
      </c>
      <c r="C2175" t="s">
        <v>19</v>
      </c>
      <c r="D2175" t="s">
        <v>12</v>
      </c>
      <c r="E2175" t="s">
        <v>125</v>
      </c>
      <c r="F2175" t="s">
        <v>126</v>
      </c>
      <c r="G2175" t="s">
        <v>35</v>
      </c>
      <c r="H2175">
        <v>2</v>
      </c>
      <c r="I2175">
        <v>1438</v>
      </c>
      <c r="J2175">
        <v>315.83</v>
      </c>
    </row>
    <row r="2176" spans="1:10" x14ac:dyDescent="0.25">
      <c r="A2176" s="1">
        <v>44658</v>
      </c>
      <c r="B2176" t="s">
        <v>49</v>
      </c>
      <c r="C2176" t="s">
        <v>17</v>
      </c>
      <c r="D2176" t="s">
        <v>12</v>
      </c>
      <c r="E2176" t="s">
        <v>265</v>
      </c>
      <c r="F2176" t="s">
        <v>46</v>
      </c>
      <c r="G2176" t="s">
        <v>15</v>
      </c>
      <c r="H2176">
        <v>1</v>
      </c>
      <c r="I2176">
        <v>419</v>
      </c>
      <c r="J2176">
        <v>108.36</v>
      </c>
    </row>
    <row r="2177" spans="1:10" x14ac:dyDescent="0.25">
      <c r="A2177" s="1">
        <v>44616</v>
      </c>
      <c r="B2177" t="s">
        <v>29</v>
      </c>
      <c r="C2177" t="s">
        <v>17</v>
      </c>
      <c r="D2177" t="s">
        <v>12</v>
      </c>
      <c r="E2177" t="s">
        <v>265</v>
      </c>
      <c r="F2177" t="s">
        <v>46</v>
      </c>
      <c r="G2177" t="s">
        <v>15</v>
      </c>
      <c r="H2177">
        <v>3</v>
      </c>
      <c r="I2177">
        <v>3519</v>
      </c>
      <c r="J2177">
        <v>935.72</v>
      </c>
    </row>
    <row r="2178" spans="1:10" x14ac:dyDescent="0.25">
      <c r="A2178" s="1">
        <v>44654</v>
      </c>
      <c r="B2178" t="s">
        <v>18</v>
      </c>
      <c r="C2178" t="s">
        <v>19</v>
      </c>
      <c r="D2178" t="s">
        <v>12</v>
      </c>
      <c r="E2178" t="s">
        <v>52</v>
      </c>
      <c r="F2178" t="s">
        <v>42</v>
      </c>
      <c r="G2178" t="s">
        <v>28</v>
      </c>
      <c r="H2178">
        <v>8</v>
      </c>
      <c r="I2178">
        <v>2912</v>
      </c>
      <c r="J2178">
        <v>451.97</v>
      </c>
    </row>
    <row r="2179" spans="1:10" x14ac:dyDescent="0.25">
      <c r="A2179" s="1">
        <v>44977</v>
      </c>
      <c r="B2179" t="s">
        <v>40</v>
      </c>
      <c r="C2179" t="s">
        <v>19</v>
      </c>
      <c r="D2179" t="s">
        <v>12</v>
      </c>
      <c r="E2179" t="s">
        <v>52</v>
      </c>
      <c r="F2179" t="s">
        <v>42</v>
      </c>
      <c r="G2179" t="s">
        <v>28</v>
      </c>
      <c r="H2179">
        <v>5</v>
      </c>
      <c r="I2179">
        <v>4005</v>
      </c>
      <c r="J2179">
        <v>226.09</v>
      </c>
    </row>
    <row r="2180" spans="1:10" x14ac:dyDescent="0.25">
      <c r="A2180" s="1">
        <v>45160</v>
      </c>
      <c r="B2180" t="s">
        <v>32</v>
      </c>
      <c r="C2180" t="s">
        <v>19</v>
      </c>
      <c r="D2180" t="s">
        <v>12</v>
      </c>
      <c r="E2180" t="s">
        <v>56</v>
      </c>
      <c r="F2180" t="s">
        <v>57</v>
      </c>
      <c r="G2180" t="s">
        <v>24</v>
      </c>
      <c r="H2180">
        <v>5</v>
      </c>
      <c r="I2180">
        <v>2075</v>
      </c>
      <c r="J2180">
        <v>271.70999999999998</v>
      </c>
    </row>
    <row r="2181" spans="1:10" x14ac:dyDescent="0.25">
      <c r="A2181" s="1">
        <v>44980</v>
      </c>
      <c r="B2181" t="s">
        <v>55</v>
      </c>
      <c r="C2181" t="s">
        <v>19</v>
      </c>
      <c r="D2181" t="s">
        <v>12</v>
      </c>
      <c r="E2181" t="s">
        <v>398</v>
      </c>
      <c r="F2181" t="s">
        <v>23</v>
      </c>
      <c r="G2181" t="s">
        <v>24</v>
      </c>
      <c r="H2181">
        <v>2</v>
      </c>
      <c r="I2181">
        <v>120</v>
      </c>
      <c r="J2181">
        <v>7.74</v>
      </c>
    </row>
    <row r="2182" spans="1:10" x14ac:dyDescent="0.25">
      <c r="A2182" s="1">
        <v>45516</v>
      </c>
      <c r="B2182" t="s">
        <v>25</v>
      </c>
      <c r="C2182" t="s">
        <v>19</v>
      </c>
      <c r="D2182" t="s">
        <v>12</v>
      </c>
      <c r="E2182" t="s">
        <v>398</v>
      </c>
      <c r="F2182" t="s">
        <v>23</v>
      </c>
      <c r="G2182" t="s">
        <v>24</v>
      </c>
      <c r="H2182">
        <v>4</v>
      </c>
      <c r="I2182">
        <v>564</v>
      </c>
      <c r="J2182">
        <v>32.799999999999997</v>
      </c>
    </row>
    <row r="2183" spans="1:10" x14ac:dyDescent="0.25">
      <c r="A2183" s="1">
        <v>45200</v>
      </c>
      <c r="B2183" t="s">
        <v>32</v>
      </c>
      <c r="C2183" t="s">
        <v>19</v>
      </c>
      <c r="D2183" t="s">
        <v>12</v>
      </c>
      <c r="E2183" t="s">
        <v>398</v>
      </c>
      <c r="F2183" t="s">
        <v>23</v>
      </c>
      <c r="G2183" t="s">
        <v>24</v>
      </c>
      <c r="H2183">
        <v>2</v>
      </c>
      <c r="I2183">
        <v>486</v>
      </c>
      <c r="J2183">
        <v>62.58</v>
      </c>
    </row>
    <row r="2184" spans="1:10" x14ac:dyDescent="0.25">
      <c r="A2184" s="1">
        <v>45031</v>
      </c>
      <c r="B2184" t="s">
        <v>32</v>
      </c>
      <c r="C2184" t="s">
        <v>19</v>
      </c>
      <c r="D2184" t="s">
        <v>12</v>
      </c>
      <c r="E2184" t="s">
        <v>398</v>
      </c>
      <c r="F2184" t="s">
        <v>23</v>
      </c>
      <c r="G2184" t="s">
        <v>24</v>
      </c>
      <c r="H2184">
        <v>2</v>
      </c>
      <c r="I2184">
        <v>1488</v>
      </c>
      <c r="J2184">
        <v>342.87</v>
      </c>
    </row>
    <row r="2185" spans="1:10" x14ac:dyDescent="0.25">
      <c r="A2185" s="1">
        <v>44981</v>
      </c>
      <c r="B2185" t="s">
        <v>55</v>
      </c>
      <c r="C2185" t="s">
        <v>19</v>
      </c>
      <c r="D2185" t="s">
        <v>12</v>
      </c>
      <c r="E2185" t="s">
        <v>22</v>
      </c>
      <c r="F2185" t="s">
        <v>23</v>
      </c>
      <c r="G2185" t="s">
        <v>24</v>
      </c>
      <c r="H2185">
        <v>6</v>
      </c>
      <c r="I2185">
        <v>3096</v>
      </c>
      <c r="J2185">
        <v>277.68</v>
      </c>
    </row>
    <row r="2186" spans="1:10" x14ac:dyDescent="0.25">
      <c r="A2186" s="1">
        <v>44869</v>
      </c>
      <c r="B2186" t="s">
        <v>32</v>
      </c>
      <c r="C2186" t="s">
        <v>19</v>
      </c>
      <c r="D2186" t="s">
        <v>12</v>
      </c>
      <c r="E2186" t="s">
        <v>289</v>
      </c>
      <c r="F2186" t="s">
        <v>63</v>
      </c>
      <c r="G2186" t="s">
        <v>28</v>
      </c>
      <c r="H2186">
        <v>8</v>
      </c>
      <c r="I2186">
        <v>6488</v>
      </c>
      <c r="J2186">
        <v>1845.07</v>
      </c>
    </row>
    <row r="2187" spans="1:10" x14ac:dyDescent="0.25">
      <c r="A2187" s="1">
        <v>45393</v>
      </c>
      <c r="B2187" t="s">
        <v>32</v>
      </c>
      <c r="C2187" t="s">
        <v>19</v>
      </c>
      <c r="D2187" t="s">
        <v>12</v>
      </c>
      <c r="E2187" t="s">
        <v>399</v>
      </c>
      <c r="F2187" t="s">
        <v>189</v>
      </c>
      <c r="G2187" t="s">
        <v>24</v>
      </c>
      <c r="H2187">
        <v>4</v>
      </c>
      <c r="I2187">
        <v>4284</v>
      </c>
      <c r="J2187">
        <v>848.44</v>
      </c>
    </row>
    <row r="2188" spans="1:10" x14ac:dyDescent="0.25">
      <c r="A2188" s="1">
        <v>44747</v>
      </c>
      <c r="B2188" t="s">
        <v>32</v>
      </c>
      <c r="C2188" t="s">
        <v>19</v>
      </c>
      <c r="D2188" t="s">
        <v>12</v>
      </c>
      <c r="E2188" t="s">
        <v>26</v>
      </c>
      <c r="F2188" t="s">
        <v>27</v>
      </c>
      <c r="G2188" t="s">
        <v>28</v>
      </c>
      <c r="H2188">
        <v>8</v>
      </c>
      <c r="I2188">
        <v>1864</v>
      </c>
      <c r="J2188">
        <v>110.81</v>
      </c>
    </row>
    <row r="2189" spans="1:10" x14ac:dyDescent="0.25">
      <c r="A2189" s="1">
        <v>45420</v>
      </c>
      <c r="B2189" t="s">
        <v>25</v>
      </c>
      <c r="C2189" t="s">
        <v>19</v>
      </c>
      <c r="D2189" t="s">
        <v>12</v>
      </c>
      <c r="E2189" t="s">
        <v>26</v>
      </c>
      <c r="F2189" t="s">
        <v>27</v>
      </c>
      <c r="G2189" t="s">
        <v>28</v>
      </c>
      <c r="H2189">
        <v>5</v>
      </c>
      <c r="I2189">
        <v>4435</v>
      </c>
      <c r="J2189">
        <v>954.12</v>
      </c>
    </row>
    <row r="2190" spans="1:10" x14ac:dyDescent="0.25">
      <c r="A2190" s="1">
        <v>45568</v>
      </c>
      <c r="B2190" t="s">
        <v>25</v>
      </c>
      <c r="C2190" t="s">
        <v>19</v>
      </c>
      <c r="D2190" t="s">
        <v>12</v>
      </c>
      <c r="E2190" t="s">
        <v>37</v>
      </c>
      <c r="F2190" t="s">
        <v>34</v>
      </c>
      <c r="G2190" t="s">
        <v>35</v>
      </c>
      <c r="H2190">
        <v>4</v>
      </c>
      <c r="I2190">
        <v>3296</v>
      </c>
      <c r="J2190">
        <v>460.98</v>
      </c>
    </row>
    <row r="2191" spans="1:10" x14ac:dyDescent="0.25">
      <c r="A2191" s="1">
        <v>45051</v>
      </c>
      <c r="B2191" t="s">
        <v>16</v>
      </c>
      <c r="C2191" t="s">
        <v>17</v>
      </c>
      <c r="D2191" t="s">
        <v>12</v>
      </c>
      <c r="E2191" t="s">
        <v>37</v>
      </c>
      <c r="F2191" t="s">
        <v>34</v>
      </c>
      <c r="G2191" t="s">
        <v>35</v>
      </c>
      <c r="H2191">
        <v>3</v>
      </c>
      <c r="I2191">
        <v>780</v>
      </c>
      <c r="J2191">
        <v>217.92</v>
      </c>
    </row>
    <row r="2192" spans="1:10" x14ac:dyDescent="0.25">
      <c r="A2192" s="1">
        <v>44714</v>
      </c>
      <c r="B2192" t="s">
        <v>32</v>
      </c>
      <c r="C2192" t="s">
        <v>19</v>
      </c>
      <c r="D2192" t="s">
        <v>12</v>
      </c>
      <c r="E2192" t="s">
        <v>400</v>
      </c>
      <c r="F2192" t="s">
        <v>57</v>
      </c>
      <c r="G2192" t="s">
        <v>24</v>
      </c>
      <c r="H2192">
        <v>7</v>
      </c>
      <c r="I2192">
        <v>4396</v>
      </c>
      <c r="J2192">
        <v>962.61</v>
      </c>
    </row>
    <row r="2193" spans="1:10" x14ac:dyDescent="0.25">
      <c r="A2193" s="1">
        <v>45048</v>
      </c>
      <c r="B2193" t="s">
        <v>49</v>
      </c>
      <c r="C2193" t="s">
        <v>17</v>
      </c>
      <c r="D2193" t="s">
        <v>12</v>
      </c>
      <c r="E2193" t="s">
        <v>22</v>
      </c>
      <c r="F2193" t="s">
        <v>23</v>
      </c>
      <c r="G2193" t="s">
        <v>24</v>
      </c>
      <c r="H2193">
        <v>6</v>
      </c>
      <c r="I2193">
        <v>1362</v>
      </c>
      <c r="J2193">
        <v>202.68</v>
      </c>
    </row>
    <row r="2194" spans="1:10" x14ac:dyDescent="0.25">
      <c r="A2194" s="1">
        <v>44574</v>
      </c>
      <c r="B2194" t="s">
        <v>16</v>
      </c>
      <c r="C2194" t="s">
        <v>17</v>
      </c>
      <c r="D2194" t="s">
        <v>12</v>
      </c>
      <c r="E2194" t="s">
        <v>43</v>
      </c>
      <c r="F2194" t="s">
        <v>44</v>
      </c>
      <c r="G2194" t="s">
        <v>35</v>
      </c>
      <c r="H2194">
        <v>7</v>
      </c>
      <c r="I2194">
        <v>3843</v>
      </c>
      <c r="J2194">
        <v>378.03</v>
      </c>
    </row>
    <row r="2195" spans="1:10" x14ac:dyDescent="0.25">
      <c r="A2195" s="1">
        <v>44813</v>
      </c>
      <c r="B2195" t="s">
        <v>10</v>
      </c>
      <c r="C2195" t="s">
        <v>11</v>
      </c>
      <c r="D2195" t="s">
        <v>12</v>
      </c>
      <c r="E2195" t="s">
        <v>341</v>
      </c>
      <c r="F2195" t="s">
        <v>46</v>
      </c>
      <c r="G2195" t="s">
        <v>15</v>
      </c>
      <c r="H2195">
        <v>2</v>
      </c>
      <c r="I2195">
        <v>2080</v>
      </c>
      <c r="J2195">
        <v>450.24</v>
      </c>
    </row>
    <row r="2196" spans="1:10" x14ac:dyDescent="0.25">
      <c r="A2196" s="1">
        <v>44658</v>
      </c>
      <c r="B2196" t="s">
        <v>16</v>
      </c>
      <c r="C2196" t="s">
        <v>17</v>
      </c>
      <c r="D2196" t="s">
        <v>12</v>
      </c>
      <c r="E2196" t="s">
        <v>37</v>
      </c>
      <c r="F2196" t="s">
        <v>34</v>
      </c>
      <c r="G2196" t="s">
        <v>35</v>
      </c>
      <c r="H2196">
        <v>5</v>
      </c>
      <c r="I2196">
        <v>1210</v>
      </c>
      <c r="J2196">
        <v>201.45</v>
      </c>
    </row>
    <row r="2197" spans="1:10" x14ac:dyDescent="0.25">
      <c r="A2197" s="1">
        <v>45245</v>
      </c>
      <c r="B2197" t="s">
        <v>10</v>
      </c>
      <c r="C2197" t="s">
        <v>11</v>
      </c>
      <c r="D2197" t="s">
        <v>12</v>
      </c>
      <c r="E2197" t="s">
        <v>114</v>
      </c>
      <c r="F2197" t="s">
        <v>115</v>
      </c>
      <c r="G2197" t="s">
        <v>15</v>
      </c>
      <c r="H2197">
        <v>3</v>
      </c>
      <c r="I2197">
        <v>2316</v>
      </c>
      <c r="J2197">
        <v>356.5</v>
      </c>
    </row>
    <row r="2198" spans="1:10" x14ac:dyDescent="0.25">
      <c r="A2198" s="1">
        <v>45125</v>
      </c>
      <c r="B2198" t="s">
        <v>36</v>
      </c>
      <c r="C2198" t="s">
        <v>17</v>
      </c>
      <c r="D2198" t="s">
        <v>12</v>
      </c>
      <c r="E2198" t="s">
        <v>114</v>
      </c>
      <c r="F2198" t="s">
        <v>115</v>
      </c>
      <c r="G2198" t="s">
        <v>15</v>
      </c>
      <c r="H2198">
        <v>6</v>
      </c>
      <c r="I2198">
        <v>3366</v>
      </c>
      <c r="J2198">
        <v>614.22</v>
      </c>
    </row>
    <row r="2199" spans="1:10" x14ac:dyDescent="0.25">
      <c r="A2199" s="1">
        <v>45450</v>
      </c>
      <c r="B2199" t="s">
        <v>18</v>
      </c>
      <c r="C2199" t="s">
        <v>19</v>
      </c>
      <c r="D2199" t="s">
        <v>12</v>
      </c>
      <c r="E2199" t="s">
        <v>22</v>
      </c>
      <c r="F2199" t="s">
        <v>23</v>
      </c>
      <c r="G2199" t="s">
        <v>24</v>
      </c>
      <c r="H2199">
        <v>9</v>
      </c>
      <c r="I2199">
        <v>6507</v>
      </c>
      <c r="J2199">
        <v>1075.51</v>
      </c>
    </row>
    <row r="2200" spans="1:10" x14ac:dyDescent="0.25">
      <c r="A2200" s="1">
        <v>45426</v>
      </c>
      <c r="B2200" t="s">
        <v>16</v>
      </c>
      <c r="C2200" t="s">
        <v>17</v>
      </c>
      <c r="D2200" t="s">
        <v>12</v>
      </c>
      <c r="E2200" t="s">
        <v>52</v>
      </c>
      <c r="F2200" t="s">
        <v>42</v>
      </c>
      <c r="G2200" t="s">
        <v>28</v>
      </c>
      <c r="H2200">
        <v>1</v>
      </c>
      <c r="I2200">
        <v>384</v>
      </c>
      <c r="J2200">
        <v>35.36</v>
      </c>
    </row>
    <row r="2201" spans="1:10" x14ac:dyDescent="0.25">
      <c r="A2201" s="1">
        <v>44566</v>
      </c>
      <c r="B2201" t="s">
        <v>55</v>
      </c>
      <c r="C2201" t="s">
        <v>19</v>
      </c>
      <c r="D2201" t="s">
        <v>12</v>
      </c>
      <c r="E2201" t="s">
        <v>13</v>
      </c>
      <c r="F2201" t="s">
        <v>14</v>
      </c>
      <c r="G2201" t="s">
        <v>15</v>
      </c>
      <c r="H2201">
        <v>5</v>
      </c>
      <c r="I2201">
        <v>3625</v>
      </c>
      <c r="J2201">
        <v>563.95000000000005</v>
      </c>
    </row>
    <row r="2202" spans="1:10" x14ac:dyDescent="0.25">
      <c r="A2202" s="1">
        <v>44909</v>
      </c>
      <c r="B2202" t="s">
        <v>18</v>
      </c>
      <c r="C2202" t="s">
        <v>19</v>
      </c>
      <c r="D2202" t="s">
        <v>12</v>
      </c>
      <c r="E2202" t="s">
        <v>26</v>
      </c>
      <c r="F2202" t="s">
        <v>27</v>
      </c>
      <c r="G2202" t="s">
        <v>28</v>
      </c>
      <c r="H2202">
        <v>1</v>
      </c>
      <c r="I2202">
        <v>400</v>
      </c>
      <c r="J2202">
        <v>45.16</v>
      </c>
    </row>
    <row r="2203" spans="1:10" x14ac:dyDescent="0.25">
      <c r="A2203" s="1">
        <v>44614</v>
      </c>
      <c r="B2203" t="s">
        <v>36</v>
      </c>
      <c r="C2203" t="s">
        <v>17</v>
      </c>
      <c r="D2203" t="s">
        <v>12</v>
      </c>
      <c r="E2203" t="s">
        <v>117</v>
      </c>
      <c r="F2203" t="s">
        <v>133</v>
      </c>
      <c r="G2203" t="s">
        <v>28</v>
      </c>
      <c r="H2203">
        <v>5</v>
      </c>
      <c r="I2203">
        <v>2880</v>
      </c>
      <c r="J2203">
        <v>209.58</v>
      </c>
    </row>
    <row r="2204" spans="1:10" x14ac:dyDescent="0.25">
      <c r="A2204" s="1">
        <v>45013</v>
      </c>
      <c r="B2204" t="s">
        <v>10</v>
      </c>
      <c r="C2204" t="s">
        <v>11</v>
      </c>
      <c r="D2204" t="s">
        <v>12</v>
      </c>
      <c r="E2204" t="s">
        <v>22</v>
      </c>
      <c r="F2204" t="s">
        <v>23</v>
      </c>
      <c r="G2204" t="s">
        <v>24</v>
      </c>
      <c r="H2204">
        <v>6</v>
      </c>
      <c r="I2204">
        <v>1608</v>
      </c>
      <c r="J2204">
        <v>302.32</v>
      </c>
    </row>
    <row r="2205" spans="1:10" x14ac:dyDescent="0.25">
      <c r="A2205" s="1">
        <v>44965</v>
      </c>
      <c r="B2205" t="s">
        <v>29</v>
      </c>
      <c r="C2205" t="s">
        <v>17</v>
      </c>
      <c r="D2205" t="s">
        <v>12</v>
      </c>
      <c r="E2205" t="s">
        <v>37</v>
      </c>
      <c r="F2205" t="s">
        <v>34</v>
      </c>
      <c r="G2205" t="s">
        <v>35</v>
      </c>
      <c r="H2205">
        <v>2</v>
      </c>
      <c r="I2205">
        <v>1574</v>
      </c>
      <c r="J2205">
        <v>196.84</v>
      </c>
    </row>
    <row r="2206" spans="1:10" x14ac:dyDescent="0.25">
      <c r="A2206" s="1">
        <v>45548</v>
      </c>
      <c r="B2206" t="s">
        <v>49</v>
      </c>
      <c r="C2206" t="s">
        <v>17</v>
      </c>
      <c r="D2206" t="s">
        <v>12</v>
      </c>
      <c r="E2206" t="s">
        <v>401</v>
      </c>
      <c r="F2206" t="s">
        <v>23</v>
      </c>
      <c r="G2206" t="s">
        <v>24</v>
      </c>
      <c r="H2206">
        <v>3</v>
      </c>
      <c r="I2206">
        <v>2478</v>
      </c>
      <c r="J2206">
        <v>584.37</v>
      </c>
    </row>
    <row r="2207" spans="1:10" x14ac:dyDescent="0.25">
      <c r="A2207" s="1">
        <v>45555</v>
      </c>
      <c r="B2207" t="s">
        <v>29</v>
      </c>
      <c r="C2207" t="s">
        <v>17</v>
      </c>
      <c r="D2207" t="s">
        <v>12</v>
      </c>
      <c r="E2207" t="s">
        <v>401</v>
      </c>
      <c r="F2207" t="s">
        <v>23</v>
      </c>
      <c r="G2207" t="s">
        <v>24</v>
      </c>
      <c r="H2207">
        <v>8</v>
      </c>
      <c r="I2207">
        <v>8872</v>
      </c>
      <c r="J2207">
        <v>1486.58</v>
      </c>
    </row>
    <row r="2208" spans="1:10" x14ac:dyDescent="0.25">
      <c r="A2208" s="1">
        <v>45375</v>
      </c>
      <c r="B2208" t="s">
        <v>10</v>
      </c>
      <c r="C2208" t="s">
        <v>11</v>
      </c>
      <c r="D2208" t="s">
        <v>12</v>
      </c>
      <c r="E2208" t="s">
        <v>75</v>
      </c>
      <c r="F2208" t="s">
        <v>63</v>
      </c>
      <c r="G2208" t="s">
        <v>28</v>
      </c>
      <c r="H2208">
        <v>8</v>
      </c>
      <c r="I2208">
        <v>2320</v>
      </c>
      <c r="J2208">
        <v>668.63</v>
      </c>
    </row>
    <row r="2209" spans="1:10" x14ac:dyDescent="0.25">
      <c r="A2209" s="1">
        <v>45136</v>
      </c>
      <c r="B2209" t="s">
        <v>29</v>
      </c>
      <c r="C2209" t="s">
        <v>17</v>
      </c>
      <c r="D2209" t="s">
        <v>12</v>
      </c>
      <c r="E2209" t="s">
        <v>123</v>
      </c>
      <c r="F2209" t="s">
        <v>63</v>
      </c>
      <c r="G2209" t="s">
        <v>28</v>
      </c>
      <c r="H2209">
        <v>3</v>
      </c>
      <c r="I2209">
        <v>171</v>
      </c>
      <c r="J2209">
        <v>9.02</v>
      </c>
    </row>
    <row r="2210" spans="1:10" x14ac:dyDescent="0.25">
      <c r="A2210" s="1">
        <v>45616</v>
      </c>
      <c r="B2210" t="s">
        <v>49</v>
      </c>
      <c r="C2210" t="s">
        <v>17</v>
      </c>
      <c r="D2210" t="s">
        <v>12</v>
      </c>
      <c r="E2210" t="s">
        <v>264</v>
      </c>
      <c r="F2210" t="s">
        <v>189</v>
      </c>
      <c r="G2210" t="s">
        <v>24</v>
      </c>
      <c r="H2210">
        <v>8</v>
      </c>
      <c r="I2210">
        <v>4536</v>
      </c>
      <c r="J2210">
        <v>627.13</v>
      </c>
    </row>
    <row r="2211" spans="1:10" x14ac:dyDescent="0.25">
      <c r="A2211" s="1">
        <v>45452</v>
      </c>
      <c r="B2211" t="s">
        <v>29</v>
      </c>
      <c r="C2211" t="s">
        <v>17</v>
      </c>
      <c r="D2211" t="s">
        <v>12</v>
      </c>
      <c r="E2211" t="s">
        <v>74</v>
      </c>
      <c r="F2211" t="s">
        <v>23</v>
      </c>
      <c r="G2211" t="s">
        <v>24</v>
      </c>
      <c r="H2211">
        <v>3</v>
      </c>
      <c r="I2211">
        <v>1308</v>
      </c>
      <c r="J2211">
        <v>73.28</v>
      </c>
    </row>
    <row r="2212" spans="1:10" x14ac:dyDescent="0.25">
      <c r="A2212" s="1">
        <v>44861</v>
      </c>
      <c r="B2212" t="s">
        <v>55</v>
      </c>
      <c r="C2212" t="s">
        <v>19</v>
      </c>
      <c r="D2212" t="s">
        <v>12</v>
      </c>
      <c r="E2212" t="s">
        <v>402</v>
      </c>
      <c r="F2212" t="s">
        <v>54</v>
      </c>
      <c r="G2212" t="s">
        <v>24</v>
      </c>
      <c r="H2212">
        <v>4</v>
      </c>
      <c r="I2212">
        <v>4048</v>
      </c>
      <c r="J2212">
        <v>641.23</v>
      </c>
    </row>
    <row r="2213" spans="1:10" x14ac:dyDescent="0.25">
      <c r="A2213" s="1">
        <v>44710</v>
      </c>
      <c r="B2213" t="s">
        <v>18</v>
      </c>
      <c r="C2213" t="s">
        <v>19</v>
      </c>
      <c r="D2213" t="s">
        <v>12</v>
      </c>
      <c r="E2213" t="s">
        <v>402</v>
      </c>
      <c r="F2213" t="s">
        <v>54</v>
      </c>
      <c r="G2213" t="s">
        <v>24</v>
      </c>
      <c r="H2213">
        <v>9</v>
      </c>
      <c r="I2213">
        <v>4041</v>
      </c>
      <c r="J2213">
        <v>963.58</v>
      </c>
    </row>
    <row r="2214" spans="1:10" x14ac:dyDescent="0.25">
      <c r="A2214" s="1">
        <v>45436</v>
      </c>
      <c r="B2214" t="s">
        <v>29</v>
      </c>
      <c r="C2214" t="s">
        <v>17</v>
      </c>
      <c r="D2214" t="s">
        <v>12</v>
      </c>
      <c r="E2214" t="s">
        <v>403</v>
      </c>
      <c r="F2214" t="s">
        <v>149</v>
      </c>
      <c r="G2214" t="s">
        <v>15</v>
      </c>
      <c r="H2214">
        <v>5</v>
      </c>
      <c r="I2214">
        <v>5665</v>
      </c>
      <c r="J2214">
        <v>332.46</v>
      </c>
    </row>
    <row r="2215" spans="1:10" x14ac:dyDescent="0.25">
      <c r="A2215" s="1">
        <v>45259</v>
      </c>
      <c r="B2215" t="s">
        <v>16</v>
      </c>
      <c r="C2215" t="s">
        <v>17</v>
      </c>
      <c r="D2215" t="s">
        <v>12</v>
      </c>
      <c r="E2215" t="s">
        <v>403</v>
      </c>
      <c r="F2215" t="s">
        <v>149</v>
      </c>
      <c r="G2215" t="s">
        <v>15</v>
      </c>
      <c r="H2215">
        <v>6</v>
      </c>
      <c r="I2215">
        <v>6876</v>
      </c>
      <c r="J2215">
        <v>1029.92</v>
      </c>
    </row>
    <row r="2216" spans="1:10" x14ac:dyDescent="0.25">
      <c r="A2216" s="1">
        <v>44987</v>
      </c>
      <c r="B2216" t="s">
        <v>36</v>
      </c>
      <c r="C2216" t="s">
        <v>17</v>
      </c>
      <c r="D2216" t="s">
        <v>12</v>
      </c>
      <c r="E2216" t="s">
        <v>37</v>
      </c>
      <c r="F2216" t="s">
        <v>34</v>
      </c>
      <c r="G2216" t="s">
        <v>35</v>
      </c>
      <c r="H2216">
        <v>1</v>
      </c>
      <c r="I2216">
        <v>617</v>
      </c>
      <c r="J2216">
        <v>145.37</v>
      </c>
    </row>
    <row r="2217" spans="1:10" x14ac:dyDescent="0.25">
      <c r="A2217" s="1">
        <v>44819</v>
      </c>
      <c r="B2217" t="s">
        <v>36</v>
      </c>
      <c r="C2217" t="s">
        <v>17</v>
      </c>
      <c r="D2217" t="s">
        <v>12</v>
      </c>
      <c r="E2217" t="s">
        <v>67</v>
      </c>
      <c r="F2217" t="s">
        <v>54</v>
      </c>
      <c r="G2217" t="s">
        <v>24</v>
      </c>
      <c r="H2217">
        <v>6</v>
      </c>
      <c r="I2217">
        <v>1440</v>
      </c>
      <c r="J2217">
        <v>130.4</v>
      </c>
    </row>
    <row r="2218" spans="1:10" x14ac:dyDescent="0.25">
      <c r="A2218" s="1">
        <v>45399</v>
      </c>
      <c r="B2218" t="s">
        <v>32</v>
      </c>
      <c r="C2218" t="s">
        <v>19</v>
      </c>
      <c r="D2218" t="s">
        <v>12</v>
      </c>
      <c r="E2218" t="s">
        <v>67</v>
      </c>
      <c r="F2218" t="s">
        <v>54</v>
      </c>
      <c r="G2218" t="s">
        <v>24</v>
      </c>
      <c r="H2218">
        <v>8</v>
      </c>
      <c r="I2218">
        <v>472</v>
      </c>
      <c r="J2218">
        <v>116.36</v>
      </c>
    </row>
    <row r="2219" spans="1:10" x14ac:dyDescent="0.25">
      <c r="A2219" s="1">
        <v>45107</v>
      </c>
      <c r="B2219" t="s">
        <v>55</v>
      </c>
      <c r="C2219" t="s">
        <v>19</v>
      </c>
      <c r="D2219" t="s">
        <v>12</v>
      </c>
      <c r="E2219" t="s">
        <v>67</v>
      </c>
      <c r="F2219" t="s">
        <v>54</v>
      </c>
      <c r="G2219" t="s">
        <v>24</v>
      </c>
      <c r="H2219">
        <v>5</v>
      </c>
      <c r="I2219">
        <v>5640</v>
      </c>
      <c r="J2219">
        <v>1227.77</v>
      </c>
    </row>
    <row r="2220" spans="1:10" x14ac:dyDescent="0.25">
      <c r="A2220" s="1">
        <v>44860</v>
      </c>
      <c r="B2220" t="s">
        <v>29</v>
      </c>
      <c r="C2220" t="s">
        <v>17</v>
      </c>
      <c r="D2220" t="s">
        <v>12</v>
      </c>
      <c r="E2220" t="s">
        <v>37</v>
      </c>
      <c r="F2220" t="s">
        <v>34</v>
      </c>
      <c r="G2220" t="s">
        <v>35</v>
      </c>
      <c r="H2220">
        <v>6</v>
      </c>
      <c r="I2220">
        <v>2640</v>
      </c>
      <c r="J2220">
        <v>668.12</v>
      </c>
    </row>
    <row r="2221" spans="1:10" x14ac:dyDescent="0.25">
      <c r="A2221" s="1">
        <v>45486</v>
      </c>
      <c r="B2221" t="s">
        <v>40</v>
      </c>
      <c r="C2221" t="s">
        <v>19</v>
      </c>
      <c r="D2221" t="s">
        <v>12</v>
      </c>
      <c r="E2221" t="s">
        <v>26</v>
      </c>
      <c r="F2221" t="s">
        <v>27</v>
      </c>
      <c r="G2221" t="s">
        <v>28</v>
      </c>
      <c r="H2221">
        <v>3</v>
      </c>
      <c r="I2221">
        <v>768</v>
      </c>
      <c r="J2221">
        <v>72.67</v>
      </c>
    </row>
    <row r="2222" spans="1:10" x14ac:dyDescent="0.25">
      <c r="A2222" s="1">
        <v>45344</v>
      </c>
      <c r="B2222" t="s">
        <v>49</v>
      </c>
      <c r="C2222" t="s">
        <v>17</v>
      </c>
      <c r="D2222" t="s">
        <v>12</v>
      </c>
      <c r="E2222" t="s">
        <v>116</v>
      </c>
      <c r="F2222" t="s">
        <v>42</v>
      </c>
      <c r="G2222" t="s">
        <v>28</v>
      </c>
      <c r="H2222">
        <v>1</v>
      </c>
      <c r="I2222">
        <v>725</v>
      </c>
      <c r="J2222">
        <v>81.96</v>
      </c>
    </row>
    <row r="2223" spans="1:10" x14ac:dyDescent="0.25">
      <c r="A2223" s="1">
        <v>45410</v>
      </c>
      <c r="B2223" t="s">
        <v>29</v>
      </c>
      <c r="C2223" t="s">
        <v>17</v>
      </c>
      <c r="D2223" t="s">
        <v>12</v>
      </c>
      <c r="E2223" t="s">
        <v>123</v>
      </c>
      <c r="F2223" t="s">
        <v>27</v>
      </c>
      <c r="G2223" t="s">
        <v>28</v>
      </c>
      <c r="H2223">
        <v>8</v>
      </c>
      <c r="I2223">
        <v>1080</v>
      </c>
      <c r="J2223">
        <v>210.69</v>
      </c>
    </row>
    <row r="2224" spans="1:10" x14ac:dyDescent="0.25">
      <c r="A2224" s="1">
        <v>45595</v>
      </c>
      <c r="B2224" t="s">
        <v>29</v>
      </c>
      <c r="C2224" t="s">
        <v>17</v>
      </c>
      <c r="D2224" t="s">
        <v>12</v>
      </c>
      <c r="E2224" t="s">
        <v>43</v>
      </c>
      <c r="F2224" t="s">
        <v>44</v>
      </c>
      <c r="G2224" t="s">
        <v>35</v>
      </c>
      <c r="H2224">
        <v>1</v>
      </c>
      <c r="I2224">
        <v>393</v>
      </c>
      <c r="J2224">
        <v>40.340000000000003</v>
      </c>
    </row>
    <row r="2225" spans="1:10" x14ac:dyDescent="0.25">
      <c r="A2225" s="1">
        <v>45454</v>
      </c>
      <c r="B2225" t="s">
        <v>32</v>
      </c>
      <c r="C2225" t="s">
        <v>19</v>
      </c>
      <c r="D2225" t="s">
        <v>12</v>
      </c>
      <c r="E2225" t="s">
        <v>56</v>
      </c>
      <c r="F2225" t="s">
        <v>57</v>
      </c>
      <c r="G2225" t="s">
        <v>24</v>
      </c>
      <c r="H2225">
        <v>4</v>
      </c>
      <c r="I2225">
        <v>1264</v>
      </c>
      <c r="J2225">
        <v>371.92</v>
      </c>
    </row>
    <row r="2226" spans="1:10" x14ac:dyDescent="0.25">
      <c r="A2226" s="1">
        <v>44807</v>
      </c>
      <c r="B2226" t="s">
        <v>29</v>
      </c>
      <c r="C2226" t="s">
        <v>17</v>
      </c>
      <c r="D2226" t="s">
        <v>12</v>
      </c>
      <c r="E2226" t="s">
        <v>56</v>
      </c>
      <c r="F2226" t="s">
        <v>57</v>
      </c>
      <c r="G2226" t="s">
        <v>24</v>
      </c>
      <c r="H2226">
        <v>9</v>
      </c>
      <c r="I2226">
        <v>4797</v>
      </c>
      <c r="J2226">
        <v>1193.95</v>
      </c>
    </row>
    <row r="2227" spans="1:10" x14ac:dyDescent="0.25">
      <c r="A2227" s="1">
        <v>44647</v>
      </c>
      <c r="B2227" t="s">
        <v>18</v>
      </c>
      <c r="C2227" t="s">
        <v>19</v>
      </c>
      <c r="D2227" t="s">
        <v>12</v>
      </c>
      <c r="E2227" t="s">
        <v>404</v>
      </c>
      <c r="F2227" t="s">
        <v>115</v>
      </c>
      <c r="G2227" t="s">
        <v>15</v>
      </c>
      <c r="H2227">
        <v>8</v>
      </c>
      <c r="I2227">
        <v>2080</v>
      </c>
      <c r="J2227">
        <v>151.13999999999999</v>
      </c>
    </row>
    <row r="2228" spans="1:10" x14ac:dyDescent="0.25">
      <c r="A2228" s="1">
        <v>44608</v>
      </c>
      <c r="B2228" t="s">
        <v>25</v>
      </c>
      <c r="C2228" t="s">
        <v>19</v>
      </c>
      <c r="D2228" t="s">
        <v>12</v>
      </c>
      <c r="E2228" t="s">
        <v>125</v>
      </c>
      <c r="F2228" t="s">
        <v>126</v>
      </c>
      <c r="G2228" t="s">
        <v>35</v>
      </c>
      <c r="H2228">
        <v>4</v>
      </c>
      <c r="I2228">
        <v>3812</v>
      </c>
      <c r="J2228">
        <v>312.8</v>
      </c>
    </row>
    <row r="2229" spans="1:10" x14ac:dyDescent="0.25">
      <c r="A2229" s="1">
        <v>45347</v>
      </c>
      <c r="B2229" t="s">
        <v>16</v>
      </c>
      <c r="C2229" t="s">
        <v>17</v>
      </c>
      <c r="D2229" t="s">
        <v>12</v>
      </c>
      <c r="E2229" t="s">
        <v>52</v>
      </c>
      <c r="F2229" t="s">
        <v>42</v>
      </c>
      <c r="G2229" t="s">
        <v>28</v>
      </c>
      <c r="H2229">
        <v>5</v>
      </c>
      <c r="I2229">
        <v>3695</v>
      </c>
      <c r="J2229">
        <v>463.57</v>
      </c>
    </row>
    <row r="2230" spans="1:10" x14ac:dyDescent="0.25">
      <c r="A2230" s="1">
        <v>44592</v>
      </c>
      <c r="B2230" t="s">
        <v>16</v>
      </c>
      <c r="C2230" t="s">
        <v>17</v>
      </c>
      <c r="D2230" t="s">
        <v>12</v>
      </c>
      <c r="E2230" t="s">
        <v>61</v>
      </c>
      <c r="F2230" t="s">
        <v>23</v>
      </c>
      <c r="G2230" t="s">
        <v>24</v>
      </c>
      <c r="H2230">
        <v>1</v>
      </c>
      <c r="I2230">
        <v>1159</v>
      </c>
      <c r="J2230">
        <v>344.22</v>
      </c>
    </row>
    <row r="2231" spans="1:10" x14ac:dyDescent="0.25">
      <c r="A2231" s="1">
        <v>45510</v>
      </c>
      <c r="B2231" t="s">
        <v>18</v>
      </c>
      <c r="C2231" t="s">
        <v>19</v>
      </c>
      <c r="D2231" t="s">
        <v>12</v>
      </c>
      <c r="E2231" t="s">
        <v>26</v>
      </c>
      <c r="F2231" t="s">
        <v>27</v>
      </c>
      <c r="G2231" t="s">
        <v>28</v>
      </c>
      <c r="H2231">
        <v>9</v>
      </c>
      <c r="I2231">
        <v>4149</v>
      </c>
      <c r="J2231">
        <v>605.52</v>
      </c>
    </row>
    <row r="2232" spans="1:10" x14ac:dyDescent="0.25">
      <c r="A2232" s="1">
        <v>45265</v>
      </c>
      <c r="B2232" t="s">
        <v>49</v>
      </c>
      <c r="C2232" t="s">
        <v>17</v>
      </c>
      <c r="D2232" t="s">
        <v>12</v>
      </c>
      <c r="E2232" t="s">
        <v>26</v>
      </c>
      <c r="F2232" t="s">
        <v>27</v>
      </c>
      <c r="G2232" t="s">
        <v>28</v>
      </c>
      <c r="H2232">
        <v>2</v>
      </c>
      <c r="I2232">
        <v>1446</v>
      </c>
      <c r="J2232">
        <v>171.73</v>
      </c>
    </row>
    <row r="2233" spans="1:10" x14ac:dyDescent="0.25">
      <c r="A2233" s="1">
        <v>45497</v>
      </c>
      <c r="B2233" t="s">
        <v>55</v>
      </c>
      <c r="C2233" t="s">
        <v>19</v>
      </c>
      <c r="D2233" t="s">
        <v>12</v>
      </c>
      <c r="E2233" t="s">
        <v>26</v>
      </c>
      <c r="F2233" t="s">
        <v>27</v>
      </c>
      <c r="G2233" t="s">
        <v>28</v>
      </c>
      <c r="H2233">
        <v>1</v>
      </c>
      <c r="I2233">
        <v>225</v>
      </c>
      <c r="J2233">
        <v>48.82</v>
      </c>
    </row>
    <row r="2234" spans="1:10" x14ac:dyDescent="0.25">
      <c r="A2234" s="1">
        <v>44904</v>
      </c>
      <c r="B2234" t="s">
        <v>29</v>
      </c>
      <c r="C2234" t="s">
        <v>17</v>
      </c>
      <c r="D2234" t="s">
        <v>12</v>
      </c>
      <c r="E2234" t="s">
        <v>43</v>
      </c>
      <c r="F2234" t="s">
        <v>44</v>
      </c>
      <c r="G2234" t="s">
        <v>35</v>
      </c>
      <c r="H2234">
        <v>1</v>
      </c>
      <c r="I2234">
        <v>355</v>
      </c>
      <c r="J2234">
        <v>26.8</v>
      </c>
    </row>
    <row r="2235" spans="1:10" x14ac:dyDescent="0.25">
      <c r="A2235" s="1">
        <v>45184</v>
      </c>
      <c r="B2235" t="s">
        <v>18</v>
      </c>
      <c r="C2235" t="s">
        <v>19</v>
      </c>
      <c r="D2235" t="s">
        <v>12</v>
      </c>
      <c r="E2235" t="s">
        <v>43</v>
      </c>
      <c r="F2235" t="s">
        <v>44</v>
      </c>
      <c r="G2235" t="s">
        <v>35</v>
      </c>
      <c r="H2235">
        <v>7</v>
      </c>
      <c r="I2235">
        <v>3164</v>
      </c>
      <c r="J2235">
        <v>166.4</v>
      </c>
    </row>
    <row r="2236" spans="1:10" x14ac:dyDescent="0.25">
      <c r="A2236" s="1">
        <v>44862</v>
      </c>
      <c r="B2236" t="s">
        <v>32</v>
      </c>
      <c r="C2236" t="s">
        <v>19</v>
      </c>
      <c r="D2236" t="s">
        <v>12</v>
      </c>
      <c r="E2236" t="s">
        <v>52</v>
      </c>
      <c r="F2236" t="s">
        <v>42</v>
      </c>
      <c r="G2236" t="s">
        <v>28</v>
      </c>
      <c r="H2236">
        <v>1</v>
      </c>
      <c r="I2236">
        <v>498</v>
      </c>
      <c r="J2236">
        <v>38.67</v>
      </c>
    </row>
    <row r="2237" spans="1:10" x14ac:dyDescent="0.25">
      <c r="A2237" s="1">
        <v>45044</v>
      </c>
      <c r="B2237" t="s">
        <v>29</v>
      </c>
      <c r="C2237" t="s">
        <v>17</v>
      </c>
      <c r="D2237" t="s">
        <v>12</v>
      </c>
      <c r="E2237" t="s">
        <v>22</v>
      </c>
      <c r="F2237" t="s">
        <v>23</v>
      </c>
      <c r="G2237" t="s">
        <v>24</v>
      </c>
      <c r="H2237">
        <v>5</v>
      </c>
      <c r="I2237">
        <v>1315</v>
      </c>
      <c r="J2237">
        <v>217.79</v>
      </c>
    </row>
    <row r="2238" spans="1:10" x14ac:dyDescent="0.25">
      <c r="A2238" s="1">
        <v>45548</v>
      </c>
      <c r="B2238" t="s">
        <v>29</v>
      </c>
      <c r="C2238" t="s">
        <v>17</v>
      </c>
      <c r="D2238" t="s">
        <v>12</v>
      </c>
      <c r="E2238" t="s">
        <v>22</v>
      </c>
      <c r="F2238" t="s">
        <v>23</v>
      </c>
      <c r="G2238" t="s">
        <v>24</v>
      </c>
      <c r="H2238">
        <v>5</v>
      </c>
      <c r="I2238">
        <v>2805</v>
      </c>
      <c r="J2238">
        <v>438.89</v>
      </c>
    </row>
    <row r="2239" spans="1:10" x14ac:dyDescent="0.25">
      <c r="A2239" s="1">
        <v>44866</v>
      </c>
      <c r="B2239" t="s">
        <v>36</v>
      </c>
      <c r="C2239" t="s">
        <v>17</v>
      </c>
      <c r="D2239" t="s">
        <v>12</v>
      </c>
      <c r="E2239" t="s">
        <v>70</v>
      </c>
      <c r="F2239" t="s">
        <v>71</v>
      </c>
      <c r="G2239" t="s">
        <v>35</v>
      </c>
      <c r="H2239">
        <v>5</v>
      </c>
      <c r="I2239">
        <v>5180</v>
      </c>
      <c r="J2239">
        <v>726.62</v>
      </c>
    </row>
    <row r="2240" spans="1:10" x14ac:dyDescent="0.25">
      <c r="A2240" s="1">
        <v>44719</v>
      </c>
      <c r="B2240" t="s">
        <v>25</v>
      </c>
      <c r="C2240" t="s">
        <v>19</v>
      </c>
      <c r="D2240" t="s">
        <v>12</v>
      </c>
      <c r="E2240" t="s">
        <v>262</v>
      </c>
      <c r="F2240" t="s">
        <v>34</v>
      </c>
      <c r="G2240" t="s">
        <v>35</v>
      </c>
      <c r="H2240">
        <v>5</v>
      </c>
      <c r="I2240">
        <v>4045</v>
      </c>
      <c r="J2240">
        <v>203.35</v>
      </c>
    </row>
    <row r="2241" spans="1:10" x14ac:dyDescent="0.25">
      <c r="A2241" s="1">
        <v>45465</v>
      </c>
      <c r="B2241" t="s">
        <v>55</v>
      </c>
      <c r="C2241" t="s">
        <v>19</v>
      </c>
      <c r="D2241" t="s">
        <v>12</v>
      </c>
      <c r="E2241" t="s">
        <v>130</v>
      </c>
      <c r="F2241" t="s">
        <v>14</v>
      </c>
      <c r="G2241" t="s">
        <v>15</v>
      </c>
      <c r="H2241">
        <v>9</v>
      </c>
      <c r="I2241">
        <v>8793</v>
      </c>
      <c r="J2241">
        <v>2262.4299999999998</v>
      </c>
    </row>
    <row r="2242" spans="1:10" x14ac:dyDescent="0.25">
      <c r="A2242" s="1">
        <v>45512</v>
      </c>
      <c r="B2242" t="s">
        <v>29</v>
      </c>
      <c r="C2242" t="s">
        <v>17</v>
      </c>
      <c r="D2242" t="s">
        <v>12</v>
      </c>
      <c r="E2242" t="s">
        <v>130</v>
      </c>
      <c r="F2242" t="s">
        <v>14</v>
      </c>
      <c r="G2242" t="s">
        <v>15</v>
      </c>
      <c r="H2242">
        <v>8</v>
      </c>
      <c r="I2242">
        <v>2592</v>
      </c>
      <c r="J2242">
        <v>526.38</v>
      </c>
    </row>
    <row r="2243" spans="1:10" x14ac:dyDescent="0.25">
      <c r="A2243" s="1">
        <v>44600</v>
      </c>
      <c r="B2243" t="s">
        <v>49</v>
      </c>
      <c r="C2243" t="s">
        <v>17</v>
      </c>
      <c r="D2243" t="s">
        <v>12</v>
      </c>
      <c r="E2243" t="s">
        <v>130</v>
      </c>
      <c r="F2243" t="s">
        <v>14</v>
      </c>
      <c r="G2243" t="s">
        <v>15</v>
      </c>
      <c r="H2243">
        <v>7</v>
      </c>
      <c r="I2243">
        <v>7819</v>
      </c>
      <c r="J2243">
        <v>1708.84</v>
      </c>
    </row>
    <row r="2244" spans="1:10" x14ac:dyDescent="0.25">
      <c r="A2244" s="1">
        <v>45484</v>
      </c>
      <c r="B2244" t="s">
        <v>32</v>
      </c>
      <c r="C2244" t="s">
        <v>19</v>
      </c>
      <c r="D2244" t="s">
        <v>12</v>
      </c>
      <c r="E2244" t="s">
        <v>62</v>
      </c>
      <c r="F2244" t="s">
        <v>59</v>
      </c>
      <c r="G2244" t="s">
        <v>28</v>
      </c>
      <c r="H2244">
        <v>7</v>
      </c>
      <c r="I2244">
        <v>2919</v>
      </c>
      <c r="J2244">
        <v>325.35000000000002</v>
      </c>
    </row>
    <row r="2245" spans="1:10" x14ac:dyDescent="0.25">
      <c r="A2245" s="1">
        <v>45080</v>
      </c>
      <c r="B2245" t="s">
        <v>10</v>
      </c>
      <c r="C2245" t="s">
        <v>11</v>
      </c>
      <c r="D2245" t="s">
        <v>12</v>
      </c>
      <c r="E2245" t="s">
        <v>22</v>
      </c>
      <c r="F2245" t="s">
        <v>23</v>
      </c>
      <c r="G2245" t="s">
        <v>24</v>
      </c>
      <c r="H2245">
        <v>3</v>
      </c>
      <c r="I2245">
        <v>768</v>
      </c>
      <c r="J2245">
        <v>85.37</v>
      </c>
    </row>
    <row r="2246" spans="1:10" x14ac:dyDescent="0.25">
      <c r="A2246" s="1">
        <v>45262</v>
      </c>
      <c r="B2246" t="s">
        <v>40</v>
      </c>
      <c r="C2246" t="s">
        <v>19</v>
      </c>
      <c r="D2246" t="s">
        <v>12</v>
      </c>
      <c r="E2246" t="s">
        <v>74</v>
      </c>
      <c r="F2246" t="s">
        <v>23</v>
      </c>
      <c r="G2246" t="s">
        <v>24</v>
      </c>
      <c r="H2246">
        <v>2</v>
      </c>
      <c r="I2246">
        <v>1736</v>
      </c>
      <c r="J2246">
        <v>388.09</v>
      </c>
    </row>
    <row r="2247" spans="1:10" x14ac:dyDescent="0.25">
      <c r="A2247" s="1">
        <v>45125</v>
      </c>
      <c r="B2247" t="s">
        <v>32</v>
      </c>
      <c r="C2247" t="s">
        <v>19</v>
      </c>
      <c r="D2247" t="s">
        <v>12</v>
      </c>
      <c r="E2247" t="s">
        <v>215</v>
      </c>
      <c r="F2247" t="s">
        <v>63</v>
      </c>
      <c r="G2247" t="s">
        <v>28</v>
      </c>
      <c r="H2247">
        <v>7</v>
      </c>
      <c r="I2247">
        <v>6293</v>
      </c>
      <c r="J2247">
        <v>389.22</v>
      </c>
    </row>
    <row r="2248" spans="1:10" x14ac:dyDescent="0.25">
      <c r="A2248" s="1">
        <v>45372</v>
      </c>
      <c r="B2248" t="s">
        <v>29</v>
      </c>
      <c r="C2248" t="s">
        <v>17</v>
      </c>
      <c r="D2248" t="s">
        <v>12</v>
      </c>
      <c r="E2248" t="s">
        <v>275</v>
      </c>
      <c r="F2248" t="s">
        <v>173</v>
      </c>
      <c r="G2248" t="s">
        <v>24</v>
      </c>
      <c r="H2248">
        <v>6</v>
      </c>
      <c r="I2248">
        <v>3684</v>
      </c>
      <c r="J2248">
        <v>477.02</v>
      </c>
    </row>
    <row r="2249" spans="1:10" x14ac:dyDescent="0.25">
      <c r="A2249" s="1">
        <v>45650</v>
      </c>
      <c r="B2249" t="s">
        <v>10</v>
      </c>
      <c r="C2249" t="s">
        <v>11</v>
      </c>
      <c r="D2249" t="s">
        <v>12</v>
      </c>
      <c r="E2249" t="s">
        <v>22</v>
      </c>
      <c r="F2249" t="s">
        <v>23</v>
      </c>
      <c r="G2249" t="s">
        <v>24</v>
      </c>
      <c r="H2249">
        <v>9</v>
      </c>
      <c r="I2249">
        <v>8370</v>
      </c>
      <c r="J2249">
        <v>1064.6500000000001</v>
      </c>
    </row>
    <row r="2250" spans="1:10" x14ac:dyDescent="0.25">
      <c r="A2250" s="1">
        <v>45162</v>
      </c>
      <c r="B2250" t="s">
        <v>49</v>
      </c>
      <c r="C2250" t="s">
        <v>17</v>
      </c>
      <c r="D2250" t="s">
        <v>12</v>
      </c>
      <c r="E2250" t="s">
        <v>224</v>
      </c>
      <c r="F2250" t="s">
        <v>34</v>
      </c>
      <c r="G2250" t="s">
        <v>35</v>
      </c>
      <c r="H2250">
        <v>4</v>
      </c>
      <c r="I2250">
        <v>3788</v>
      </c>
      <c r="J2250">
        <v>875.54</v>
      </c>
    </row>
    <row r="2251" spans="1:10" x14ac:dyDescent="0.25">
      <c r="A2251" s="1">
        <v>45160</v>
      </c>
      <c r="B2251" t="s">
        <v>55</v>
      </c>
      <c r="C2251" t="s">
        <v>19</v>
      </c>
      <c r="D2251" t="s">
        <v>12</v>
      </c>
      <c r="E2251" t="s">
        <v>405</v>
      </c>
      <c r="F2251" t="s">
        <v>183</v>
      </c>
      <c r="G2251" t="s">
        <v>15</v>
      </c>
      <c r="H2251">
        <v>8</v>
      </c>
      <c r="I2251">
        <v>8296</v>
      </c>
      <c r="J2251">
        <v>1884.18</v>
      </c>
    </row>
    <row r="2252" spans="1:10" x14ac:dyDescent="0.25">
      <c r="A2252" s="1">
        <v>44844</v>
      </c>
      <c r="B2252" t="s">
        <v>18</v>
      </c>
      <c r="C2252" t="s">
        <v>19</v>
      </c>
      <c r="D2252" t="s">
        <v>12</v>
      </c>
      <c r="E2252" t="s">
        <v>176</v>
      </c>
      <c r="F2252" t="s">
        <v>84</v>
      </c>
      <c r="G2252" t="s">
        <v>28</v>
      </c>
      <c r="H2252">
        <v>5</v>
      </c>
      <c r="I2252">
        <v>325</v>
      </c>
      <c r="J2252">
        <v>21.01</v>
      </c>
    </row>
    <row r="2253" spans="1:10" x14ac:dyDescent="0.25">
      <c r="A2253" s="1">
        <v>45520</v>
      </c>
      <c r="B2253" t="s">
        <v>25</v>
      </c>
      <c r="C2253" t="s">
        <v>19</v>
      </c>
      <c r="D2253" t="s">
        <v>12</v>
      </c>
      <c r="E2253" t="s">
        <v>176</v>
      </c>
      <c r="F2253" t="s">
        <v>84</v>
      </c>
      <c r="G2253" t="s">
        <v>28</v>
      </c>
      <c r="H2253">
        <v>2</v>
      </c>
      <c r="I2253">
        <v>2216</v>
      </c>
      <c r="J2253">
        <v>444.36</v>
      </c>
    </row>
    <row r="2254" spans="1:10" x14ac:dyDescent="0.25">
      <c r="A2254" s="1">
        <v>44592</v>
      </c>
      <c r="B2254" t="s">
        <v>55</v>
      </c>
      <c r="C2254" t="s">
        <v>19</v>
      </c>
      <c r="D2254" t="s">
        <v>12</v>
      </c>
      <c r="E2254" t="s">
        <v>176</v>
      </c>
      <c r="F2254" t="s">
        <v>84</v>
      </c>
      <c r="G2254" t="s">
        <v>28</v>
      </c>
      <c r="H2254">
        <v>8</v>
      </c>
      <c r="I2254">
        <v>7064</v>
      </c>
      <c r="J2254">
        <v>1873.02</v>
      </c>
    </row>
    <row r="2255" spans="1:10" x14ac:dyDescent="0.25">
      <c r="A2255" s="1">
        <v>45512</v>
      </c>
      <c r="B2255" t="s">
        <v>16</v>
      </c>
      <c r="C2255" t="s">
        <v>17</v>
      </c>
      <c r="D2255" t="s">
        <v>12</v>
      </c>
      <c r="E2255" t="s">
        <v>199</v>
      </c>
      <c r="F2255" t="s">
        <v>200</v>
      </c>
      <c r="G2255" t="s">
        <v>28</v>
      </c>
      <c r="H2255">
        <v>9</v>
      </c>
      <c r="I2255">
        <v>2538</v>
      </c>
      <c r="J2255">
        <v>575.41</v>
      </c>
    </row>
    <row r="2256" spans="1:10" x14ac:dyDescent="0.25">
      <c r="A2256" s="1">
        <v>45364</v>
      </c>
      <c r="B2256" t="s">
        <v>29</v>
      </c>
      <c r="C2256" t="s">
        <v>17</v>
      </c>
      <c r="D2256" t="s">
        <v>12</v>
      </c>
      <c r="E2256" t="s">
        <v>199</v>
      </c>
      <c r="F2256" t="s">
        <v>200</v>
      </c>
      <c r="G2256" t="s">
        <v>28</v>
      </c>
      <c r="H2256">
        <v>1</v>
      </c>
      <c r="I2256">
        <v>1151</v>
      </c>
      <c r="J2256">
        <v>77.22</v>
      </c>
    </row>
    <row r="2257" spans="1:10" x14ac:dyDescent="0.25">
      <c r="A2257" s="1">
        <v>44579</v>
      </c>
      <c r="B2257" t="s">
        <v>49</v>
      </c>
      <c r="C2257" t="s">
        <v>17</v>
      </c>
      <c r="D2257" t="s">
        <v>12</v>
      </c>
      <c r="E2257" t="s">
        <v>87</v>
      </c>
      <c r="F2257" t="s">
        <v>71</v>
      </c>
      <c r="G2257" t="s">
        <v>35</v>
      </c>
      <c r="H2257">
        <v>1</v>
      </c>
      <c r="I2257">
        <v>717</v>
      </c>
      <c r="J2257">
        <v>137.27000000000001</v>
      </c>
    </row>
    <row r="2258" spans="1:10" x14ac:dyDescent="0.25">
      <c r="A2258" s="1">
        <v>44573</v>
      </c>
      <c r="B2258" t="s">
        <v>32</v>
      </c>
      <c r="C2258" t="s">
        <v>19</v>
      </c>
      <c r="D2258" t="s">
        <v>12</v>
      </c>
      <c r="E2258" t="s">
        <v>185</v>
      </c>
      <c r="F2258" t="s">
        <v>115</v>
      </c>
      <c r="G2258" t="s">
        <v>15</v>
      </c>
      <c r="H2258">
        <v>8</v>
      </c>
      <c r="I2258">
        <v>3048</v>
      </c>
      <c r="J2258">
        <v>444.3</v>
      </c>
    </row>
    <row r="2259" spans="1:10" x14ac:dyDescent="0.25">
      <c r="A2259" s="1">
        <v>45341</v>
      </c>
      <c r="B2259" t="s">
        <v>49</v>
      </c>
      <c r="C2259" t="s">
        <v>17</v>
      </c>
      <c r="D2259" t="s">
        <v>12</v>
      </c>
      <c r="E2259" t="s">
        <v>56</v>
      </c>
      <c r="F2259" t="s">
        <v>57</v>
      </c>
      <c r="G2259" t="s">
        <v>24</v>
      </c>
      <c r="H2259">
        <v>3</v>
      </c>
      <c r="I2259">
        <v>2070</v>
      </c>
      <c r="J2259">
        <v>163.22999999999999</v>
      </c>
    </row>
    <row r="2260" spans="1:10" x14ac:dyDescent="0.25">
      <c r="A2260" s="1">
        <v>45152</v>
      </c>
      <c r="B2260" t="s">
        <v>25</v>
      </c>
      <c r="C2260" t="s">
        <v>19</v>
      </c>
      <c r="D2260" t="s">
        <v>12</v>
      </c>
      <c r="E2260" t="s">
        <v>86</v>
      </c>
      <c r="F2260" t="s">
        <v>84</v>
      </c>
      <c r="G2260" t="s">
        <v>28</v>
      </c>
      <c r="H2260">
        <v>5</v>
      </c>
      <c r="I2260">
        <v>3630</v>
      </c>
      <c r="J2260">
        <v>537.92999999999995</v>
      </c>
    </row>
    <row r="2261" spans="1:10" x14ac:dyDescent="0.25">
      <c r="A2261" s="1">
        <v>44664</v>
      </c>
      <c r="B2261" t="s">
        <v>18</v>
      </c>
      <c r="C2261" t="s">
        <v>19</v>
      </c>
      <c r="D2261" t="s">
        <v>12</v>
      </c>
      <c r="E2261" t="s">
        <v>70</v>
      </c>
      <c r="F2261" t="s">
        <v>71</v>
      </c>
      <c r="G2261" t="s">
        <v>35</v>
      </c>
      <c r="H2261">
        <v>7</v>
      </c>
      <c r="I2261">
        <v>896</v>
      </c>
      <c r="J2261">
        <v>219.98</v>
      </c>
    </row>
    <row r="2262" spans="1:10" x14ac:dyDescent="0.25">
      <c r="A2262" s="1">
        <v>45351</v>
      </c>
      <c r="B2262" t="s">
        <v>18</v>
      </c>
      <c r="C2262" t="s">
        <v>19</v>
      </c>
      <c r="D2262" t="s">
        <v>12</v>
      </c>
      <c r="E2262" t="s">
        <v>229</v>
      </c>
      <c r="F2262" t="s">
        <v>149</v>
      </c>
      <c r="G2262" t="s">
        <v>15</v>
      </c>
      <c r="H2262">
        <v>7</v>
      </c>
      <c r="I2262">
        <v>1981</v>
      </c>
      <c r="J2262">
        <v>311.44</v>
      </c>
    </row>
    <row r="2263" spans="1:10" x14ac:dyDescent="0.25">
      <c r="A2263" s="1">
        <v>45123</v>
      </c>
      <c r="B2263" t="s">
        <v>29</v>
      </c>
      <c r="C2263" t="s">
        <v>17</v>
      </c>
      <c r="D2263" t="s">
        <v>12</v>
      </c>
      <c r="E2263" t="s">
        <v>268</v>
      </c>
      <c r="F2263" t="s">
        <v>34</v>
      </c>
      <c r="G2263" t="s">
        <v>35</v>
      </c>
      <c r="H2263">
        <v>6</v>
      </c>
      <c r="I2263">
        <v>7140</v>
      </c>
      <c r="J2263">
        <v>605.22</v>
      </c>
    </row>
    <row r="2264" spans="1:10" x14ac:dyDescent="0.25">
      <c r="A2264" s="1">
        <v>45029</v>
      </c>
      <c r="B2264" t="s">
        <v>36</v>
      </c>
      <c r="C2264" t="s">
        <v>17</v>
      </c>
      <c r="D2264" t="s">
        <v>12</v>
      </c>
      <c r="E2264" t="s">
        <v>56</v>
      </c>
      <c r="F2264" t="s">
        <v>57</v>
      </c>
      <c r="G2264" t="s">
        <v>24</v>
      </c>
      <c r="H2264">
        <v>5</v>
      </c>
      <c r="I2264">
        <v>1015</v>
      </c>
      <c r="J2264">
        <v>85.06</v>
      </c>
    </row>
    <row r="2265" spans="1:10" x14ac:dyDescent="0.25">
      <c r="A2265" s="1">
        <v>45516</v>
      </c>
      <c r="B2265" t="s">
        <v>29</v>
      </c>
      <c r="C2265" t="s">
        <v>17</v>
      </c>
      <c r="D2265" t="s">
        <v>12</v>
      </c>
      <c r="E2265" t="s">
        <v>111</v>
      </c>
      <c r="F2265" t="s">
        <v>115</v>
      </c>
      <c r="G2265" t="s">
        <v>15</v>
      </c>
      <c r="H2265">
        <v>4</v>
      </c>
      <c r="I2265">
        <v>524</v>
      </c>
      <c r="J2265">
        <v>52.31</v>
      </c>
    </row>
    <row r="2266" spans="1:10" x14ac:dyDescent="0.25">
      <c r="A2266" s="1">
        <v>45126</v>
      </c>
      <c r="B2266" t="s">
        <v>32</v>
      </c>
      <c r="C2266" t="s">
        <v>19</v>
      </c>
      <c r="D2266" t="s">
        <v>12</v>
      </c>
      <c r="E2266" t="s">
        <v>103</v>
      </c>
      <c r="F2266" t="s">
        <v>149</v>
      </c>
      <c r="G2266" t="s">
        <v>15</v>
      </c>
      <c r="H2266">
        <v>2</v>
      </c>
      <c r="I2266">
        <v>1678</v>
      </c>
      <c r="J2266">
        <v>372.78</v>
      </c>
    </row>
    <row r="2267" spans="1:10" x14ac:dyDescent="0.25">
      <c r="A2267" s="1">
        <v>45072</v>
      </c>
      <c r="B2267" t="s">
        <v>18</v>
      </c>
      <c r="C2267" t="s">
        <v>19</v>
      </c>
      <c r="D2267" t="s">
        <v>12</v>
      </c>
      <c r="E2267" t="s">
        <v>322</v>
      </c>
      <c r="F2267" t="s">
        <v>42</v>
      </c>
      <c r="G2267" t="s">
        <v>28</v>
      </c>
      <c r="H2267">
        <v>4</v>
      </c>
      <c r="I2267">
        <v>3260</v>
      </c>
      <c r="J2267">
        <v>969.76</v>
      </c>
    </row>
    <row r="2268" spans="1:10" x14ac:dyDescent="0.25">
      <c r="A2268" s="1">
        <v>45583</v>
      </c>
      <c r="B2268" t="s">
        <v>29</v>
      </c>
      <c r="C2268" t="s">
        <v>17</v>
      </c>
      <c r="D2268" t="s">
        <v>12</v>
      </c>
      <c r="E2268" t="s">
        <v>47</v>
      </c>
      <c r="F2268" t="s">
        <v>156</v>
      </c>
      <c r="G2268" t="s">
        <v>28</v>
      </c>
      <c r="H2268">
        <v>5</v>
      </c>
      <c r="I2268">
        <v>720</v>
      </c>
      <c r="J2268">
        <v>214.31</v>
      </c>
    </row>
    <row r="2269" spans="1:10" x14ac:dyDescent="0.25">
      <c r="A2269" s="1">
        <v>45416</v>
      </c>
      <c r="B2269" t="s">
        <v>10</v>
      </c>
      <c r="C2269" t="s">
        <v>11</v>
      </c>
      <c r="D2269" t="s">
        <v>12</v>
      </c>
      <c r="E2269" t="s">
        <v>192</v>
      </c>
      <c r="F2269" t="s">
        <v>149</v>
      </c>
      <c r="G2269" t="s">
        <v>15</v>
      </c>
      <c r="H2269">
        <v>4</v>
      </c>
      <c r="I2269">
        <v>1792</v>
      </c>
      <c r="J2269">
        <v>417.99</v>
      </c>
    </row>
    <row r="2270" spans="1:10" x14ac:dyDescent="0.25">
      <c r="A2270" s="1">
        <v>44730</v>
      </c>
      <c r="B2270" t="s">
        <v>18</v>
      </c>
      <c r="C2270" t="s">
        <v>19</v>
      </c>
      <c r="D2270" t="s">
        <v>12</v>
      </c>
      <c r="E2270" t="s">
        <v>43</v>
      </c>
      <c r="F2270" t="s">
        <v>44</v>
      </c>
      <c r="G2270" t="s">
        <v>35</v>
      </c>
      <c r="H2270">
        <v>9</v>
      </c>
      <c r="I2270">
        <v>3096</v>
      </c>
      <c r="J2270">
        <v>505.08</v>
      </c>
    </row>
    <row r="2271" spans="1:10" x14ac:dyDescent="0.25">
      <c r="A2271" s="1">
        <v>45541</v>
      </c>
      <c r="B2271" t="s">
        <v>49</v>
      </c>
      <c r="C2271" t="s">
        <v>17</v>
      </c>
      <c r="D2271" t="s">
        <v>12</v>
      </c>
      <c r="E2271" t="s">
        <v>52</v>
      </c>
      <c r="F2271" t="s">
        <v>42</v>
      </c>
      <c r="G2271" t="s">
        <v>28</v>
      </c>
      <c r="H2271">
        <v>5</v>
      </c>
      <c r="I2271">
        <v>1400</v>
      </c>
      <c r="J2271">
        <v>273.39</v>
      </c>
    </row>
    <row r="2272" spans="1:10" x14ac:dyDescent="0.25">
      <c r="A2272" s="1">
        <v>44962</v>
      </c>
      <c r="B2272" t="s">
        <v>32</v>
      </c>
      <c r="C2272" t="s">
        <v>19</v>
      </c>
      <c r="D2272" t="s">
        <v>12</v>
      </c>
      <c r="E2272" t="s">
        <v>159</v>
      </c>
      <c r="F2272" t="s">
        <v>23</v>
      </c>
      <c r="G2272" t="s">
        <v>24</v>
      </c>
      <c r="H2272">
        <v>4</v>
      </c>
      <c r="I2272">
        <v>508</v>
      </c>
      <c r="J2272">
        <v>37.94</v>
      </c>
    </row>
    <row r="2273" spans="1:10" x14ac:dyDescent="0.25">
      <c r="A2273" s="1">
        <v>44820</v>
      </c>
      <c r="B2273" t="s">
        <v>18</v>
      </c>
      <c r="C2273" t="s">
        <v>19</v>
      </c>
      <c r="D2273" t="s">
        <v>12</v>
      </c>
      <c r="E2273" t="s">
        <v>288</v>
      </c>
      <c r="F2273" t="s">
        <v>156</v>
      </c>
      <c r="G2273" t="s">
        <v>28</v>
      </c>
      <c r="H2273">
        <v>7</v>
      </c>
      <c r="I2273">
        <v>2646</v>
      </c>
      <c r="J2273">
        <v>380.83</v>
      </c>
    </row>
    <row r="2274" spans="1:10" x14ac:dyDescent="0.25">
      <c r="A2274" s="1">
        <v>45358</v>
      </c>
      <c r="B2274" t="s">
        <v>16</v>
      </c>
      <c r="C2274" t="s">
        <v>17</v>
      </c>
      <c r="D2274" t="s">
        <v>12</v>
      </c>
      <c r="E2274" t="s">
        <v>288</v>
      </c>
      <c r="F2274" t="s">
        <v>156</v>
      </c>
      <c r="G2274" t="s">
        <v>28</v>
      </c>
      <c r="H2274">
        <v>1</v>
      </c>
      <c r="I2274">
        <v>357</v>
      </c>
      <c r="J2274">
        <v>79.86</v>
      </c>
    </row>
    <row r="2275" spans="1:10" x14ac:dyDescent="0.25">
      <c r="A2275" s="1">
        <v>45288</v>
      </c>
      <c r="B2275" t="s">
        <v>18</v>
      </c>
      <c r="C2275" t="s">
        <v>19</v>
      </c>
      <c r="D2275" t="s">
        <v>12</v>
      </c>
      <c r="E2275" t="s">
        <v>22</v>
      </c>
      <c r="F2275" t="s">
        <v>23</v>
      </c>
      <c r="G2275" t="s">
        <v>24</v>
      </c>
      <c r="H2275">
        <v>1</v>
      </c>
      <c r="I2275">
        <v>373</v>
      </c>
      <c r="J2275">
        <v>53.15</v>
      </c>
    </row>
    <row r="2276" spans="1:10" x14ac:dyDescent="0.25">
      <c r="A2276" s="1">
        <v>45009</v>
      </c>
      <c r="B2276" t="s">
        <v>40</v>
      </c>
      <c r="C2276" t="s">
        <v>19</v>
      </c>
      <c r="D2276" t="s">
        <v>12</v>
      </c>
      <c r="E2276" t="s">
        <v>22</v>
      </c>
      <c r="F2276" t="s">
        <v>23</v>
      </c>
      <c r="G2276" t="s">
        <v>24</v>
      </c>
      <c r="H2276">
        <v>1</v>
      </c>
      <c r="I2276">
        <v>266</v>
      </c>
      <c r="J2276">
        <v>55.52</v>
      </c>
    </row>
    <row r="2277" spans="1:10" x14ac:dyDescent="0.25">
      <c r="A2277" s="1">
        <v>45572</v>
      </c>
      <c r="B2277" t="s">
        <v>40</v>
      </c>
      <c r="C2277" t="s">
        <v>19</v>
      </c>
      <c r="D2277" t="s">
        <v>12</v>
      </c>
      <c r="E2277" t="s">
        <v>318</v>
      </c>
      <c r="F2277" t="s">
        <v>42</v>
      </c>
      <c r="G2277" t="s">
        <v>28</v>
      </c>
      <c r="H2277">
        <v>4</v>
      </c>
      <c r="I2277">
        <v>344</v>
      </c>
      <c r="J2277">
        <v>25.7</v>
      </c>
    </row>
    <row r="2278" spans="1:10" x14ac:dyDescent="0.25">
      <c r="A2278" s="1">
        <v>45460</v>
      </c>
      <c r="B2278" t="s">
        <v>40</v>
      </c>
      <c r="C2278" t="s">
        <v>19</v>
      </c>
      <c r="D2278" t="s">
        <v>12</v>
      </c>
      <c r="E2278" t="s">
        <v>105</v>
      </c>
      <c r="F2278" t="s">
        <v>23</v>
      </c>
      <c r="G2278" t="s">
        <v>24</v>
      </c>
      <c r="H2278">
        <v>7</v>
      </c>
      <c r="I2278">
        <v>1806</v>
      </c>
      <c r="J2278">
        <v>308.92</v>
      </c>
    </row>
    <row r="2279" spans="1:10" x14ac:dyDescent="0.25">
      <c r="A2279" s="1">
        <v>44995</v>
      </c>
      <c r="B2279" t="s">
        <v>10</v>
      </c>
      <c r="C2279" t="s">
        <v>11</v>
      </c>
      <c r="D2279" t="s">
        <v>12</v>
      </c>
      <c r="E2279" t="s">
        <v>22</v>
      </c>
      <c r="F2279" t="s">
        <v>23</v>
      </c>
      <c r="G2279" t="s">
        <v>24</v>
      </c>
      <c r="H2279">
        <v>9</v>
      </c>
      <c r="I2279">
        <v>7281</v>
      </c>
      <c r="J2279">
        <v>396.28</v>
      </c>
    </row>
    <row r="2280" spans="1:10" x14ac:dyDescent="0.25">
      <c r="A2280" s="1">
        <v>45471</v>
      </c>
      <c r="B2280" t="s">
        <v>32</v>
      </c>
      <c r="C2280" t="s">
        <v>19</v>
      </c>
      <c r="D2280" t="s">
        <v>12</v>
      </c>
      <c r="E2280" t="s">
        <v>56</v>
      </c>
      <c r="F2280" t="s">
        <v>57</v>
      </c>
      <c r="G2280" t="s">
        <v>24</v>
      </c>
      <c r="H2280">
        <v>7</v>
      </c>
      <c r="I2280">
        <v>3094</v>
      </c>
      <c r="J2280">
        <v>463.72</v>
      </c>
    </row>
    <row r="2281" spans="1:10" x14ac:dyDescent="0.25">
      <c r="A2281" s="1">
        <v>45445</v>
      </c>
      <c r="B2281" t="s">
        <v>49</v>
      </c>
      <c r="C2281" t="s">
        <v>17</v>
      </c>
      <c r="D2281" t="s">
        <v>12</v>
      </c>
      <c r="E2281" t="s">
        <v>121</v>
      </c>
      <c r="F2281" t="s">
        <v>122</v>
      </c>
      <c r="G2281" t="s">
        <v>35</v>
      </c>
      <c r="H2281">
        <v>2</v>
      </c>
      <c r="I2281">
        <v>252</v>
      </c>
      <c r="J2281">
        <v>67.37</v>
      </c>
    </row>
    <row r="2282" spans="1:10" x14ac:dyDescent="0.25">
      <c r="A2282" s="1">
        <v>44678</v>
      </c>
      <c r="B2282" t="s">
        <v>25</v>
      </c>
      <c r="C2282" t="s">
        <v>19</v>
      </c>
      <c r="D2282" t="s">
        <v>12</v>
      </c>
      <c r="E2282" t="s">
        <v>260</v>
      </c>
      <c r="F2282" t="s">
        <v>34</v>
      </c>
      <c r="G2282" t="s">
        <v>35</v>
      </c>
      <c r="H2282">
        <v>9</v>
      </c>
      <c r="I2282">
        <v>2691</v>
      </c>
      <c r="J2282">
        <v>761.16</v>
      </c>
    </row>
    <row r="2283" spans="1:10" x14ac:dyDescent="0.25">
      <c r="A2283" s="1">
        <v>45408</v>
      </c>
      <c r="B2283" t="s">
        <v>10</v>
      </c>
      <c r="C2283" t="s">
        <v>11</v>
      </c>
      <c r="D2283" t="s">
        <v>12</v>
      </c>
      <c r="E2283" t="s">
        <v>37</v>
      </c>
      <c r="F2283" t="s">
        <v>34</v>
      </c>
      <c r="G2283" t="s">
        <v>35</v>
      </c>
      <c r="H2283">
        <v>6</v>
      </c>
      <c r="I2283">
        <v>990</v>
      </c>
      <c r="J2283">
        <v>102.83</v>
      </c>
    </row>
    <row r="2284" spans="1:10" x14ac:dyDescent="0.25">
      <c r="A2284" s="1">
        <v>44717</v>
      </c>
      <c r="B2284" t="s">
        <v>32</v>
      </c>
      <c r="C2284" t="s">
        <v>19</v>
      </c>
      <c r="D2284" t="s">
        <v>12</v>
      </c>
      <c r="E2284" t="s">
        <v>138</v>
      </c>
      <c r="F2284" t="s">
        <v>94</v>
      </c>
      <c r="G2284" t="s">
        <v>24</v>
      </c>
      <c r="H2284">
        <v>4</v>
      </c>
      <c r="I2284">
        <v>3236</v>
      </c>
      <c r="J2284">
        <v>655.17999999999995</v>
      </c>
    </row>
    <row r="2285" spans="1:10" x14ac:dyDescent="0.25">
      <c r="A2285" s="1">
        <v>44678</v>
      </c>
      <c r="B2285" t="s">
        <v>55</v>
      </c>
      <c r="C2285" t="s">
        <v>19</v>
      </c>
      <c r="D2285" t="s">
        <v>12</v>
      </c>
      <c r="E2285" t="s">
        <v>138</v>
      </c>
      <c r="F2285" t="s">
        <v>94</v>
      </c>
      <c r="G2285" t="s">
        <v>24</v>
      </c>
      <c r="H2285">
        <v>4</v>
      </c>
      <c r="I2285">
        <v>1076</v>
      </c>
      <c r="J2285">
        <v>124.56</v>
      </c>
    </row>
    <row r="2286" spans="1:10" x14ac:dyDescent="0.25">
      <c r="A2286" s="1">
        <v>44783</v>
      </c>
      <c r="B2286" t="s">
        <v>18</v>
      </c>
      <c r="C2286" t="s">
        <v>19</v>
      </c>
      <c r="D2286" t="s">
        <v>12</v>
      </c>
      <c r="E2286" t="s">
        <v>356</v>
      </c>
      <c r="F2286" t="s">
        <v>23</v>
      </c>
      <c r="G2286" t="s">
        <v>24</v>
      </c>
      <c r="H2286">
        <v>4</v>
      </c>
      <c r="I2286">
        <v>1428</v>
      </c>
      <c r="J2286">
        <v>160.54</v>
      </c>
    </row>
    <row r="2287" spans="1:10" x14ac:dyDescent="0.25">
      <c r="A2287" s="1">
        <v>44673</v>
      </c>
      <c r="B2287" t="s">
        <v>49</v>
      </c>
      <c r="C2287" t="s">
        <v>17</v>
      </c>
      <c r="D2287" t="s">
        <v>12</v>
      </c>
      <c r="E2287" t="s">
        <v>53</v>
      </c>
      <c r="F2287" t="s">
        <v>44</v>
      </c>
      <c r="G2287" t="s">
        <v>35</v>
      </c>
      <c r="H2287">
        <v>5</v>
      </c>
      <c r="I2287">
        <v>1000</v>
      </c>
      <c r="J2287">
        <v>292.04000000000002</v>
      </c>
    </row>
    <row r="2288" spans="1:10" x14ac:dyDescent="0.25">
      <c r="A2288" s="1">
        <v>44722</v>
      </c>
      <c r="B2288" t="s">
        <v>32</v>
      </c>
      <c r="C2288" t="s">
        <v>19</v>
      </c>
      <c r="D2288" t="s">
        <v>12</v>
      </c>
      <c r="E2288" t="s">
        <v>26</v>
      </c>
      <c r="F2288" t="s">
        <v>27</v>
      </c>
      <c r="G2288" t="s">
        <v>28</v>
      </c>
      <c r="H2288">
        <v>9</v>
      </c>
      <c r="I2288">
        <v>3429</v>
      </c>
      <c r="J2288">
        <v>998.82</v>
      </c>
    </row>
    <row r="2289" spans="1:10" x14ac:dyDescent="0.25">
      <c r="A2289" s="1">
        <v>45216</v>
      </c>
      <c r="B2289" t="s">
        <v>36</v>
      </c>
      <c r="C2289" t="s">
        <v>17</v>
      </c>
      <c r="D2289" t="s">
        <v>12</v>
      </c>
      <c r="E2289" t="s">
        <v>406</v>
      </c>
      <c r="F2289" t="s">
        <v>54</v>
      </c>
      <c r="G2289" t="s">
        <v>24</v>
      </c>
      <c r="H2289">
        <v>5</v>
      </c>
      <c r="I2289">
        <v>4730</v>
      </c>
      <c r="J2289">
        <v>1416.1</v>
      </c>
    </row>
    <row r="2290" spans="1:10" x14ac:dyDescent="0.25">
      <c r="A2290" s="1">
        <v>45234</v>
      </c>
      <c r="B2290" t="s">
        <v>36</v>
      </c>
      <c r="C2290" t="s">
        <v>17</v>
      </c>
      <c r="D2290" t="s">
        <v>12</v>
      </c>
      <c r="E2290" t="s">
        <v>406</v>
      </c>
      <c r="F2290" t="s">
        <v>54</v>
      </c>
      <c r="G2290" t="s">
        <v>24</v>
      </c>
      <c r="H2290">
        <v>6</v>
      </c>
      <c r="I2290">
        <v>6630</v>
      </c>
      <c r="J2290">
        <v>512.6</v>
      </c>
    </row>
    <row r="2291" spans="1:10" x14ac:dyDescent="0.25">
      <c r="A2291" s="1">
        <v>45587</v>
      </c>
      <c r="B2291" t="s">
        <v>25</v>
      </c>
      <c r="C2291" t="s">
        <v>19</v>
      </c>
      <c r="D2291" t="s">
        <v>12</v>
      </c>
      <c r="E2291" t="s">
        <v>406</v>
      </c>
      <c r="F2291" t="s">
        <v>54</v>
      </c>
      <c r="G2291" t="s">
        <v>24</v>
      </c>
      <c r="H2291">
        <v>7</v>
      </c>
      <c r="I2291">
        <v>2296</v>
      </c>
      <c r="J2291">
        <v>138.93</v>
      </c>
    </row>
    <row r="2292" spans="1:10" x14ac:dyDescent="0.25">
      <c r="A2292" s="1">
        <v>44941</v>
      </c>
      <c r="B2292" t="s">
        <v>36</v>
      </c>
      <c r="C2292" t="s">
        <v>17</v>
      </c>
      <c r="D2292" t="s">
        <v>12</v>
      </c>
      <c r="E2292" t="s">
        <v>229</v>
      </c>
      <c r="F2292" t="s">
        <v>152</v>
      </c>
      <c r="G2292" t="s">
        <v>15</v>
      </c>
      <c r="H2292">
        <v>7</v>
      </c>
      <c r="I2292">
        <v>7420</v>
      </c>
      <c r="J2292">
        <v>1107.31</v>
      </c>
    </row>
    <row r="2293" spans="1:10" x14ac:dyDescent="0.25">
      <c r="A2293" s="1">
        <v>44674</v>
      </c>
      <c r="B2293" t="s">
        <v>10</v>
      </c>
      <c r="C2293" t="s">
        <v>11</v>
      </c>
      <c r="D2293" t="s">
        <v>12</v>
      </c>
      <c r="E2293" t="s">
        <v>45</v>
      </c>
      <c r="F2293" t="s">
        <v>46</v>
      </c>
      <c r="G2293" t="s">
        <v>15</v>
      </c>
      <c r="H2293">
        <v>7</v>
      </c>
      <c r="I2293">
        <v>2338</v>
      </c>
      <c r="J2293">
        <v>531.5</v>
      </c>
    </row>
    <row r="2294" spans="1:10" x14ac:dyDescent="0.25">
      <c r="A2294" s="1">
        <v>44723</v>
      </c>
      <c r="B2294" t="s">
        <v>49</v>
      </c>
      <c r="C2294" t="s">
        <v>17</v>
      </c>
      <c r="D2294" t="s">
        <v>12</v>
      </c>
      <c r="E2294" t="s">
        <v>45</v>
      </c>
      <c r="F2294" t="s">
        <v>46</v>
      </c>
      <c r="G2294" t="s">
        <v>15</v>
      </c>
      <c r="H2294">
        <v>7</v>
      </c>
      <c r="I2294">
        <v>4039</v>
      </c>
      <c r="J2294">
        <v>420.29</v>
      </c>
    </row>
    <row r="2295" spans="1:10" x14ac:dyDescent="0.25">
      <c r="A2295" s="1">
        <v>45065</v>
      </c>
      <c r="B2295" t="s">
        <v>55</v>
      </c>
      <c r="C2295" t="s">
        <v>19</v>
      </c>
      <c r="D2295" t="s">
        <v>12</v>
      </c>
      <c r="E2295" t="s">
        <v>407</v>
      </c>
      <c r="F2295" t="s">
        <v>23</v>
      </c>
      <c r="G2295" t="s">
        <v>24</v>
      </c>
      <c r="H2295">
        <v>2</v>
      </c>
      <c r="I2295">
        <v>990</v>
      </c>
      <c r="J2295">
        <v>76.87</v>
      </c>
    </row>
    <row r="2296" spans="1:10" x14ac:dyDescent="0.25">
      <c r="A2296" s="1">
        <v>45143</v>
      </c>
      <c r="B2296" t="s">
        <v>55</v>
      </c>
      <c r="C2296" t="s">
        <v>19</v>
      </c>
      <c r="D2296" t="s">
        <v>12</v>
      </c>
      <c r="E2296" t="s">
        <v>407</v>
      </c>
      <c r="F2296" t="s">
        <v>23</v>
      </c>
      <c r="G2296" t="s">
        <v>24</v>
      </c>
      <c r="H2296">
        <v>1</v>
      </c>
      <c r="I2296">
        <v>733</v>
      </c>
      <c r="J2296">
        <v>54.11</v>
      </c>
    </row>
    <row r="2297" spans="1:10" x14ac:dyDescent="0.25">
      <c r="A2297" s="1">
        <v>45315</v>
      </c>
      <c r="B2297" t="s">
        <v>40</v>
      </c>
      <c r="C2297" t="s">
        <v>19</v>
      </c>
      <c r="D2297" t="s">
        <v>12</v>
      </c>
      <c r="E2297" t="s">
        <v>390</v>
      </c>
      <c r="F2297" t="s">
        <v>44</v>
      </c>
      <c r="G2297" t="s">
        <v>35</v>
      </c>
      <c r="H2297">
        <v>3</v>
      </c>
      <c r="I2297">
        <v>2421</v>
      </c>
      <c r="J2297">
        <v>334.61</v>
      </c>
    </row>
    <row r="2298" spans="1:10" x14ac:dyDescent="0.25">
      <c r="A2298" s="1">
        <v>45365</v>
      </c>
      <c r="B2298" t="s">
        <v>49</v>
      </c>
      <c r="C2298" t="s">
        <v>17</v>
      </c>
      <c r="D2298" t="s">
        <v>12</v>
      </c>
      <c r="E2298" t="s">
        <v>26</v>
      </c>
      <c r="F2298" t="s">
        <v>27</v>
      </c>
      <c r="G2298" t="s">
        <v>28</v>
      </c>
      <c r="H2298">
        <v>8</v>
      </c>
      <c r="I2298">
        <v>832</v>
      </c>
      <c r="J2298">
        <v>214.81</v>
      </c>
    </row>
    <row r="2299" spans="1:10" x14ac:dyDescent="0.25">
      <c r="A2299" s="1">
        <v>44694</v>
      </c>
      <c r="B2299" t="s">
        <v>32</v>
      </c>
      <c r="C2299" t="s">
        <v>19</v>
      </c>
      <c r="D2299" t="s">
        <v>12</v>
      </c>
      <c r="E2299" t="s">
        <v>52</v>
      </c>
      <c r="F2299" t="s">
        <v>42</v>
      </c>
      <c r="G2299" t="s">
        <v>28</v>
      </c>
      <c r="H2299">
        <v>1</v>
      </c>
      <c r="I2299">
        <v>483</v>
      </c>
      <c r="J2299">
        <v>98.15</v>
      </c>
    </row>
    <row r="2300" spans="1:10" x14ac:dyDescent="0.25">
      <c r="A2300" s="1">
        <v>44984</v>
      </c>
      <c r="B2300" t="s">
        <v>49</v>
      </c>
      <c r="C2300" t="s">
        <v>17</v>
      </c>
      <c r="D2300" t="s">
        <v>12</v>
      </c>
      <c r="E2300" t="s">
        <v>210</v>
      </c>
      <c r="F2300" t="s">
        <v>34</v>
      </c>
      <c r="G2300" t="s">
        <v>35</v>
      </c>
      <c r="H2300">
        <v>6</v>
      </c>
      <c r="I2300">
        <v>2508</v>
      </c>
      <c r="J2300">
        <v>480.48</v>
      </c>
    </row>
    <row r="2301" spans="1:10" x14ac:dyDescent="0.25">
      <c r="A2301" s="1">
        <v>45200</v>
      </c>
      <c r="B2301" t="s">
        <v>49</v>
      </c>
      <c r="C2301" t="s">
        <v>17</v>
      </c>
      <c r="D2301" t="s">
        <v>12</v>
      </c>
      <c r="E2301" t="s">
        <v>368</v>
      </c>
      <c r="F2301" t="s">
        <v>189</v>
      </c>
      <c r="G2301" t="s">
        <v>24</v>
      </c>
      <c r="H2301">
        <v>7</v>
      </c>
      <c r="I2301">
        <v>4032</v>
      </c>
      <c r="J2301">
        <v>426.13</v>
      </c>
    </row>
    <row r="2302" spans="1:10" x14ac:dyDescent="0.25">
      <c r="A2302" s="1">
        <v>44666</v>
      </c>
      <c r="B2302" t="s">
        <v>49</v>
      </c>
      <c r="C2302" t="s">
        <v>17</v>
      </c>
      <c r="D2302" t="s">
        <v>12</v>
      </c>
      <c r="E2302" t="s">
        <v>105</v>
      </c>
      <c r="F2302" t="s">
        <v>23</v>
      </c>
      <c r="G2302" t="s">
        <v>24</v>
      </c>
      <c r="H2302">
        <v>8</v>
      </c>
      <c r="I2302">
        <v>3208</v>
      </c>
      <c r="J2302">
        <v>840.97</v>
      </c>
    </row>
    <row r="2303" spans="1:10" x14ac:dyDescent="0.25">
      <c r="A2303" s="1">
        <v>45422</v>
      </c>
      <c r="B2303" t="s">
        <v>32</v>
      </c>
      <c r="C2303" t="s">
        <v>19</v>
      </c>
      <c r="D2303" t="s">
        <v>12</v>
      </c>
      <c r="E2303" t="s">
        <v>178</v>
      </c>
      <c r="F2303" t="s">
        <v>34</v>
      </c>
      <c r="G2303" t="s">
        <v>35</v>
      </c>
      <c r="H2303">
        <v>6</v>
      </c>
      <c r="I2303">
        <v>3402</v>
      </c>
      <c r="J2303">
        <v>857.61</v>
      </c>
    </row>
    <row r="2304" spans="1:10" x14ac:dyDescent="0.25">
      <c r="A2304" s="1">
        <v>45632</v>
      </c>
      <c r="B2304" t="s">
        <v>29</v>
      </c>
      <c r="C2304" t="s">
        <v>17</v>
      </c>
      <c r="D2304" t="s">
        <v>12</v>
      </c>
      <c r="E2304" t="s">
        <v>178</v>
      </c>
      <c r="F2304" t="s">
        <v>34</v>
      </c>
      <c r="G2304" t="s">
        <v>35</v>
      </c>
      <c r="H2304">
        <v>1</v>
      </c>
      <c r="I2304">
        <v>541</v>
      </c>
      <c r="J2304">
        <v>52.5</v>
      </c>
    </row>
    <row r="2305" spans="1:10" x14ac:dyDescent="0.25">
      <c r="A2305" s="1">
        <v>44600</v>
      </c>
      <c r="B2305" t="s">
        <v>32</v>
      </c>
      <c r="C2305" t="s">
        <v>19</v>
      </c>
      <c r="D2305" t="s">
        <v>12</v>
      </c>
      <c r="E2305" t="s">
        <v>370</v>
      </c>
      <c r="F2305" t="s">
        <v>23</v>
      </c>
      <c r="G2305" t="s">
        <v>24</v>
      </c>
      <c r="H2305">
        <v>7</v>
      </c>
      <c r="I2305">
        <v>1806</v>
      </c>
      <c r="J2305">
        <v>129.6</v>
      </c>
    </row>
    <row r="2306" spans="1:10" x14ac:dyDescent="0.25">
      <c r="A2306" s="1">
        <v>45507</v>
      </c>
      <c r="B2306" t="s">
        <v>29</v>
      </c>
      <c r="C2306" t="s">
        <v>17</v>
      </c>
      <c r="D2306" t="s">
        <v>12</v>
      </c>
      <c r="E2306" t="s">
        <v>370</v>
      </c>
      <c r="F2306" t="s">
        <v>23</v>
      </c>
      <c r="G2306" t="s">
        <v>24</v>
      </c>
      <c r="H2306">
        <v>3</v>
      </c>
      <c r="I2306">
        <v>2433</v>
      </c>
      <c r="J2306">
        <v>515.28</v>
      </c>
    </row>
    <row r="2307" spans="1:10" x14ac:dyDescent="0.25">
      <c r="A2307" s="1">
        <v>45240</v>
      </c>
      <c r="B2307" t="s">
        <v>49</v>
      </c>
      <c r="C2307" t="s">
        <v>17</v>
      </c>
      <c r="D2307" t="s">
        <v>12</v>
      </c>
      <c r="E2307" t="s">
        <v>370</v>
      </c>
      <c r="F2307" t="s">
        <v>23</v>
      </c>
      <c r="G2307" t="s">
        <v>24</v>
      </c>
      <c r="H2307">
        <v>6</v>
      </c>
      <c r="I2307">
        <v>5880</v>
      </c>
      <c r="J2307">
        <v>454.19</v>
      </c>
    </row>
    <row r="2308" spans="1:10" x14ac:dyDescent="0.25">
      <c r="A2308" s="1">
        <v>45070</v>
      </c>
      <c r="B2308" t="s">
        <v>16</v>
      </c>
      <c r="C2308" t="s">
        <v>17</v>
      </c>
      <c r="D2308" t="s">
        <v>12</v>
      </c>
      <c r="E2308" t="s">
        <v>67</v>
      </c>
      <c r="F2308" t="s">
        <v>54</v>
      </c>
      <c r="G2308" t="s">
        <v>24</v>
      </c>
      <c r="H2308">
        <v>3</v>
      </c>
      <c r="I2308">
        <v>3375</v>
      </c>
      <c r="J2308">
        <v>451.5</v>
      </c>
    </row>
    <row r="2309" spans="1:10" x14ac:dyDescent="0.25">
      <c r="A2309" s="1">
        <v>45442</v>
      </c>
      <c r="B2309" t="s">
        <v>18</v>
      </c>
      <c r="C2309" t="s">
        <v>19</v>
      </c>
      <c r="D2309" t="s">
        <v>12</v>
      </c>
      <c r="E2309" t="s">
        <v>67</v>
      </c>
      <c r="F2309" t="s">
        <v>54</v>
      </c>
      <c r="G2309" t="s">
        <v>24</v>
      </c>
      <c r="H2309">
        <v>8</v>
      </c>
      <c r="I2309">
        <v>6960</v>
      </c>
      <c r="J2309">
        <v>1913.58</v>
      </c>
    </row>
    <row r="2310" spans="1:10" x14ac:dyDescent="0.25">
      <c r="A2310" s="1">
        <v>45510</v>
      </c>
      <c r="B2310" t="s">
        <v>49</v>
      </c>
      <c r="C2310" t="s">
        <v>17</v>
      </c>
      <c r="D2310" t="s">
        <v>12</v>
      </c>
      <c r="E2310" t="s">
        <v>26</v>
      </c>
      <c r="F2310" t="s">
        <v>27</v>
      </c>
      <c r="G2310" t="s">
        <v>28</v>
      </c>
      <c r="H2310">
        <v>4</v>
      </c>
      <c r="I2310">
        <v>316</v>
      </c>
      <c r="J2310">
        <v>32.79</v>
      </c>
    </row>
    <row r="2311" spans="1:10" x14ac:dyDescent="0.25">
      <c r="A2311" s="1">
        <v>44844</v>
      </c>
      <c r="B2311" t="s">
        <v>18</v>
      </c>
      <c r="C2311" t="s">
        <v>19</v>
      </c>
      <c r="D2311" t="s">
        <v>12</v>
      </c>
      <c r="E2311" t="s">
        <v>408</v>
      </c>
      <c r="F2311" t="s">
        <v>78</v>
      </c>
      <c r="G2311" t="s">
        <v>28</v>
      </c>
      <c r="H2311">
        <v>9</v>
      </c>
      <c r="I2311">
        <v>1404</v>
      </c>
      <c r="J2311">
        <v>89.43</v>
      </c>
    </row>
    <row r="2312" spans="1:10" x14ac:dyDescent="0.25">
      <c r="A2312" s="1">
        <v>45359</v>
      </c>
      <c r="B2312" t="s">
        <v>49</v>
      </c>
      <c r="C2312" t="s">
        <v>17</v>
      </c>
      <c r="D2312" t="s">
        <v>12</v>
      </c>
      <c r="E2312" t="s">
        <v>53</v>
      </c>
      <c r="F2312" t="s">
        <v>54</v>
      </c>
      <c r="G2312" t="s">
        <v>24</v>
      </c>
      <c r="H2312">
        <v>9</v>
      </c>
      <c r="I2312">
        <v>5823</v>
      </c>
      <c r="J2312">
        <v>478.22</v>
      </c>
    </row>
    <row r="2313" spans="1:10" x14ac:dyDescent="0.25">
      <c r="A2313" s="1">
        <v>45428</v>
      </c>
      <c r="B2313" t="s">
        <v>29</v>
      </c>
      <c r="C2313" t="s">
        <v>17</v>
      </c>
      <c r="D2313" t="s">
        <v>12</v>
      </c>
      <c r="E2313" t="s">
        <v>105</v>
      </c>
      <c r="F2313" t="s">
        <v>23</v>
      </c>
      <c r="G2313" t="s">
        <v>24</v>
      </c>
      <c r="H2313">
        <v>6</v>
      </c>
      <c r="I2313">
        <v>2790</v>
      </c>
      <c r="J2313">
        <v>719.15</v>
      </c>
    </row>
    <row r="2314" spans="1:10" x14ac:dyDescent="0.25">
      <c r="A2314" s="1">
        <v>45443</v>
      </c>
      <c r="B2314" t="s">
        <v>18</v>
      </c>
      <c r="C2314" t="s">
        <v>19</v>
      </c>
      <c r="D2314" t="s">
        <v>12</v>
      </c>
      <c r="E2314" t="s">
        <v>56</v>
      </c>
      <c r="F2314" t="s">
        <v>57</v>
      </c>
      <c r="G2314" t="s">
        <v>24</v>
      </c>
      <c r="H2314">
        <v>7</v>
      </c>
      <c r="I2314">
        <v>1169</v>
      </c>
      <c r="J2314">
        <v>69.41</v>
      </c>
    </row>
    <row r="2315" spans="1:10" x14ac:dyDescent="0.25">
      <c r="A2315" s="1">
        <v>45225</v>
      </c>
      <c r="B2315" t="s">
        <v>10</v>
      </c>
      <c r="C2315" t="s">
        <v>11</v>
      </c>
      <c r="D2315" t="s">
        <v>12</v>
      </c>
      <c r="E2315" t="s">
        <v>241</v>
      </c>
      <c r="F2315" t="s">
        <v>84</v>
      </c>
      <c r="G2315" t="s">
        <v>28</v>
      </c>
      <c r="H2315">
        <v>8</v>
      </c>
      <c r="I2315">
        <v>6016</v>
      </c>
      <c r="J2315">
        <v>406.13</v>
      </c>
    </row>
    <row r="2316" spans="1:10" x14ac:dyDescent="0.25">
      <c r="A2316" s="1">
        <v>44849</v>
      </c>
      <c r="B2316" t="s">
        <v>32</v>
      </c>
      <c r="C2316" t="s">
        <v>19</v>
      </c>
      <c r="D2316" t="s">
        <v>12</v>
      </c>
      <c r="E2316" t="s">
        <v>241</v>
      </c>
      <c r="F2316" t="s">
        <v>84</v>
      </c>
      <c r="G2316" t="s">
        <v>28</v>
      </c>
      <c r="H2316">
        <v>7</v>
      </c>
      <c r="I2316">
        <v>7154</v>
      </c>
      <c r="J2316">
        <v>1177.51</v>
      </c>
    </row>
    <row r="2317" spans="1:10" x14ac:dyDescent="0.25">
      <c r="A2317" s="1">
        <v>45320</v>
      </c>
      <c r="B2317" t="s">
        <v>49</v>
      </c>
      <c r="C2317" t="s">
        <v>17</v>
      </c>
      <c r="D2317" t="s">
        <v>12</v>
      </c>
      <c r="E2317" t="s">
        <v>328</v>
      </c>
      <c r="F2317" t="s">
        <v>191</v>
      </c>
      <c r="G2317" t="s">
        <v>35</v>
      </c>
      <c r="H2317">
        <v>2</v>
      </c>
      <c r="I2317">
        <v>370</v>
      </c>
      <c r="J2317">
        <v>102.74</v>
      </c>
    </row>
    <row r="2318" spans="1:10" x14ac:dyDescent="0.25">
      <c r="A2318" s="1">
        <v>45367</v>
      </c>
      <c r="B2318" t="s">
        <v>36</v>
      </c>
      <c r="C2318" t="s">
        <v>17</v>
      </c>
      <c r="D2318" t="s">
        <v>12</v>
      </c>
      <c r="E2318" t="s">
        <v>52</v>
      </c>
      <c r="F2318" t="s">
        <v>42</v>
      </c>
      <c r="G2318" t="s">
        <v>28</v>
      </c>
      <c r="H2318">
        <v>1</v>
      </c>
      <c r="I2318">
        <v>430</v>
      </c>
      <c r="J2318">
        <v>113.57</v>
      </c>
    </row>
    <row r="2319" spans="1:10" x14ac:dyDescent="0.25">
      <c r="A2319" s="1">
        <v>44679</v>
      </c>
      <c r="B2319" t="s">
        <v>32</v>
      </c>
      <c r="C2319" t="s">
        <v>19</v>
      </c>
      <c r="D2319" t="s">
        <v>12</v>
      </c>
      <c r="E2319" t="s">
        <v>123</v>
      </c>
      <c r="F2319" t="s">
        <v>63</v>
      </c>
      <c r="G2319" t="s">
        <v>28</v>
      </c>
      <c r="H2319">
        <v>1</v>
      </c>
      <c r="I2319">
        <v>946</v>
      </c>
      <c r="J2319">
        <v>280.52999999999997</v>
      </c>
    </row>
    <row r="2320" spans="1:10" x14ac:dyDescent="0.25">
      <c r="A2320" s="1">
        <v>45432</v>
      </c>
      <c r="B2320" t="s">
        <v>18</v>
      </c>
      <c r="C2320" t="s">
        <v>19</v>
      </c>
      <c r="D2320" t="s">
        <v>12</v>
      </c>
      <c r="E2320" t="s">
        <v>210</v>
      </c>
      <c r="F2320" t="s">
        <v>34</v>
      </c>
      <c r="G2320" t="s">
        <v>35</v>
      </c>
      <c r="H2320">
        <v>8</v>
      </c>
      <c r="I2320">
        <v>984</v>
      </c>
      <c r="J2320">
        <v>73.84</v>
      </c>
    </row>
    <row r="2321" spans="1:10" x14ac:dyDescent="0.25">
      <c r="A2321" s="1">
        <v>44891</v>
      </c>
      <c r="B2321" t="s">
        <v>49</v>
      </c>
      <c r="C2321" t="s">
        <v>17</v>
      </c>
      <c r="D2321" t="s">
        <v>12</v>
      </c>
      <c r="E2321" t="s">
        <v>52</v>
      </c>
      <c r="F2321" t="s">
        <v>42</v>
      </c>
      <c r="G2321" t="s">
        <v>28</v>
      </c>
      <c r="H2321">
        <v>9</v>
      </c>
      <c r="I2321">
        <v>1467</v>
      </c>
      <c r="J2321">
        <v>372.17</v>
      </c>
    </row>
    <row r="2322" spans="1:10" x14ac:dyDescent="0.25">
      <c r="A2322" s="1">
        <v>45154</v>
      </c>
      <c r="B2322" t="s">
        <v>40</v>
      </c>
      <c r="C2322" t="s">
        <v>19</v>
      </c>
      <c r="D2322" t="s">
        <v>12</v>
      </c>
      <c r="E2322" t="s">
        <v>96</v>
      </c>
      <c r="F2322" t="s">
        <v>34</v>
      </c>
      <c r="G2322" t="s">
        <v>35</v>
      </c>
      <c r="H2322">
        <v>4</v>
      </c>
      <c r="I2322">
        <v>2444</v>
      </c>
      <c r="J2322">
        <v>155.41999999999999</v>
      </c>
    </row>
    <row r="2323" spans="1:10" x14ac:dyDescent="0.25">
      <c r="A2323" s="1">
        <v>45232</v>
      </c>
      <c r="B2323" t="s">
        <v>16</v>
      </c>
      <c r="C2323" t="s">
        <v>17</v>
      </c>
      <c r="D2323" t="s">
        <v>12</v>
      </c>
      <c r="E2323" t="s">
        <v>37</v>
      </c>
      <c r="F2323" t="s">
        <v>34</v>
      </c>
      <c r="G2323" t="s">
        <v>35</v>
      </c>
      <c r="H2323">
        <v>9</v>
      </c>
      <c r="I2323">
        <v>8640</v>
      </c>
      <c r="J2323">
        <v>1254.3</v>
      </c>
    </row>
    <row r="2324" spans="1:10" x14ac:dyDescent="0.25">
      <c r="A2324" s="1">
        <v>45124</v>
      </c>
      <c r="B2324" t="s">
        <v>32</v>
      </c>
      <c r="C2324" t="s">
        <v>19</v>
      </c>
      <c r="D2324" t="s">
        <v>12</v>
      </c>
      <c r="E2324" t="s">
        <v>22</v>
      </c>
      <c r="F2324" t="s">
        <v>23</v>
      </c>
      <c r="G2324" t="s">
        <v>24</v>
      </c>
      <c r="H2324">
        <v>9</v>
      </c>
      <c r="I2324">
        <v>3861</v>
      </c>
      <c r="J2324">
        <v>536.04</v>
      </c>
    </row>
    <row r="2325" spans="1:10" x14ac:dyDescent="0.25">
      <c r="A2325" s="1">
        <v>44766</v>
      </c>
      <c r="B2325" t="s">
        <v>49</v>
      </c>
      <c r="C2325" t="s">
        <v>17</v>
      </c>
      <c r="D2325" t="s">
        <v>12</v>
      </c>
      <c r="E2325" t="s">
        <v>56</v>
      </c>
      <c r="F2325" t="s">
        <v>57</v>
      </c>
      <c r="G2325" t="s">
        <v>24</v>
      </c>
      <c r="H2325">
        <v>1</v>
      </c>
      <c r="I2325">
        <v>868</v>
      </c>
      <c r="J2325">
        <v>60.12</v>
      </c>
    </row>
    <row r="2326" spans="1:10" x14ac:dyDescent="0.25">
      <c r="A2326" s="1">
        <v>45599</v>
      </c>
      <c r="B2326" t="s">
        <v>55</v>
      </c>
      <c r="C2326" t="s">
        <v>19</v>
      </c>
      <c r="D2326" t="s">
        <v>12</v>
      </c>
      <c r="E2326" t="s">
        <v>409</v>
      </c>
      <c r="F2326" t="s">
        <v>84</v>
      </c>
      <c r="G2326" t="s">
        <v>28</v>
      </c>
      <c r="H2326">
        <v>9</v>
      </c>
      <c r="I2326">
        <v>1746</v>
      </c>
      <c r="J2326">
        <v>260.5</v>
      </c>
    </row>
    <row r="2327" spans="1:10" x14ac:dyDescent="0.25">
      <c r="A2327" s="1">
        <v>45523</v>
      </c>
      <c r="B2327" t="s">
        <v>10</v>
      </c>
      <c r="C2327" t="s">
        <v>11</v>
      </c>
      <c r="D2327" t="s">
        <v>12</v>
      </c>
      <c r="E2327" t="s">
        <v>26</v>
      </c>
      <c r="F2327" t="s">
        <v>27</v>
      </c>
      <c r="G2327" t="s">
        <v>28</v>
      </c>
      <c r="H2327">
        <v>1</v>
      </c>
      <c r="I2327">
        <v>915</v>
      </c>
      <c r="J2327">
        <v>129.08000000000001</v>
      </c>
    </row>
    <row r="2328" spans="1:10" x14ac:dyDescent="0.25">
      <c r="A2328" s="1">
        <v>45550</v>
      </c>
      <c r="B2328" t="s">
        <v>32</v>
      </c>
      <c r="C2328" t="s">
        <v>19</v>
      </c>
      <c r="D2328" t="s">
        <v>12</v>
      </c>
      <c r="E2328" t="s">
        <v>22</v>
      </c>
      <c r="F2328" t="s">
        <v>23</v>
      </c>
      <c r="G2328" t="s">
        <v>24</v>
      </c>
      <c r="H2328">
        <v>9</v>
      </c>
      <c r="I2328">
        <v>3591</v>
      </c>
      <c r="J2328">
        <v>423</v>
      </c>
    </row>
    <row r="2329" spans="1:10" x14ac:dyDescent="0.25">
      <c r="A2329" s="1">
        <v>44954</v>
      </c>
      <c r="B2329" t="s">
        <v>25</v>
      </c>
      <c r="C2329" t="s">
        <v>19</v>
      </c>
      <c r="D2329" t="s">
        <v>12</v>
      </c>
      <c r="E2329" t="s">
        <v>22</v>
      </c>
      <c r="F2329" t="s">
        <v>23</v>
      </c>
      <c r="G2329" t="s">
        <v>24</v>
      </c>
      <c r="H2329">
        <v>6</v>
      </c>
      <c r="I2329">
        <v>2562</v>
      </c>
      <c r="J2329">
        <v>612.36</v>
      </c>
    </row>
    <row r="2330" spans="1:10" x14ac:dyDescent="0.25">
      <c r="A2330" s="1">
        <v>44893</v>
      </c>
      <c r="B2330" t="s">
        <v>32</v>
      </c>
      <c r="C2330" t="s">
        <v>19</v>
      </c>
      <c r="D2330" t="s">
        <v>12</v>
      </c>
      <c r="E2330" t="s">
        <v>74</v>
      </c>
      <c r="F2330" t="s">
        <v>23</v>
      </c>
      <c r="G2330" t="s">
        <v>24</v>
      </c>
      <c r="H2330">
        <v>9</v>
      </c>
      <c r="I2330">
        <v>5382</v>
      </c>
      <c r="J2330">
        <v>1037.04</v>
      </c>
    </row>
    <row r="2331" spans="1:10" x14ac:dyDescent="0.25">
      <c r="A2331" s="1">
        <v>45614</v>
      </c>
      <c r="B2331" t="s">
        <v>32</v>
      </c>
      <c r="C2331" t="s">
        <v>19</v>
      </c>
      <c r="D2331" t="s">
        <v>12</v>
      </c>
      <c r="E2331" t="s">
        <v>224</v>
      </c>
      <c r="F2331" t="s">
        <v>34</v>
      </c>
      <c r="G2331" t="s">
        <v>35</v>
      </c>
      <c r="H2331">
        <v>4</v>
      </c>
      <c r="I2331">
        <v>2792</v>
      </c>
      <c r="J2331">
        <v>170.96</v>
      </c>
    </row>
    <row r="2332" spans="1:10" x14ac:dyDescent="0.25">
      <c r="A2332" s="1">
        <v>44674</v>
      </c>
      <c r="B2332" t="s">
        <v>29</v>
      </c>
      <c r="C2332" t="s">
        <v>17</v>
      </c>
      <c r="D2332" t="s">
        <v>12</v>
      </c>
      <c r="E2332" t="s">
        <v>224</v>
      </c>
      <c r="F2332" t="s">
        <v>34</v>
      </c>
      <c r="G2332" t="s">
        <v>35</v>
      </c>
      <c r="H2332">
        <v>4</v>
      </c>
      <c r="I2332">
        <v>2160</v>
      </c>
      <c r="J2332">
        <v>631.9</v>
      </c>
    </row>
    <row r="2333" spans="1:10" x14ac:dyDescent="0.25">
      <c r="A2333" s="1">
        <v>45069</v>
      </c>
      <c r="B2333" t="s">
        <v>36</v>
      </c>
      <c r="C2333" t="s">
        <v>17</v>
      </c>
      <c r="D2333" t="s">
        <v>12</v>
      </c>
      <c r="E2333" t="s">
        <v>410</v>
      </c>
      <c r="F2333" t="s">
        <v>108</v>
      </c>
      <c r="G2333" t="s">
        <v>15</v>
      </c>
      <c r="H2333">
        <v>7</v>
      </c>
      <c r="I2333">
        <v>6377</v>
      </c>
      <c r="J2333">
        <v>1332.86</v>
      </c>
    </row>
    <row r="2334" spans="1:10" x14ac:dyDescent="0.25">
      <c r="A2334" s="1">
        <v>45429</v>
      </c>
      <c r="B2334" t="s">
        <v>40</v>
      </c>
      <c r="C2334" t="s">
        <v>19</v>
      </c>
      <c r="D2334" t="s">
        <v>12</v>
      </c>
      <c r="E2334" t="s">
        <v>111</v>
      </c>
      <c r="F2334" t="s">
        <v>115</v>
      </c>
      <c r="G2334" t="s">
        <v>15</v>
      </c>
      <c r="H2334">
        <v>8</v>
      </c>
      <c r="I2334">
        <v>5264</v>
      </c>
      <c r="J2334">
        <v>1051.5</v>
      </c>
    </row>
    <row r="2335" spans="1:10" x14ac:dyDescent="0.25">
      <c r="A2335" s="1">
        <v>45278</v>
      </c>
      <c r="B2335" t="s">
        <v>55</v>
      </c>
      <c r="C2335" t="s">
        <v>19</v>
      </c>
      <c r="D2335" t="s">
        <v>12</v>
      </c>
      <c r="E2335" t="s">
        <v>56</v>
      </c>
      <c r="F2335" t="s">
        <v>57</v>
      </c>
      <c r="G2335" t="s">
        <v>24</v>
      </c>
      <c r="H2335">
        <v>2</v>
      </c>
      <c r="I2335">
        <v>1346</v>
      </c>
      <c r="J2335">
        <v>196.5</v>
      </c>
    </row>
    <row r="2336" spans="1:10" x14ac:dyDescent="0.25">
      <c r="A2336" s="1">
        <v>45157</v>
      </c>
      <c r="B2336" t="s">
        <v>25</v>
      </c>
      <c r="C2336" t="s">
        <v>19</v>
      </c>
      <c r="D2336" t="s">
        <v>12</v>
      </c>
      <c r="E2336" t="s">
        <v>37</v>
      </c>
      <c r="F2336" t="s">
        <v>34</v>
      </c>
      <c r="G2336" t="s">
        <v>35</v>
      </c>
      <c r="H2336">
        <v>7</v>
      </c>
      <c r="I2336">
        <v>7301</v>
      </c>
      <c r="J2336">
        <v>1311.65</v>
      </c>
    </row>
    <row r="2337" spans="1:10" x14ac:dyDescent="0.25">
      <c r="A2337" s="1">
        <v>45036</v>
      </c>
      <c r="B2337" t="s">
        <v>49</v>
      </c>
      <c r="C2337" t="s">
        <v>17</v>
      </c>
      <c r="D2337" t="s">
        <v>12</v>
      </c>
      <c r="E2337" t="s">
        <v>26</v>
      </c>
      <c r="F2337" t="s">
        <v>27</v>
      </c>
      <c r="G2337" t="s">
        <v>28</v>
      </c>
      <c r="H2337">
        <v>2</v>
      </c>
      <c r="I2337">
        <v>2016</v>
      </c>
      <c r="J2337">
        <v>198.26</v>
      </c>
    </row>
    <row r="2338" spans="1:10" x14ac:dyDescent="0.25">
      <c r="A2338" s="1">
        <v>44742</v>
      </c>
      <c r="B2338" t="s">
        <v>55</v>
      </c>
      <c r="C2338" t="s">
        <v>19</v>
      </c>
      <c r="D2338" t="s">
        <v>12</v>
      </c>
      <c r="E2338" t="s">
        <v>43</v>
      </c>
      <c r="F2338" t="s">
        <v>44</v>
      </c>
      <c r="G2338" t="s">
        <v>35</v>
      </c>
      <c r="H2338">
        <v>6</v>
      </c>
      <c r="I2338">
        <v>1266</v>
      </c>
      <c r="J2338">
        <v>220.5</v>
      </c>
    </row>
    <row r="2339" spans="1:10" x14ac:dyDescent="0.25">
      <c r="A2339" s="1">
        <v>45027</v>
      </c>
      <c r="B2339" t="s">
        <v>16</v>
      </c>
      <c r="C2339" t="s">
        <v>17</v>
      </c>
      <c r="D2339" t="s">
        <v>12</v>
      </c>
      <c r="E2339" t="s">
        <v>213</v>
      </c>
      <c r="F2339" t="s">
        <v>34</v>
      </c>
      <c r="G2339" t="s">
        <v>35</v>
      </c>
      <c r="H2339">
        <v>2</v>
      </c>
      <c r="I2339">
        <v>140</v>
      </c>
      <c r="J2339">
        <v>35.18</v>
      </c>
    </row>
    <row r="2340" spans="1:10" x14ac:dyDescent="0.25">
      <c r="A2340" s="1">
        <v>45495</v>
      </c>
      <c r="B2340" t="s">
        <v>25</v>
      </c>
      <c r="C2340" t="s">
        <v>19</v>
      </c>
      <c r="D2340" t="s">
        <v>12</v>
      </c>
      <c r="E2340" t="s">
        <v>213</v>
      </c>
      <c r="F2340" t="s">
        <v>34</v>
      </c>
      <c r="G2340" t="s">
        <v>35</v>
      </c>
      <c r="H2340">
        <v>8</v>
      </c>
      <c r="I2340">
        <v>6520</v>
      </c>
      <c r="J2340">
        <v>1073.6199999999999</v>
      </c>
    </row>
    <row r="2341" spans="1:10" x14ac:dyDescent="0.25">
      <c r="A2341" s="1">
        <v>44611</v>
      </c>
      <c r="B2341" t="s">
        <v>49</v>
      </c>
      <c r="C2341" t="s">
        <v>17</v>
      </c>
      <c r="D2341" t="s">
        <v>12</v>
      </c>
      <c r="E2341" t="s">
        <v>22</v>
      </c>
      <c r="F2341" t="s">
        <v>23</v>
      </c>
      <c r="G2341" t="s">
        <v>24</v>
      </c>
      <c r="H2341">
        <v>1</v>
      </c>
      <c r="I2341">
        <v>582</v>
      </c>
      <c r="J2341">
        <v>29.91</v>
      </c>
    </row>
    <row r="2342" spans="1:10" x14ac:dyDescent="0.25">
      <c r="A2342" s="1">
        <v>45361</v>
      </c>
      <c r="B2342" t="s">
        <v>10</v>
      </c>
      <c r="C2342" t="s">
        <v>11</v>
      </c>
      <c r="D2342" t="s">
        <v>12</v>
      </c>
      <c r="E2342" t="s">
        <v>43</v>
      </c>
      <c r="F2342" t="s">
        <v>44</v>
      </c>
      <c r="G2342" t="s">
        <v>35</v>
      </c>
      <c r="H2342">
        <v>1</v>
      </c>
      <c r="I2342">
        <v>245</v>
      </c>
      <c r="J2342">
        <v>14.5</v>
      </c>
    </row>
    <row r="2343" spans="1:10" x14ac:dyDescent="0.25">
      <c r="A2343" s="1">
        <v>45409</v>
      </c>
      <c r="B2343" t="s">
        <v>16</v>
      </c>
      <c r="C2343" t="s">
        <v>17</v>
      </c>
      <c r="D2343" t="s">
        <v>12</v>
      </c>
      <c r="E2343" t="s">
        <v>74</v>
      </c>
      <c r="F2343" t="s">
        <v>23</v>
      </c>
      <c r="G2343" t="s">
        <v>24</v>
      </c>
      <c r="H2343">
        <v>1</v>
      </c>
      <c r="I2343">
        <v>504</v>
      </c>
      <c r="J2343">
        <v>143.12</v>
      </c>
    </row>
    <row r="2344" spans="1:10" x14ac:dyDescent="0.25">
      <c r="A2344" s="1">
        <v>44840</v>
      </c>
      <c r="B2344" t="s">
        <v>36</v>
      </c>
      <c r="C2344" t="s">
        <v>17</v>
      </c>
      <c r="D2344" t="s">
        <v>12</v>
      </c>
      <c r="E2344" t="s">
        <v>74</v>
      </c>
      <c r="F2344" t="s">
        <v>23</v>
      </c>
      <c r="G2344" t="s">
        <v>24</v>
      </c>
      <c r="H2344">
        <v>6</v>
      </c>
      <c r="I2344">
        <v>6834</v>
      </c>
      <c r="J2344">
        <v>1211.75</v>
      </c>
    </row>
    <row r="2345" spans="1:10" x14ac:dyDescent="0.25">
      <c r="A2345" s="1">
        <v>44835</v>
      </c>
      <c r="B2345" t="s">
        <v>29</v>
      </c>
      <c r="C2345" t="s">
        <v>17</v>
      </c>
      <c r="D2345" t="s">
        <v>12</v>
      </c>
      <c r="E2345" t="s">
        <v>411</v>
      </c>
      <c r="F2345" t="s">
        <v>23</v>
      </c>
      <c r="G2345" t="s">
        <v>24</v>
      </c>
      <c r="H2345">
        <v>8</v>
      </c>
      <c r="I2345">
        <v>5712</v>
      </c>
      <c r="J2345">
        <v>1191.02</v>
      </c>
    </row>
    <row r="2346" spans="1:10" x14ac:dyDescent="0.25">
      <c r="A2346" s="1">
        <v>45055</v>
      </c>
      <c r="B2346" t="s">
        <v>55</v>
      </c>
      <c r="C2346" t="s">
        <v>19</v>
      </c>
      <c r="D2346" t="s">
        <v>12</v>
      </c>
      <c r="E2346" t="s">
        <v>43</v>
      </c>
      <c r="F2346" t="s">
        <v>44</v>
      </c>
      <c r="G2346" t="s">
        <v>35</v>
      </c>
      <c r="H2346">
        <v>5</v>
      </c>
      <c r="I2346">
        <v>4485</v>
      </c>
      <c r="J2346">
        <v>347.99</v>
      </c>
    </row>
    <row r="2347" spans="1:10" x14ac:dyDescent="0.25">
      <c r="A2347" s="1">
        <v>45445</v>
      </c>
      <c r="B2347" t="s">
        <v>29</v>
      </c>
      <c r="C2347" t="s">
        <v>17</v>
      </c>
      <c r="D2347" t="s">
        <v>12</v>
      </c>
      <c r="E2347" t="s">
        <v>210</v>
      </c>
      <c r="F2347" t="s">
        <v>34</v>
      </c>
      <c r="G2347" t="s">
        <v>35</v>
      </c>
      <c r="H2347">
        <v>8</v>
      </c>
      <c r="I2347">
        <v>2304</v>
      </c>
      <c r="J2347">
        <v>291.45999999999998</v>
      </c>
    </row>
    <row r="2348" spans="1:10" x14ac:dyDescent="0.25">
      <c r="A2348" s="1">
        <v>45466</v>
      </c>
      <c r="B2348" t="s">
        <v>16</v>
      </c>
      <c r="C2348" t="s">
        <v>17</v>
      </c>
      <c r="D2348" t="s">
        <v>12</v>
      </c>
      <c r="E2348" t="s">
        <v>101</v>
      </c>
      <c r="F2348" t="s">
        <v>21</v>
      </c>
      <c r="G2348" t="s">
        <v>15</v>
      </c>
      <c r="H2348">
        <v>6</v>
      </c>
      <c r="I2348">
        <v>6576</v>
      </c>
      <c r="J2348">
        <v>815.56</v>
      </c>
    </row>
    <row r="2349" spans="1:10" x14ac:dyDescent="0.25">
      <c r="A2349" s="1">
        <v>44881</v>
      </c>
      <c r="B2349" t="s">
        <v>49</v>
      </c>
      <c r="C2349" t="s">
        <v>17</v>
      </c>
      <c r="D2349" t="s">
        <v>12</v>
      </c>
      <c r="E2349" t="s">
        <v>52</v>
      </c>
      <c r="F2349" t="s">
        <v>42</v>
      </c>
      <c r="G2349" t="s">
        <v>28</v>
      </c>
      <c r="H2349">
        <v>9</v>
      </c>
      <c r="I2349">
        <v>10629</v>
      </c>
      <c r="J2349">
        <v>2843.54</v>
      </c>
    </row>
    <row r="2350" spans="1:10" x14ac:dyDescent="0.25">
      <c r="A2350" s="1">
        <v>44632</v>
      </c>
      <c r="B2350" t="s">
        <v>25</v>
      </c>
      <c r="C2350" t="s">
        <v>19</v>
      </c>
      <c r="D2350" t="s">
        <v>12</v>
      </c>
      <c r="E2350" t="s">
        <v>105</v>
      </c>
      <c r="F2350" t="s">
        <v>23</v>
      </c>
      <c r="G2350" t="s">
        <v>24</v>
      </c>
      <c r="H2350">
        <v>1</v>
      </c>
      <c r="I2350">
        <v>706</v>
      </c>
      <c r="J2350">
        <v>153.59</v>
      </c>
    </row>
    <row r="2351" spans="1:10" x14ac:dyDescent="0.25">
      <c r="A2351" s="1">
        <v>44667</v>
      </c>
      <c r="B2351" t="s">
        <v>29</v>
      </c>
      <c r="C2351" t="s">
        <v>17</v>
      </c>
      <c r="D2351" t="s">
        <v>12</v>
      </c>
      <c r="E2351" t="s">
        <v>412</v>
      </c>
      <c r="F2351" t="s">
        <v>222</v>
      </c>
      <c r="G2351" t="s">
        <v>35</v>
      </c>
      <c r="H2351">
        <v>1</v>
      </c>
      <c r="I2351">
        <v>977</v>
      </c>
      <c r="J2351">
        <v>103.82</v>
      </c>
    </row>
    <row r="2352" spans="1:10" x14ac:dyDescent="0.25">
      <c r="A2352" s="1">
        <v>45032</v>
      </c>
      <c r="B2352" t="s">
        <v>32</v>
      </c>
      <c r="C2352" t="s">
        <v>19</v>
      </c>
      <c r="D2352" t="s">
        <v>12</v>
      </c>
      <c r="E2352" t="s">
        <v>307</v>
      </c>
      <c r="F2352" t="s">
        <v>156</v>
      </c>
      <c r="G2352" t="s">
        <v>28</v>
      </c>
      <c r="H2352">
        <v>4</v>
      </c>
      <c r="I2352">
        <v>776</v>
      </c>
      <c r="J2352">
        <v>73.16</v>
      </c>
    </row>
    <row r="2353" spans="1:10" x14ac:dyDescent="0.25">
      <c r="A2353" s="1">
        <v>44846</v>
      </c>
      <c r="B2353" t="s">
        <v>18</v>
      </c>
      <c r="C2353" t="s">
        <v>19</v>
      </c>
      <c r="D2353" t="s">
        <v>12</v>
      </c>
      <c r="E2353" t="s">
        <v>77</v>
      </c>
      <c r="F2353" t="s">
        <v>78</v>
      </c>
      <c r="G2353" t="s">
        <v>28</v>
      </c>
      <c r="H2353">
        <v>4</v>
      </c>
      <c r="I2353">
        <v>3932</v>
      </c>
      <c r="J2353">
        <v>309.43</v>
      </c>
    </row>
    <row r="2354" spans="1:10" x14ac:dyDescent="0.25">
      <c r="A2354" s="1">
        <v>44863</v>
      </c>
      <c r="B2354" t="s">
        <v>49</v>
      </c>
      <c r="C2354" t="s">
        <v>17</v>
      </c>
      <c r="D2354" t="s">
        <v>12</v>
      </c>
      <c r="E2354" t="s">
        <v>105</v>
      </c>
      <c r="F2354" t="s">
        <v>23</v>
      </c>
      <c r="G2354" t="s">
        <v>24</v>
      </c>
      <c r="H2354">
        <v>3</v>
      </c>
      <c r="I2354">
        <v>1263</v>
      </c>
      <c r="J2354">
        <v>368.46</v>
      </c>
    </row>
    <row r="2355" spans="1:10" x14ac:dyDescent="0.25">
      <c r="A2355" s="1">
        <v>44774</v>
      </c>
      <c r="B2355" t="s">
        <v>49</v>
      </c>
      <c r="C2355" t="s">
        <v>17</v>
      </c>
      <c r="D2355" t="s">
        <v>12</v>
      </c>
      <c r="E2355" t="s">
        <v>105</v>
      </c>
      <c r="F2355" t="s">
        <v>23</v>
      </c>
      <c r="G2355" t="s">
        <v>24</v>
      </c>
      <c r="H2355">
        <v>8</v>
      </c>
      <c r="I2355">
        <v>7064</v>
      </c>
      <c r="J2355">
        <v>745.24</v>
      </c>
    </row>
    <row r="2356" spans="1:10" x14ac:dyDescent="0.25">
      <c r="A2356" s="1">
        <v>45036</v>
      </c>
      <c r="B2356" t="s">
        <v>49</v>
      </c>
      <c r="C2356" t="s">
        <v>17</v>
      </c>
      <c r="D2356" t="s">
        <v>12</v>
      </c>
      <c r="E2356" t="s">
        <v>74</v>
      </c>
      <c r="F2356" t="s">
        <v>23</v>
      </c>
      <c r="G2356" t="s">
        <v>24</v>
      </c>
      <c r="H2356">
        <v>4</v>
      </c>
      <c r="I2356">
        <v>4740</v>
      </c>
      <c r="J2356">
        <v>746.77</v>
      </c>
    </row>
    <row r="2357" spans="1:10" x14ac:dyDescent="0.25">
      <c r="A2357" s="1">
        <v>45376</v>
      </c>
      <c r="B2357" t="s">
        <v>10</v>
      </c>
      <c r="C2357" t="s">
        <v>11</v>
      </c>
      <c r="D2357" t="s">
        <v>12</v>
      </c>
      <c r="E2357" t="s">
        <v>56</v>
      </c>
      <c r="F2357" t="s">
        <v>57</v>
      </c>
      <c r="G2357" t="s">
        <v>24</v>
      </c>
      <c r="H2357">
        <v>7</v>
      </c>
      <c r="I2357">
        <v>4522</v>
      </c>
      <c r="J2357">
        <v>1137.23</v>
      </c>
    </row>
    <row r="2358" spans="1:10" x14ac:dyDescent="0.25">
      <c r="A2358" s="1">
        <v>45288</v>
      </c>
      <c r="B2358" t="s">
        <v>18</v>
      </c>
      <c r="C2358" t="s">
        <v>19</v>
      </c>
      <c r="D2358" t="s">
        <v>12</v>
      </c>
      <c r="E2358" t="s">
        <v>56</v>
      </c>
      <c r="F2358" t="s">
        <v>57</v>
      </c>
      <c r="G2358" t="s">
        <v>24</v>
      </c>
      <c r="H2358">
        <v>7</v>
      </c>
      <c r="I2358">
        <v>2009</v>
      </c>
      <c r="J2358">
        <v>183.19</v>
      </c>
    </row>
    <row r="2359" spans="1:10" x14ac:dyDescent="0.25">
      <c r="A2359" s="1">
        <v>45400</v>
      </c>
      <c r="B2359" t="s">
        <v>40</v>
      </c>
      <c r="C2359" t="s">
        <v>19</v>
      </c>
      <c r="D2359" t="s">
        <v>12</v>
      </c>
      <c r="E2359" t="s">
        <v>132</v>
      </c>
      <c r="F2359" t="s">
        <v>189</v>
      </c>
      <c r="G2359" t="s">
        <v>24</v>
      </c>
      <c r="H2359">
        <v>2</v>
      </c>
      <c r="I2359">
        <v>2110</v>
      </c>
      <c r="J2359">
        <v>548.12</v>
      </c>
    </row>
    <row r="2360" spans="1:10" x14ac:dyDescent="0.25">
      <c r="A2360" s="1">
        <v>45561</v>
      </c>
      <c r="B2360" t="s">
        <v>16</v>
      </c>
      <c r="C2360" t="s">
        <v>17</v>
      </c>
      <c r="D2360" t="s">
        <v>12</v>
      </c>
      <c r="E2360" t="s">
        <v>26</v>
      </c>
      <c r="F2360" t="s">
        <v>27</v>
      </c>
      <c r="G2360" t="s">
        <v>28</v>
      </c>
      <c r="H2360">
        <v>1</v>
      </c>
      <c r="I2360">
        <v>95</v>
      </c>
      <c r="J2360">
        <v>6.97</v>
      </c>
    </row>
    <row r="2361" spans="1:10" x14ac:dyDescent="0.25">
      <c r="A2361" s="1">
        <v>45249</v>
      </c>
      <c r="B2361" t="s">
        <v>32</v>
      </c>
      <c r="C2361" t="s">
        <v>19</v>
      </c>
      <c r="D2361" t="s">
        <v>12</v>
      </c>
      <c r="E2361" t="s">
        <v>43</v>
      </c>
      <c r="F2361" t="s">
        <v>44</v>
      </c>
      <c r="G2361" t="s">
        <v>35</v>
      </c>
      <c r="H2361">
        <v>1</v>
      </c>
      <c r="I2361">
        <v>384</v>
      </c>
      <c r="J2361">
        <v>83.58</v>
      </c>
    </row>
    <row r="2362" spans="1:10" x14ac:dyDescent="0.25">
      <c r="A2362" s="1">
        <v>45039</v>
      </c>
      <c r="B2362" t="s">
        <v>18</v>
      </c>
      <c r="C2362" t="s">
        <v>19</v>
      </c>
      <c r="D2362" t="s">
        <v>12</v>
      </c>
      <c r="E2362" t="s">
        <v>43</v>
      </c>
      <c r="F2362" t="s">
        <v>44</v>
      </c>
      <c r="G2362" t="s">
        <v>35</v>
      </c>
      <c r="H2362">
        <v>3</v>
      </c>
      <c r="I2362">
        <v>3471</v>
      </c>
      <c r="J2362">
        <v>200.08</v>
      </c>
    </row>
    <row r="2363" spans="1:10" x14ac:dyDescent="0.25">
      <c r="A2363" s="1">
        <v>45097</v>
      </c>
      <c r="B2363" t="s">
        <v>18</v>
      </c>
      <c r="C2363" t="s">
        <v>19</v>
      </c>
      <c r="D2363" t="s">
        <v>12</v>
      </c>
      <c r="E2363" t="s">
        <v>43</v>
      </c>
      <c r="F2363" t="s">
        <v>44</v>
      </c>
      <c r="G2363" t="s">
        <v>35</v>
      </c>
      <c r="H2363">
        <v>4</v>
      </c>
      <c r="I2363">
        <v>2048</v>
      </c>
      <c r="J2363">
        <v>507.01</v>
      </c>
    </row>
    <row r="2364" spans="1:10" x14ac:dyDescent="0.25">
      <c r="A2364" s="1">
        <v>44778</v>
      </c>
      <c r="B2364" t="s">
        <v>36</v>
      </c>
      <c r="C2364" t="s">
        <v>17</v>
      </c>
      <c r="D2364" t="s">
        <v>12</v>
      </c>
      <c r="E2364" t="s">
        <v>52</v>
      </c>
      <c r="F2364" t="s">
        <v>42</v>
      </c>
      <c r="G2364" t="s">
        <v>28</v>
      </c>
      <c r="H2364">
        <v>8</v>
      </c>
      <c r="I2364">
        <v>9296</v>
      </c>
      <c r="J2364">
        <v>2581.06</v>
      </c>
    </row>
    <row r="2365" spans="1:10" x14ac:dyDescent="0.25">
      <c r="A2365" s="1">
        <v>44709</v>
      </c>
      <c r="B2365" t="s">
        <v>55</v>
      </c>
      <c r="C2365" t="s">
        <v>19</v>
      </c>
      <c r="D2365" t="s">
        <v>12</v>
      </c>
      <c r="E2365" t="s">
        <v>413</v>
      </c>
      <c r="F2365" t="s">
        <v>149</v>
      </c>
      <c r="G2365" t="s">
        <v>15</v>
      </c>
      <c r="H2365">
        <v>8</v>
      </c>
      <c r="I2365">
        <v>5272</v>
      </c>
      <c r="J2365">
        <v>1188.1600000000001</v>
      </c>
    </row>
    <row r="2366" spans="1:10" x14ac:dyDescent="0.25">
      <c r="A2366" s="1">
        <v>45309</v>
      </c>
      <c r="B2366" t="s">
        <v>29</v>
      </c>
      <c r="C2366" t="s">
        <v>17</v>
      </c>
      <c r="D2366" t="s">
        <v>12</v>
      </c>
      <c r="E2366" t="s">
        <v>52</v>
      </c>
      <c r="F2366" t="s">
        <v>42</v>
      </c>
      <c r="G2366" t="s">
        <v>28</v>
      </c>
      <c r="H2366">
        <v>1</v>
      </c>
      <c r="I2366">
        <v>619</v>
      </c>
      <c r="J2366">
        <v>127.58</v>
      </c>
    </row>
    <row r="2367" spans="1:10" x14ac:dyDescent="0.25">
      <c r="A2367" s="1">
        <v>45043</v>
      </c>
      <c r="B2367" t="s">
        <v>55</v>
      </c>
      <c r="C2367" t="s">
        <v>19</v>
      </c>
      <c r="D2367" t="s">
        <v>12</v>
      </c>
      <c r="E2367" t="s">
        <v>52</v>
      </c>
      <c r="F2367" t="s">
        <v>42</v>
      </c>
      <c r="G2367" t="s">
        <v>28</v>
      </c>
      <c r="H2367">
        <v>1</v>
      </c>
      <c r="I2367">
        <v>448</v>
      </c>
      <c r="J2367">
        <v>53.2</v>
      </c>
    </row>
    <row r="2368" spans="1:10" x14ac:dyDescent="0.25">
      <c r="A2368" s="1">
        <v>44722</v>
      </c>
      <c r="B2368" t="s">
        <v>49</v>
      </c>
      <c r="C2368" t="s">
        <v>17</v>
      </c>
      <c r="D2368" t="s">
        <v>12</v>
      </c>
      <c r="E2368" t="s">
        <v>414</v>
      </c>
      <c r="F2368" t="s">
        <v>21</v>
      </c>
      <c r="G2368" t="s">
        <v>15</v>
      </c>
      <c r="H2368">
        <v>9</v>
      </c>
      <c r="I2368">
        <v>5004</v>
      </c>
      <c r="J2368">
        <v>1313.13</v>
      </c>
    </row>
    <row r="2369" spans="1:10" x14ac:dyDescent="0.25">
      <c r="A2369" s="1">
        <v>45265</v>
      </c>
      <c r="B2369" t="s">
        <v>49</v>
      </c>
      <c r="C2369" t="s">
        <v>17</v>
      </c>
      <c r="D2369" t="s">
        <v>12</v>
      </c>
      <c r="E2369" t="s">
        <v>210</v>
      </c>
      <c r="F2369" t="s">
        <v>34</v>
      </c>
      <c r="G2369" t="s">
        <v>35</v>
      </c>
      <c r="H2369">
        <v>4</v>
      </c>
      <c r="I2369">
        <v>4716</v>
      </c>
      <c r="J2369">
        <v>704.99</v>
      </c>
    </row>
    <row r="2370" spans="1:10" x14ac:dyDescent="0.25">
      <c r="A2370" s="1">
        <v>44692</v>
      </c>
      <c r="B2370" t="s">
        <v>10</v>
      </c>
      <c r="C2370" t="s">
        <v>11</v>
      </c>
      <c r="D2370" t="s">
        <v>12</v>
      </c>
      <c r="E2370" t="s">
        <v>210</v>
      </c>
      <c r="F2370" t="s">
        <v>34</v>
      </c>
      <c r="G2370" t="s">
        <v>35</v>
      </c>
      <c r="H2370">
        <v>9</v>
      </c>
      <c r="I2370">
        <v>7506</v>
      </c>
      <c r="J2370">
        <v>827.17</v>
      </c>
    </row>
    <row r="2371" spans="1:10" x14ac:dyDescent="0.25">
      <c r="A2371" s="1">
        <v>45302</v>
      </c>
      <c r="B2371" t="s">
        <v>49</v>
      </c>
      <c r="C2371" t="s">
        <v>17</v>
      </c>
      <c r="D2371" t="s">
        <v>12</v>
      </c>
      <c r="E2371" t="s">
        <v>41</v>
      </c>
      <c r="F2371" t="s">
        <v>42</v>
      </c>
      <c r="G2371" t="s">
        <v>28</v>
      </c>
      <c r="H2371">
        <v>7</v>
      </c>
      <c r="I2371">
        <v>4095</v>
      </c>
      <c r="J2371">
        <v>883.56</v>
      </c>
    </row>
    <row r="2372" spans="1:10" x14ac:dyDescent="0.25">
      <c r="A2372" s="1">
        <v>45504</v>
      </c>
      <c r="B2372" t="s">
        <v>32</v>
      </c>
      <c r="C2372" t="s">
        <v>19</v>
      </c>
      <c r="D2372" t="s">
        <v>12</v>
      </c>
      <c r="E2372" t="s">
        <v>314</v>
      </c>
      <c r="F2372" t="s">
        <v>108</v>
      </c>
      <c r="G2372" t="s">
        <v>15</v>
      </c>
      <c r="H2372">
        <v>7</v>
      </c>
      <c r="I2372">
        <v>4459</v>
      </c>
      <c r="J2372">
        <v>1037.27</v>
      </c>
    </row>
    <row r="2373" spans="1:10" x14ac:dyDescent="0.25">
      <c r="A2373" s="1">
        <v>44865</v>
      </c>
      <c r="B2373" t="s">
        <v>18</v>
      </c>
      <c r="C2373" t="s">
        <v>19</v>
      </c>
      <c r="D2373" t="s">
        <v>12</v>
      </c>
      <c r="E2373" t="s">
        <v>103</v>
      </c>
      <c r="F2373" t="s">
        <v>21</v>
      </c>
      <c r="G2373" t="s">
        <v>15</v>
      </c>
      <c r="H2373">
        <v>5</v>
      </c>
      <c r="I2373">
        <v>620</v>
      </c>
      <c r="J2373">
        <v>62.49</v>
      </c>
    </row>
    <row r="2374" spans="1:10" x14ac:dyDescent="0.25">
      <c r="A2374" s="1">
        <v>44790</v>
      </c>
      <c r="B2374" t="s">
        <v>32</v>
      </c>
      <c r="C2374" t="s">
        <v>19</v>
      </c>
      <c r="D2374" t="s">
        <v>12</v>
      </c>
      <c r="E2374" t="s">
        <v>103</v>
      </c>
      <c r="F2374" t="s">
        <v>21</v>
      </c>
      <c r="G2374" t="s">
        <v>15</v>
      </c>
      <c r="H2374">
        <v>2</v>
      </c>
      <c r="I2374">
        <v>2362</v>
      </c>
      <c r="J2374">
        <v>185.89</v>
      </c>
    </row>
    <row r="2375" spans="1:10" x14ac:dyDescent="0.25">
      <c r="A2375" s="1">
        <v>44648</v>
      </c>
      <c r="B2375" t="s">
        <v>10</v>
      </c>
      <c r="C2375" t="s">
        <v>11</v>
      </c>
      <c r="D2375" t="s">
        <v>12</v>
      </c>
      <c r="E2375" t="s">
        <v>103</v>
      </c>
      <c r="F2375" t="s">
        <v>21</v>
      </c>
      <c r="G2375" t="s">
        <v>15</v>
      </c>
      <c r="H2375">
        <v>2</v>
      </c>
      <c r="I2375">
        <v>606</v>
      </c>
      <c r="J2375">
        <v>154.99</v>
      </c>
    </row>
    <row r="2376" spans="1:10" x14ac:dyDescent="0.25">
      <c r="A2376" s="1">
        <v>45499</v>
      </c>
      <c r="B2376" t="s">
        <v>25</v>
      </c>
      <c r="C2376" t="s">
        <v>19</v>
      </c>
      <c r="D2376" t="s">
        <v>12</v>
      </c>
      <c r="E2376" t="s">
        <v>74</v>
      </c>
      <c r="F2376" t="s">
        <v>23</v>
      </c>
      <c r="G2376" t="s">
        <v>24</v>
      </c>
      <c r="H2376">
        <v>4</v>
      </c>
      <c r="I2376">
        <v>1084</v>
      </c>
      <c r="J2376">
        <v>134.41999999999999</v>
      </c>
    </row>
    <row r="2377" spans="1:10" x14ac:dyDescent="0.25">
      <c r="A2377" s="1">
        <v>44596</v>
      </c>
      <c r="B2377" t="s">
        <v>55</v>
      </c>
      <c r="C2377" t="s">
        <v>19</v>
      </c>
      <c r="D2377" t="s">
        <v>12</v>
      </c>
      <c r="E2377" t="s">
        <v>43</v>
      </c>
      <c r="F2377" t="s">
        <v>44</v>
      </c>
      <c r="G2377" t="s">
        <v>35</v>
      </c>
      <c r="H2377">
        <v>8</v>
      </c>
      <c r="I2377">
        <v>2880</v>
      </c>
      <c r="J2377">
        <v>315.87</v>
      </c>
    </row>
    <row r="2378" spans="1:10" x14ac:dyDescent="0.25">
      <c r="A2378" s="1">
        <v>45036</v>
      </c>
      <c r="B2378" t="s">
        <v>55</v>
      </c>
      <c r="C2378" t="s">
        <v>19</v>
      </c>
      <c r="D2378" t="s">
        <v>12</v>
      </c>
      <c r="E2378" t="s">
        <v>53</v>
      </c>
      <c r="F2378" t="s">
        <v>44</v>
      </c>
      <c r="G2378" t="s">
        <v>35</v>
      </c>
      <c r="H2378">
        <v>8</v>
      </c>
      <c r="I2378">
        <v>4544</v>
      </c>
      <c r="J2378">
        <v>727.05</v>
      </c>
    </row>
    <row r="2379" spans="1:10" x14ac:dyDescent="0.25">
      <c r="A2379" s="1">
        <v>45543</v>
      </c>
      <c r="B2379" t="s">
        <v>16</v>
      </c>
      <c r="C2379" t="s">
        <v>17</v>
      </c>
      <c r="D2379" t="s">
        <v>12</v>
      </c>
      <c r="E2379" t="s">
        <v>52</v>
      </c>
      <c r="F2379" t="s">
        <v>42</v>
      </c>
      <c r="G2379" t="s">
        <v>28</v>
      </c>
      <c r="H2379">
        <v>4</v>
      </c>
      <c r="I2379">
        <v>556</v>
      </c>
      <c r="J2379">
        <v>85.63</v>
      </c>
    </row>
    <row r="2380" spans="1:10" x14ac:dyDescent="0.25">
      <c r="A2380" s="1">
        <v>45260</v>
      </c>
      <c r="B2380" t="s">
        <v>55</v>
      </c>
      <c r="C2380" t="s">
        <v>19</v>
      </c>
      <c r="D2380" t="s">
        <v>12</v>
      </c>
      <c r="E2380" t="s">
        <v>384</v>
      </c>
      <c r="F2380" t="s">
        <v>23</v>
      </c>
      <c r="G2380" t="s">
        <v>24</v>
      </c>
      <c r="H2380">
        <v>5</v>
      </c>
      <c r="I2380">
        <v>505</v>
      </c>
      <c r="J2380">
        <v>71.97</v>
      </c>
    </row>
    <row r="2381" spans="1:10" x14ac:dyDescent="0.25">
      <c r="A2381" s="1">
        <v>44988</v>
      </c>
      <c r="B2381" t="s">
        <v>18</v>
      </c>
      <c r="C2381" t="s">
        <v>19</v>
      </c>
      <c r="D2381" t="s">
        <v>12</v>
      </c>
      <c r="E2381" t="s">
        <v>103</v>
      </c>
      <c r="F2381" t="s">
        <v>149</v>
      </c>
      <c r="G2381" t="s">
        <v>15</v>
      </c>
      <c r="H2381">
        <v>5</v>
      </c>
      <c r="I2381">
        <v>2595</v>
      </c>
      <c r="J2381">
        <v>774.2</v>
      </c>
    </row>
    <row r="2382" spans="1:10" x14ac:dyDescent="0.25">
      <c r="A2382" s="1">
        <v>44950</v>
      </c>
      <c r="B2382" t="s">
        <v>29</v>
      </c>
      <c r="C2382" t="s">
        <v>17</v>
      </c>
      <c r="D2382" t="s">
        <v>12</v>
      </c>
      <c r="E2382" t="s">
        <v>390</v>
      </c>
      <c r="F2382" t="s">
        <v>44</v>
      </c>
      <c r="G2382" t="s">
        <v>35</v>
      </c>
      <c r="H2382">
        <v>5</v>
      </c>
      <c r="I2382">
        <v>2820</v>
      </c>
      <c r="J2382">
        <v>737.68</v>
      </c>
    </row>
    <row r="2383" spans="1:10" x14ac:dyDescent="0.25">
      <c r="A2383" s="1">
        <v>45228</v>
      </c>
      <c r="B2383" t="s">
        <v>49</v>
      </c>
      <c r="C2383" t="s">
        <v>17</v>
      </c>
      <c r="D2383" t="s">
        <v>12</v>
      </c>
      <c r="E2383" t="s">
        <v>192</v>
      </c>
      <c r="F2383" t="s">
        <v>149</v>
      </c>
      <c r="G2383" t="s">
        <v>15</v>
      </c>
      <c r="H2383">
        <v>2</v>
      </c>
      <c r="I2383">
        <v>1018</v>
      </c>
      <c r="J2383">
        <v>297.20999999999998</v>
      </c>
    </row>
    <row r="2384" spans="1:10" x14ac:dyDescent="0.25">
      <c r="A2384" s="1">
        <v>44989</v>
      </c>
      <c r="B2384" t="s">
        <v>55</v>
      </c>
      <c r="C2384" t="s">
        <v>19</v>
      </c>
      <c r="D2384" t="s">
        <v>12</v>
      </c>
      <c r="E2384" t="s">
        <v>22</v>
      </c>
      <c r="F2384" t="s">
        <v>23</v>
      </c>
      <c r="G2384" t="s">
        <v>24</v>
      </c>
      <c r="H2384">
        <v>4</v>
      </c>
      <c r="I2384">
        <v>944</v>
      </c>
      <c r="J2384">
        <v>176.56</v>
      </c>
    </row>
    <row r="2385" spans="1:10" x14ac:dyDescent="0.25">
      <c r="A2385" s="1">
        <v>45168</v>
      </c>
      <c r="B2385" t="s">
        <v>18</v>
      </c>
      <c r="C2385" t="s">
        <v>19</v>
      </c>
      <c r="D2385" t="s">
        <v>12</v>
      </c>
      <c r="E2385" t="s">
        <v>244</v>
      </c>
      <c r="F2385" t="s">
        <v>23</v>
      </c>
      <c r="G2385" t="s">
        <v>24</v>
      </c>
      <c r="H2385">
        <v>1</v>
      </c>
      <c r="I2385">
        <v>610</v>
      </c>
      <c r="J2385">
        <v>44.99</v>
      </c>
    </row>
    <row r="2386" spans="1:10" x14ac:dyDescent="0.25">
      <c r="A2386" s="1">
        <v>45437</v>
      </c>
      <c r="B2386" t="s">
        <v>25</v>
      </c>
      <c r="C2386" t="s">
        <v>19</v>
      </c>
      <c r="D2386" t="s">
        <v>12</v>
      </c>
      <c r="E2386" t="s">
        <v>37</v>
      </c>
      <c r="F2386" t="s">
        <v>34</v>
      </c>
      <c r="G2386" t="s">
        <v>35</v>
      </c>
      <c r="H2386">
        <v>4</v>
      </c>
      <c r="I2386">
        <v>912</v>
      </c>
      <c r="J2386">
        <v>81.650000000000006</v>
      </c>
    </row>
    <row r="2387" spans="1:10" x14ac:dyDescent="0.25">
      <c r="A2387" s="1">
        <v>45018</v>
      </c>
      <c r="B2387" t="s">
        <v>36</v>
      </c>
      <c r="C2387" t="s">
        <v>17</v>
      </c>
      <c r="D2387" t="s">
        <v>12</v>
      </c>
      <c r="E2387" t="s">
        <v>75</v>
      </c>
      <c r="F2387" t="s">
        <v>108</v>
      </c>
      <c r="G2387" t="s">
        <v>15</v>
      </c>
      <c r="H2387">
        <v>9</v>
      </c>
      <c r="I2387">
        <v>10413</v>
      </c>
      <c r="J2387">
        <v>1738.63</v>
      </c>
    </row>
    <row r="2388" spans="1:10" x14ac:dyDescent="0.25">
      <c r="A2388" s="1">
        <v>45134</v>
      </c>
      <c r="B2388" t="s">
        <v>10</v>
      </c>
      <c r="C2388" t="s">
        <v>11</v>
      </c>
      <c r="D2388" t="s">
        <v>12</v>
      </c>
      <c r="E2388" t="s">
        <v>326</v>
      </c>
      <c r="F2388" t="s">
        <v>34</v>
      </c>
      <c r="G2388" t="s">
        <v>35</v>
      </c>
      <c r="H2388">
        <v>8</v>
      </c>
      <c r="I2388">
        <v>2176</v>
      </c>
      <c r="J2388">
        <v>398.29</v>
      </c>
    </row>
    <row r="2389" spans="1:10" x14ac:dyDescent="0.25">
      <c r="A2389" s="1">
        <v>44565</v>
      </c>
      <c r="B2389" t="s">
        <v>10</v>
      </c>
      <c r="C2389" t="s">
        <v>11</v>
      </c>
      <c r="D2389" t="s">
        <v>12</v>
      </c>
      <c r="E2389" t="s">
        <v>415</v>
      </c>
      <c r="F2389" t="s">
        <v>84</v>
      </c>
      <c r="G2389" t="s">
        <v>28</v>
      </c>
      <c r="H2389">
        <v>6</v>
      </c>
      <c r="I2389">
        <v>6108</v>
      </c>
      <c r="J2389">
        <v>1488.4</v>
      </c>
    </row>
    <row r="2390" spans="1:10" x14ac:dyDescent="0.25">
      <c r="A2390" s="1">
        <v>45336</v>
      </c>
      <c r="B2390" t="s">
        <v>16</v>
      </c>
      <c r="C2390" t="s">
        <v>17</v>
      </c>
      <c r="D2390" t="s">
        <v>12</v>
      </c>
      <c r="E2390" t="s">
        <v>239</v>
      </c>
      <c r="F2390" t="s">
        <v>23</v>
      </c>
      <c r="G2390" t="s">
        <v>24</v>
      </c>
      <c r="H2390">
        <v>2</v>
      </c>
      <c r="I2390">
        <v>1148</v>
      </c>
      <c r="J2390">
        <v>173.89</v>
      </c>
    </row>
    <row r="2391" spans="1:10" x14ac:dyDescent="0.25">
      <c r="A2391" s="1">
        <v>45413</v>
      </c>
      <c r="B2391" t="s">
        <v>36</v>
      </c>
      <c r="C2391" t="s">
        <v>17</v>
      </c>
      <c r="D2391" t="s">
        <v>12</v>
      </c>
      <c r="E2391" t="s">
        <v>341</v>
      </c>
      <c r="F2391" t="s">
        <v>46</v>
      </c>
      <c r="G2391" t="s">
        <v>15</v>
      </c>
      <c r="H2391">
        <v>8</v>
      </c>
      <c r="I2391">
        <v>8824</v>
      </c>
      <c r="J2391">
        <v>597.1</v>
      </c>
    </row>
    <row r="2392" spans="1:10" x14ac:dyDescent="0.25">
      <c r="A2392" s="1">
        <v>44729</v>
      </c>
      <c r="B2392" t="s">
        <v>29</v>
      </c>
      <c r="C2392" t="s">
        <v>17</v>
      </c>
      <c r="D2392" t="s">
        <v>12</v>
      </c>
      <c r="E2392" t="s">
        <v>341</v>
      </c>
      <c r="F2392" t="s">
        <v>46</v>
      </c>
      <c r="G2392" t="s">
        <v>15</v>
      </c>
      <c r="H2392">
        <v>5</v>
      </c>
      <c r="I2392">
        <v>2240</v>
      </c>
      <c r="J2392">
        <v>159.58000000000001</v>
      </c>
    </row>
    <row r="2393" spans="1:10" x14ac:dyDescent="0.25">
      <c r="A2393" s="1">
        <v>44609</v>
      </c>
      <c r="B2393" t="s">
        <v>25</v>
      </c>
      <c r="C2393" t="s">
        <v>19</v>
      </c>
      <c r="D2393" t="s">
        <v>12</v>
      </c>
      <c r="E2393" t="s">
        <v>86</v>
      </c>
      <c r="F2393" t="s">
        <v>84</v>
      </c>
      <c r="G2393" t="s">
        <v>28</v>
      </c>
      <c r="H2393">
        <v>2</v>
      </c>
      <c r="I2393">
        <v>1312</v>
      </c>
      <c r="J2393">
        <v>386.79</v>
      </c>
    </row>
    <row r="2394" spans="1:10" x14ac:dyDescent="0.25">
      <c r="A2394" s="1">
        <v>44959</v>
      </c>
      <c r="B2394" t="s">
        <v>55</v>
      </c>
      <c r="C2394" t="s">
        <v>19</v>
      </c>
      <c r="D2394" t="s">
        <v>12</v>
      </c>
      <c r="E2394" t="s">
        <v>86</v>
      </c>
      <c r="F2394" t="s">
        <v>84</v>
      </c>
      <c r="G2394" t="s">
        <v>28</v>
      </c>
      <c r="H2394">
        <v>9</v>
      </c>
      <c r="I2394">
        <v>10620</v>
      </c>
      <c r="J2394">
        <v>2946.93</v>
      </c>
    </row>
    <row r="2395" spans="1:10" x14ac:dyDescent="0.25">
      <c r="A2395" s="1">
        <v>45565</v>
      </c>
      <c r="B2395" t="s">
        <v>18</v>
      </c>
      <c r="C2395" t="s">
        <v>19</v>
      </c>
      <c r="D2395" t="s">
        <v>12</v>
      </c>
      <c r="E2395" t="s">
        <v>86</v>
      </c>
      <c r="F2395" t="s">
        <v>84</v>
      </c>
      <c r="G2395" t="s">
        <v>28</v>
      </c>
      <c r="H2395">
        <v>2</v>
      </c>
      <c r="I2395">
        <v>2178</v>
      </c>
      <c r="J2395">
        <v>574.4</v>
      </c>
    </row>
    <row r="2396" spans="1:10" x14ac:dyDescent="0.25">
      <c r="A2396" s="1">
        <v>45424</v>
      </c>
      <c r="B2396" t="s">
        <v>36</v>
      </c>
      <c r="C2396" t="s">
        <v>17</v>
      </c>
      <c r="D2396" t="s">
        <v>12</v>
      </c>
      <c r="E2396" t="s">
        <v>26</v>
      </c>
      <c r="F2396" t="s">
        <v>27</v>
      </c>
      <c r="G2396" t="s">
        <v>28</v>
      </c>
      <c r="H2396">
        <v>3</v>
      </c>
      <c r="I2396">
        <v>1671</v>
      </c>
      <c r="J2396">
        <v>94.52</v>
      </c>
    </row>
    <row r="2397" spans="1:10" x14ac:dyDescent="0.25">
      <c r="A2397" s="1">
        <v>45501</v>
      </c>
      <c r="B2397" t="s">
        <v>36</v>
      </c>
      <c r="C2397" t="s">
        <v>17</v>
      </c>
      <c r="D2397" t="s">
        <v>12</v>
      </c>
      <c r="E2397" t="s">
        <v>26</v>
      </c>
      <c r="F2397" t="s">
        <v>27</v>
      </c>
      <c r="G2397" t="s">
        <v>28</v>
      </c>
      <c r="H2397">
        <v>3</v>
      </c>
      <c r="I2397">
        <v>2025</v>
      </c>
      <c r="J2397">
        <v>355.59</v>
      </c>
    </row>
    <row r="2398" spans="1:10" x14ac:dyDescent="0.25">
      <c r="A2398" s="1">
        <v>45597</v>
      </c>
      <c r="B2398" t="s">
        <v>16</v>
      </c>
      <c r="C2398" t="s">
        <v>17</v>
      </c>
      <c r="D2398" t="s">
        <v>12</v>
      </c>
      <c r="E2398" t="s">
        <v>416</v>
      </c>
      <c r="F2398" t="s">
        <v>108</v>
      </c>
      <c r="G2398" t="s">
        <v>15</v>
      </c>
      <c r="H2398">
        <v>6</v>
      </c>
      <c r="I2398">
        <v>2886</v>
      </c>
      <c r="J2398">
        <v>355.32</v>
      </c>
    </row>
    <row r="2399" spans="1:10" x14ac:dyDescent="0.25">
      <c r="A2399" s="1">
        <v>45500</v>
      </c>
      <c r="B2399" t="s">
        <v>10</v>
      </c>
      <c r="C2399" t="s">
        <v>11</v>
      </c>
      <c r="D2399" t="s">
        <v>12</v>
      </c>
      <c r="E2399" t="s">
        <v>178</v>
      </c>
      <c r="F2399" t="s">
        <v>34</v>
      </c>
      <c r="G2399" t="s">
        <v>35</v>
      </c>
      <c r="H2399">
        <v>2</v>
      </c>
      <c r="I2399">
        <v>1868</v>
      </c>
      <c r="J2399">
        <v>307.32</v>
      </c>
    </row>
    <row r="2400" spans="1:10" x14ac:dyDescent="0.25">
      <c r="A2400" s="1">
        <v>44934</v>
      </c>
      <c r="B2400" t="s">
        <v>29</v>
      </c>
      <c r="C2400" t="s">
        <v>17</v>
      </c>
      <c r="D2400" t="s">
        <v>12</v>
      </c>
      <c r="E2400" t="s">
        <v>22</v>
      </c>
      <c r="F2400" t="s">
        <v>23</v>
      </c>
      <c r="G2400" t="s">
        <v>24</v>
      </c>
      <c r="H2400">
        <v>4</v>
      </c>
      <c r="I2400">
        <v>3280</v>
      </c>
      <c r="J2400">
        <v>826.94</v>
      </c>
    </row>
    <row r="2401" spans="1:10" x14ac:dyDescent="0.25">
      <c r="A2401" s="1">
        <v>44699</v>
      </c>
      <c r="B2401" t="s">
        <v>18</v>
      </c>
      <c r="C2401" t="s">
        <v>19</v>
      </c>
      <c r="D2401" t="s">
        <v>12</v>
      </c>
      <c r="E2401" t="s">
        <v>159</v>
      </c>
      <c r="F2401" t="s">
        <v>23</v>
      </c>
      <c r="G2401" t="s">
        <v>24</v>
      </c>
      <c r="H2401">
        <v>2</v>
      </c>
      <c r="I2401">
        <v>1768</v>
      </c>
      <c r="J2401">
        <v>375.86</v>
      </c>
    </row>
    <row r="2402" spans="1:10" x14ac:dyDescent="0.25">
      <c r="A2402" s="1">
        <v>44914</v>
      </c>
      <c r="B2402" t="s">
        <v>25</v>
      </c>
      <c r="C2402" t="s">
        <v>19</v>
      </c>
      <c r="D2402" t="s">
        <v>12</v>
      </c>
      <c r="E2402" t="s">
        <v>56</v>
      </c>
      <c r="F2402" t="s">
        <v>57</v>
      </c>
      <c r="G2402" t="s">
        <v>24</v>
      </c>
      <c r="H2402">
        <v>7</v>
      </c>
      <c r="I2402">
        <v>6937</v>
      </c>
      <c r="J2402">
        <v>1753.02</v>
      </c>
    </row>
    <row r="2403" spans="1:10" x14ac:dyDescent="0.25">
      <c r="A2403" s="1">
        <v>45556</v>
      </c>
      <c r="B2403" t="s">
        <v>32</v>
      </c>
      <c r="C2403" t="s">
        <v>19</v>
      </c>
      <c r="D2403" t="s">
        <v>12</v>
      </c>
      <c r="E2403" t="s">
        <v>37</v>
      </c>
      <c r="F2403" t="s">
        <v>34</v>
      </c>
      <c r="G2403" t="s">
        <v>35</v>
      </c>
      <c r="H2403">
        <v>6</v>
      </c>
      <c r="I2403">
        <v>3012</v>
      </c>
      <c r="J2403">
        <v>307.47000000000003</v>
      </c>
    </row>
    <row r="2404" spans="1:10" x14ac:dyDescent="0.25">
      <c r="A2404" s="1">
        <v>45554</v>
      </c>
      <c r="B2404" t="s">
        <v>29</v>
      </c>
      <c r="C2404" t="s">
        <v>17</v>
      </c>
      <c r="D2404" t="s">
        <v>12</v>
      </c>
      <c r="E2404" t="s">
        <v>417</v>
      </c>
      <c r="F2404" t="s">
        <v>83</v>
      </c>
      <c r="G2404" t="s">
        <v>28</v>
      </c>
      <c r="H2404">
        <v>3</v>
      </c>
      <c r="I2404">
        <v>777</v>
      </c>
      <c r="J2404">
        <v>147.93</v>
      </c>
    </row>
    <row r="2405" spans="1:10" x14ac:dyDescent="0.25">
      <c r="A2405" s="1">
        <v>45338</v>
      </c>
      <c r="B2405" t="s">
        <v>40</v>
      </c>
      <c r="C2405" t="s">
        <v>19</v>
      </c>
      <c r="D2405" t="s">
        <v>12</v>
      </c>
      <c r="E2405" t="s">
        <v>64</v>
      </c>
      <c r="F2405" t="s">
        <v>84</v>
      </c>
      <c r="G2405" t="s">
        <v>28</v>
      </c>
      <c r="H2405">
        <v>6</v>
      </c>
      <c r="I2405">
        <v>4056</v>
      </c>
      <c r="J2405">
        <v>452.14</v>
      </c>
    </row>
    <row r="2406" spans="1:10" x14ac:dyDescent="0.25">
      <c r="A2406" s="1">
        <v>45625</v>
      </c>
      <c r="B2406" t="s">
        <v>10</v>
      </c>
      <c r="C2406" t="s">
        <v>11</v>
      </c>
      <c r="D2406" t="s">
        <v>12</v>
      </c>
      <c r="E2406" t="s">
        <v>64</v>
      </c>
      <c r="F2406" t="s">
        <v>84</v>
      </c>
      <c r="G2406" t="s">
        <v>28</v>
      </c>
      <c r="H2406">
        <v>4</v>
      </c>
      <c r="I2406">
        <v>3212</v>
      </c>
      <c r="J2406">
        <v>514.91999999999996</v>
      </c>
    </row>
    <row r="2407" spans="1:10" x14ac:dyDescent="0.25">
      <c r="A2407" s="1">
        <v>45507</v>
      </c>
      <c r="B2407" t="s">
        <v>32</v>
      </c>
      <c r="C2407" t="s">
        <v>19</v>
      </c>
      <c r="D2407" t="s">
        <v>12</v>
      </c>
      <c r="E2407" t="s">
        <v>132</v>
      </c>
      <c r="F2407" t="s">
        <v>63</v>
      </c>
      <c r="G2407" t="s">
        <v>28</v>
      </c>
      <c r="H2407">
        <v>1</v>
      </c>
      <c r="I2407">
        <v>952</v>
      </c>
      <c r="J2407">
        <v>179.4</v>
      </c>
    </row>
    <row r="2408" spans="1:10" x14ac:dyDescent="0.25">
      <c r="A2408" s="1">
        <v>44710</v>
      </c>
      <c r="B2408" t="s">
        <v>40</v>
      </c>
      <c r="C2408" t="s">
        <v>19</v>
      </c>
      <c r="D2408" t="s">
        <v>12</v>
      </c>
      <c r="E2408" t="s">
        <v>52</v>
      </c>
      <c r="F2408" t="s">
        <v>42</v>
      </c>
      <c r="G2408" t="s">
        <v>28</v>
      </c>
      <c r="H2408">
        <v>3</v>
      </c>
      <c r="I2408">
        <v>1674</v>
      </c>
      <c r="J2408">
        <v>106.24</v>
      </c>
    </row>
    <row r="2409" spans="1:10" x14ac:dyDescent="0.25">
      <c r="A2409" s="1">
        <v>45335</v>
      </c>
      <c r="B2409" t="s">
        <v>32</v>
      </c>
      <c r="C2409" t="s">
        <v>19</v>
      </c>
      <c r="D2409" t="s">
        <v>12</v>
      </c>
      <c r="E2409" t="s">
        <v>62</v>
      </c>
      <c r="F2409" t="s">
        <v>59</v>
      </c>
      <c r="G2409" t="s">
        <v>28</v>
      </c>
      <c r="H2409">
        <v>5</v>
      </c>
      <c r="I2409">
        <v>4315</v>
      </c>
      <c r="J2409">
        <v>1019.91</v>
      </c>
    </row>
    <row r="2410" spans="1:10" x14ac:dyDescent="0.25">
      <c r="A2410" s="1">
        <v>45275</v>
      </c>
      <c r="B2410" t="s">
        <v>16</v>
      </c>
      <c r="C2410" t="s">
        <v>17</v>
      </c>
      <c r="D2410" t="s">
        <v>12</v>
      </c>
      <c r="E2410" t="s">
        <v>62</v>
      </c>
      <c r="F2410" t="s">
        <v>59</v>
      </c>
      <c r="G2410" t="s">
        <v>28</v>
      </c>
      <c r="H2410">
        <v>7</v>
      </c>
      <c r="I2410">
        <v>1722</v>
      </c>
      <c r="J2410">
        <v>162.38999999999999</v>
      </c>
    </row>
    <row r="2411" spans="1:10" x14ac:dyDescent="0.25">
      <c r="A2411" s="1">
        <v>44818</v>
      </c>
      <c r="B2411" t="s">
        <v>49</v>
      </c>
      <c r="C2411" t="s">
        <v>17</v>
      </c>
      <c r="D2411" t="s">
        <v>12</v>
      </c>
      <c r="E2411" t="s">
        <v>329</v>
      </c>
      <c r="F2411" t="s">
        <v>149</v>
      </c>
      <c r="G2411" t="s">
        <v>15</v>
      </c>
      <c r="H2411">
        <v>5</v>
      </c>
      <c r="I2411">
        <v>2895</v>
      </c>
      <c r="J2411">
        <v>334.35</v>
      </c>
    </row>
    <row r="2412" spans="1:10" x14ac:dyDescent="0.25">
      <c r="A2412" s="1">
        <v>45135</v>
      </c>
      <c r="B2412" t="s">
        <v>18</v>
      </c>
      <c r="C2412" t="s">
        <v>19</v>
      </c>
      <c r="D2412" t="s">
        <v>12</v>
      </c>
      <c r="E2412" t="s">
        <v>210</v>
      </c>
      <c r="F2412" t="s">
        <v>34</v>
      </c>
      <c r="G2412" t="s">
        <v>35</v>
      </c>
      <c r="H2412">
        <v>2</v>
      </c>
      <c r="I2412">
        <v>1280</v>
      </c>
      <c r="J2412">
        <v>335.22</v>
      </c>
    </row>
    <row r="2413" spans="1:10" x14ac:dyDescent="0.25">
      <c r="A2413" s="1">
        <v>44661</v>
      </c>
      <c r="B2413" t="s">
        <v>29</v>
      </c>
      <c r="C2413" t="s">
        <v>17</v>
      </c>
      <c r="D2413" t="s">
        <v>12</v>
      </c>
      <c r="E2413" t="s">
        <v>56</v>
      </c>
      <c r="F2413" t="s">
        <v>57</v>
      </c>
      <c r="G2413" t="s">
        <v>24</v>
      </c>
      <c r="H2413">
        <v>5</v>
      </c>
      <c r="I2413">
        <v>4295</v>
      </c>
      <c r="J2413">
        <v>414.42</v>
      </c>
    </row>
    <row r="2414" spans="1:10" x14ac:dyDescent="0.25">
      <c r="A2414" s="1">
        <v>44780</v>
      </c>
      <c r="B2414" t="s">
        <v>10</v>
      </c>
      <c r="C2414" t="s">
        <v>11</v>
      </c>
      <c r="D2414" t="s">
        <v>12</v>
      </c>
      <c r="E2414" t="s">
        <v>243</v>
      </c>
      <c r="F2414" t="s">
        <v>78</v>
      </c>
      <c r="G2414" t="s">
        <v>28</v>
      </c>
      <c r="H2414">
        <v>6</v>
      </c>
      <c r="I2414">
        <v>4434</v>
      </c>
      <c r="J2414">
        <v>306.63</v>
      </c>
    </row>
    <row r="2415" spans="1:10" x14ac:dyDescent="0.25">
      <c r="A2415" s="1">
        <v>44751</v>
      </c>
      <c r="B2415" t="s">
        <v>49</v>
      </c>
      <c r="C2415" t="s">
        <v>17</v>
      </c>
      <c r="D2415" t="s">
        <v>12</v>
      </c>
      <c r="E2415" t="s">
        <v>243</v>
      </c>
      <c r="F2415" t="s">
        <v>78</v>
      </c>
      <c r="G2415" t="s">
        <v>28</v>
      </c>
      <c r="H2415">
        <v>6</v>
      </c>
      <c r="I2415">
        <v>3816</v>
      </c>
      <c r="J2415">
        <v>623.78</v>
      </c>
    </row>
    <row r="2416" spans="1:10" x14ac:dyDescent="0.25">
      <c r="A2416" s="1">
        <v>45391</v>
      </c>
      <c r="B2416" t="s">
        <v>29</v>
      </c>
      <c r="C2416" t="s">
        <v>17</v>
      </c>
      <c r="D2416" t="s">
        <v>12</v>
      </c>
      <c r="E2416" t="s">
        <v>361</v>
      </c>
      <c r="F2416" t="s">
        <v>27</v>
      </c>
      <c r="G2416" t="s">
        <v>28</v>
      </c>
      <c r="H2416">
        <v>7</v>
      </c>
      <c r="I2416">
        <v>6335</v>
      </c>
      <c r="J2416">
        <v>1137.08</v>
      </c>
    </row>
    <row r="2417" spans="1:10" x14ac:dyDescent="0.25">
      <c r="A2417" s="1">
        <v>45607</v>
      </c>
      <c r="B2417" t="s">
        <v>16</v>
      </c>
      <c r="C2417" t="s">
        <v>17</v>
      </c>
      <c r="D2417" t="s">
        <v>12</v>
      </c>
      <c r="E2417" t="s">
        <v>307</v>
      </c>
      <c r="F2417" t="s">
        <v>156</v>
      </c>
      <c r="G2417" t="s">
        <v>28</v>
      </c>
      <c r="H2417">
        <v>3</v>
      </c>
      <c r="I2417">
        <v>315</v>
      </c>
      <c r="J2417">
        <v>78.41</v>
      </c>
    </row>
    <row r="2418" spans="1:10" x14ac:dyDescent="0.25">
      <c r="A2418" s="1">
        <v>45623</v>
      </c>
      <c r="B2418" t="s">
        <v>25</v>
      </c>
      <c r="C2418" t="s">
        <v>19</v>
      </c>
      <c r="D2418" t="s">
        <v>12</v>
      </c>
      <c r="E2418" t="s">
        <v>246</v>
      </c>
      <c r="F2418" t="s">
        <v>34</v>
      </c>
      <c r="G2418" t="s">
        <v>35</v>
      </c>
      <c r="H2418">
        <v>2</v>
      </c>
      <c r="I2418">
        <v>626</v>
      </c>
      <c r="J2418">
        <v>168.82</v>
      </c>
    </row>
    <row r="2419" spans="1:10" x14ac:dyDescent="0.25">
      <c r="A2419" s="1">
        <v>45435</v>
      </c>
      <c r="B2419" t="s">
        <v>32</v>
      </c>
      <c r="C2419" t="s">
        <v>19</v>
      </c>
      <c r="D2419" t="s">
        <v>12</v>
      </c>
      <c r="E2419" t="s">
        <v>306</v>
      </c>
      <c r="F2419" t="s">
        <v>200</v>
      </c>
      <c r="G2419" t="s">
        <v>28</v>
      </c>
      <c r="H2419">
        <v>1</v>
      </c>
      <c r="I2419">
        <v>1140</v>
      </c>
      <c r="J2419">
        <v>85.75</v>
      </c>
    </row>
    <row r="2420" spans="1:10" x14ac:dyDescent="0.25">
      <c r="A2420" s="1">
        <v>44881</v>
      </c>
      <c r="B2420" t="s">
        <v>40</v>
      </c>
      <c r="C2420" t="s">
        <v>19</v>
      </c>
      <c r="D2420" t="s">
        <v>12</v>
      </c>
      <c r="E2420" t="s">
        <v>306</v>
      </c>
      <c r="F2420" t="s">
        <v>200</v>
      </c>
      <c r="G2420" t="s">
        <v>28</v>
      </c>
      <c r="H2420">
        <v>5</v>
      </c>
      <c r="I2420">
        <v>590</v>
      </c>
      <c r="J2420">
        <v>52.55</v>
      </c>
    </row>
    <row r="2421" spans="1:10" x14ac:dyDescent="0.25">
      <c r="A2421" s="1">
        <v>44672</v>
      </c>
      <c r="B2421" t="s">
        <v>18</v>
      </c>
      <c r="C2421" t="s">
        <v>19</v>
      </c>
      <c r="D2421" t="s">
        <v>12</v>
      </c>
      <c r="E2421" t="s">
        <v>306</v>
      </c>
      <c r="F2421" t="s">
        <v>200</v>
      </c>
      <c r="G2421" t="s">
        <v>28</v>
      </c>
      <c r="H2421">
        <v>1</v>
      </c>
      <c r="I2421">
        <v>631</v>
      </c>
      <c r="J2421">
        <v>99.31</v>
      </c>
    </row>
    <row r="2422" spans="1:10" x14ac:dyDescent="0.25">
      <c r="A2422" s="1">
        <v>45539</v>
      </c>
      <c r="B2422" t="s">
        <v>36</v>
      </c>
      <c r="C2422" t="s">
        <v>17</v>
      </c>
      <c r="D2422" t="s">
        <v>12</v>
      </c>
      <c r="E2422" t="s">
        <v>306</v>
      </c>
      <c r="F2422" t="s">
        <v>200</v>
      </c>
      <c r="G2422" t="s">
        <v>28</v>
      </c>
      <c r="H2422">
        <v>8</v>
      </c>
      <c r="I2422">
        <v>1944</v>
      </c>
      <c r="J2422">
        <v>134.94</v>
      </c>
    </row>
    <row r="2423" spans="1:10" x14ac:dyDescent="0.25">
      <c r="A2423" s="1">
        <v>45375</v>
      </c>
      <c r="B2423" t="s">
        <v>40</v>
      </c>
      <c r="C2423" t="s">
        <v>19</v>
      </c>
      <c r="D2423" t="s">
        <v>12</v>
      </c>
      <c r="E2423" t="s">
        <v>37</v>
      </c>
      <c r="F2423" t="s">
        <v>34</v>
      </c>
      <c r="G2423" t="s">
        <v>35</v>
      </c>
      <c r="H2423">
        <v>6</v>
      </c>
      <c r="I2423">
        <v>5100</v>
      </c>
      <c r="J2423">
        <v>1461.79</v>
      </c>
    </row>
    <row r="2424" spans="1:10" x14ac:dyDescent="0.25">
      <c r="A2424" s="1">
        <v>45559</v>
      </c>
      <c r="B2424" t="s">
        <v>49</v>
      </c>
      <c r="C2424" t="s">
        <v>17</v>
      </c>
      <c r="D2424" t="s">
        <v>12</v>
      </c>
      <c r="E2424" t="s">
        <v>37</v>
      </c>
      <c r="F2424" t="s">
        <v>34</v>
      </c>
      <c r="G2424" t="s">
        <v>35</v>
      </c>
      <c r="H2424">
        <v>6</v>
      </c>
      <c r="I2424">
        <v>1092</v>
      </c>
      <c r="J2424">
        <v>176.52</v>
      </c>
    </row>
    <row r="2425" spans="1:10" x14ac:dyDescent="0.25">
      <c r="A2425" s="1">
        <v>45150</v>
      </c>
      <c r="B2425" t="s">
        <v>36</v>
      </c>
      <c r="C2425" t="s">
        <v>17</v>
      </c>
      <c r="D2425" t="s">
        <v>12</v>
      </c>
      <c r="E2425" t="s">
        <v>43</v>
      </c>
      <c r="F2425" t="s">
        <v>44</v>
      </c>
      <c r="G2425" t="s">
        <v>35</v>
      </c>
      <c r="H2425">
        <v>7</v>
      </c>
      <c r="I2425">
        <v>4662</v>
      </c>
      <c r="J2425">
        <v>1007.43</v>
      </c>
    </row>
    <row r="2426" spans="1:10" x14ac:dyDescent="0.25">
      <c r="A2426" s="1">
        <v>44944</v>
      </c>
      <c r="B2426" t="s">
        <v>29</v>
      </c>
      <c r="C2426" t="s">
        <v>17</v>
      </c>
      <c r="D2426" t="s">
        <v>12</v>
      </c>
      <c r="E2426" t="s">
        <v>418</v>
      </c>
      <c r="F2426" t="s">
        <v>39</v>
      </c>
      <c r="G2426" t="s">
        <v>35</v>
      </c>
      <c r="H2426">
        <v>7</v>
      </c>
      <c r="I2426">
        <v>4312</v>
      </c>
      <c r="J2426">
        <v>1088.3399999999999</v>
      </c>
    </row>
    <row r="2427" spans="1:10" x14ac:dyDescent="0.25">
      <c r="A2427" s="1">
        <v>44854</v>
      </c>
      <c r="B2427" t="s">
        <v>16</v>
      </c>
      <c r="C2427" t="s">
        <v>17</v>
      </c>
      <c r="D2427" t="s">
        <v>12</v>
      </c>
      <c r="E2427" t="s">
        <v>419</v>
      </c>
      <c r="F2427" t="s">
        <v>46</v>
      </c>
      <c r="G2427" t="s">
        <v>15</v>
      </c>
      <c r="H2427">
        <v>6</v>
      </c>
      <c r="I2427">
        <v>4056</v>
      </c>
      <c r="J2427">
        <v>815.1</v>
      </c>
    </row>
    <row r="2428" spans="1:10" x14ac:dyDescent="0.25">
      <c r="A2428" s="1">
        <v>45253</v>
      </c>
      <c r="B2428" t="s">
        <v>29</v>
      </c>
      <c r="C2428" t="s">
        <v>17</v>
      </c>
      <c r="D2428" t="s">
        <v>12</v>
      </c>
      <c r="E2428" t="s">
        <v>419</v>
      </c>
      <c r="F2428" t="s">
        <v>46</v>
      </c>
      <c r="G2428" t="s">
        <v>15</v>
      </c>
      <c r="H2428">
        <v>3</v>
      </c>
      <c r="I2428">
        <v>534</v>
      </c>
      <c r="J2428">
        <v>120.53</v>
      </c>
    </row>
    <row r="2429" spans="1:10" x14ac:dyDescent="0.25">
      <c r="A2429" s="1">
        <v>45077</v>
      </c>
      <c r="B2429" t="s">
        <v>10</v>
      </c>
      <c r="C2429" t="s">
        <v>11</v>
      </c>
      <c r="D2429" t="s">
        <v>12</v>
      </c>
      <c r="E2429" t="s">
        <v>56</v>
      </c>
      <c r="F2429" t="s">
        <v>57</v>
      </c>
      <c r="G2429" t="s">
        <v>24</v>
      </c>
      <c r="H2429">
        <v>5</v>
      </c>
      <c r="I2429">
        <v>3475</v>
      </c>
      <c r="J2429">
        <v>991.47</v>
      </c>
    </row>
    <row r="2430" spans="1:10" x14ac:dyDescent="0.25">
      <c r="A2430" s="1">
        <v>45118</v>
      </c>
      <c r="B2430" t="s">
        <v>18</v>
      </c>
      <c r="C2430" t="s">
        <v>19</v>
      </c>
      <c r="D2430" t="s">
        <v>12</v>
      </c>
      <c r="E2430" t="s">
        <v>111</v>
      </c>
      <c r="F2430" t="s">
        <v>115</v>
      </c>
      <c r="G2430" t="s">
        <v>15</v>
      </c>
      <c r="H2430">
        <v>5</v>
      </c>
      <c r="I2430">
        <v>4880</v>
      </c>
      <c r="J2430">
        <v>829.03</v>
      </c>
    </row>
    <row r="2431" spans="1:10" x14ac:dyDescent="0.25">
      <c r="A2431" s="1">
        <v>45590</v>
      </c>
      <c r="B2431" t="s">
        <v>18</v>
      </c>
      <c r="C2431" t="s">
        <v>19</v>
      </c>
      <c r="D2431" t="s">
        <v>12</v>
      </c>
      <c r="E2431" t="s">
        <v>22</v>
      </c>
      <c r="F2431" t="s">
        <v>23</v>
      </c>
      <c r="G2431" t="s">
        <v>24</v>
      </c>
      <c r="H2431">
        <v>8</v>
      </c>
      <c r="I2431">
        <v>8336</v>
      </c>
      <c r="J2431">
        <v>782.8</v>
      </c>
    </row>
    <row r="2432" spans="1:10" x14ac:dyDescent="0.25">
      <c r="A2432" s="1">
        <v>45054</v>
      </c>
      <c r="B2432" t="s">
        <v>16</v>
      </c>
      <c r="C2432" t="s">
        <v>17</v>
      </c>
      <c r="D2432" t="s">
        <v>12</v>
      </c>
      <c r="E2432" t="s">
        <v>96</v>
      </c>
      <c r="F2432" t="s">
        <v>34</v>
      </c>
      <c r="G2432" t="s">
        <v>35</v>
      </c>
      <c r="H2432">
        <v>8</v>
      </c>
      <c r="I2432">
        <v>9232</v>
      </c>
      <c r="J2432">
        <v>490.66</v>
      </c>
    </row>
    <row r="2433" spans="1:10" x14ac:dyDescent="0.25">
      <c r="A2433" s="1">
        <v>44568</v>
      </c>
      <c r="B2433" t="s">
        <v>40</v>
      </c>
      <c r="C2433" t="s">
        <v>19</v>
      </c>
      <c r="D2433" t="s">
        <v>12</v>
      </c>
      <c r="E2433" t="s">
        <v>37</v>
      </c>
      <c r="F2433" t="s">
        <v>34</v>
      </c>
      <c r="G2433" t="s">
        <v>35</v>
      </c>
      <c r="H2433">
        <v>3</v>
      </c>
      <c r="I2433">
        <v>2031</v>
      </c>
      <c r="J2433">
        <v>466.25</v>
      </c>
    </row>
    <row r="2434" spans="1:10" x14ac:dyDescent="0.25">
      <c r="A2434" s="1">
        <v>44571</v>
      </c>
      <c r="B2434" t="s">
        <v>32</v>
      </c>
      <c r="C2434" t="s">
        <v>19</v>
      </c>
      <c r="D2434" t="s">
        <v>12</v>
      </c>
      <c r="E2434" t="s">
        <v>420</v>
      </c>
      <c r="F2434" t="s">
        <v>34</v>
      </c>
      <c r="G2434" t="s">
        <v>35</v>
      </c>
      <c r="H2434">
        <v>3</v>
      </c>
      <c r="I2434">
        <v>2412</v>
      </c>
      <c r="J2434">
        <v>640.35</v>
      </c>
    </row>
    <row r="2435" spans="1:10" x14ac:dyDescent="0.25">
      <c r="A2435" s="1">
        <v>45263</v>
      </c>
      <c r="B2435" t="s">
        <v>40</v>
      </c>
      <c r="C2435" t="s">
        <v>19</v>
      </c>
      <c r="D2435" t="s">
        <v>12</v>
      </c>
      <c r="E2435" t="s">
        <v>382</v>
      </c>
      <c r="F2435" t="s">
        <v>78</v>
      </c>
      <c r="G2435" t="s">
        <v>28</v>
      </c>
      <c r="H2435">
        <v>1</v>
      </c>
      <c r="I2435">
        <v>1039</v>
      </c>
      <c r="J2435">
        <v>137.24</v>
      </c>
    </row>
    <row r="2436" spans="1:10" x14ac:dyDescent="0.25">
      <c r="A2436" s="1">
        <v>44929</v>
      </c>
      <c r="B2436" t="s">
        <v>25</v>
      </c>
      <c r="C2436" t="s">
        <v>19</v>
      </c>
      <c r="D2436" t="s">
        <v>12</v>
      </c>
      <c r="E2436" t="s">
        <v>382</v>
      </c>
      <c r="F2436" t="s">
        <v>78</v>
      </c>
      <c r="G2436" t="s">
        <v>28</v>
      </c>
      <c r="H2436">
        <v>6</v>
      </c>
      <c r="I2436">
        <v>696</v>
      </c>
      <c r="J2436">
        <v>100.78</v>
      </c>
    </row>
    <row r="2437" spans="1:10" x14ac:dyDescent="0.25">
      <c r="A2437" s="1">
        <v>45469</v>
      </c>
      <c r="B2437" t="s">
        <v>55</v>
      </c>
      <c r="C2437" t="s">
        <v>19</v>
      </c>
      <c r="D2437" t="s">
        <v>12</v>
      </c>
      <c r="E2437" t="s">
        <v>382</v>
      </c>
      <c r="F2437" t="s">
        <v>78</v>
      </c>
      <c r="G2437" t="s">
        <v>28</v>
      </c>
      <c r="H2437">
        <v>8</v>
      </c>
      <c r="I2437">
        <v>6160</v>
      </c>
      <c r="J2437">
        <v>1617.32</v>
      </c>
    </row>
    <row r="2438" spans="1:10" x14ac:dyDescent="0.25">
      <c r="A2438" s="1">
        <v>44910</v>
      </c>
      <c r="B2438" t="s">
        <v>25</v>
      </c>
      <c r="C2438" t="s">
        <v>19</v>
      </c>
      <c r="D2438" t="s">
        <v>12</v>
      </c>
      <c r="E2438" t="s">
        <v>75</v>
      </c>
      <c r="F2438" t="s">
        <v>63</v>
      </c>
      <c r="G2438" t="s">
        <v>28</v>
      </c>
      <c r="H2438">
        <v>3</v>
      </c>
      <c r="I2438">
        <v>447</v>
      </c>
      <c r="J2438">
        <v>58.4</v>
      </c>
    </row>
    <row r="2439" spans="1:10" x14ac:dyDescent="0.25">
      <c r="A2439" s="1">
        <v>45045</v>
      </c>
      <c r="B2439" t="s">
        <v>49</v>
      </c>
      <c r="C2439" t="s">
        <v>17</v>
      </c>
      <c r="D2439" t="s">
        <v>12</v>
      </c>
      <c r="E2439" t="s">
        <v>75</v>
      </c>
      <c r="F2439" t="s">
        <v>63</v>
      </c>
      <c r="G2439" t="s">
        <v>28</v>
      </c>
      <c r="H2439">
        <v>6</v>
      </c>
      <c r="I2439">
        <v>6102</v>
      </c>
      <c r="J2439">
        <v>364.82</v>
      </c>
    </row>
    <row r="2440" spans="1:10" x14ac:dyDescent="0.25">
      <c r="A2440" s="1">
        <v>45385</v>
      </c>
      <c r="B2440" t="s">
        <v>25</v>
      </c>
      <c r="C2440" t="s">
        <v>19</v>
      </c>
      <c r="D2440" t="s">
        <v>12</v>
      </c>
      <c r="E2440" t="s">
        <v>22</v>
      </c>
      <c r="F2440" t="s">
        <v>23</v>
      </c>
      <c r="G2440" t="s">
        <v>24</v>
      </c>
      <c r="H2440">
        <v>9</v>
      </c>
      <c r="I2440">
        <v>5085</v>
      </c>
      <c r="J2440">
        <v>1372.83</v>
      </c>
    </row>
    <row r="2441" spans="1:10" x14ac:dyDescent="0.25">
      <c r="A2441" s="1">
        <v>45520</v>
      </c>
      <c r="B2441" t="s">
        <v>55</v>
      </c>
      <c r="C2441" t="s">
        <v>19</v>
      </c>
      <c r="D2441" t="s">
        <v>12</v>
      </c>
      <c r="E2441" t="s">
        <v>70</v>
      </c>
      <c r="F2441" t="s">
        <v>71</v>
      </c>
      <c r="G2441" t="s">
        <v>35</v>
      </c>
      <c r="H2441">
        <v>7</v>
      </c>
      <c r="I2441">
        <v>3038</v>
      </c>
      <c r="J2441">
        <v>158.82</v>
      </c>
    </row>
    <row r="2442" spans="1:10" x14ac:dyDescent="0.25">
      <c r="A2442" s="1">
        <v>45362</v>
      </c>
      <c r="B2442" t="s">
        <v>29</v>
      </c>
      <c r="C2442" t="s">
        <v>17</v>
      </c>
      <c r="D2442" t="s">
        <v>12</v>
      </c>
      <c r="E2442" t="s">
        <v>26</v>
      </c>
      <c r="F2442" t="s">
        <v>27</v>
      </c>
      <c r="G2442" t="s">
        <v>28</v>
      </c>
      <c r="H2442">
        <v>1</v>
      </c>
      <c r="I2442">
        <v>882</v>
      </c>
      <c r="J2442">
        <v>215.24</v>
      </c>
    </row>
    <row r="2443" spans="1:10" x14ac:dyDescent="0.25">
      <c r="A2443" s="1">
        <v>45000</v>
      </c>
      <c r="B2443" t="s">
        <v>36</v>
      </c>
      <c r="C2443" t="s">
        <v>17</v>
      </c>
      <c r="D2443" t="s">
        <v>12</v>
      </c>
      <c r="E2443" t="s">
        <v>75</v>
      </c>
      <c r="F2443" t="s">
        <v>108</v>
      </c>
      <c r="G2443" t="s">
        <v>15</v>
      </c>
      <c r="H2443">
        <v>6</v>
      </c>
      <c r="I2443">
        <v>2490</v>
      </c>
      <c r="J2443">
        <v>720.06</v>
      </c>
    </row>
    <row r="2444" spans="1:10" x14ac:dyDescent="0.25">
      <c r="A2444" s="1">
        <v>45509</v>
      </c>
      <c r="B2444" t="s">
        <v>25</v>
      </c>
      <c r="C2444" t="s">
        <v>19</v>
      </c>
      <c r="D2444" t="s">
        <v>12</v>
      </c>
      <c r="E2444" t="s">
        <v>75</v>
      </c>
      <c r="F2444" t="s">
        <v>108</v>
      </c>
      <c r="G2444" t="s">
        <v>15</v>
      </c>
      <c r="H2444">
        <v>1</v>
      </c>
      <c r="I2444">
        <v>635</v>
      </c>
      <c r="J2444">
        <v>101.09</v>
      </c>
    </row>
    <row r="2445" spans="1:10" x14ac:dyDescent="0.25">
      <c r="A2445" s="1">
        <v>45478</v>
      </c>
      <c r="B2445" t="s">
        <v>55</v>
      </c>
      <c r="C2445" t="s">
        <v>19</v>
      </c>
      <c r="D2445" t="s">
        <v>12</v>
      </c>
      <c r="E2445" t="s">
        <v>53</v>
      </c>
      <c r="F2445" t="s">
        <v>54</v>
      </c>
      <c r="G2445" t="s">
        <v>24</v>
      </c>
      <c r="H2445">
        <v>1</v>
      </c>
      <c r="I2445">
        <v>1083</v>
      </c>
      <c r="J2445">
        <v>152.5</v>
      </c>
    </row>
    <row r="2446" spans="1:10" x14ac:dyDescent="0.25">
      <c r="A2446" s="1">
        <v>45148</v>
      </c>
      <c r="B2446" t="s">
        <v>49</v>
      </c>
      <c r="C2446" t="s">
        <v>17</v>
      </c>
      <c r="D2446" t="s">
        <v>12</v>
      </c>
      <c r="E2446" t="s">
        <v>132</v>
      </c>
      <c r="F2446" t="s">
        <v>115</v>
      </c>
      <c r="G2446" t="s">
        <v>15</v>
      </c>
      <c r="H2446">
        <v>6</v>
      </c>
      <c r="I2446">
        <v>720</v>
      </c>
      <c r="J2446">
        <v>144.26</v>
      </c>
    </row>
    <row r="2447" spans="1:10" x14ac:dyDescent="0.25">
      <c r="A2447" s="1">
        <v>44821</v>
      </c>
      <c r="B2447" t="s">
        <v>10</v>
      </c>
      <c r="C2447" t="s">
        <v>11</v>
      </c>
      <c r="D2447" t="s">
        <v>12</v>
      </c>
      <c r="E2447" t="s">
        <v>37</v>
      </c>
      <c r="F2447" t="s">
        <v>34</v>
      </c>
      <c r="G2447" t="s">
        <v>35</v>
      </c>
      <c r="H2447">
        <v>3</v>
      </c>
      <c r="I2447">
        <v>3111</v>
      </c>
      <c r="J2447">
        <v>382.52</v>
      </c>
    </row>
    <row r="2448" spans="1:10" x14ac:dyDescent="0.25">
      <c r="A2448" s="1">
        <v>44660</v>
      </c>
      <c r="B2448" t="s">
        <v>32</v>
      </c>
      <c r="C2448" t="s">
        <v>19</v>
      </c>
      <c r="D2448" t="s">
        <v>12</v>
      </c>
      <c r="E2448" t="s">
        <v>136</v>
      </c>
      <c r="F2448" t="s">
        <v>65</v>
      </c>
      <c r="G2448" t="s">
        <v>35</v>
      </c>
      <c r="H2448">
        <v>6</v>
      </c>
      <c r="I2448">
        <v>1242</v>
      </c>
      <c r="J2448">
        <v>87.37</v>
      </c>
    </row>
    <row r="2449" spans="1:10" x14ac:dyDescent="0.25">
      <c r="A2449" s="1">
        <v>45140</v>
      </c>
      <c r="B2449" t="s">
        <v>32</v>
      </c>
      <c r="C2449" t="s">
        <v>19</v>
      </c>
      <c r="D2449" t="s">
        <v>12</v>
      </c>
      <c r="E2449" t="s">
        <v>421</v>
      </c>
      <c r="F2449" t="s">
        <v>21</v>
      </c>
      <c r="G2449" t="s">
        <v>15</v>
      </c>
      <c r="H2449">
        <v>5</v>
      </c>
      <c r="I2449">
        <v>5845</v>
      </c>
      <c r="J2449">
        <v>978.75</v>
      </c>
    </row>
    <row r="2450" spans="1:10" x14ac:dyDescent="0.25">
      <c r="A2450" s="1">
        <v>45014</v>
      </c>
      <c r="B2450" t="s">
        <v>32</v>
      </c>
      <c r="C2450" t="s">
        <v>19</v>
      </c>
      <c r="D2450" t="s">
        <v>12</v>
      </c>
      <c r="E2450" t="s">
        <v>91</v>
      </c>
      <c r="F2450" t="s">
        <v>133</v>
      </c>
      <c r="G2450" t="s">
        <v>28</v>
      </c>
      <c r="H2450">
        <v>1</v>
      </c>
      <c r="I2450">
        <v>835</v>
      </c>
      <c r="J2450">
        <v>131.69999999999999</v>
      </c>
    </row>
    <row r="2451" spans="1:10" x14ac:dyDescent="0.25">
      <c r="A2451" s="1">
        <v>44697</v>
      </c>
      <c r="B2451" t="s">
        <v>36</v>
      </c>
      <c r="C2451" t="s">
        <v>17</v>
      </c>
      <c r="D2451" t="s">
        <v>12</v>
      </c>
      <c r="E2451" t="s">
        <v>134</v>
      </c>
      <c r="F2451" t="s">
        <v>51</v>
      </c>
      <c r="G2451" t="s">
        <v>35</v>
      </c>
      <c r="H2451">
        <v>2</v>
      </c>
      <c r="I2451">
        <v>2314</v>
      </c>
      <c r="J2451">
        <v>305.42</v>
      </c>
    </row>
    <row r="2452" spans="1:10" x14ac:dyDescent="0.25">
      <c r="A2452" s="1">
        <v>44961</v>
      </c>
      <c r="B2452" t="s">
        <v>32</v>
      </c>
      <c r="C2452" t="s">
        <v>19</v>
      </c>
      <c r="D2452" t="s">
        <v>12</v>
      </c>
      <c r="E2452" t="s">
        <v>422</v>
      </c>
      <c r="F2452" t="s">
        <v>34</v>
      </c>
      <c r="G2452" t="s">
        <v>35</v>
      </c>
      <c r="H2452">
        <v>7</v>
      </c>
      <c r="I2452">
        <v>6041</v>
      </c>
      <c r="J2452">
        <v>776.09</v>
      </c>
    </row>
    <row r="2453" spans="1:10" x14ac:dyDescent="0.25">
      <c r="A2453" s="1">
        <v>44643</v>
      </c>
      <c r="B2453" t="s">
        <v>16</v>
      </c>
      <c r="C2453" t="s">
        <v>17</v>
      </c>
      <c r="D2453" t="s">
        <v>12</v>
      </c>
      <c r="E2453" t="s">
        <v>423</v>
      </c>
      <c r="F2453" t="s">
        <v>54</v>
      </c>
      <c r="G2453" t="s">
        <v>24</v>
      </c>
      <c r="H2453">
        <v>3</v>
      </c>
      <c r="I2453">
        <v>369</v>
      </c>
      <c r="J2453">
        <v>19.22</v>
      </c>
    </row>
    <row r="2454" spans="1:10" x14ac:dyDescent="0.25">
      <c r="A2454" s="1">
        <v>44785</v>
      </c>
      <c r="B2454" t="s">
        <v>18</v>
      </c>
      <c r="C2454" t="s">
        <v>19</v>
      </c>
      <c r="D2454" t="s">
        <v>12</v>
      </c>
      <c r="E2454" t="s">
        <v>52</v>
      </c>
      <c r="F2454" t="s">
        <v>42</v>
      </c>
      <c r="G2454" t="s">
        <v>28</v>
      </c>
      <c r="H2454">
        <v>5</v>
      </c>
      <c r="I2454">
        <v>1635</v>
      </c>
      <c r="J2454">
        <v>321.83999999999997</v>
      </c>
    </row>
    <row r="2455" spans="1:10" x14ac:dyDescent="0.25">
      <c r="A2455" s="1">
        <v>44658</v>
      </c>
      <c r="B2455" t="s">
        <v>49</v>
      </c>
      <c r="C2455" t="s">
        <v>17</v>
      </c>
      <c r="D2455" t="s">
        <v>12</v>
      </c>
      <c r="E2455" t="s">
        <v>52</v>
      </c>
      <c r="F2455" t="s">
        <v>42</v>
      </c>
      <c r="G2455" t="s">
        <v>28</v>
      </c>
      <c r="H2455">
        <v>3</v>
      </c>
      <c r="I2455">
        <v>2067</v>
      </c>
      <c r="J2455">
        <v>465.39</v>
      </c>
    </row>
    <row r="2456" spans="1:10" x14ac:dyDescent="0.25">
      <c r="A2456" s="1">
        <v>44624</v>
      </c>
      <c r="B2456" t="s">
        <v>40</v>
      </c>
      <c r="C2456" t="s">
        <v>19</v>
      </c>
      <c r="D2456" t="s">
        <v>12</v>
      </c>
      <c r="E2456" t="s">
        <v>52</v>
      </c>
      <c r="F2456" t="s">
        <v>42</v>
      </c>
      <c r="G2456" t="s">
        <v>28</v>
      </c>
      <c r="H2456">
        <v>6</v>
      </c>
      <c r="I2456">
        <v>7128</v>
      </c>
      <c r="J2456">
        <v>544.54</v>
      </c>
    </row>
    <row r="2457" spans="1:10" x14ac:dyDescent="0.25">
      <c r="A2457" s="1">
        <v>45406</v>
      </c>
      <c r="B2457" t="s">
        <v>10</v>
      </c>
      <c r="C2457" t="s">
        <v>11</v>
      </c>
      <c r="D2457" t="s">
        <v>12</v>
      </c>
      <c r="E2457" t="s">
        <v>22</v>
      </c>
      <c r="F2457" t="s">
        <v>23</v>
      </c>
      <c r="G2457" t="s">
        <v>24</v>
      </c>
      <c r="H2457">
        <v>2</v>
      </c>
      <c r="I2457">
        <v>944</v>
      </c>
      <c r="J2457">
        <v>94.4</v>
      </c>
    </row>
    <row r="2458" spans="1:10" x14ac:dyDescent="0.25">
      <c r="A2458" s="1">
        <v>44722</v>
      </c>
      <c r="B2458" t="s">
        <v>18</v>
      </c>
      <c r="C2458" t="s">
        <v>19</v>
      </c>
      <c r="D2458" t="s">
        <v>12</v>
      </c>
      <c r="E2458" t="s">
        <v>210</v>
      </c>
      <c r="F2458" t="s">
        <v>34</v>
      </c>
      <c r="G2458" t="s">
        <v>35</v>
      </c>
      <c r="H2458">
        <v>5</v>
      </c>
      <c r="I2458">
        <v>5160</v>
      </c>
      <c r="J2458">
        <v>698.15</v>
      </c>
    </row>
    <row r="2459" spans="1:10" x14ac:dyDescent="0.25">
      <c r="A2459" s="1">
        <v>44730</v>
      </c>
      <c r="B2459" t="s">
        <v>40</v>
      </c>
      <c r="C2459" t="s">
        <v>19</v>
      </c>
      <c r="D2459" t="s">
        <v>12</v>
      </c>
      <c r="E2459" t="s">
        <v>52</v>
      </c>
      <c r="F2459" t="s">
        <v>42</v>
      </c>
      <c r="G2459" t="s">
        <v>28</v>
      </c>
      <c r="H2459">
        <v>8</v>
      </c>
      <c r="I2459">
        <v>8032</v>
      </c>
      <c r="J2459">
        <v>1987.82</v>
      </c>
    </row>
    <row r="2460" spans="1:10" x14ac:dyDescent="0.25">
      <c r="A2460" s="1">
        <v>45642</v>
      </c>
      <c r="B2460" t="s">
        <v>25</v>
      </c>
      <c r="C2460" t="s">
        <v>19</v>
      </c>
      <c r="D2460" t="s">
        <v>12</v>
      </c>
      <c r="E2460" t="s">
        <v>338</v>
      </c>
      <c r="F2460" t="s">
        <v>27</v>
      </c>
      <c r="G2460" t="s">
        <v>28</v>
      </c>
      <c r="H2460">
        <v>2</v>
      </c>
      <c r="I2460">
        <v>376</v>
      </c>
      <c r="J2460">
        <v>99.16</v>
      </c>
    </row>
    <row r="2461" spans="1:10" x14ac:dyDescent="0.25">
      <c r="A2461" s="1">
        <v>45465</v>
      </c>
      <c r="B2461" t="s">
        <v>40</v>
      </c>
      <c r="C2461" t="s">
        <v>19</v>
      </c>
      <c r="D2461" t="s">
        <v>12</v>
      </c>
      <c r="E2461" t="s">
        <v>26</v>
      </c>
      <c r="F2461" t="s">
        <v>27</v>
      </c>
      <c r="G2461" t="s">
        <v>28</v>
      </c>
      <c r="H2461">
        <v>7</v>
      </c>
      <c r="I2461">
        <v>4144</v>
      </c>
      <c r="J2461">
        <v>426.39</v>
      </c>
    </row>
    <row r="2462" spans="1:10" x14ac:dyDescent="0.25">
      <c r="A2462" s="1">
        <v>45600</v>
      </c>
      <c r="B2462" t="s">
        <v>25</v>
      </c>
      <c r="C2462" t="s">
        <v>19</v>
      </c>
      <c r="D2462" t="s">
        <v>12</v>
      </c>
      <c r="E2462" t="s">
        <v>56</v>
      </c>
      <c r="F2462" t="s">
        <v>57</v>
      </c>
      <c r="G2462" t="s">
        <v>24</v>
      </c>
      <c r="H2462">
        <v>4</v>
      </c>
      <c r="I2462">
        <v>2228</v>
      </c>
      <c r="J2462">
        <v>293.25</v>
      </c>
    </row>
    <row r="2463" spans="1:10" x14ac:dyDescent="0.25">
      <c r="A2463" s="1">
        <v>44880</v>
      </c>
      <c r="B2463" t="s">
        <v>18</v>
      </c>
      <c r="C2463" t="s">
        <v>19</v>
      </c>
      <c r="D2463" t="s">
        <v>12</v>
      </c>
      <c r="E2463" t="s">
        <v>103</v>
      </c>
      <c r="F2463" t="s">
        <v>149</v>
      </c>
      <c r="G2463" t="s">
        <v>15</v>
      </c>
      <c r="H2463">
        <v>1</v>
      </c>
      <c r="I2463">
        <v>1178</v>
      </c>
      <c r="J2463">
        <v>182.76</v>
      </c>
    </row>
    <row r="2464" spans="1:10" x14ac:dyDescent="0.25">
      <c r="A2464" s="1">
        <v>45409</v>
      </c>
      <c r="B2464" t="s">
        <v>16</v>
      </c>
      <c r="C2464" t="s">
        <v>17</v>
      </c>
      <c r="D2464" t="s">
        <v>12</v>
      </c>
      <c r="E2464" t="s">
        <v>22</v>
      </c>
      <c r="F2464" t="s">
        <v>23</v>
      </c>
      <c r="G2464" t="s">
        <v>24</v>
      </c>
      <c r="H2464">
        <v>5</v>
      </c>
      <c r="I2464">
        <v>2505</v>
      </c>
      <c r="J2464">
        <v>303.61</v>
      </c>
    </row>
    <row r="2465" spans="1:10" x14ac:dyDescent="0.25">
      <c r="A2465" s="1">
        <v>45350</v>
      </c>
      <c r="B2465" t="s">
        <v>32</v>
      </c>
      <c r="C2465" t="s">
        <v>19</v>
      </c>
      <c r="D2465" t="s">
        <v>12</v>
      </c>
      <c r="E2465" t="s">
        <v>298</v>
      </c>
      <c r="F2465" t="s">
        <v>46</v>
      </c>
      <c r="G2465" t="s">
        <v>15</v>
      </c>
      <c r="H2465">
        <v>4</v>
      </c>
      <c r="I2465">
        <v>1872</v>
      </c>
      <c r="J2465">
        <v>418.05</v>
      </c>
    </row>
    <row r="2466" spans="1:10" x14ac:dyDescent="0.25">
      <c r="A2466" s="1">
        <v>45289</v>
      </c>
      <c r="B2466" t="s">
        <v>10</v>
      </c>
      <c r="C2466" t="s">
        <v>11</v>
      </c>
      <c r="D2466" t="s">
        <v>12</v>
      </c>
      <c r="E2466" t="s">
        <v>56</v>
      </c>
      <c r="F2466" t="s">
        <v>57</v>
      </c>
      <c r="G2466" t="s">
        <v>24</v>
      </c>
      <c r="H2466">
        <v>2</v>
      </c>
      <c r="I2466">
        <v>340</v>
      </c>
      <c r="J2466">
        <v>59.56</v>
      </c>
    </row>
    <row r="2467" spans="1:10" x14ac:dyDescent="0.25">
      <c r="A2467" s="1">
        <v>44993</v>
      </c>
      <c r="B2467" t="s">
        <v>55</v>
      </c>
      <c r="C2467" t="s">
        <v>19</v>
      </c>
      <c r="D2467" t="s">
        <v>12</v>
      </c>
      <c r="E2467" t="s">
        <v>20</v>
      </c>
      <c r="F2467" t="s">
        <v>21</v>
      </c>
      <c r="G2467" t="s">
        <v>15</v>
      </c>
      <c r="H2467">
        <v>1</v>
      </c>
      <c r="I2467">
        <v>589</v>
      </c>
      <c r="J2467">
        <v>158.85</v>
      </c>
    </row>
    <row r="2468" spans="1:10" x14ac:dyDescent="0.25">
      <c r="A2468" s="1">
        <v>45272</v>
      </c>
      <c r="B2468" t="s">
        <v>55</v>
      </c>
      <c r="C2468" t="s">
        <v>19</v>
      </c>
      <c r="D2468" t="s">
        <v>12</v>
      </c>
      <c r="E2468" t="s">
        <v>37</v>
      </c>
      <c r="F2468" t="s">
        <v>34</v>
      </c>
      <c r="G2468" t="s">
        <v>35</v>
      </c>
      <c r="H2468">
        <v>3</v>
      </c>
      <c r="I2468">
        <v>2598</v>
      </c>
      <c r="J2468">
        <v>560.82000000000005</v>
      </c>
    </row>
    <row r="2469" spans="1:10" x14ac:dyDescent="0.25">
      <c r="A2469" s="1">
        <v>44609</v>
      </c>
      <c r="B2469" t="s">
        <v>18</v>
      </c>
      <c r="C2469" t="s">
        <v>19</v>
      </c>
      <c r="D2469" t="s">
        <v>12</v>
      </c>
      <c r="E2469" t="s">
        <v>243</v>
      </c>
      <c r="F2469" t="s">
        <v>23</v>
      </c>
      <c r="G2469" t="s">
        <v>24</v>
      </c>
      <c r="H2469">
        <v>1</v>
      </c>
      <c r="I2469">
        <v>502</v>
      </c>
      <c r="J2469">
        <v>92.31</v>
      </c>
    </row>
    <row r="2470" spans="1:10" x14ac:dyDescent="0.25">
      <c r="A2470" s="1">
        <v>45315</v>
      </c>
      <c r="B2470" t="s">
        <v>55</v>
      </c>
      <c r="C2470" t="s">
        <v>19</v>
      </c>
      <c r="D2470" t="s">
        <v>12</v>
      </c>
      <c r="E2470" t="s">
        <v>112</v>
      </c>
      <c r="F2470" t="s">
        <v>63</v>
      </c>
      <c r="G2470" t="s">
        <v>28</v>
      </c>
      <c r="H2470">
        <v>3</v>
      </c>
      <c r="I2470">
        <v>3576</v>
      </c>
      <c r="J2470">
        <v>546.44000000000005</v>
      </c>
    </row>
    <row r="2471" spans="1:10" x14ac:dyDescent="0.25">
      <c r="A2471" s="1">
        <v>44964</v>
      </c>
      <c r="B2471" t="s">
        <v>49</v>
      </c>
      <c r="C2471" t="s">
        <v>17</v>
      </c>
      <c r="D2471" t="s">
        <v>12</v>
      </c>
      <c r="E2471" t="s">
        <v>92</v>
      </c>
      <c r="F2471" t="s">
        <v>44</v>
      </c>
      <c r="G2471" t="s">
        <v>35</v>
      </c>
      <c r="H2471">
        <v>3</v>
      </c>
      <c r="I2471">
        <v>2412</v>
      </c>
      <c r="J2471">
        <v>468.27</v>
      </c>
    </row>
    <row r="2472" spans="1:10" x14ac:dyDescent="0.25">
      <c r="A2472" s="1">
        <v>45504</v>
      </c>
      <c r="B2472" t="s">
        <v>10</v>
      </c>
      <c r="C2472" t="s">
        <v>11</v>
      </c>
      <c r="D2472" t="s">
        <v>12</v>
      </c>
      <c r="E2472" t="s">
        <v>92</v>
      </c>
      <c r="F2472" t="s">
        <v>44</v>
      </c>
      <c r="G2472" t="s">
        <v>35</v>
      </c>
      <c r="H2472">
        <v>5</v>
      </c>
      <c r="I2472">
        <v>1145</v>
      </c>
      <c r="J2472">
        <v>244.72</v>
      </c>
    </row>
    <row r="2473" spans="1:10" x14ac:dyDescent="0.25">
      <c r="A2473" s="1">
        <v>44595</v>
      </c>
      <c r="B2473" t="s">
        <v>49</v>
      </c>
      <c r="C2473" t="s">
        <v>17</v>
      </c>
      <c r="D2473" t="s">
        <v>12</v>
      </c>
      <c r="E2473" t="s">
        <v>424</v>
      </c>
      <c r="F2473" t="s">
        <v>34</v>
      </c>
      <c r="G2473" t="s">
        <v>35</v>
      </c>
      <c r="H2473">
        <v>2</v>
      </c>
      <c r="I2473">
        <v>2116</v>
      </c>
      <c r="J2473">
        <v>159.30000000000001</v>
      </c>
    </row>
    <row r="2474" spans="1:10" x14ac:dyDescent="0.25">
      <c r="A2474" s="1">
        <v>45642</v>
      </c>
      <c r="B2474" t="s">
        <v>55</v>
      </c>
      <c r="C2474" t="s">
        <v>19</v>
      </c>
      <c r="D2474" t="s">
        <v>12</v>
      </c>
      <c r="E2474" t="s">
        <v>74</v>
      </c>
      <c r="F2474" t="s">
        <v>23</v>
      </c>
      <c r="G2474" t="s">
        <v>24</v>
      </c>
      <c r="H2474">
        <v>1</v>
      </c>
      <c r="I2474">
        <v>707</v>
      </c>
      <c r="J2474">
        <v>100.16</v>
      </c>
    </row>
    <row r="2475" spans="1:10" x14ac:dyDescent="0.25">
      <c r="A2475" s="1">
        <v>44876</v>
      </c>
      <c r="B2475" t="s">
        <v>16</v>
      </c>
      <c r="C2475" t="s">
        <v>17</v>
      </c>
      <c r="D2475" t="s">
        <v>12</v>
      </c>
      <c r="E2475" t="s">
        <v>298</v>
      </c>
      <c r="F2475" t="s">
        <v>46</v>
      </c>
      <c r="G2475" t="s">
        <v>15</v>
      </c>
      <c r="H2475">
        <v>9</v>
      </c>
      <c r="I2475">
        <v>657</v>
      </c>
      <c r="J2475">
        <v>109.39</v>
      </c>
    </row>
    <row r="2476" spans="1:10" x14ac:dyDescent="0.25">
      <c r="A2476" s="1">
        <v>45579</v>
      </c>
      <c r="B2476" t="s">
        <v>55</v>
      </c>
      <c r="C2476" t="s">
        <v>19</v>
      </c>
      <c r="D2476" t="s">
        <v>12</v>
      </c>
      <c r="E2476" t="s">
        <v>298</v>
      </c>
      <c r="F2476" t="s">
        <v>46</v>
      </c>
      <c r="G2476" t="s">
        <v>15</v>
      </c>
      <c r="H2476">
        <v>5</v>
      </c>
      <c r="I2476">
        <v>5345</v>
      </c>
      <c r="J2476">
        <v>1060.46</v>
      </c>
    </row>
    <row r="2477" spans="1:10" x14ac:dyDescent="0.25">
      <c r="A2477" s="1">
        <v>45318</v>
      </c>
      <c r="B2477" t="s">
        <v>18</v>
      </c>
      <c r="C2477" t="s">
        <v>19</v>
      </c>
      <c r="D2477" t="s">
        <v>12</v>
      </c>
      <c r="E2477" t="s">
        <v>52</v>
      </c>
      <c r="F2477" t="s">
        <v>42</v>
      </c>
      <c r="G2477" t="s">
        <v>28</v>
      </c>
      <c r="H2477">
        <v>8</v>
      </c>
      <c r="I2477">
        <v>4032</v>
      </c>
      <c r="J2477">
        <v>251.05</v>
      </c>
    </row>
    <row r="2478" spans="1:10" x14ac:dyDescent="0.25">
      <c r="A2478" s="1">
        <v>44803</v>
      </c>
      <c r="B2478" t="s">
        <v>25</v>
      </c>
      <c r="C2478" t="s">
        <v>19</v>
      </c>
      <c r="D2478" t="s">
        <v>12</v>
      </c>
      <c r="E2478" t="s">
        <v>22</v>
      </c>
      <c r="F2478" t="s">
        <v>23</v>
      </c>
      <c r="G2478" t="s">
        <v>24</v>
      </c>
      <c r="H2478">
        <v>4</v>
      </c>
      <c r="I2478">
        <v>3840</v>
      </c>
      <c r="J2478">
        <v>552.57000000000005</v>
      </c>
    </row>
    <row r="2479" spans="1:10" x14ac:dyDescent="0.25">
      <c r="A2479" s="1">
        <v>44949</v>
      </c>
      <c r="B2479" t="s">
        <v>36</v>
      </c>
      <c r="C2479" t="s">
        <v>17</v>
      </c>
      <c r="D2479" t="s">
        <v>12</v>
      </c>
      <c r="E2479" t="s">
        <v>105</v>
      </c>
      <c r="F2479" t="s">
        <v>23</v>
      </c>
      <c r="G2479" t="s">
        <v>24</v>
      </c>
      <c r="H2479">
        <v>5</v>
      </c>
      <c r="I2479">
        <v>575</v>
      </c>
      <c r="J2479">
        <v>47.35</v>
      </c>
    </row>
    <row r="2480" spans="1:10" x14ac:dyDescent="0.25">
      <c r="A2480" s="1">
        <v>44928</v>
      </c>
      <c r="B2480" t="s">
        <v>55</v>
      </c>
      <c r="C2480" t="s">
        <v>19</v>
      </c>
      <c r="D2480" t="s">
        <v>12</v>
      </c>
      <c r="E2480" t="s">
        <v>74</v>
      </c>
      <c r="F2480" t="s">
        <v>23</v>
      </c>
      <c r="G2480" t="s">
        <v>24</v>
      </c>
      <c r="H2480">
        <v>9</v>
      </c>
      <c r="I2480">
        <v>9315</v>
      </c>
      <c r="J2480">
        <v>1808.68</v>
      </c>
    </row>
    <row r="2481" spans="1:10" x14ac:dyDescent="0.25">
      <c r="A2481" s="1">
        <v>45621</v>
      </c>
      <c r="B2481" t="s">
        <v>16</v>
      </c>
      <c r="C2481" t="s">
        <v>17</v>
      </c>
      <c r="D2481" t="s">
        <v>12</v>
      </c>
      <c r="E2481" t="s">
        <v>37</v>
      </c>
      <c r="F2481" t="s">
        <v>34</v>
      </c>
      <c r="G2481" t="s">
        <v>35</v>
      </c>
      <c r="H2481">
        <v>7</v>
      </c>
      <c r="I2481">
        <v>3423</v>
      </c>
      <c r="J2481">
        <v>435.06</v>
      </c>
    </row>
    <row r="2482" spans="1:10" x14ac:dyDescent="0.25">
      <c r="A2482" s="1">
        <v>45237</v>
      </c>
      <c r="B2482" t="s">
        <v>36</v>
      </c>
      <c r="C2482" t="s">
        <v>17</v>
      </c>
      <c r="D2482" t="s">
        <v>12</v>
      </c>
      <c r="E2482" t="s">
        <v>37</v>
      </c>
      <c r="F2482" t="s">
        <v>34</v>
      </c>
      <c r="G2482" t="s">
        <v>35</v>
      </c>
      <c r="H2482">
        <v>6</v>
      </c>
      <c r="I2482">
        <v>3942</v>
      </c>
      <c r="J2482">
        <v>748.74</v>
      </c>
    </row>
    <row r="2483" spans="1:10" x14ac:dyDescent="0.25">
      <c r="A2483" s="1">
        <v>45488</v>
      </c>
      <c r="B2483" t="s">
        <v>55</v>
      </c>
      <c r="C2483" t="s">
        <v>19</v>
      </c>
      <c r="D2483" t="s">
        <v>12</v>
      </c>
      <c r="E2483" t="s">
        <v>81</v>
      </c>
      <c r="F2483" t="s">
        <v>46</v>
      </c>
      <c r="G2483" t="s">
        <v>15</v>
      </c>
      <c r="H2483">
        <v>2</v>
      </c>
      <c r="I2483">
        <v>574</v>
      </c>
      <c r="J2483">
        <v>70.16</v>
      </c>
    </row>
    <row r="2484" spans="1:10" x14ac:dyDescent="0.25">
      <c r="A2484" s="1">
        <v>45447</v>
      </c>
      <c r="B2484" t="s">
        <v>29</v>
      </c>
      <c r="C2484" t="s">
        <v>17</v>
      </c>
      <c r="D2484" t="s">
        <v>12</v>
      </c>
      <c r="E2484" t="s">
        <v>81</v>
      </c>
      <c r="F2484" t="s">
        <v>46</v>
      </c>
      <c r="G2484" t="s">
        <v>15</v>
      </c>
      <c r="H2484">
        <v>6</v>
      </c>
      <c r="I2484">
        <v>3024</v>
      </c>
      <c r="J2484">
        <v>336.28</v>
      </c>
    </row>
    <row r="2485" spans="1:10" x14ac:dyDescent="0.25">
      <c r="A2485" s="1">
        <v>44622</v>
      </c>
      <c r="B2485" t="s">
        <v>29</v>
      </c>
      <c r="C2485" t="s">
        <v>17</v>
      </c>
      <c r="D2485" t="s">
        <v>12</v>
      </c>
      <c r="E2485" t="s">
        <v>56</v>
      </c>
      <c r="F2485" t="s">
        <v>57</v>
      </c>
      <c r="G2485" t="s">
        <v>24</v>
      </c>
      <c r="H2485">
        <v>7</v>
      </c>
      <c r="I2485">
        <v>952</v>
      </c>
      <c r="J2485">
        <v>215.51</v>
      </c>
    </row>
    <row r="2486" spans="1:10" x14ac:dyDescent="0.25">
      <c r="A2486" s="1">
        <v>45255</v>
      </c>
      <c r="B2486" t="s">
        <v>40</v>
      </c>
      <c r="C2486" t="s">
        <v>19</v>
      </c>
      <c r="D2486" t="s">
        <v>12</v>
      </c>
      <c r="E2486" t="s">
        <v>425</v>
      </c>
      <c r="F2486" t="s">
        <v>189</v>
      </c>
      <c r="G2486" t="s">
        <v>24</v>
      </c>
      <c r="H2486">
        <v>9</v>
      </c>
      <c r="I2486">
        <v>9090</v>
      </c>
      <c r="J2486">
        <v>937.69</v>
      </c>
    </row>
    <row r="2487" spans="1:10" x14ac:dyDescent="0.25">
      <c r="A2487" s="1">
        <v>44691</v>
      </c>
      <c r="B2487" t="s">
        <v>18</v>
      </c>
      <c r="C2487" t="s">
        <v>19</v>
      </c>
      <c r="D2487" t="s">
        <v>12</v>
      </c>
      <c r="E2487" t="s">
        <v>105</v>
      </c>
      <c r="F2487" t="s">
        <v>23</v>
      </c>
      <c r="G2487" t="s">
        <v>24</v>
      </c>
      <c r="H2487">
        <v>2</v>
      </c>
      <c r="I2487">
        <v>1166</v>
      </c>
      <c r="J2487">
        <v>170.11</v>
      </c>
    </row>
    <row r="2488" spans="1:10" x14ac:dyDescent="0.25">
      <c r="A2488" s="1">
        <v>45300</v>
      </c>
      <c r="B2488" t="s">
        <v>49</v>
      </c>
      <c r="C2488" t="s">
        <v>17</v>
      </c>
      <c r="D2488" t="s">
        <v>12</v>
      </c>
      <c r="E2488" t="s">
        <v>47</v>
      </c>
      <c r="F2488" t="s">
        <v>156</v>
      </c>
      <c r="G2488" t="s">
        <v>28</v>
      </c>
      <c r="H2488">
        <v>3</v>
      </c>
      <c r="I2488">
        <v>2925</v>
      </c>
      <c r="J2488">
        <v>433.95</v>
      </c>
    </row>
    <row r="2489" spans="1:10" x14ac:dyDescent="0.25">
      <c r="A2489" s="1">
        <v>45285</v>
      </c>
      <c r="B2489" t="s">
        <v>25</v>
      </c>
      <c r="C2489" t="s">
        <v>19</v>
      </c>
      <c r="D2489" t="s">
        <v>12</v>
      </c>
      <c r="E2489" t="s">
        <v>130</v>
      </c>
      <c r="F2489" t="s">
        <v>54</v>
      </c>
      <c r="G2489" t="s">
        <v>24</v>
      </c>
      <c r="H2489">
        <v>5</v>
      </c>
      <c r="I2489">
        <v>3455</v>
      </c>
      <c r="J2489">
        <v>867.55</v>
      </c>
    </row>
    <row r="2490" spans="1:10" x14ac:dyDescent="0.25">
      <c r="A2490" s="1">
        <v>44901</v>
      </c>
      <c r="B2490" t="s">
        <v>40</v>
      </c>
      <c r="C2490" t="s">
        <v>19</v>
      </c>
      <c r="D2490" t="s">
        <v>12</v>
      </c>
      <c r="E2490" t="s">
        <v>224</v>
      </c>
      <c r="F2490" t="s">
        <v>34</v>
      </c>
      <c r="G2490" t="s">
        <v>35</v>
      </c>
      <c r="H2490">
        <v>2</v>
      </c>
      <c r="I2490">
        <v>1614</v>
      </c>
      <c r="J2490">
        <v>331.3</v>
      </c>
    </row>
    <row r="2491" spans="1:10" x14ac:dyDescent="0.25">
      <c r="A2491" s="1">
        <v>45511</v>
      </c>
      <c r="B2491" t="s">
        <v>16</v>
      </c>
      <c r="C2491" t="s">
        <v>17</v>
      </c>
      <c r="D2491" t="s">
        <v>12</v>
      </c>
      <c r="E2491" t="s">
        <v>52</v>
      </c>
      <c r="F2491" t="s">
        <v>42</v>
      </c>
      <c r="G2491" t="s">
        <v>28</v>
      </c>
      <c r="H2491">
        <v>7</v>
      </c>
      <c r="I2491">
        <v>1771</v>
      </c>
      <c r="J2491">
        <v>171.26</v>
      </c>
    </row>
    <row r="2492" spans="1:10" x14ac:dyDescent="0.25">
      <c r="A2492" s="1">
        <v>44932</v>
      </c>
      <c r="B2492" t="s">
        <v>10</v>
      </c>
      <c r="C2492" t="s">
        <v>11</v>
      </c>
      <c r="D2492" t="s">
        <v>12</v>
      </c>
      <c r="E2492" t="s">
        <v>37</v>
      </c>
      <c r="F2492" t="s">
        <v>34</v>
      </c>
      <c r="G2492" t="s">
        <v>35</v>
      </c>
      <c r="H2492">
        <v>6</v>
      </c>
      <c r="I2492">
        <v>5658</v>
      </c>
      <c r="J2492">
        <v>1504.97</v>
      </c>
    </row>
    <row r="2493" spans="1:10" x14ac:dyDescent="0.25">
      <c r="A2493" s="1">
        <v>45560</v>
      </c>
      <c r="B2493" t="s">
        <v>16</v>
      </c>
      <c r="C2493" t="s">
        <v>17</v>
      </c>
      <c r="D2493" t="s">
        <v>12</v>
      </c>
      <c r="E2493" t="s">
        <v>426</v>
      </c>
      <c r="F2493" t="s">
        <v>267</v>
      </c>
      <c r="G2493" t="s">
        <v>24</v>
      </c>
      <c r="H2493">
        <v>9</v>
      </c>
      <c r="I2493">
        <v>8460</v>
      </c>
      <c r="J2493">
        <v>1515.06</v>
      </c>
    </row>
    <row r="2494" spans="1:10" x14ac:dyDescent="0.25">
      <c r="A2494" s="1">
        <v>45256</v>
      </c>
      <c r="B2494" t="s">
        <v>10</v>
      </c>
      <c r="C2494" t="s">
        <v>11</v>
      </c>
      <c r="D2494" t="s">
        <v>12</v>
      </c>
      <c r="E2494" t="s">
        <v>148</v>
      </c>
      <c r="F2494" t="s">
        <v>149</v>
      </c>
      <c r="G2494" t="s">
        <v>15</v>
      </c>
      <c r="H2494">
        <v>5</v>
      </c>
      <c r="I2494">
        <v>1925</v>
      </c>
      <c r="J2494">
        <v>570.92999999999995</v>
      </c>
    </row>
    <row r="2495" spans="1:10" x14ac:dyDescent="0.25">
      <c r="A2495" s="1">
        <v>45324</v>
      </c>
      <c r="B2495" t="s">
        <v>55</v>
      </c>
      <c r="C2495" t="s">
        <v>19</v>
      </c>
      <c r="D2495" t="s">
        <v>12</v>
      </c>
      <c r="E2495" t="s">
        <v>148</v>
      </c>
      <c r="F2495" t="s">
        <v>149</v>
      </c>
      <c r="G2495" t="s">
        <v>15</v>
      </c>
      <c r="H2495">
        <v>6</v>
      </c>
      <c r="I2495">
        <v>2196</v>
      </c>
      <c r="J2495">
        <v>572.16999999999996</v>
      </c>
    </row>
    <row r="2496" spans="1:10" x14ac:dyDescent="0.25">
      <c r="A2496" s="1">
        <v>45478</v>
      </c>
      <c r="B2496" t="s">
        <v>49</v>
      </c>
      <c r="C2496" t="s">
        <v>17</v>
      </c>
      <c r="D2496" t="s">
        <v>12</v>
      </c>
      <c r="E2496" t="s">
        <v>328</v>
      </c>
      <c r="F2496" t="s">
        <v>191</v>
      </c>
      <c r="G2496" t="s">
        <v>35</v>
      </c>
      <c r="H2496">
        <v>2</v>
      </c>
      <c r="I2496">
        <v>1696</v>
      </c>
      <c r="J2496">
        <v>500.56</v>
      </c>
    </row>
    <row r="2497" spans="1:10" x14ac:dyDescent="0.25">
      <c r="A2497" s="1">
        <v>45246</v>
      </c>
      <c r="B2497" t="s">
        <v>10</v>
      </c>
      <c r="C2497" t="s">
        <v>11</v>
      </c>
      <c r="D2497" t="s">
        <v>12</v>
      </c>
      <c r="E2497" t="s">
        <v>427</v>
      </c>
      <c r="F2497" t="s">
        <v>42</v>
      </c>
      <c r="G2497" t="s">
        <v>28</v>
      </c>
      <c r="H2497">
        <v>9</v>
      </c>
      <c r="I2497">
        <v>6813</v>
      </c>
      <c r="J2497">
        <v>1966.66</v>
      </c>
    </row>
    <row r="2498" spans="1:10" x14ac:dyDescent="0.25">
      <c r="A2498" s="1">
        <v>45584</v>
      </c>
      <c r="B2498" t="s">
        <v>49</v>
      </c>
      <c r="C2498" t="s">
        <v>17</v>
      </c>
      <c r="D2498" t="s">
        <v>12</v>
      </c>
      <c r="E2498" t="s">
        <v>171</v>
      </c>
      <c r="F2498" t="s">
        <v>94</v>
      </c>
      <c r="G2498" t="s">
        <v>24</v>
      </c>
      <c r="H2498">
        <v>5</v>
      </c>
      <c r="I2498">
        <v>3670</v>
      </c>
      <c r="J2498">
        <v>790.67</v>
      </c>
    </row>
    <row r="2499" spans="1:10" x14ac:dyDescent="0.25">
      <c r="A2499" s="1">
        <v>45575</v>
      </c>
      <c r="B2499" t="s">
        <v>49</v>
      </c>
      <c r="C2499" t="s">
        <v>17</v>
      </c>
      <c r="D2499" t="s">
        <v>12</v>
      </c>
      <c r="E2499" t="s">
        <v>154</v>
      </c>
      <c r="F2499" t="s">
        <v>115</v>
      </c>
      <c r="G2499" t="s">
        <v>15</v>
      </c>
      <c r="H2499">
        <v>4</v>
      </c>
      <c r="I2499">
        <v>2936</v>
      </c>
      <c r="J2499">
        <v>204.55</v>
      </c>
    </row>
    <row r="2500" spans="1:10" x14ac:dyDescent="0.25">
      <c r="A2500" s="1">
        <v>45320</v>
      </c>
      <c r="B2500" t="s">
        <v>36</v>
      </c>
      <c r="C2500" t="s">
        <v>17</v>
      </c>
      <c r="D2500" t="s">
        <v>12</v>
      </c>
      <c r="E2500" t="s">
        <v>237</v>
      </c>
      <c r="F2500" t="s">
        <v>149</v>
      </c>
      <c r="G2500" t="s">
        <v>15</v>
      </c>
      <c r="H2500">
        <v>5</v>
      </c>
      <c r="I2500">
        <v>5165</v>
      </c>
      <c r="J2500">
        <v>283.60000000000002</v>
      </c>
    </row>
    <row r="2501" spans="1:10" x14ac:dyDescent="0.25">
      <c r="A2501" s="1">
        <v>45541</v>
      </c>
      <c r="B2501" t="s">
        <v>25</v>
      </c>
      <c r="C2501" t="s">
        <v>19</v>
      </c>
      <c r="D2501" t="s">
        <v>12</v>
      </c>
      <c r="E2501" t="s">
        <v>382</v>
      </c>
      <c r="F2501" t="s">
        <v>78</v>
      </c>
      <c r="G2501" t="s">
        <v>28</v>
      </c>
      <c r="H2501">
        <v>5</v>
      </c>
      <c r="I2501">
        <v>5940</v>
      </c>
      <c r="J2501">
        <v>467.31</v>
      </c>
    </row>
    <row r="2502" spans="1:10" x14ac:dyDescent="0.25">
      <c r="A2502" s="1">
        <v>45084</v>
      </c>
      <c r="B2502" t="s">
        <v>32</v>
      </c>
      <c r="C2502" t="s">
        <v>19</v>
      </c>
      <c r="D2502" t="s">
        <v>12</v>
      </c>
      <c r="E2502" t="s">
        <v>43</v>
      </c>
      <c r="F2502" t="s">
        <v>44</v>
      </c>
      <c r="G2502" t="s">
        <v>35</v>
      </c>
      <c r="H2502">
        <v>6</v>
      </c>
      <c r="I2502">
        <v>2664</v>
      </c>
      <c r="J2502">
        <v>520.29999999999995</v>
      </c>
    </row>
    <row r="2503" spans="1:10" x14ac:dyDescent="0.25">
      <c r="A2503" s="1">
        <v>45394</v>
      </c>
      <c r="B2503" t="s">
        <v>29</v>
      </c>
      <c r="C2503" t="s">
        <v>17</v>
      </c>
      <c r="D2503" t="s">
        <v>12</v>
      </c>
      <c r="E2503" t="s">
        <v>56</v>
      </c>
      <c r="F2503" t="s">
        <v>57</v>
      </c>
      <c r="G2503" t="s">
        <v>24</v>
      </c>
      <c r="H2503">
        <v>2</v>
      </c>
      <c r="I2503">
        <v>1198</v>
      </c>
      <c r="J2503">
        <v>134.38999999999999</v>
      </c>
    </row>
    <row r="2504" spans="1:10" x14ac:dyDescent="0.25">
      <c r="A2504" s="1">
        <v>45526</v>
      </c>
      <c r="B2504" t="s">
        <v>29</v>
      </c>
      <c r="C2504" t="s">
        <v>17</v>
      </c>
      <c r="D2504" t="s">
        <v>12</v>
      </c>
      <c r="E2504" t="s">
        <v>428</v>
      </c>
      <c r="F2504" t="s">
        <v>23</v>
      </c>
      <c r="G2504" t="s">
        <v>24</v>
      </c>
      <c r="H2504">
        <v>4</v>
      </c>
      <c r="I2504">
        <v>1340</v>
      </c>
      <c r="J2504">
        <v>309.8</v>
      </c>
    </row>
    <row r="2505" spans="1:10" x14ac:dyDescent="0.25">
      <c r="A2505" s="1">
        <v>44849</v>
      </c>
      <c r="B2505" t="s">
        <v>36</v>
      </c>
      <c r="C2505" t="s">
        <v>17</v>
      </c>
      <c r="D2505" t="s">
        <v>12</v>
      </c>
      <c r="E2505" t="s">
        <v>75</v>
      </c>
      <c r="F2505" t="s">
        <v>108</v>
      </c>
      <c r="G2505" t="s">
        <v>15</v>
      </c>
      <c r="H2505">
        <v>9</v>
      </c>
      <c r="I2505">
        <v>9657</v>
      </c>
      <c r="J2505">
        <v>1233.47</v>
      </c>
    </row>
    <row r="2506" spans="1:10" x14ac:dyDescent="0.25">
      <c r="A2506" s="1">
        <v>44740</v>
      </c>
      <c r="B2506" t="s">
        <v>25</v>
      </c>
      <c r="C2506" t="s">
        <v>19</v>
      </c>
      <c r="D2506" t="s">
        <v>12</v>
      </c>
      <c r="E2506" t="s">
        <v>105</v>
      </c>
      <c r="F2506" t="s">
        <v>23</v>
      </c>
      <c r="G2506" t="s">
        <v>24</v>
      </c>
      <c r="H2506">
        <v>8</v>
      </c>
      <c r="I2506">
        <v>2592</v>
      </c>
      <c r="J2506">
        <v>191.66</v>
      </c>
    </row>
    <row r="2507" spans="1:10" x14ac:dyDescent="0.25">
      <c r="A2507" s="1">
        <v>45087</v>
      </c>
      <c r="B2507" t="s">
        <v>25</v>
      </c>
      <c r="C2507" t="s">
        <v>19</v>
      </c>
      <c r="D2507" t="s">
        <v>12</v>
      </c>
      <c r="E2507" t="s">
        <v>376</v>
      </c>
      <c r="F2507" t="s">
        <v>34</v>
      </c>
      <c r="G2507" t="s">
        <v>35</v>
      </c>
      <c r="H2507">
        <v>4</v>
      </c>
      <c r="I2507">
        <v>1168</v>
      </c>
      <c r="J2507">
        <v>135.36000000000001</v>
      </c>
    </row>
    <row r="2508" spans="1:10" x14ac:dyDescent="0.25">
      <c r="A2508" s="1">
        <v>45008</v>
      </c>
      <c r="B2508" t="s">
        <v>29</v>
      </c>
      <c r="C2508" t="s">
        <v>17</v>
      </c>
      <c r="D2508" t="s">
        <v>12</v>
      </c>
      <c r="E2508" t="s">
        <v>22</v>
      </c>
      <c r="F2508" t="s">
        <v>23</v>
      </c>
      <c r="G2508" t="s">
        <v>24</v>
      </c>
      <c r="H2508">
        <v>8</v>
      </c>
      <c r="I2508">
        <v>5920</v>
      </c>
      <c r="J2508">
        <v>1241.27</v>
      </c>
    </row>
    <row r="2509" spans="1:10" x14ac:dyDescent="0.25">
      <c r="A2509" s="1">
        <v>44609</v>
      </c>
      <c r="B2509" t="s">
        <v>40</v>
      </c>
      <c r="C2509" t="s">
        <v>19</v>
      </c>
      <c r="D2509" t="s">
        <v>12</v>
      </c>
      <c r="E2509" t="s">
        <v>92</v>
      </c>
      <c r="F2509" t="s">
        <v>44</v>
      </c>
      <c r="G2509" t="s">
        <v>35</v>
      </c>
      <c r="H2509">
        <v>2</v>
      </c>
      <c r="I2509">
        <v>2260</v>
      </c>
      <c r="J2509">
        <v>268.47000000000003</v>
      </c>
    </row>
    <row r="2510" spans="1:10" x14ac:dyDescent="0.25">
      <c r="A2510" s="1">
        <v>45188</v>
      </c>
      <c r="B2510" t="s">
        <v>10</v>
      </c>
      <c r="C2510" t="s">
        <v>11</v>
      </c>
      <c r="D2510" t="s">
        <v>12</v>
      </c>
      <c r="E2510" t="s">
        <v>92</v>
      </c>
      <c r="F2510" t="s">
        <v>44</v>
      </c>
      <c r="G2510" t="s">
        <v>35</v>
      </c>
      <c r="H2510">
        <v>8</v>
      </c>
      <c r="I2510">
        <v>7016</v>
      </c>
      <c r="J2510">
        <v>1490.07</v>
      </c>
    </row>
    <row r="2511" spans="1:10" x14ac:dyDescent="0.25">
      <c r="A2511" s="1">
        <v>45380</v>
      </c>
      <c r="B2511" t="s">
        <v>29</v>
      </c>
      <c r="C2511" t="s">
        <v>17</v>
      </c>
      <c r="D2511" t="s">
        <v>12</v>
      </c>
      <c r="E2511" t="s">
        <v>377</v>
      </c>
      <c r="F2511" t="s">
        <v>115</v>
      </c>
      <c r="G2511" t="s">
        <v>15</v>
      </c>
      <c r="H2511">
        <v>6</v>
      </c>
      <c r="I2511">
        <v>546</v>
      </c>
      <c r="J2511">
        <v>79.94</v>
      </c>
    </row>
    <row r="2512" spans="1:10" x14ac:dyDescent="0.25">
      <c r="A2512" s="1">
        <v>45628</v>
      </c>
      <c r="B2512" t="s">
        <v>55</v>
      </c>
      <c r="C2512" t="s">
        <v>19</v>
      </c>
      <c r="D2512" t="s">
        <v>12</v>
      </c>
      <c r="E2512" t="s">
        <v>429</v>
      </c>
      <c r="F2512" t="s">
        <v>21</v>
      </c>
      <c r="G2512" t="s">
        <v>15</v>
      </c>
      <c r="H2512">
        <v>1</v>
      </c>
      <c r="I2512">
        <v>839</v>
      </c>
      <c r="J2512">
        <v>228.72</v>
      </c>
    </row>
    <row r="2513" spans="1:10" x14ac:dyDescent="0.25">
      <c r="A2513" s="1">
        <v>45497</v>
      </c>
      <c r="B2513" t="s">
        <v>18</v>
      </c>
      <c r="C2513" t="s">
        <v>19</v>
      </c>
      <c r="D2513" t="s">
        <v>12</v>
      </c>
      <c r="E2513" t="s">
        <v>145</v>
      </c>
      <c r="F2513" t="s">
        <v>44</v>
      </c>
      <c r="G2513" t="s">
        <v>35</v>
      </c>
      <c r="H2513">
        <v>8</v>
      </c>
      <c r="I2513">
        <v>5176</v>
      </c>
      <c r="J2513">
        <v>619.45000000000005</v>
      </c>
    </row>
    <row r="2514" spans="1:10" x14ac:dyDescent="0.25">
      <c r="A2514" s="1">
        <v>45018</v>
      </c>
      <c r="B2514" t="s">
        <v>55</v>
      </c>
      <c r="C2514" t="s">
        <v>19</v>
      </c>
      <c r="D2514" t="s">
        <v>12</v>
      </c>
      <c r="E2514" t="s">
        <v>224</v>
      </c>
      <c r="F2514" t="s">
        <v>34</v>
      </c>
      <c r="G2514" t="s">
        <v>35</v>
      </c>
      <c r="H2514">
        <v>4</v>
      </c>
      <c r="I2514">
        <v>280</v>
      </c>
      <c r="J2514">
        <v>24.9</v>
      </c>
    </row>
    <row r="2515" spans="1:10" x14ac:dyDescent="0.25">
      <c r="A2515" s="1">
        <v>45654</v>
      </c>
      <c r="B2515" t="s">
        <v>36</v>
      </c>
      <c r="C2515" t="s">
        <v>17</v>
      </c>
      <c r="D2515" t="s">
        <v>12</v>
      </c>
      <c r="E2515" t="s">
        <v>224</v>
      </c>
      <c r="F2515" t="s">
        <v>34</v>
      </c>
      <c r="G2515" t="s">
        <v>35</v>
      </c>
      <c r="H2515">
        <v>9</v>
      </c>
      <c r="I2515">
        <v>2097</v>
      </c>
      <c r="J2515">
        <v>210.59</v>
      </c>
    </row>
    <row r="2516" spans="1:10" x14ac:dyDescent="0.25">
      <c r="A2516" s="1">
        <v>45436</v>
      </c>
      <c r="B2516" t="s">
        <v>16</v>
      </c>
      <c r="C2516" t="s">
        <v>17</v>
      </c>
      <c r="D2516" t="s">
        <v>12</v>
      </c>
      <c r="E2516" t="s">
        <v>136</v>
      </c>
      <c r="F2516" t="s">
        <v>65</v>
      </c>
      <c r="G2516" t="s">
        <v>35</v>
      </c>
      <c r="H2516">
        <v>6</v>
      </c>
      <c r="I2516">
        <v>4632</v>
      </c>
      <c r="J2516">
        <v>799.16</v>
      </c>
    </row>
    <row r="2517" spans="1:10" x14ac:dyDescent="0.25">
      <c r="A2517" s="1">
        <v>44966</v>
      </c>
      <c r="B2517" t="s">
        <v>49</v>
      </c>
      <c r="C2517" t="s">
        <v>17</v>
      </c>
      <c r="D2517" t="s">
        <v>12</v>
      </c>
      <c r="E2517" t="s">
        <v>430</v>
      </c>
      <c r="F2517" t="s">
        <v>65</v>
      </c>
      <c r="G2517" t="s">
        <v>35</v>
      </c>
      <c r="H2517">
        <v>4</v>
      </c>
      <c r="I2517">
        <v>1088</v>
      </c>
      <c r="J2517">
        <v>283.61</v>
      </c>
    </row>
    <row r="2518" spans="1:10" x14ac:dyDescent="0.25">
      <c r="A2518" s="1">
        <v>45186</v>
      </c>
      <c r="B2518" t="s">
        <v>25</v>
      </c>
      <c r="C2518" t="s">
        <v>19</v>
      </c>
      <c r="D2518" t="s">
        <v>12</v>
      </c>
      <c r="E2518" t="s">
        <v>53</v>
      </c>
      <c r="F2518" t="s">
        <v>44</v>
      </c>
      <c r="G2518" t="s">
        <v>35</v>
      </c>
      <c r="H2518">
        <v>2</v>
      </c>
      <c r="I2518">
        <v>1314</v>
      </c>
      <c r="J2518">
        <v>391.55</v>
      </c>
    </row>
    <row r="2519" spans="1:10" x14ac:dyDescent="0.25">
      <c r="A2519" s="1">
        <v>45053</v>
      </c>
      <c r="B2519" t="s">
        <v>16</v>
      </c>
      <c r="C2519" t="s">
        <v>17</v>
      </c>
      <c r="D2519" t="s">
        <v>12</v>
      </c>
      <c r="E2519" t="s">
        <v>87</v>
      </c>
      <c r="F2519" t="s">
        <v>46</v>
      </c>
      <c r="G2519" t="s">
        <v>15</v>
      </c>
      <c r="H2519">
        <v>8</v>
      </c>
      <c r="I2519">
        <v>7960</v>
      </c>
      <c r="J2519">
        <v>804.11</v>
      </c>
    </row>
    <row r="2520" spans="1:10" x14ac:dyDescent="0.25">
      <c r="A2520" s="1">
        <v>45252</v>
      </c>
      <c r="B2520" t="s">
        <v>10</v>
      </c>
      <c r="C2520" t="s">
        <v>11</v>
      </c>
      <c r="D2520" t="s">
        <v>12</v>
      </c>
      <c r="E2520" t="s">
        <v>103</v>
      </c>
      <c r="F2520" t="s">
        <v>21</v>
      </c>
      <c r="G2520" t="s">
        <v>15</v>
      </c>
      <c r="H2520">
        <v>8</v>
      </c>
      <c r="I2520">
        <v>2856</v>
      </c>
      <c r="J2520">
        <v>350.32</v>
      </c>
    </row>
    <row r="2521" spans="1:10" x14ac:dyDescent="0.25">
      <c r="A2521" s="1">
        <v>44728</v>
      </c>
      <c r="B2521" t="s">
        <v>32</v>
      </c>
      <c r="C2521" t="s">
        <v>19</v>
      </c>
      <c r="D2521" t="s">
        <v>12</v>
      </c>
      <c r="E2521" t="s">
        <v>242</v>
      </c>
      <c r="F2521" t="s">
        <v>21</v>
      </c>
      <c r="G2521" t="s">
        <v>15</v>
      </c>
      <c r="H2521">
        <v>4</v>
      </c>
      <c r="I2521">
        <v>1680</v>
      </c>
      <c r="J2521">
        <v>385.92</v>
      </c>
    </row>
    <row r="2522" spans="1:10" x14ac:dyDescent="0.25">
      <c r="A2522" s="1">
        <v>45616</v>
      </c>
      <c r="B2522" t="s">
        <v>36</v>
      </c>
      <c r="C2522" t="s">
        <v>17</v>
      </c>
      <c r="D2522" t="s">
        <v>12</v>
      </c>
      <c r="E2522" t="s">
        <v>37</v>
      </c>
      <c r="F2522" t="s">
        <v>34</v>
      </c>
      <c r="G2522" t="s">
        <v>35</v>
      </c>
      <c r="H2522">
        <v>4</v>
      </c>
      <c r="I2522">
        <v>4464</v>
      </c>
      <c r="J2522">
        <v>1069.6300000000001</v>
      </c>
    </row>
    <row r="2523" spans="1:10" x14ac:dyDescent="0.25">
      <c r="A2523" s="1">
        <v>45085</v>
      </c>
      <c r="B2523" t="s">
        <v>40</v>
      </c>
      <c r="C2523" t="s">
        <v>19</v>
      </c>
      <c r="D2523" t="s">
        <v>12</v>
      </c>
      <c r="E2523" t="s">
        <v>377</v>
      </c>
      <c r="F2523" t="s">
        <v>115</v>
      </c>
      <c r="G2523" t="s">
        <v>15</v>
      </c>
      <c r="H2523">
        <v>6</v>
      </c>
      <c r="I2523">
        <v>2940</v>
      </c>
      <c r="J2523">
        <v>184.97</v>
      </c>
    </row>
    <row r="2524" spans="1:10" x14ac:dyDescent="0.25">
      <c r="A2524" s="1">
        <v>44724</v>
      </c>
      <c r="B2524" t="s">
        <v>36</v>
      </c>
      <c r="C2524" t="s">
        <v>17</v>
      </c>
      <c r="D2524" t="s">
        <v>12</v>
      </c>
      <c r="E2524" t="s">
        <v>377</v>
      </c>
      <c r="F2524" t="s">
        <v>115</v>
      </c>
      <c r="G2524" t="s">
        <v>15</v>
      </c>
      <c r="H2524">
        <v>8</v>
      </c>
      <c r="I2524">
        <v>1272</v>
      </c>
      <c r="J2524">
        <v>344.45</v>
      </c>
    </row>
    <row r="2525" spans="1:10" x14ac:dyDescent="0.25">
      <c r="A2525" s="1">
        <v>45617</v>
      </c>
      <c r="B2525" t="s">
        <v>10</v>
      </c>
      <c r="C2525" t="s">
        <v>11</v>
      </c>
      <c r="D2525" t="s">
        <v>12</v>
      </c>
      <c r="E2525" t="s">
        <v>26</v>
      </c>
      <c r="F2525" t="s">
        <v>27</v>
      </c>
      <c r="G2525" t="s">
        <v>28</v>
      </c>
      <c r="H2525">
        <v>6</v>
      </c>
      <c r="I2525">
        <v>1728</v>
      </c>
      <c r="J2525">
        <v>247.86</v>
      </c>
    </row>
    <row r="2526" spans="1:10" x14ac:dyDescent="0.25">
      <c r="A2526" s="1">
        <v>44810</v>
      </c>
      <c r="B2526" t="s">
        <v>36</v>
      </c>
      <c r="C2526" t="s">
        <v>17</v>
      </c>
      <c r="D2526" t="s">
        <v>12</v>
      </c>
      <c r="E2526" t="s">
        <v>52</v>
      </c>
      <c r="F2526" t="s">
        <v>42</v>
      </c>
      <c r="G2526" t="s">
        <v>28</v>
      </c>
      <c r="H2526">
        <v>3</v>
      </c>
      <c r="I2526">
        <v>3153</v>
      </c>
      <c r="J2526">
        <v>563.55999999999995</v>
      </c>
    </row>
    <row r="2527" spans="1:10" x14ac:dyDescent="0.25">
      <c r="A2527" s="1">
        <v>45374</v>
      </c>
      <c r="B2527" t="s">
        <v>40</v>
      </c>
      <c r="C2527" t="s">
        <v>19</v>
      </c>
      <c r="D2527" t="s">
        <v>12</v>
      </c>
      <c r="E2527" t="s">
        <v>22</v>
      </c>
      <c r="F2527" t="s">
        <v>23</v>
      </c>
      <c r="G2527" t="s">
        <v>24</v>
      </c>
      <c r="H2527">
        <v>4</v>
      </c>
      <c r="I2527">
        <v>2536</v>
      </c>
      <c r="J2527">
        <v>285.72000000000003</v>
      </c>
    </row>
    <row r="2528" spans="1:10" x14ac:dyDescent="0.25">
      <c r="A2528" s="1">
        <v>44636</v>
      </c>
      <c r="B2528" t="s">
        <v>18</v>
      </c>
      <c r="C2528" t="s">
        <v>19</v>
      </c>
      <c r="D2528" t="s">
        <v>12</v>
      </c>
      <c r="E2528" t="s">
        <v>210</v>
      </c>
      <c r="F2528" t="s">
        <v>34</v>
      </c>
      <c r="G2528" t="s">
        <v>35</v>
      </c>
      <c r="H2528">
        <v>3</v>
      </c>
      <c r="I2528">
        <v>2508</v>
      </c>
      <c r="J2528">
        <v>431.53</v>
      </c>
    </row>
    <row r="2529" spans="1:10" x14ac:dyDescent="0.25">
      <c r="A2529" s="1">
        <v>45583</v>
      </c>
      <c r="B2529" t="s">
        <v>18</v>
      </c>
      <c r="C2529" t="s">
        <v>19</v>
      </c>
      <c r="D2529" t="s">
        <v>12</v>
      </c>
      <c r="E2529" t="s">
        <v>43</v>
      </c>
      <c r="F2529" t="s">
        <v>44</v>
      </c>
      <c r="G2529" t="s">
        <v>35</v>
      </c>
      <c r="H2529">
        <v>1</v>
      </c>
      <c r="I2529">
        <v>123</v>
      </c>
      <c r="J2529">
        <v>12.36</v>
      </c>
    </row>
    <row r="2530" spans="1:10" x14ac:dyDescent="0.25">
      <c r="A2530" s="1">
        <v>45137</v>
      </c>
      <c r="B2530" t="s">
        <v>40</v>
      </c>
      <c r="C2530" t="s">
        <v>19</v>
      </c>
      <c r="D2530" t="s">
        <v>12</v>
      </c>
      <c r="E2530" t="s">
        <v>43</v>
      </c>
      <c r="F2530" t="s">
        <v>44</v>
      </c>
      <c r="G2530" t="s">
        <v>35</v>
      </c>
      <c r="H2530">
        <v>3</v>
      </c>
      <c r="I2530">
        <v>2379</v>
      </c>
      <c r="J2530">
        <v>148.68</v>
      </c>
    </row>
    <row r="2531" spans="1:10" x14ac:dyDescent="0.25">
      <c r="A2531" s="1">
        <v>44930</v>
      </c>
      <c r="B2531" t="s">
        <v>10</v>
      </c>
      <c r="C2531" t="s">
        <v>11</v>
      </c>
      <c r="D2531" t="s">
        <v>12</v>
      </c>
      <c r="E2531" t="s">
        <v>103</v>
      </c>
      <c r="F2531" t="s">
        <v>149</v>
      </c>
      <c r="G2531" t="s">
        <v>15</v>
      </c>
      <c r="H2531">
        <v>6</v>
      </c>
      <c r="I2531">
        <v>6924</v>
      </c>
      <c r="J2531">
        <v>1693.77</v>
      </c>
    </row>
    <row r="2532" spans="1:10" x14ac:dyDescent="0.25">
      <c r="A2532" s="1">
        <v>45077</v>
      </c>
      <c r="B2532" t="s">
        <v>32</v>
      </c>
      <c r="C2532" t="s">
        <v>19</v>
      </c>
      <c r="D2532" t="s">
        <v>12</v>
      </c>
      <c r="E2532" t="s">
        <v>132</v>
      </c>
      <c r="F2532" t="s">
        <v>100</v>
      </c>
      <c r="G2532" t="s">
        <v>35</v>
      </c>
      <c r="H2532">
        <v>9</v>
      </c>
      <c r="I2532">
        <v>9054</v>
      </c>
      <c r="J2532">
        <v>644.36</v>
      </c>
    </row>
    <row r="2533" spans="1:10" x14ac:dyDescent="0.25">
      <c r="A2533" s="1">
        <v>45268</v>
      </c>
      <c r="B2533" t="s">
        <v>25</v>
      </c>
      <c r="C2533" t="s">
        <v>19</v>
      </c>
      <c r="D2533" t="s">
        <v>12</v>
      </c>
      <c r="E2533" t="s">
        <v>47</v>
      </c>
      <c r="F2533" t="s">
        <v>46</v>
      </c>
      <c r="G2533" t="s">
        <v>15</v>
      </c>
      <c r="H2533">
        <v>9</v>
      </c>
      <c r="I2533">
        <v>9936</v>
      </c>
      <c r="J2533">
        <v>2797.45</v>
      </c>
    </row>
    <row r="2534" spans="1:10" x14ac:dyDescent="0.25">
      <c r="A2534" s="1">
        <v>44916</v>
      </c>
      <c r="B2534" t="s">
        <v>40</v>
      </c>
      <c r="C2534" t="s">
        <v>19</v>
      </c>
      <c r="D2534" t="s">
        <v>12</v>
      </c>
      <c r="E2534" t="s">
        <v>26</v>
      </c>
      <c r="F2534" t="s">
        <v>27</v>
      </c>
      <c r="G2534" t="s">
        <v>28</v>
      </c>
      <c r="H2534">
        <v>1</v>
      </c>
      <c r="I2534">
        <v>393</v>
      </c>
      <c r="J2534">
        <v>41.05</v>
      </c>
    </row>
    <row r="2535" spans="1:10" x14ac:dyDescent="0.25">
      <c r="A2535" s="1">
        <v>45523</v>
      </c>
      <c r="B2535" t="s">
        <v>10</v>
      </c>
      <c r="C2535" t="s">
        <v>11</v>
      </c>
      <c r="D2535" t="s">
        <v>12</v>
      </c>
      <c r="E2535" t="s">
        <v>136</v>
      </c>
      <c r="F2535" t="s">
        <v>65</v>
      </c>
      <c r="G2535" t="s">
        <v>35</v>
      </c>
      <c r="H2535">
        <v>2</v>
      </c>
      <c r="I2535">
        <v>308</v>
      </c>
      <c r="J2535">
        <v>35.32</v>
      </c>
    </row>
    <row r="2536" spans="1:10" x14ac:dyDescent="0.25">
      <c r="A2536" s="1">
        <v>45591</v>
      </c>
      <c r="B2536" t="s">
        <v>18</v>
      </c>
      <c r="C2536" t="s">
        <v>19</v>
      </c>
      <c r="D2536" t="s">
        <v>12</v>
      </c>
      <c r="E2536" t="s">
        <v>52</v>
      </c>
      <c r="F2536" t="s">
        <v>42</v>
      </c>
      <c r="G2536" t="s">
        <v>28</v>
      </c>
      <c r="H2536">
        <v>5</v>
      </c>
      <c r="I2536">
        <v>4900</v>
      </c>
      <c r="J2536">
        <v>347.25</v>
      </c>
    </row>
    <row r="2537" spans="1:10" x14ac:dyDescent="0.25">
      <c r="A2537" s="1">
        <v>45528</v>
      </c>
      <c r="B2537" t="s">
        <v>55</v>
      </c>
      <c r="C2537" t="s">
        <v>19</v>
      </c>
      <c r="D2537" t="s">
        <v>12</v>
      </c>
      <c r="E2537" t="s">
        <v>132</v>
      </c>
      <c r="F2537" t="s">
        <v>115</v>
      </c>
      <c r="G2537" t="s">
        <v>15</v>
      </c>
      <c r="H2537">
        <v>1</v>
      </c>
      <c r="I2537">
        <v>927</v>
      </c>
      <c r="J2537">
        <v>103.95</v>
      </c>
    </row>
    <row r="2538" spans="1:10" x14ac:dyDescent="0.25">
      <c r="A2538" s="1">
        <v>45253</v>
      </c>
      <c r="B2538" t="s">
        <v>49</v>
      </c>
      <c r="C2538" t="s">
        <v>17</v>
      </c>
      <c r="D2538" t="s">
        <v>12</v>
      </c>
      <c r="E2538" t="s">
        <v>270</v>
      </c>
      <c r="F2538" t="s">
        <v>54</v>
      </c>
      <c r="G2538" t="s">
        <v>24</v>
      </c>
      <c r="H2538">
        <v>1</v>
      </c>
      <c r="I2538">
        <v>266</v>
      </c>
      <c r="J2538">
        <v>22.42</v>
      </c>
    </row>
    <row r="2539" spans="1:10" x14ac:dyDescent="0.25">
      <c r="A2539" s="1">
        <v>44869</v>
      </c>
      <c r="B2539" t="s">
        <v>10</v>
      </c>
      <c r="C2539" t="s">
        <v>11</v>
      </c>
      <c r="D2539" t="s">
        <v>12</v>
      </c>
      <c r="E2539" t="s">
        <v>52</v>
      </c>
      <c r="F2539" t="s">
        <v>42</v>
      </c>
      <c r="G2539" t="s">
        <v>28</v>
      </c>
      <c r="H2539">
        <v>5</v>
      </c>
      <c r="I2539">
        <v>4750</v>
      </c>
      <c r="J2539">
        <v>1179.56</v>
      </c>
    </row>
    <row r="2540" spans="1:10" x14ac:dyDescent="0.25">
      <c r="A2540" s="1">
        <v>45493</v>
      </c>
      <c r="B2540" t="s">
        <v>32</v>
      </c>
      <c r="C2540" t="s">
        <v>19</v>
      </c>
      <c r="D2540" t="s">
        <v>12</v>
      </c>
      <c r="E2540" t="s">
        <v>52</v>
      </c>
      <c r="F2540" t="s">
        <v>42</v>
      </c>
      <c r="G2540" t="s">
        <v>28</v>
      </c>
      <c r="H2540">
        <v>8</v>
      </c>
      <c r="I2540">
        <v>3272</v>
      </c>
      <c r="J2540">
        <v>460.82</v>
      </c>
    </row>
    <row r="2541" spans="1:10" x14ac:dyDescent="0.25">
      <c r="A2541" s="1">
        <v>44905</v>
      </c>
      <c r="B2541" t="s">
        <v>16</v>
      </c>
      <c r="C2541" t="s">
        <v>17</v>
      </c>
      <c r="D2541" t="s">
        <v>12</v>
      </c>
      <c r="E2541" t="s">
        <v>431</v>
      </c>
      <c r="F2541" t="s">
        <v>84</v>
      </c>
      <c r="G2541" t="s">
        <v>28</v>
      </c>
      <c r="H2541">
        <v>5</v>
      </c>
      <c r="I2541">
        <v>4350</v>
      </c>
      <c r="J2541">
        <v>688.77</v>
      </c>
    </row>
    <row r="2542" spans="1:10" x14ac:dyDescent="0.25">
      <c r="A2542" s="1">
        <v>45500</v>
      </c>
      <c r="B2542" t="s">
        <v>49</v>
      </c>
      <c r="C2542" t="s">
        <v>17</v>
      </c>
      <c r="D2542" t="s">
        <v>12</v>
      </c>
      <c r="E2542" t="s">
        <v>431</v>
      </c>
      <c r="F2542" t="s">
        <v>84</v>
      </c>
      <c r="G2542" t="s">
        <v>28</v>
      </c>
      <c r="H2542">
        <v>1</v>
      </c>
      <c r="I2542">
        <v>706</v>
      </c>
      <c r="J2542">
        <v>63.82</v>
      </c>
    </row>
    <row r="2543" spans="1:10" x14ac:dyDescent="0.25">
      <c r="A2543" s="1">
        <v>45436</v>
      </c>
      <c r="B2543" t="s">
        <v>55</v>
      </c>
      <c r="C2543" t="s">
        <v>19</v>
      </c>
      <c r="D2543" t="s">
        <v>12</v>
      </c>
      <c r="E2543" t="s">
        <v>56</v>
      </c>
      <c r="F2543" t="s">
        <v>57</v>
      </c>
      <c r="G2543" t="s">
        <v>24</v>
      </c>
      <c r="H2543">
        <v>3</v>
      </c>
      <c r="I2543">
        <v>213</v>
      </c>
      <c r="J2543">
        <v>30.68</v>
      </c>
    </row>
    <row r="2544" spans="1:10" x14ac:dyDescent="0.25">
      <c r="A2544" s="1">
        <v>45224</v>
      </c>
      <c r="B2544" t="s">
        <v>40</v>
      </c>
      <c r="C2544" t="s">
        <v>19</v>
      </c>
      <c r="D2544" t="s">
        <v>12</v>
      </c>
      <c r="E2544" t="s">
        <v>70</v>
      </c>
      <c r="F2544" t="s">
        <v>71</v>
      </c>
      <c r="G2544" t="s">
        <v>35</v>
      </c>
      <c r="H2544">
        <v>2</v>
      </c>
      <c r="I2544">
        <v>1614</v>
      </c>
      <c r="J2544">
        <v>376.31</v>
      </c>
    </row>
    <row r="2545" spans="1:10" x14ac:dyDescent="0.25">
      <c r="A2545" s="1">
        <v>44966</v>
      </c>
      <c r="B2545" t="s">
        <v>16</v>
      </c>
      <c r="C2545" t="s">
        <v>17</v>
      </c>
      <c r="D2545" t="s">
        <v>12</v>
      </c>
      <c r="E2545" t="s">
        <v>332</v>
      </c>
      <c r="F2545" t="s">
        <v>94</v>
      </c>
      <c r="G2545" t="s">
        <v>24</v>
      </c>
      <c r="H2545">
        <v>8</v>
      </c>
      <c r="I2545">
        <v>6232</v>
      </c>
      <c r="J2545">
        <v>499.63</v>
      </c>
    </row>
    <row r="2546" spans="1:10" x14ac:dyDescent="0.25">
      <c r="A2546" s="1">
        <v>44960</v>
      </c>
      <c r="B2546" t="s">
        <v>10</v>
      </c>
      <c r="C2546" t="s">
        <v>11</v>
      </c>
      <c r="D2546" t="s">
        <v>12</v>
      </c>
      <c r="E2546" t="s">
        <v>432</v>
      </c>
      <c r="F2546" t="s">
        <v>21</v>
      </c>
      <c r="G2546" t="s">
        <v>15</v>
      </c>
      <c r="H2546">
        <v>4</v>
      </c>
      <c r="I2546">
        <v>3864</v>
      </c>
      <c r="J2546">
        <v>717.45</v>
      </c>
    </row>
    <row r="2547" spans="1:10" x14ac:dyDescent="0.25">
      <c r="A2547" s="1">
        <v>45634</v>
      </c>
      <c r="B2547" t="s">
        <v>29</v>
      </c>
      <c r="C2547" t="s">
        <v>17</v>
      </c>
      <c r="D2547" t="s">
        <v>12</v>
      </c>
      <c r="E2547" t="s">
        <v>52</v>
      </c>
      <c r="F2547" t="s">
        <v>42</v>
      </c>
      <c r="G2547" t="s">
        <v>28</v>
      </c>
      <c r="H2547">
        <v>3</v>
      </c>
      <c r="I2547">
        <v>2601</v>
      </c>
      <c r="J2547">
        <v>363.64</v>
      </c>
    </row>
    <row r="2548" spans="1:10" x14ac:dyDescent="0.25">
      <c r="A2548" s="1">
        <v>44958</v>
      </c>
      <c r="B2548" t="s">
        <v>16</v>
      </c>
      <c r="C2548" t="s">
        <v>17</v>
      </c>
      <c r="D2548" t="s">
        <v>12</v>
      </c>
      <c r="E2548" t="s">
        <v>22</v>
      </c>
      <c r="F2548" t="s">
        <v>23</v>
      </c>
      <c r="G2548" t="s">
        <v>24</v>
      </c>
      <c r="H2548">
        <v>6</v>
      </c>
      <c r="I2548">
        <v>4944</v>
      </c>
      <c r="J2548">
        <v>758.46</v>
      </c>
    </row>
    <row r="2549" spans="1:10" x14ac:dyDescent="0.25">
      <c r="A2549" s="1">
        <v>45246</v>
      </c>
      <c r="B2549" t="s">
        <v>10</v>
      </c>
      <c r="C2549" t="s">
        <v>11</v>
      </c>
      <c r="D2549" t="s">
        <v>12</v>
      </c>
      <c r="E2549" t="s">
        <v>22</v>
      </c>
      <c r="F2549" t="s">
        <v>23</v>
      </c>
      <c r="G2549" t="s">
        <v>24</v>
      </c>
      <c r="H2549">
        <v>4</v>
      </c>
      <c r="I2549">
        <v>4680</v>
      </c>
      <c r="J2549">
        <v>301.91000000000003</v>
      </c>
    </row>
    <row r="2550" spans="1:10" x14ac:dyDescent="0.25">
      <c r="A2550" s="1">
        <v>44590</v>
      </c>
      <c r="B2550" t="s">
        <v>16</v>
      </c>
      <c r="C2550" t="s">
        <v>17</v>
      </c>
      <c r="D2550" t="s">
        <v>12</v>
      </c>
      <c r="E2550" t="s">
        <v>56</v>
      </c>
      <c r="F2550" t="s">
        <v>57</v>
      </c>
      <c r="G2550" t="s">
        <v>24</v>
      </c>
      <c r="H2550">
        <v>8</v>
      </c>
      <c r="I2550">
        <v>2112</v>
      </c>
      <c r="J2550">
        <v>418.58</v>
      </c>
    </row>
    <row r="2551" spans="1:10" x14ac:dyDescent="0.25">
      <c r="A2551" s="1">
        <v>44675</v>
      </c>
      <c r="B2551" t="s">
        <v>36</v>
      </c>
      <c r="C2551" t="s">
        <v>17</v>
      </c>
      <c r="D2551" t="s">
        <v>12</v>
      </c>
      <c r="E2551" t="s">
        <v>121</v>
      </c>
      <c r="F2551" t="s">
        <v>57</v>
      </c>
      <c r="G2551" t="s">
        <v>24</v>
      </c>
      <c r="H2551">
        <v>6</v>
      </c>
      <c r="I2551">
        <v>7140</v>
      </c>
      <c r="J2551">
        <v>869.93</v>
      </c>
    </row>
    <row r="2552" spans="1:10" x14ac:dyDescent="0.25">
      <c r="A2552" s="1">
        <v>44853</v>
      </c>
      <c r="B2552" t="s">
        <v>49</v>
      </c>
      <c r="C2552" t="s">
        <v>17</v>
      </c>
      <c r="D2552" t="s">
        <v>12</v>
      </c>
      <c r="E2552" t="s">
        <v>26</v>
      </c>
      <c r="F2552" t="s">
        <v>27</v>
      </c>
      <c r="G2552" t="s">
        <v>28</v>
      </c>
      <c r="H2552">
        <v>1</v>
      </c>
      <c r="I2552">
        <v>750</v>
      </c>
      <c r="J2552">
        <v>37.97</v>
      </c>
    </row>
    <row r="2553" spans="1:10" x14ac:dyDescent="0.25">
      <c r="A2553" s="1">
        <v>44785</v>
      </c>
      <c r="B2553" t="s">
        <v>16</v>
      </c>
      <c r="C2553" t="s">
        <v>17</v>
      </c>
      <c r="D2553" t="s">
        <v>12</v>
      </c>
      <c r="E2553" t="s">
        <v>13</v>
      </c>
      <c r="F2553" t="s">
        <v>14</v>
      </c>
      <c r="G2553" t="s">
        <v>15</v>
      </c>
      <c r="H2553">
        <v>4</v>
      </c>
      <c r="I2553">
        <v>392</v>
      </c>
      <c r="J2553">
        <v>39.229999999999997</v>
      </c>
    </row>
    <row r="2554" spans="1:10" x14ac:dyDescent="0.25">
      <c r="A2554" s="1">
        <v>45567</v>
      </c>
      <c r="B2554" t="s">
        <v>55</v>
      </c>
      <c r="C2554" t="s">
        <v>19</v>
      </c>
      <c r="D2554" t="s">
        <v>12</v>
      </c>
      <c r="E2554" t="s">
        <v>37</v>
      </c>
      <c r="F2554" t="s">
        <v>34</v>
      </c>
      <c r="G2554" t="s">
        <v>35</v>
      </c>
      <c r="H2554">
        <v>4</v>
      </c>
      <c r="I2554">
        <v>2408</v>
      </c>
      <c r="J2554">
        <v>721.8</v>
      </c>
    </row>
    <row r="2555" spans="1:10" x14ac:dyDescent="0.25">
      <c r="A2555" s="1">
        <v>45182</v>
      </c>
      <c r="B2555" t="s">
        <v>36</v>
      </c>
      <c r="C2555" t="s">
        <v>17</v>
      </c>
      <c r="D2555" t="s">
        <v>12</v>
      </c>
      <c r="E2555" t="s">
        <v>41</v>
      </c>
      <c r="F2555" t="s">
        <v>63</v>
      </c>
      <c r="G2555" t="s">
        <v>28</v>
      </c>
      <c r="H2555">
        <v>2</v>
      </c>
      <c r="I2555">
        <v>2016</v>
      </c>
      <c r="J2555">
        <v>151.4</v>
      </c>
    </row>
    <row r="2556" spans="1:10" x14ac:dyDescent="0.25">
      <c r="A2556" s="1">
        <v>44767</v>
      </c>
      <c r="B2556" t="s">
        <v>36</v>
      </c>
      <c r="C2556" t="s">
        <v>17</v>
      </c>
      <c r="D2556" t="s">
        <v>12</v>
      </c>
      <c r="E2556" t="s">
        <v>37</v>
      </c>
      <c r="F2556" t="s">
        <v>34</v>
      </c>
      <c r="G2556" t="s">
        <v>35</v>
      </c>
      <c r="H2556">
        <v>4</v>
      </c>
      <c r="I2556">
        <v>464</v>
      </c>
      <c r="J2556">
        <v>47.93</v>
      </c>
    </row>
    <row r="2557" spans="1:10" x14ac:dyDescent="0.25">
      <c r="A2557" s="1">
        <v>45269</v>
      </c>
      <c r="B2557" t="s">
        <v>29</v>
      </c>
      <c r="C2557" t="s">
        <v>17</v>
      </c>
      <c r="D2557" t="s">
        <v>12</v>
      </c>
      <c r="E2557" t="s">
        <v>26</v>
      </c>
      <c r="F2557" t="s">
        <v>27</v>
      </c>
      <c r="G2557" t="s">
        <v>28</v>
      </c>
      <c r="H2557">
        <v>1</v>
      </c>
      <c r="I2557">
        <v>832</v>
      </c>
      <c r="J2557">
        <v>227.11</v>
      </c>
    </row>
    <row r="2558" spans="1:10" x14ac:dyDescent="0.25">
      <c r="A2558" s="1">
        <v>45382</v>
      </c>
      <c r="B2558" t="s">
        <v>29</v>
      </c>
      <c r="C2558" t="s">
        <v>17</v>
      </c>
      <c r="D2558" t="s">
        <v>12</v>
      </c>
      <c r="E2558" t="s">
        <v>26</v>
      </c>
      <c r="F2558" t="s">
        <v>27</v>
      </c>
      <c r="G2558" t="s">
        <v>28</v>
      </c>
      <c r="H2558">
        <v>8</v>
      </c>
      <c r="I2558">
        <v>1296</v>
      </c>
      <c r="J2558">
        <v>374.8</v>
      </c>
    </row>
    <row r="2559" spans="1:10" x14ac:dyDescent="0.25">
      <c r="A2559" s="1">
        <v>44674</v>
      </c>
      <c r="B2559" t="s">
        <v>40</v>
      </c>
      <c r="C2559" t="s">
        <v>19</v>
      </c>
      <c r="D2559" t="s">
        <v>12</v>
      </c>
      <c r="E2559" t="s">
        <v>37</v>
      </c>
      <c r="F2559" t="s">
        <v>34</v>
      </c>
      <c r="G2559" t="s">
        <v>35</v>
      </c>
      <c r="H2559">
        <v>1</v>
      </c>
      <c r="I2559">
        <v>300</v>
      </c>
      <c r="J2559">
        <v>45.81</v>
      </c>
    </row>
    <row r="2560" spans="1:10" x14ac:dyDescent="0.25">
      <c r="A2560" s="1">
        <v>45479</v>
      </c>
      <c r="B2560" t="s">
        <v>36</v>
      </c>
      <c r="C2560" t="s">
        <v>17</v>
      </c>
      <c r="D2560" t="s">
        <v>12</v>
      </c>
      <c r="E2560" t="s">
        <v>37</v>
      </c>
      <c r="F2560" t="s">
        <v>34</v>
      </c>
      <c r="G2560" t="s">
        <v>35</v>
      </c>
      <c r="H2560">
        <v>6</v>
      </c>
      <c r="I2560">
        <v>2856</v>
      </c>
      <c r="J2560">
        <v>226.53</v>
      </c>
    </row>
    <row r="2561" spans="1:10" x14ac:dyDescent="0.25">
      <c r="A2561" s="1">
        <v>44905</v>
      </c>
      <c r="B2561" t="s">
        <v>18</v>
      </c>
      <c r="C2561" t="s">
        <v>19</v>
      </c>
      <c r="D2561" t="s">
        <v>12</v>
      </c>
      <c r="E2561" t="s">
        <v>112</v>
      </c>
      <c r="F2561" t="s">
        <v>63</v>
      </c>
      <c r="G2561" t="s">
        <v>28</v>
      </c>
      <c r="H2561">
        <v>5</v>
      </c>
      <c r="I2561">
        <v>3380</v>
      </c>
      <c r="J2561">
        <v>287.05</v>
      </c>
    </row>
    <row r="2562" spans="1:10" x14ac:dyDescent="0.25">
      <c r="A2562" s="1">
        <v>44588</v>
      </c>
      <c r="B2562" t="s">
        <v>18</v>
      </c>
      <c r="C2562" t="s">
        <v>19</v>
      </c>
      <c r="D2562" t="s">
        <v>12</v>
      </c>
      <c r="E2562" t="s">
        <v>433</v>
      </c>
      <c r="F2562" t="s">
        <v>156</v>
      </c>
      <c r="G2562" t="s">
        <v>28</v>
      </c>
      <c r="H2562">
        <v>5</v>
      </c>
      <c r="I2562">
        <v>400</v>
      </c>
      <c r="J2562">
        <v>86.52</v>
      </c>
    </row>
    <row r="2563" spans="1:10" x14ac:dyDescent="0.25">
      <c r="A2563" s="1">
        <v>44848</v>
      </c>
      <c r="B2563" t="s">
        <v>25</v>
      </c>
      <c r="C2563" t="s">
        <v>19</v>
      </c>
      <c r="D2563" t="s">
        <v>12</v>
      </c>
      <c r="E2563" t="s">
        <v>26</v>
      </c>
      <c r="F2563" t="s">
        <v>27</v>
      </c>
      <c r="G2563" t="s">
        <v>28</v>
      </c>
      <c r="H2563">
        <v>1</v>
      </c>
      <c r="I2563">
        <v>722</v>
      </c>
      <c r="J2563">
        <v>49.7</v>
      </c>
    </row>
    <row r="2564" spans="1:10" x14ac:dyDescent="0.25">
      <c r="A2564" s="1">
        <v>45619</v>
      </c>
      <c r="B2564" t="s">
        <v>55</v>
      </c>
      <c r="C2564" t="s">
        <v>19</v>
      </c>
      <c r="D2564" t="s">
        <v>12</v>
      </c>
      <c r="E2564" t="s">
        <v>434</v>
      </c>
      <c r="F2564" t="s">
        <v>65</v>
      </c>
      <c r="G2564" t="s">
        <v>35</v>
      </c>
      <c r="H2564">
        <v>4</v>
      </c>
      <c r="I2564">
        <v>4596</v>
      </c>
      <c r="J2564">
        <v>947.45</v>
      </c>
    </row>
    <row r="2565" spans="1:10" x14ac:dyDescent="0.25">
      <c r="A2565" s="1">
        <v>45024</v>
      </c>
      <c r="B2565" t="s">
        <v>49</v>
      </c>
      <c r="C2565" t="s">
        <v>17</v>
      </c>
      <c r="D2565" t="s">
        <v>12</v>
      </c>
      <c r="E2565" t="s">
        <v>434</v>
      </c>
      <c r="F2565" t="s">
        <v>65</v>
      </c>
      <c r="G2565" t="s">
        <v>35</v>
      </c>
      <c r="H2565">
        <v>8</v>
      </c>
      <c r="I2565">
        <v>1176</v>
      </c>
      <c r="J2565">
        <v>313.58</v>
      </c>
    </row>
    <row r="2566" spans="1:10" x14ac:dyDescent="0.25">
      <c r="A2566" s="1">
        <v>44763</v>
      </c>
      <c r="B2566" t="s">
        <v>25</v>
      </c>
      <c r="C2566" t="s">
        <v>19</v>
      </c>
      <c r="D2566" t="s">
        <v>12</v>
      </c>
      <c r="E2566" t="s">
        <v>372</v>
      </c>
      <c r="F2566" t="s">
        <v>23</v>
      </c>
      <c r="G2566" t="s">
        <v>24</v>
      </c>
      <c r="H2566">
        <v>2</v>
      </c>
      <c r="I2566">
        <v>644</v>
      </c>
      <c r="J2566">
        <v>45.72</v>
      </c>
    </row>
    <row r="2567" spans="1:10" x14ac:dyDescent="0.25">
      <c r="A2567" s="1">
        <v>44872</v>
      </c>
      <c r="B2567" t="s">
        <v>40</v>
      </c>
      <c r="C2567" t="s">
        <v>19</v>
      </c>
      <c r="D2567" t="s">
        <v>12</v>
      </c>
      <c r="E2567" t="s">
        <v>401</v>
      </c>
      <c r="F2567" t="s">
        <v>23</v>
      </c>
      <c r="G2567" t="s">
        <v>24</v>
      </c>
      <c r="H2567">
        <v>8</v>
      </c>
      <c r="I2567">
        <v>544</v>
      </c>
      <c r="J2567">
        <v>40.78</v>
      </c>
    </row>
    <row r="2568" spans="1:10" x14ac:dyDescent="0.25">
      <c r="A2568" s="1">
        <v>45076</v>
      </c>
      <c r="B2568" t="s">
        <v>36</v>
      </c>
      <c r="C2568" t="s">
        <v>17</v>
      </c>
      <c r="D2568" t="s">
        <v>12</v>
      </c>
      <c r="E2568" t="s">
        <v>401</v>
      </c>
      <c r="F2568" t="s">
        <v>23</v>
      </c>
      <c r="G2568" t="s">
        <v>24</v>
      </c>
      <c r="H2568">
        <v>2</v>
      </c>
      <c r="I2568">
        <v>586</v>
      </c>
      <c r="J2568">
        <v>101.64</v>
      </c>
    </row>
    <row r="2569" spans="1:10" x14ac:dyDescent="0.25">
      <c r="A2569" s="1">
        <v>44681</v>
      </c>
      <c r="B2569" t="s">
        <v>49</v>
      </c>
      <c r="C2569" t="s">
        <v>17</v>
      </c>
      <c r="D2569" t="s">
        <v>12</v>
      </c>
      <c r="E2569" t="s">
        <v>187</v>
      </c>
      <c r="F2569" t="s">
        <v>23</v>
      </c>
      <c r="G2569" t="s">
        <v>24</v>
      </c>
      <c r="H2569">
        <v>5</v>
      </c>
      <c r="I2569">
        <v>3835</v>
      </c>
      <c r="J2569">
        <v>229.11</v>
      </c>
    </row>
    <row r="2570" spans="1:10" x14ac:dyDescent="0.25">
      <c r="A2570" s="1">
        <v>45273</v>
      </c>
      <c r="B2570" t="s">
        <v>10</v>
      </c>
      <c r="C2570" t="s">
        <v>11</v>
      </c>
      <c r="D2570" t="s">
        <v>12</v>
      </c>
      <c r="E2570" t="s">
        <v>435</v>
      </c>
      <c r="F2570" t="s">
        <v>78</v>
      </c>
      <c r="G2570" t="s">
        <v>28</v>
      </c>
      <c r="H2570">
        <v>5</v>
      </c>
      <c r="I2570">
        <v>1415</v>
      </c>
      <c r="J2570">
        <v>358.39</v>
      </c>
    </row>
    <row r="2571" spans="1:10" x14ac:dyDescent="0.25">
      <c r="A2571" s="1">
        <v>45057</v>
      </c>
      <c r="B2571" t="s">
        <v>49</v>
      </c>
      <c r="C2571" t="s">
        <v>17</v>
      </c>
      <c r="D2571" t="s">
        <v>12</v>
      </c>
      <c r="E2571" t="s">
        <v>74</v>
      </c>
      <c r="F2571" t="s">
        <v>23</v>
      </c>
      <c r="G2571" t="s">
        <v>24</v>
      </c>
      <c r="H2571">
        <v>9</v>
      </c>
      <c r="I2571">
        <v>1125</v>
      </c>
      <c r="J2571">
        <v>138.49</v>
      </c>
    </row>
    <row r="2572" spans="1:10" x14ac:dyDescent="0.25">
      <c r="A2572" s="1">
        <v>45180</v>
      </c>
      <c r="B2572" t="s">
        <v>25</v>
      </c>
      <c r="C2572" t="s">
        <v>19</v>
      </c>
      <c r="D2572" t="s">
        <v>12</v>
      </c>
      <c r="E2572" t="s">
        <v>74</v>
      </c>
      <c r="F2572" t="s">
        <v>23</v>
      </c>
      <c r="G2572" t="s">
        <v>24</v>
      </c>
      <c r="H2572">
        <v>3</v>
      </c>
      <c r="I2572">
        <v>3399</v>
      </c>
      <c r="J2572">
        <v>489.36</v>
      </c>
    </row>
    <row r="2573" spans="1:10" x14ac:dyDescent="0.25">
      <c r="A2573" s="1">
        <v>44623</v>
      </c>
      <c r="B2573" t="s">
        <v>36</v>
      </c>
      <c r="C2573" t="s">
        <v>17</v>
      </c>
      <c r="D2573" t="s">
        <v>12</v>
      </c>
      <c r="E2573" t="s">
        <v>26</v>
      </c>
      <c r="F2573" t="s">
        <v>27</v>
      </c>
      <c r="G2573" t="s">
        <v>28</v>
      </c>
      <c r="H2573">
        <v>6</v>
      </c>
      <c r="I2573">
        <v>5370</v>
      </c>
      <c r="J2573">
        <v>1501.06</v>
      </c>
    </row>
    <row r="2574" spans="1:10" x14ac:dyDescent="0.25">
      <c r="A2574" s="1">
        <v>45381</v>
      </c>
      <c r="B2574" t="s">
        <v>49</v>
      </c>
      <c r="C2574" t="s">
        <v>17</v>
      </c>
      <c r="D2574" t="s">
        <v>12</v>
      </c>
      <c r="E2574" t="s">
        <v>182</v>
      </c>
      <c r="F2574" t="s">
        <v>183</v>
      </c>
      <c r="G2574" t="s">
        <v>15</v>
      </c>
      <c r="H2574">
        <v>3</v>
      </c>
      <c r="I2574">
        <v>2331</v>
      </c>
      <c r="J2574">
        <v>419.26</v>
      </c>
    </row>
    <row r="2575" spans="1:10" x14ac:dyDescent="0.25">
      <c r="A2575" s="1">
        <v>44739</v>
      </c>
      <c r="B2575" t="s">
        <v>55</v>
      </c>
      <c r="C2575" t="s">
        <v>19</v>
      </c>
      <c r="D2575" t="s">
        <v>12</v>
      </c>
      <c r="E2575" t="s">
        <v>22</v>
      </c>
      <c r="F2575" t="s">
        <v>23</v>
      </c>
      <c r="G2575" t="s">
        <v>24</v>
      </c>
      <c r="H2575">
        <v>9</v>
      </c>
      <c r="I2575">
        <v>10728</v>
      </c>
      <c r="J2575">
        <v>1967.84</v>
      </c>
    </row>
    <row r="2576" spans="1:10" x14ac:dyDescent="0.25">
      <c r="A2576" s="1">
        <v>44987</v>
      </c>
      <c r="B2576" t="s">
        <v>36</v>
      </c>
      <c r="C2576" t="s">
        <v>17</v>
      </c>
      <c r="D2576" t="s">
        <v>12</v>
      </c>
      <c r="E2576" t="s">
        <v>22</v>
      </c>
      <c r="F2576" t="s">
        <v>23</v>
      </c>
      <c r="G2576" t="s">
        <v>24</v>
      </c>
      <c r="H2576">
        <v>8</v>
      </c>
      <c r="I2576">
        <v>9056</v>
      </c>
      <c r="J2576">
        <v>1860.37</v>
      </c>
    </row>
    <row r="2577" spans="1:10" x14ac:dyDescent="0.25">
      <c r="A2577" s="1">
        <v>45600</v>
      </c>
      <c r="B2577" t="s">
        <v>36</v>
      </c>
      <c r="C2577" t="s">
        <v>17</v>
      </c>
      <c r="D2577" t="s">
        <v>12</v>
      </c>
      <c r="E2577" t="s">
        <v>75</v>
      </c>
      <c r="F2577" t="s">
        <v>63</v>
      </c>
      <c r="G2577" t="s">
        <v>28</v>
      </c>
      <c r="H2577">
        <v>9</v>
      </c>
      <c r="I2577">
        <v>4581</v>
      </c>
      <c r="J2577">
        <v>250.06</v>
      </c>
    </row>
    <row r="2578" spans="1:10" x14ac:dyDescent="0.25">
      <c r="A2578" s="1">
        <v>45566</v>
      </c>
      <c r="B2578" t="s">
        <v>25</v>
      </c>
      <c r="C2578" t="s">
        <v>19</v>
      </c>
      <c r="D2578" t="s">
        <v>12</v>
      </c>
      <c r="E2578" t="s">
        <v>74</v>
      </c>
      <c r="F2578" t="s">
        <v>23</v>
      </c>
      <c r="G2578" t="s">
        <v>24</v>
      </c>
      <c r="H2578">
        <v>3</v>
      </c>
      <c r="I2578">
        <v>1074</v>
      </c>
      <c r="J2578">
        <v>240.44</v>
      </c>
    </row>
    <row r="2579" spans="1:10" x14ac:dyDescent="0.25">
      <c r="A2579" s="1">
        <v>45094</v>
      </c>
      <c r="B2579" t="s">
        <v>18</v>
      </c>
      <c r="C2579" t="s">
        <v>19</v>
      </c>
      <c r="D2579" t="s">
        <v>12</v>
      </c>
      <c r="E2579" t="s">
        <v>47</v>
      </c>
      <c r="F2579" t="s">
        <v>100</v>
      </c>
      <c r="G2579" t="s">
        <v>35</v>
      </c>
      <c r="H2579">
        <v>4</v>
      </c>
      <c r="I2579">
        <v>4572</v>
      </c>
      <c r="J2579">
        <v>1199.49</v>
      </c>
    </row>
    <row r="2580" spans="1:10" x14ac:dyDescent="0.25">
      <c r="A2580" s="1">
        <v>45250</v>
      </c>
      <c r="B2580" t="s">
        <v>55</v>
      </c>
      <c r="C2580" t="s">
        <v>19</v>
      </c>
      <c r="D2580" t="s">
        <v>12</v>
      </c>
      <c r="E2580" t="s">
        <v>47</v>
      </c>
      <c r="F2580" t="s">
        <v>100</v>
      </c>
      <c r="G2580" t="s">
        <v>35</v>
      </c>
      <c r="H2580">
        <v>7</v>
      </c>
      <c r="I2580">
        <v>8141</v>
      </c>
      <c r="J2580">
        <v>651.16</v>
      </c>
    </row>
    <row r="2581" spans="1:10" x14ac:dyDescent="0.25">
      <c r="A2581" s="1">
        <v>45254</v>
      </c>
      <c r="B2581" t="s">
        <v>10</v>
      </c>
      <c r="C2581" t="s">
        <v>11</v>
      </c>
      <c r="D2581" t="s">
        <v>12</v>
      </c>
      <c r="E2581" t="s">
        <v>56</v>
      </c>
      <c r="F2581" t="s">
        <v>57</v>
      </c>
      <c r="G2581" t="s">
        <v>24</v>
      </c>
      <c r="H2581">
        <v>4</v>
      </c>
      <c r="I2581">
        <v>604</v>
      </c>
      <c r="J2581">
        <v>180.93</v>
      </c>
    </row>
    <row r="2582" spans="1:10" x14ac:dyDescent="0.25">
      <c r="A2582" s="1">
        <v>45416</v>
      </c>
      <c r="B2582" t="s">
        <v>16</v>
      </c>
      <c r="C2582" t="s">
        <v>17</v>
      </c>
      <c r="D2582" t="s">
        <v>12</v>
      </c>
      <c r="E2582" t="s">
        <v>70</v>
      </c>
      <c r="F2582" t="s">
        <v>71</v>
      </c>
      <c r="G2582" t="s">
        <v>35</v>
      </c>
      <c r="H2582">
        <v>2</v>
      </c>
      <c r="I2582">
        <v>906</v>
      </c>
      <c r="J2582">
        <v>59.06</v>
      </c>
    </row>
    <row r="2583" spans="1:10" x14ac:dyDescent="0.25">
      <c r="A2583" s="1">
        <v>45038</v>
      </c>
      <c r="B2583" t="s">
        <v>29</v>
      </c>
      <c r="C2583" t="s">
        <v>17</v>
      </c>
      <c r="D2583" t="s">
        <v>12</v>
      </c>
      <c r="E2583" t="s">
        <v>172</v>
      </c>
      <c r="F2583" t="s">
        <v>173</v>
      </c>
      <c r="G2583" t="s">
        <v>24</v>
      </c>
      <c r="H2583">
        <v>7</v>
      </c>
      <c r="I2583">
        <v>1582</v>
      </c>
      <c r="J2583">
        <v>278.14</v>
      </c>
    </row>
    <row r="2584" spans="1:10" x14ac:dyDescent="0.25">
      <c r="A2584" s="1">
        <v>45322</v>
      </c>
      <c r="B2584" t="s">
        <v>16</v>
      </c>
      <c r="C2584" t="s">
        <v>17</v>
      </c>
      <c r="D2584" t="s">
        <v>12</v>
      </c>
      <c r="E2584" t="s">
        <v>304</v>
      </c>
      <c r="F2584" t="s">
        <v>42</v>
      </c>
      <c r="G2584" t="s">
        <v>28</v>
      </c>
      <c r="H2584">
        <v>6</v>
      </c>
      <c r="I2584">
        <v>3306</v>
      </c>
      <c r="J2584">
        <v>216.91</v>
      </c>
    </row>
    <row r="2585" spans="1:10" x14ac:dyDescent="0.25">
      <c r="A2585" s="1">
        <v>45284</v>
      </c>
      <c r="B2585" t="s">
        <v>29</v>
      </c>
      <c r="C2585" t="s">
        <v>17</v>
      </c>
      <c r="D2585" t="s">
        <v>12</v>
      </c>
      <c r="E2585" t="s">
        <v>52</v>
      </c>
      <c r="F2585" t="s">
        <v>42</v>
      </c>
      <c r="G2585" t="s">
        <v>28</v>
      </c>
      <c r="H2585">
        <v>1</v>
      </c>
      <c r="I2585">
        <v>847</v>
      </c>
      <c r="J2585">
        <v>237.41</v>
      </c>
    </row>
    <row r="2586" spans="1:10" x14ac:dyDescent="0.25">
      <c r="A2586" s="1">
        <v>44874</v>
      </c>
      <c r="B2586" t="s">
        <v>10</v>
      </c>
      <c r="C2586" t="s">
        <v>11</v>
      </c>
      <c r="D2586" t="s">
        <v>12</v>
      </c>
      <c r="E2586" t="s">
        <v>26</v>
      </c>
      <c r="F2586" t="s">
        <v>27</v>
      </c>
      <c r="G2586" t="s">
        <v>28</v>
      </c>
      <c r="H2586">
        <v>6</v>
      </c>
      <c r="I2586">
        <v>3222</v>
      </c>
      <c r="J2586">
        <v>846.27</v>
      </c>
    </row>
    <row r="2587" spans="1:10" x14ac:dyDescent="0.25">
      <c r="A2587" s="1">
        <v>45599</v>
      </c>
      <c r="B2587" t="s">
        <v>49</v>
      </c>
      <c r="C2587" t="s">
        <v>17</v>
      </c>
      <c r="D2587" t="s">
        <v>12</v>
      </c>
      <c r="E2587" t="s">
        <v>56</v>
      </c>
      <c r="F2587" t="s">
        <v>57</v>
      </c>
      <c r="G2587" t="s">
        <v>24</v>
      </c>
      <c r="H2587">
        <v>3</v>
      </c>
      <c r="I2587">
        <v>189</v>
      </c>
      <c r="J2587">
        <v>33.94</v>
      </c>
    </row>
    <row r="2588" spans="1:10" x14ac:dyDescent="0.25">
      <c r="A2588" s="1">
        <v>45150</v>
      </c>
      <c r="B2588" t="s">
        <v>55</v>
      </c>
      <c r="C2588" t="s">
        <v>19</v>
      </c>
      <c r="D2588" t="s">
        <v>12</v>
      </c>
      <c r="E2588" t="s">
        <v>64</v>
      </c>
      <c r="F2588" t="s">
        <v>65</v>
      </c>
      <c r="G2588" t="s">
        <v>35</v>
      </c>
      <c r="H2588">
        <v>4</v>
      </c>
      <c r="I2588">
        <v>1224</v>
      </c>
      <c r="J2588">
        <v>348.91</v>
      </c>
    </row>
    <row r="2589" spans="1:10" x14ac:dyDescent="0.25">
      <c r="A2589" s="1">
        <v>44965</v>
      </c>
      <c r="B2589" t="s">
        <v>25</v>
      </c>
      <c r="C2589" t="s">
        <v>19</v>
      </c>
      <c r="D2589" t="s">
        <v>12</v>
      </c>
      <c r="E2589" t="s">
        <v>148</v>
      </c>
      <c r="F2589" t="s">
        <v>149</v>
      </c>
      <c r="G2589" t="s">
        <v>15</v>
      </c>
      <c r="H2589">
        <v>7</v>
      </c>
      <c r="I2589">
        <v>5621</v>
      </c>
      <c r="J2589">
        <v>1390.73</v>
      </c>
    </row>
    <row r="2590" spans="1:10" x14ac:dyDescent="0.25">
      <c r="A2590" s="1">
        <v>45307</v>
      </c>
      <c r="B2590" t="s">
        <v>18</v>
      </c>
      <c r="C2590" t="s">
        <v>19</v>
      </c>
      <c r="D2590" t="s">
        <v>12</v>
      </c>
      <c r="E2590" t="s">
        <v>210</v>
      </c>
      <c r="F2590" t="s">
        <v>34</v>
      </c>
      <c r="G2590" t="s">
        <v>35</v>
      </c>
      <c r="H2590">
        <v>6</v>
      </c>
      <c r="I2590">
        <v>966</v>
      </c>
      <c r="J2590">
        <v>246.21</v>
      </c>
    </row>
    <row r="2591" spans="1:10" x14ac:dyDescent="0.25">
      <c r="A2591" s="1">
        <v>45140</v>
      </c>
      <c r="B2591" t="s">
        <v>18</v>
      </c>
      <c r="C2591" t="s">
        <v>19</v>
      </c>
      <c r="D2591" t="s">
        <v>12</v>
      </c>
      <c r="E2591" t="s">
        <v>26</v>
      </c>
      <c r="F2591" t="s">
        <v>27</v>
      </c>
      <c r="G2591" t="s">
        <v>28</v>
      </c>
      <c r="H2591">
        <v>9</v>
      </c>
      <c r="I2591">
        <v>1728</v>
      </c>
      <c r="J2591">
        <v>179.64</v>
      </c>
    </row>
    <row r="2592" spans="1:10" x14ac:dyDescent="0.25">
      <c r="A2592" s="1">
        <v>45304</v>
      </c>
      <c r="B2592" t="s">
        <v>16</v>
      </c>
      <c r="C2592" t="s">
        <v>17</v>
      </c>
      <c r="D2592" t="s">
        <v>12</v>
      </c>
      <c r="E2592" t="s">
        <v>112</v>
      </c>
      <c r="F2592" t="s">
        <v>63</v>
      </c>
      <c r="G2592" t="s">
        <v>28</v>
      </c>
      <c r="H2592">
        <v>9</v>
      </c>
      <c r="I2592">
        <v>6138</v>
      </c>
      <c r="J2592">
        <v>1478.57</v>
      </c>
    </row>
    <row r="2593" spans="1:10" x14ac:dyDescent="0.25">
      <c r="A2593" s="1">
        <v>45616</v>
      </c>
      <c r="B2593" t="s">
        <v>36</v>
      </c>
      <c r="C2593" t="s">
        <v>17</v>
      </c>
      <c r="D2593" t="s">
        <v>12</v>
      </c>
      <c r="E2593" t="s">
        <v>436</v>
      </c>
      <c r="F2593" t="s">
        <v>34</v>
      </c>
      <c r="G2593" t="s">
        <v>35</v>
      </c>
      <c r="H2593">
        <v>4</v>
      </c>
      <c r="I2593">
        <v>964</v>
      </c>
      <c r="J2593">
        <v>184.03</v>
      </c>
    </row>
    <row r="2594" spans="1:10" x14ac:dyDescent="0.25">
      <c r="A2594" s="1">
        <v>45212</v>
      </c>
      <c r="B2594" t="s">
        <v>40</v>
      </c>
      <c r="C2594" t="s">
        <v>19</v>
      </c>
      <c r="D2594" t="s">
        <v>12</v>
      </c>
      <c r="E2594" t="s">
        <v>52</v>
      </c>
      <c r="F2594" t="s">
        <v>42</v>
      </c>
      <c r="G2594" t="s">
        <v>28</v>
      </c>
      <c r="H2594">
        <v>7</v>
      </c>
      <c r="I2594">
        <v>4697</v>
      </c>
      <c r="J2594">
        <v>976.26</v>
      </c>
    </row>
    <row r="2595" spans="1:10" x14ac:dyDescent="0.25">
      <c r="A2595" s="1">
        <v>44690</v>
      </c>
      <c r="B2595" t="s">
        <v>40</v>
      </c>
      <c r="C2595" t="s">
        <v>19</v>
      </c>
      <c r="D2595" t="s">
        <v>12</v>
      </c>
      <c r="E2595" t="s">
        <v>52</v>
      </c>
      <c r="F2595" t="s">
        <v>42</v>
      </c>
      <c r="G2595" t="s">
        <v>28</v>
      </c>
      <c r="H2595">
        <v>2</v>
      </c>
      <c r="I2595">
        <v>1232</v>
      </c>
      <c r="J2595">
        <v>155.52000000000001</v>
      </c>
    </row>
    <row r="2596" spans="1:10" x14ac:dyDescent="0.25">
      <c r="A2596" s="1">
        <v>44916</v>
      </c>
      <c r="B2596" t="s">
        <v>36</v>
      </c>
      <c r="C2596" t="s">
        <v>17</v>
      </c>
      <c r="D2596" t="s">
        <v>12</v>
      </c>
      <c r="E2596" t="s">
        <v>37</v>
      </c>
      <c r="F2596" t="s">
        <v>34</v>
      </c>
      <c r="G2596" t="s">
        <v>35</v>
      </c>
      <c r="H2596">
        <v>7</v>
      </c>
      <c r="I2596">
        <v>6384</v>
      </c>
      <c r="J2596">
        <v>734.79</v>
      </c>
    </row>
    <row r="2597" spans="1:10" x14ac:dyDescent="0.25">
      <c r="A2597" s="1">
        <v>45618</v>
      </c>
      <c r="B2597" t="s">
        <v>16</v>
      </c>
      <c r="C2597" t="s">
        <v>17</v>
      </c>
      <c r="D2597" t="s">
        <v>12</v>
      </c>
      <c r="E2597" t="s">
        <v>37</v>
      </c>
      <c r="F2597" t="s">
        <v>34</v>
      </c>
      <c r="G2597" t="s">
        <v>35</v>
      </c>
      <c r="H2597">
        <v>4</v>
      </c>
      <c r="I2597">
        <v>780</v>
      </c>
      <c r="J2597">
        <v>162.72</v>
      </c>
    </row>
    <row r="2598" spans="1:10" x14ac:dyDescent="0.25">
      <c r="A2598" s="1">
        <v>44953</v>
      </c>
      <c r="B2598" t="s">
        <v>10</v>
      </c>
      <c r="C2598" t="s">
        <v>11</v>
      </c>
      <c r="D2598" t="s">
        <v>12</v>
      </c>
      <c r="E2598" t="s">
        <v>22</v>
      </c>
      <c r="F2598" t="s">
        <v>23</v>
      </c>
      <c r="G2598" t="s">
        <v>24</v>
      </c>
      <c r="H2598">
        <v>4</v>
      </c>
      <c r="I2598">
        <v>1256</v>
      </c>
      <c r="J2598">
        <v>362.22</v>
      </c>
    </row>
    <row r="2599" spans="1:10" x14ac:dyDescent="0.25">
      <c r="A2599" s="1">
        <v>44689</v>
      </c>
      <c r="B2599" t="s">
        <v>16</v>
      </c>
      <c r="C2599" t="s">
        <v>17</v>
      </c>
      <c r="D2599" t="s">
        <v>12</v>
      </c>
      <c r="E2599" t="s">
        <v>127</v>
      </c>
      <c r="F2599" t="s">
        <v>57</v>
      </c>
      <c r="G2599" t="s">
        <v>24</v>
      </c>
      <c r="H2599">
        <v>1</v>
      </c>
      <c r="I2599">
        <v>1162</v>
      </c>
      <c r="J2599">
        <v>220.93</v>
      </c>
    </row>
    <row r="2600" spans="1:10" x14ac:dyDescent="0.25">
      <c r="A2600" s="1">
        <v>44967</v>
      </c>
      <c r="B2600" t="s">
        <v>16</v>
      </c>
      <c r="C2600" t="s">
        <v>17</v>
      </c>
      <c r="D2600" t="s">
        <v>12</v>
      </c>
      <c r="E2600" t="s">
        <v>157</v>
      </c>
      <c r="F2600" t="s">
        <v>21</v>
      </c>
      <c r="G2600" t="s">
        <v>15</v>
      </c>
      <c r="H2600">
        <v>8</v>
      </c>
      <c r="I2600">
        <v>7520</v>
      </c>
      <c r="J2600">
        <v>995.03</v>
      </c>
    </row>
    <row r="2601" spans="1:10" x14ac:dyDescent="0.25">
      <c r="A2601" s="1">
        <v>45377</v>
      </c>
      <c r="B2601" t="s">
        <v>29</v>
      </c>
      <c r="C2601" t="s">
        <v>17</v>
      </c>
      <c r="D2601" t="s">
        <v>12</v>
      </c>
      <c r="E2601" t="s">
        <v>41</v>
      </c>
      <c r="F2601" t="s">
        <v>63</v>
      </c>
      <c r="G2601" t="s">
        <v>28</v>
      </c>
      <c r="H2601">
        <v>7</v>
      </c>
      <c r="I2601">
        <v>2387</v>
      </c>
      <c r="J2601">
        <v>463.92</v>
      </c>
    </row>
    <row r="2602" spans="1:10" x14ac:dyDescent="0.25">
      <c r="A2602" s="1">
        <v>45219</v>
      </c>
      <c r="B2602" t="s">
        <v>49</v>
      </c>
      <c r="C2602" t="s">
        <v>17</v>
      </c>
      <c r="D2602" t="s">
        <v>12</v>
      </c>
      <c r="E2602" t="s">
        <v>41</v>
      </c>
      <c r="F2602" t="s">
        <v>63</v>
      </c>
      <c r="G2602" t="s">
        <v>28</v>
      </c>
      <c r="H2602">
        <v>8</v>
      </c>
      <c r="I2602">
        <v>2256</v>
      </c>
      <c r="J2602">
        <v>316.77</v>
      </c>
    </row>
    <row r="2603" spans="1:10" x14ac:dyDescent="0.25">
      <c r="A2603" s="1">
        <v>45449</v>
      </c>
      <c r="B2603" t="s">
        <v>36</v>
      </c>
      <c r="C2603" t="s">
        <v>17</v>
      </c>
      <c r="D2603" t="s">
        <v>12</v>
      </c>
      <c r="E2603" t="s">
        <v>41</v>
      </c>
      <c r="F2603" t="s">
        <v>63</v>
      </c>
      <c r="G2603" t="s">
        <v>28</v>
      </c>
      <c r="H2603">
        <v>8</v>
      </c>
      <c r="I2603">
        <v>7792</v>
      </c>
      <c r="J2603">
        <v>913.12</v>
      </c>
    </row>
    <row r="2604" spans="1:10" x14ac:dyDescent="0.25">
      <c r="A2604" s="1">
        <v>45070</v>
      </c>
      <c r="B2604" t="s">
        <v>55</v>
      </c>
      <c r="C2604" t="s">
        <v>19</v>
      </c>
      <c r="D2604" t="s">
        <v>12</v>
      </c>
      <c r="E2604" t="s">
        <v>437</v>
      </c>
      <c r="F2604" t="s">
        <v>23</v>
      </c>
      <c r="G2604" t="s">
        <v>24</v>
      </c>
      <c r="H2604">
        <v>8</v>
      </c>
      <c r="I2604">
        <v>3944</v>
      </c>
      <c r="J2604">
        <v>296.35000000000002</v>
      </c>
    </row>
    <row r="2605" spans="1:10" x14ac:dyDescent="0.25">
      <c r="A2605" s="1">
        <v>45277</v>
      </c>
      <c r="B2605" t="s">
        <v>40</v>
      </c>
      <c r="C2605" t="s">
        <v>19</v>
      </c>
      <c r="D2605" t="s">
        <v>12</v>
      </c>
      <c r="E2605" t="s">
        <v>437</v>
      </c>
      <c r="F2605" t="s">
        <v>23</v>
      </c>
      <c r="G2605" t="s">
        <v>24</v>
      </c>
      <c r="H2605">
        <v>2</v>
      </c>
      <c r="I2605">
        <v>822</v>
      </c>
      <c r="J2605">
        <v>183.45</v>
      </c>
    </row>
    <row r="2606" spans="1:10" x14ac:dyDescent="0.25">
      <c r="A2606" s="1">
        <v>45463</v>
      </c>
      <c r="B2606" t="s">
        <v>29</v>
      </c>
      <c r="C2606" t="s">
        <v>17</v>
      </c>
      <c r="D2606" t="s">
        <v>12</v>
      </c>
      <c r="E2606" t="s">
        <v>56</v>
      </c>
      <c r="F2606" t="s">
        <v>57</v>
      </c>
      <c r="G2606" t="s">
        <v>24</v>
      </c>
      <c r="H2606">
        <v>3</v>
      </c>
      <c r="I2606">
        <v>1962</v>
      </c>
      <c r="J2606">
        <v>469.94</v>
      </c>
    </row>
    <row r="2607" spans="1:10" x14ac:dyDescent="0.25">
      <c r="A2607" s="1">
        <v>44916</v>
      </c>
      <c r="B2607" t="s">
        <v>10</v>
      </c>
      <c r="C2607" t="s">
        <v>11</v>
      </c>
      <c r="D2607" t="s">
        <v>12</v>
      </c>
      <c r="E2607" t="s">
        <v>43</v>
      </c>
      <c r="F2607" t="s">
        <v>44</v>
      </c>
      <c r="G2607" t="s">
        <v>35</v>
      </c>
      <c r="H2607">
        <v>4</v>
      </c>
      <c r="I2607">
        <v>1016</v>
      </c>
      <c r="J2607">
        <v>269.88</v>
      </c>
    </row>
    <row r="2608" spans="1:10" x14ac:dyDescent="0.25">
      <c r="A2608" s="1">
        <v>45097</v>
      </c>
      <c r="B2608" t="s">
        <v>18</v>
      </c>
      <c r="C2608" t="s">
        <v>19</v>
      </c>
      <c r="D2608" t="s">
        <v>12</v>
      </c>
      <c r="E2608" t="s">
        <v>52</v>
      </c>
      <c r="F2608" t="s">
        <v>42</v>
      </c>
      <c r="G2608" t="s">
        <v>28</v>
      </c>
      <c r="H2608">
        <v>2</v>
      </c>
      <c r="I2608">
        <v>1980</v>
      </c>
      <c r="J2608">
        <v>125.99</v>
      </c>
    </row>
    <row r="2609" spans="1:10" x14ac:dyDescent="0.25">
      <c r="A2609" s="1">
        <v>45634</v>
      </c>
      <c r="B2609" t="s">
        <v>29</v>
      </c>
      <c r="C2609" t="s">
        <v>17</v>
      </c>
      <c r="D2609" t="s">
        <v>12</v>
      </c>
      <c r="E2609" t="s">
        <v>52</v>
      </c>
      <c r="F2609" t="s">
        <v>42</v>
      </c>
      <c r="G2609" t="s">
        <v>28</v>
      </c>
      <c r="H2609">
        <v>4</v>
      </c>
      <c r="I2609">
        <v>3996</v>
      </c>
      <c r="J2609">
        <v>965.26</v>
      </c>
    </row>
    <row r="2610" spans="1:10" x14ac:dyDescent="0.25">
      <c r="A2610" s="1">
        <v>44760</v>
      </c>
      <c r="B2610" t="s">
        <v>32</v>
      </c>
      <c r="C2610" t="s">
        <v>19</v>
      </c>
      <c r="D2610" t="s">
        <v>12</v>
      </c>
      <c r="E2610" t="s">
        <v>56</v>
      </c>
      <c r="F2610" t="s">
        <v>57</v>
      </c>
      <c r="G2610" t="s">
        <v>24</v>
      </c>
      <c r="H2610">
        <v>1</v>
      </c>
      <c r="I2610">
        <v>663</v>
      </c>
      <c r="J2610">
        <v>183.82</v>
      </c>
    </row>
    <row r="2611" spans="1:10" x14ac:dyDescent="0.25">
      <c r="A2611" s="1">
        <v>45204</v>
      </c>
      <c r="B2611" t="s">
        <v>55</v>
      </c>
      <c r="C2611" t="s">
        <v>19</v>
      </c>
      <c r="D2611" t="s">
        <v>12</v>
      </c>
      <c r="E2611" t="s">
        <v>288</v>
      </c>
      <c r="F2611" t="s">
        <v>156</v>
      </c>
      <c r="G2611" t="s">
        <v>28</v>
      </c>
      <c r="H2611">
        <v>1</v>
      </c>
      <c r="I2611">
        <v>575</v>
      </c>
      <c r="J2611">
        <v>104.31</v>
      </c>
    </row>
    <row r="2612" spans="1:10" x14ac:dyDescent="0.25">
      <c r="A2612" s="1">
        <v>45173</v>
      </c>
      <c r="B2612" t="s">
        <v>18</v>
      </c>
      <c r="C2612" t="s">
        <v>19</v>
      </c>
      <c r="D2612" t="s">
        <v>12</v>
      </c>
      <c r="E2612" t="s">
        <v>75</v>
      </c>
      <c r="F2612" t="s">
        <v>63</v>
      </c>
      <c r="G2612" t="s">
        <v>28</v>
      </c>
      <c r="H2612">
        <v>1</v>
      </c>
      <c r="I2612">
        <v>187</v>
      </c>
      <c r="J2612">
        <v>33.76</v>
      </c>
    </row>
    <row r="2613" spans="1:10" x14ac:dyDescent="0.25">
      <c r="A2613" s="1">
        <v>45139</v>
      </c>
      <c r="B2613" t="s">
        <v>18</v>
      </c>
      <c r="C2613" t="s">
        <v>19</v>
      </c>
      <c r="D2613" t="s">
        <v>12</v>
      </c>
      <c r="E2613" t="s">
        <v>75</v>
      </c>
      <c r="F2613" t="s">
        <v>63</v>
      </c>
      <c r="G2613" t="s">
        <v>28</v>
      </c>
      <c r="H2613">
        <v>7</v>
      </c>
      <c r="I2613">
        <v>6216</v>
      </c>
      <c r="J2613">
        <v>378.24</v>
      </c>
    </row>
    <row r="2614" spans="1:10" x14ac:dyDescent="0.25">
      <c r="A2614" s="1">
        <v>44625</v>
      </c>
      <c r="B2614" t="s">
        <v>25</v>
      </c>
      <c r="C2614" t="s">
        <v>19</v>
      </c>
      <c r="D2614" t="s">
        <v>12</v>
      </c>
      <c r="E2614" t="s">
        <v>72</v>
      </c>
      <c r="F2614" t="s">
        <v>21</v>
      </c>
      <c r="G2614" t="s">
        <v>15</v>
      </c>
      <c r="H2614">
        <v>1</v>
      </c>
      <c r="I2614">
        <v>189</v>
      </c>
      <c r="J2614">
        <v>19.02</v>
      </c>
    </row>
    <row r="2615" spans="1:10" x14ac:dyDescent="0.25">
      <c r="A2615" s="1">
        <v>44786</v>
      </c>
      <c r="B2615" t="s">
        <v>18</v>
      </c>
      <c r="C2615" t="s">
        <v>19</v>
      </c>
      <c r="D2615" t="s">
        <v>12</v>
      </c>
      <c r="E2615" t="s">
        <v>138</v>
      </c>
      <c r="F2615" t="s">
        <v>94</v>
      </c>
      <c r="G2615" t="s">
        <v>24</v>
      </c>
      <c r="H2615">
        <v>2</v>
      </c>
      <c r="I2615">
        <v>358</v>
      </c>
      <c r="J2615">
        <v>41.46</v>
      </c>
    </row>
    <row r="2616" spans="1:10" x14ac:dyDescent="0.25">
      <c r="A2616" s="1">
        <v>44668</v>
      </c>
      <c r="B2616" t="s">
        <v>49</v>
      </c>
      <c r="C2616" t="s">
        <v>17</v>
      </c>
      <c r="D2616" t="s">
        <v>12</v>
      </c>
      <c r="E2616" t="s">
        <v>67</v>
      </c>
      <c r="F2616" t="s">
        <v>54</v>
      </c>
      <c r="G2616" t="s">
        <v>24</v>
      </c>
      <c r="H2616">
        <v>6</v>
      </c>
      <c r="I2616">
        <v>6192</v>
      </c>
      <c r="J2616">
        <v>316.23</v>
      </c>
    </row>
    <row r="2617" spans="1:10" x14ac:dyDescent="0.25">
      <c r="A2617" s="1">
        <v>45071</v>
      </c>
      <c r="B2617" t="s">
        <v>18</v>
      </c>
      <c r="C2617" t="s">
        <v>19</v>
      </c>
      <c r="D2617" t="s">
        <v>12</v>
      </c>
      <c r="E2617" t="s">
        <v>52</v>
      </c>
      <c r="F2617" t="s">
        <v>42</v>
      </c>
      <c r="G2617" t="s">
        <v>28</v>
      </c>
      <c r="H2617">
        <v>7</v>
      </c>
      <c r="I2617">
        <v>4382</v>
      </c>
      <c r="J2617">
        <v>592.46</v>
      </c>
    </row>
    <row r="2618" spans="1:10" x14ac:dyDescent="0.25">
      <c r="A2618" s="1">
        <v>45585</v>
      </c>
      <c r="B2618" t="s">
        <v>49</v>
      </c>
      <c r="C2618" t="s">
        <v>17</v>
      </c>
      <c r="D2618" t="s">
        <v>12</v>
      </c>
      <c r="E2618" t="s">
        <v>52</v>
      </c>
      <c r="F2618" t="s">
        <v>42</v>
      </c>
      <c r="G2618" t="s">
        <v>28</v>
      </c>
      <c r="H2618">
        <v>2</v>
      </c>
      <c r="I2618">
        <v>1122</v>
      </c>
      <c r="J2618">
        <v>100.78</v>
      </c>
    </row>
    <row r="2619" spans="1:10" x14ac:dyDescent="0.25">
      <c r="A2619" s="1">
        <v>44733</v>
      </c>
      <c r="B2619" t="s">
        <v>55</v>
      </c>
      <c r="C2619" t="s">
        <v>19</v>
      </c>
      <c r="D2619" t="s">
        <v>12</v>
      </c>
      <c r="E2619" t="s">
        <v>164</v>
      </c>
      <c r="F2619" t="s">
        <v>94</v>
      </c>
      <c r="G2619" t="s">
        <v>24</v>
      </c>
      <c r="H2619">
        <v>8</v>
      </c>
      <c r="I2619">
        <v>8192</v>
      </c>
      <c r="J2619">
        <v>2081.7199999999998</v>
      </c>
    </row>
    <row r="2620" spans="1:10" x14ac:dyDescent="0.25">
      <c r="A2620" s="1">
        <v>44795</v>
      </c>
      <c r="B2620" t="s">
        <v>55</v>
      </c>
      <c r="C2620" t="s">
        <v>19</v>
      </c>
      <c r="D2620" t="s">
        <v>12</v>
      </c>
      <c r="E2620" t="s">
        <v>52</v>
      </c>
      <c r="F2620" t="s">
        <v>42</v>
      </c>
      <c r="G2620" t="s">
        <v>28</v>
      </c>
      <c r="H2620">
        <v>6</v>
      </c>
      <c r="I2620">
        <v>2658</v>
      </c>
      <c r="J2620">
        <v>200.79</v>
      </c>
    </row>
    <row r="2621" spans="1:10" x14ac:dyDescent="0.25">
      <c r="A2621" s="1">
        <v>45002</v>
      </c>
      <c r="B2621" t="s">
        <v>18</v>
      </c>
      <c r="C2621" t="s">
        <v>19</v>
      </c>
      <c r="D2621" t="s">
        <v>12</v>
      </c>
      <c r="E2621" t="s">
        <v>52</v>
      </c>
      <c r="F2621" t="s">
        <v>42</v>
      </c>
      <c r="G2621" t="s">
        <v>28</v>
      </c>
      <c r="H2621">
        <v>6</v>
      </c>
      <c r="I2621">
        <v>606</v>
      </c>
      <c r="J2621">
        <v>127.68</v>
      </c>
    </row>
    <row r="2622" spans="1:10" x14ac:dyDescent="0.25">
      <c r="A2622" s="1">
        <v>45598</v>
      </c>
      <c r="B2622" t="s">
        <v>36</v>
      </c>
      <c r="C2622" t="s">
        <v>17</v>
      </c>
      <c r="D2622" t="s">
        <v>12</v>
      </c>
      <c r="E2622" t="s">
        <v>26</v>
      </c>
      <c r="F2622" t="s">
        <v>27</v>
      </c>
      <c r="G2622" t="s">
        <v>28</v>
      </c>
      <c r="H2622">
        <v>8</v>
      </c>
      <c r="I2622">
        <v>448</v>
      </c>
      <c r="J2622">
        <v>45.43</v>
      </c>
    </row>
    <row r="2623" spans="1:10" x14ac:dyDescent="0.25">
      <c r="A2623" s="1">
        <v>44943</v>
      </c>
      <c r="B2623" t="s">
        <v>10</v>
      </c>
      <c r="C2623" t="s">
        <v>11</v>
      </c>
      <c r="D2623" t="s">
        <v>12</v>
      </c>
      <c r="E2623" t="s">
        <v>22</v>
      </c>
      <c r="F2623" t="s">
        <v>23</v>
      </c>
      <c r="G2623" t="s">
        <v>24</v>
      </c>
      <c r="H2623">
        <v>3</v>
      </c>
      <c r="I2623">
        <v>1674</v>
      </c>
      <c r="J2623">
        <v>435.95</v>
      </c>
    </row>
    <row r="2624" spans="1:10" x14ac:dyDescent="0.25">
      <c r="A2624" s="1">
        <v>44605</v>
      </c>
      <c r="B2624" t="s">
        <v>18</v>
      </c>
      <c r="C2624" t="s">
        <v>19</v>
      </c>
      <c r="D2624" t="s">
        <v>12</v>
      </c>
      <c r="E2624" t="s">
        <v>56</v>
      </c>
      <c r="F2624" t="s">
        <v>57</v>
      </c>
      <c r="G2624" t="s">
        <v>24</v>
      </c>
      <c r="H2624">
        <v>6</v>
      </c>
      <c r="I2624">
        <v>1944</v>
      </c>
      <c r="J2624">
        <v>366.18</v>
      </c>
    </row>
    <row r="2625" spans="1:10" x14ac:dyDescent="0.25">
      <c r="A2625" s="1">
        <v>44599</v>
      </c>
      <c r="B2625" t="s">
        <v>36</v>
      </c>
      <c r="C2625" t="s">
        <v>17</v>
      </c>
      <c r="D2625" t="s">
        <v>12</v>
      </c>
      <c r="E2625" t="s">
        <v>52</v>
      </c>
      <c r="F2625" t="s">
        <v>42</v>
      </c>
      <c r="G2625" t="s">
        <v>28</v>
      </c>
      <c r="H2625">
        <v>6</v>
      </c>
      <c r="I2625">
        <v>1716</v>
      </c>
      <c r="J2625">
        <v>302.08999999999997</v>
      </c>
    </row>
    <row r="2626" spans="1:10" x14ac:dyDescent="0.25">
      <c r="A2626" s="1">
        <v>44686</v>
      </c>
      <c r="B2626" t="s">
        <v>25</v>
      </c>
      <c r="C2626" t="s">
        <v>19</v>
      </c>
      <c r="D2626" t="s">
        <v>12</v>
      </c>
      <c r="E2626" t="s">
        <v>322</v>
      </c>
      <c r="F2626" t="s">
        <v>42</v>
      </c>
      <c r="G2626" t="s">
        <v>28</v>
      </c>
      <c r="H2626">
        <v>6</v>
      </c>
      <c r="I2626">
        <v>2982</v>
      </c>
      <c r="J2626">
        <v>445.01</v>
      </c>
    </row>
    <row r="2627" spans="1:10" x14ac:dyDescent="0.25">
      <c r="A2627" s="1">
        <v>44787</v>
      </c>
      <c r="B2627" t="s">
        <v>55</v>
      </c>
      <c r="C2627" t="s">
        <v>19</v>
      </c>
      <c r="D2627" t="s">
        <v>12</v>
      </c>
      <c r="E2627" t="s">
        <v>224</v>
      </c>
      <c r="F2627" t="s">
        <v>34</v>
      </c>
      <c r="G2627" t="s">
        <v>35</v>
      </c>
      <c r="H2627">
        <v>9</v>
      </c>
      <c r="I2627">
        <v>7497</v>
      </c>
      <c r="J2627">
        <v>2241.59</v>
      </c>
    </row>
    <row r="2628" spans="1:10" x14ac:dyDescent="0.25">
      <c r="A2628" s="1">
        <v>45317</v>
      </c>
      <c r="B2628" t="s">
        <v>29</v>
      </c>
      <c r="C2628" t="s">
        <v>17</v>
      </c>
      <c r="D2628" t="s">
        <v>12</v>
      </c>
      <c r="E2628" t="s">
        <v>210</v>
      </c>
      <c r="F2628" t="s">
        <v>34</v>
      </c>
      <c r="G2628" t="s">
        <v>35</v>
      </c>
      <c r="H2628">
        <v>3</v>
      </c>
      <c r="I2628">
        <v>1026</v>
      </c>
      <c r="J2628">
        <v>142.71</v>
      </c>
    </row>
    <row r="2629" spans="1:10" x14ac:dyDescent="0.25">
      <c r="A2629" s="1">
        <v>45637</v>
      </c>
      <c r="B2629" t="s">
        <v>55</v>
      </c>
      <c r="C2629" t="s">
        <v>19</v>
      </c>
      <c r="D2629" t="s">
        <v>12</v>
      </c>
      <c r="E2629" t="s">
        <v>238</v>
      </c>
      <c r="F2629" t="s">
        <v>191</v>
      </c>
      <c r="G2629" t="s">
        <v>35</v>
      </c>
      <c r="H2629">
        <v>7</v>
      </c>
      <c r="I2629">
        <v>7392</v>
      </c>
      <c r="J2629">
        <v>2063.23</v>
      </c>
    </row>
    <row r="2630" spans="1:10" x14ac:dyDescent="0.25">
      <c r="A2630" s="1">
        <v>45466</v>
      </c>
      <c r="B2630" t="s">
        <v>10</v>
      </c>
      <c r="C2630" t="s">
        <v>11</v>
      </c>
      <c r="D2630" t="s">
        <v>12</v>
      </c>
      <c r="E2630" t="s">
        <v>130</v>
      </c>
      <c r="F2630" t="s">
        <v>14</v>
      </c>
      <c r="G2630" t="s">
        <v>15</v>
      </c>
      <c r="H2630">
        <v>4</v>
      </c>
      <c r="I2630">
        <v>2604</v>
      </c>
      <c r="J2630">
        <v>271.22000000000003</v>
      </c>
    </row>
    <row r="2631" spans="1:10" x14ac:dyDescent="0.25">
      <c r="A2631" s="1">
        <v>45253</v>
      </c>
      <c r="B2631" t="s">
        <v>32</v>
      </c>
      <c r="C2631" t="s">
        <v>19</v>
      </c>
      <c r="D2631" t="s">
        <v>12</v>
      </c>
      <c r="E2631" t="s">
        <v>56</v>
      </c>
      <c r="F2631" t="s">
        <v>57</v>
      </c>
      <c r="G2631" t="s">
        <v>24</v>
      </c>
      <c r="H2631">
        <v>6</v>
      </c>
      <c r="I2631">
        <v>1746</v>
      </c>
      <c r="J2631">
        <v>289.2</v>
      </c>
    </row>
    <row r="2632" spans="1:10" x14ac:dyDescent="0.25">
      <c r="A2632" s="1">
        <v>45345</v>
      </c>
      <c r="B2632" t="s">
        <v>29</v>
      </c>
      <c r="C2632" t="s">
        <v>17</v>
      </c>
      <c r="D2632" t="s">
        <v>12</v>
      </c>
      <c r="E2632" t="s">
        <v>52</v>
      </c>
      <c r="F2632" t="s">
        <v>42</v>
      </c>
      <c r="G2632" t="s">
        <v>28</v>
      </c>
      <c r="H2632">
        <v>6</v>
      </c>
      <c r="I2632">
        <v>5682</v>
      </c>
      <c r="J2632">
        <v>1365.87</v>
      </c>
    </row>
    <row r="2633" spans="1:10" x14ac:dyDescent="0.25">
      <c r="A2633" s="1">
        <v>45467</v>
      </c>
      <c r="B2633" t="s">
        <v>16</v>
      </c>
      <c r="C2633" t="s">
        <v>17</v>
      </c>
      <c r="D2633" t="s">
        <v>12</v>
      </c>
      <c r="E2633" t="s">
        <v>52</v>
      </c>
      <c r="F2633" t="s">
        <v>42</v>
      </c>
      <c r="G2633" t="s">
        <v>28</v>
      </c>
      <c r="H2633">
        <v>8</v>
      </c>
      <c r="I2633">
        <v>8664</v>
      </c>
      <c r="J2633">
        <v>2131.16</v>
      </c>
    </row>
    <row r="2634" spans="1:10" x14ac:dyDescent="0.25">
      <c r="A2634" s="1">
        <v>45115</v>
      </c>
      <c r="B2634" t="s">
        <v>18</v>
      </c>
      <c r="C2634" t="s">
        <v>19</v>
      </c>
      <c r="D2634" t="s">
        <v>12</v>
      </c>
      <c r="E2634" t="s">
        <v>52</v>
      </c>
      <c r="F2634" t="s">
        <v>42</v>
      </c>
      <c r="G2634" t="s">
        <v>28</v>
      </c>
      <c r="H2634">
        <v>3</v>
      </c>
      <c r="I2634">
        <v>1887</v>
      </c>
      <c r="J2634">
        <v>363.42</v>
      </c>
    </row>
    <row r="2635" spans="1:10" x14ac:dyDescent="0.25">
      <c r="A2635" s="1">
        <v>45594</v>
      </c>
      <c r="B2635" t="s">
        <v>40</v>
      </c>
      <c r="C2635" t="s">
        <v>19</v>
      </c>
      <c r="D2635" t="s">
        <v>12</v>
      </c>
      <c r="E2635" t="s">
        <v>43</v>
      </c>
      <c r="F2635" t="s">
        <v>44</v>
      </c>
      <c r="G2635" t="s">
        <v>35</v>
      </c>
      <c r="H2635">
        <v>7</v>
      </c>
      <c r="I2635">
        <v>6013</v>
      </c>
      <c r="J2635">
        <v>1544.51</v>
      </c>
    </row>
    <row r="2636" spans="1:10" x14ac:dyDescent="0.25">
      <c r="A2636" s="1">
        <v>45296</v>
      </c>
      <c r="B2636" t="s">
        <v>32</v>
      </c>
      <c r="C2636" t="s">
        <v>19</v>
      </c>
      <c r="D2636" t="s">
        <v>12</v>
      </c>
      <c r="E2636" t="s">
        <v>37</v>
      </c>
      <c r="F2636" t="s">
        <v>34</v>
      </c>
      <c r="G2636" t="s">
        <v>35</v>
      </c>
      <c r="H2636">
        <v>2</v>
      </c>
      <c r="I2636">
        <v>1578</v>
      </c>
      <c r="J2636">
        <v>463.58</v>
      </c>
    </row>
    <row r="2637" spans="1:10" x14ac:dyDescent="0.25">
      <c r="A2637" s="1">
        <v>44792</v>
      </c>
      <c r="B2637" t="s">
        <v>25</v>
      </c>
      <c r="C2637" t="s">
        <v>19</v>
      </c>
      <c r="D2637" t="s">
        <v>12</v>
      </c>
      <c r="E2637" t="s">
        <v>236</v>
      </c>
      <c r="F2637" t="s">
        <v>438</v>
      </c>
      <c r="G2637" t="s">
        <v>28</v>
      </c>
      <c r="H2637">
        <v>3</v>
      </c>
      <c r="I2637">
        <v>285</v>
      </c>
      <c r="J2637">
        <v>38.369999999999997</v>
      </c>
    </row>
    <row r="2638" spans="1:10" x14ac:dyDescent="0.25">
      <c r="A2638" s="1">
        <v>44953</v>
      </c>
      <c r="B2638" t="s">
        <v>55</v>
      </c>
      <c r="C2638" t="s">
        <v>19</v>
      </c>
      <c r="D2638" t="s">
        <v>12</v>
      </c>
      <c r="E2638" t="s">
        <v>439</v>
      </c>
      <c r="F2638" t="s">
        <v>191</v>
      </c>
      <c r="G2638" t="s">
        <v>35</v>
      </c>
      <c r="H2638">
        <v>6</v>
      </c>
      <c r="I2638">
        <v>5448</v>
      </c>
      <c r="J2638">
        <v>963.82</v>
      </c>
    </row>
    <row r="2639" spans="1:10" x14ac:dyDescent="0.25">
      <c r="A2639" s="1">
        <v>45513</v>
      </c>
      <c r="B2639" t="s">
        <v>10</v>
      </c>
      <c r="C2639" t="s">
        <v>11</v>
      </c>
      <c r="D2639" t="s">
        <v>12</v>
      </c>
      <c r="E2639" t="s">
        <v>136</v>
      </c>
      <c r="F2639" t="s">
        <v>65</v>
      </c>
      <c r="G2639" t="s">
        <v>35</v>
      </c>
      <c r="H2639">
        <v>2</v>
      </c>
      <c r="I2639">
        <v>1710</v>
      </c>
      <c r="J2639">
        <v>468.76</v>
      </c>
    </row>
    <row r="2640" spans="1:10" x14ac:dyDescent="0.25">
      <c r="A2640" s="1">
        <v>44868</v>
      </c>
      <c r="B2640" t="s">
        <v>49</v>
      </c>
      <c r="C2640" t="s">
        <v>17</v>
      </c>
      <c r="D2640" t="s">
        <v>12</v>
      </c>
      <c r="E2640" t="s">
        <v>74</v>
      </c>
      <c r="F2640" t="s">
        <v>23</v>
      </c>
      <c r="G2640" t="s">
        <v>24</v>
      </c>
      <c r="H2640">
        <v>9</v>
      </c>
      <c r="I2640">
        <v>2817</v>
      </c>
      <c r="J2640">
        <v>432.67</v>
      </c>
    </row>
    <row r="2641" spans="1:10" x14ac:dyDescent="0.25">
      <c r="A2641" s="1">
        <v>44660</v>
      </c>
      <c r="B2641" t="s">
        <v>40</v>
      </c>
      <c r="C2641" t="s">
        <v>19</v>
      </c>
      <c r="D2641" t="s">
        <v>12</v>
      </c>
      <c r="E2641" t="s">
        <v>210</v>
      </c>
      <c r="F2641" t="s">
        <v>34</v>
      </c>
      <c r="G2641" t="s">
        <v>35</v>
      </c>
      <c r="H2641">
        <v>9</v>
      </c>
      <c r="I2641">
        <v>9117</v>
      </c>
      <c r="J2641">
        <v>1780.52</v>
      </c>
    </row>
    <row r="2642" spans="1:10" x14ac:dyDescent="0.25">
      <c r="A2642" s="1">
        <v>45147</v>
      </c>
      <c r="B2642" t="s">
        <v>32</v>
      </c>
      <c r="C2642" t="s">
        <v>19</v>
      </c>
      <c r="D2642" t="s">
        <v>12</v>
      </c>
      <c r="E2642" t="s">
        <v>56</v>
      </c>
      <c r="F2642" t="s">
        <v>57</v>
      </c>
      <c r="G2642" t="s">
        <v>24</v>
      </c>
      <c r="H2642">
        <v>2</v>
      </c>
      <c r="I2642">
        <v>274</v>
      </c>
      <c r="J2642">
        <v>42.37</v>
      </c>
    </row>
    <row r="2643" spans="1:10" x14ac:dyDescent="0.25">
      <c r="A2643" s="1">
        <v>45194</v>
      </c>
      <c r="B2643" t="s">
        <v>49</v>
      </c>
      <c r="C2643" t="s">
        <v>17</v>
      </c>
      <c r="D2643" t="s">
        <v>12</v>
      </c>
      <c r="E2643" t="s">
        <v>52</v>
      </c>
      <c r="F2643" t="s">
        <v>42</v>
      </c>
      <c r="G2643" t="s">
        <v>28</v>
      </c>
      <c r="H2643">
        <v>6</v>
      </c>
      <c r="I2643">
        <v>6408</v>
      </c>
      <c r="J2643">
        <v>885.71</v>
      </c>
    </row>
    <row r="2644" spans="1:10" x14ac:dyDescent="0.25">
      <c r="A2644" s="1">
        <v>44697</v>
      </c>
      <c r="B2644" t="s">
        <v>49</v>
      </c>
      <c r="C2644" t="s">
        <v>17</v>
      </c>
      <c r="D2644" t="s">
        <v>12</v>
      </c>
      <c r="E2644" t="s">
        <v>43</v>
      </c>
      <c r="F2644" t="s">
        <v>44</v>
      </c>
      <c r="G2644" t="s">
        <v>35</v>
      </c>
      <c r="H2644">
        <v>5</v>
      </c>
      <c r="I2644">
        <v>5755</v>
      </c>
      <c r="J2644">
        <v>1441.84</v>
      </c>
    </row>
    <row r="2645" spans="1:10" x14ac:dyDescent="0.25">
      <c r="A2645" s="1">
        <v>45636</v>
      </c>
      <c r="B2645" t="s">
        <v>18</v>
      </c>
      <c r="C2645" t="s">
        <v>19</v>
      </c>
      <c r="D2645" t="s">
        <v>12</v>
      </c>
      <c r="E2645" t="s">
        <v>74</v>
      </c>
      <c r="F2645" t="s">
        <v>23</v>
      </c>
      <c r="G2645" t="s">
        <v>24</v>
      </c>
      <c r="H2645">
        <v>3</v>
      </c>
      <c r="I2645">
        <v>2262</v>
      </c>
      <c r="J2645">
        <v>245.66</v>
      </c>
    </row>
    <row r="2646" spans="1:10" x14ac:dyDescent="0.25">
      <c r="A2646" s="1">
        <v>45442</v>
      </c>
      <c r="B2646" t="s">
        <v>29</v>
      </c>
      <c r="C2646" t="s">
        <v>17</v>
      </c>
      <c r="D2646" t="s">
        <v>12</v>
      </c>
      <c r="E2646" t="s">
        <v>93</v>
      </c>
      <c r="F2646" t="s">
        <v>94</v>
      </c>
      <c r="G2646" t="s">
        <v>24</v>
      </c>
      <c r="H2646">
        <v>7</v>
      </c>
      <c r="I2646">
        <v>1785</v>
      </c>
      <c r="J2646">
        <v>233.77</v>
      </c>
    </row>
    <row r="2647" spans="1:10" x14ac:dyDescent="0.25">
      <c r="A2647" s="1">
        <v>45083</v>
      </c>
      <c r="B2647" t="s">
        <v>10</v>
      </c>
      <c r="C2647" t="s">
        <v>11</v>
      </c>
      <c r="D2647" t="s">
        <v>12</v>
      </c>
      <c r="E2647" t="s">
        <v>37</v>
      </c>
      <c r="F2647" t="s">
        <v>34</v>
      </c>
      <c r="G2647" t="s">
        <v>35</v>
      </c>
      <c r="H2647">
        <v>8</v>
      </c>
      <c r="I2647">
        <v>5128</v>
      </c>
      <c r="J2647">
        <v>657.87</v>
      </c>
    </row>
    <row r="2648" spans="1:10" x14ac:dyDescent="0.25">
      <c r="A2648" s="1">
        <v>45295</v>
      </c>
      <c r="B2648" t="s">
        <v>25</v>
      </c>
      <c r="C2648" t="s">
        <v>19</v>
      </c>
      <c r="D2648" t="s">
        <v>12</v>
      </c>
      <c r="E2648" t="s">
        <v>196</v>
      </c>
      <c r="F2648" t="s">
        <v>54</v>
      </c>
      <c r="G2648" t="s">
        <v>24</v>
      </c>
      <c r="H2648">
        <v>8</v>
      </c>
      <c r="I2648">
        <v>5176</v>
      </c>
      <c r="J2648">
        <v>1400.82</v>
      </c>
    </row>
    <row r="2649" spans="1:10" x14ac:dyDescent="0.25">
      <c r="A2649" s="1">
        <v>45185</v>
      </c>
      <c r="B2649" t="s">
        <v>49</v>
      </c>
      <c r="C2649" t="s">
        <v>17</v>
      </c>
      <c r="D2649" t="s">
        <v>12</v>
      </c>
      <c r="E2649" t="s">
        <v>75</v>
      </c>
      <c r="F2649" t="s">
        <v>63</v>
      </c>
      <c r="G2649" t="s">
        <v>28</v>
      </c>
      <c r="H2649">
        <v>5</v>
      </c>
      <c r="I2649">
        <v>1510</v>
      </c>
      <c r="J2649">
        <v>331.76</v>
      </c>
    </row>
    <row r="2650" spans="1:10" x14ac:dyDescent="0.25">
      <c r="A2650" s="1">
        <v>45002</v>
      </c>
      <c r="B2650" t="s">
        <v>49</v>
      </c>
      <c r="C2650" t="s">
        <v>17</v>
      </c>
      <c r="D2650" t="s">
        <v>12</v>
      </c>
      <c r="E2650" t="s">
        <v>37</v>
      </c>
      <c r="F2650" t="s">
        <v>34</v>
      </c>
      <c r="G2650" t="s">
        <v>35</v>
      </c>
      <c r="H2650">
        <v>1</v>
      </c>
      <c r="I2650">
        <v>947</v>
      </c>
      <c r="J2650">
        <v>77.209999999999994</v>
      </c>
    </row>
    <row r="2651" spans="1:10" x14ac:dyDescent="0.25">
      <c r="A2651" s="1">
        <v>45291</v>
      </c>
      <c r="B2651" t="s">
        <v>40</v>
      </c>
      <c r="C2651" t="s">
        <v>19</v>
      </c>
      <c r="D2651" t="s">
        <v>12</v>
      </c>
      <c r="E2651" t="s">
        <v>62</v>
      </c>
      <c r="F2651" t="s">
        <v>63</v>
      </c>
      <c r="G2651" t="s">
        <v>28</v>
      </c>
      <c r="H2651">
        <v>9</v>
      </c>
      <c r="I2651">
        <v>5427</v>
      </c>
      <c r="J2651">
        <v>731.33</v>
      </c>
    </row>
    <row r="2652" spans="1:10" x14ac:dyDescent="0.25">
      <c r="A2652" s="1">
        <v>44660</v>
      </c>
      <c r="B2652" t="s">
        <v>32</v>
      </c>
      <c r="C2652" t="s">
        <v>19</v>
      </c>
      <c r="D2652" t="s">
        <v>12</v>
      </c>
      <c r="E2652" t="s">
        <v>72</v>
      </c>
      <c r="F2652" t="s">
        <v>21</v>
      </c>
      <c r="G2652" t="s">
        <v>15</v>
      </c>
      <c r="H2652">
        <v>4</v>
      </c>
      <c r="I2652">
        <v>4560</v>
      </c>
      <c r="J2652">
        <v>507.87</v>
      </c>
    </row>
    <row r="2653" spans="1:10" x14ac:dyDescent="0.25">
      <c r="A2653" s="1">
        <v>45049</v>
      </c>
      <c r="B2653" t="s">
        <v>18</v>
      </c>
      <c r="C2653" t="s">
        <v>19</v>
      </c>
      <c r="D2653" t="s">
        <v>12</v>
      </c>
      <c r="E2653" t="s">
        <v>201</v>
      </c>
      <c r="F2653" t="s">
        <v>23</v>
      </c>
      <c r="G2653" t="s">
        <v>24</v>
      </c>
      <c r="H2653">
        <v>6</v>
      </c>
      <c r="I2653">
        <v>2100</v>
      </c>
      <c r="J2653">
        <v>268.39999999999998</v>
      </c>
    </row>
    <row r="2654" spans="1:10" x14ac:dyDescent="0.25">
      <c r="A2654" s="1">
        <v>45422</v>
      </c>
      <c r="B2654" t="s">
        <v>55</v>
      </c>
      <c r="C2654" t="s">
        <v>19</v>
      </c>
      <c r="D2654" t="s">
        <v>12</v>
      </c>
      <c r="E2654" t="s">
        <v>66</v>
      </c>
      <c r="F2654" t="s">
        <v>34</v>
      </c>
      <c r="G2654" t="s">
        <v>35</v>
      </c>
      <c r="H2654">
        <v>1</v>
      </c>
      <c r="I2654">
        <v>1054</v>
      </c>
      <c r="J2654">
        <v>288.14999999999998</v>
      </c>
    </row>
    <row r="2655" spans="1:10" x14ac:dyDescent="0.25">
      <c r="A2655" s="1">
        <v>44791</v>
      </c>
      <c r="B2655" t="s">
        <v>32</v>
      </c>
      <c r="C2655" t="s">
        <v>19</v>
      </c>
      <c r="D2655" t="s">
        <v>12</v>
      </c>
      <c r="E2655" t="s">
        <v>66</v>
      </c>
      <c r="F2655" t="s">
        <v>34</v>
      </c>
      <c r="G2655" t="s">
        <v>35</v>
      </c>
      <c r="H2655">
        <v>6</v>
      </c>
      <c r="I2655">
        <v>7026</v>
      </c>
      <c r="J2655">
        <v>1814.21</v>
      </c>
    </row>
    <row r="2656" spans="1:10" x14ac:dyDescent="0.25">
      <c r="A2656" s="1">
        <v>44756</v>
      </c>
      <c r="B2656" t="s">
        <v>25</v>
      </c>
      <c r="C2656" t="s">
        <v>19</v>
      </c>
      <c r="D2656" t="s">
        <v>12</v>
      </c>
      <c r="E2656" t="s">
        <v>52</v>
      </c>
      <c r="F2656" t="s">
        <v>42</v>
      </c>
      <c r="G2656" t="s">
        <v>28</v>
      </c>
      <c r="H2656">
        <v>9</v>
      </c>
      <c r="I2656">
        <v>513</v>
      </c>
      <c r="J2656">
        <v>151.87</v>
      </c>
    </row>
    <row r="2657" spans="1:10" x14ac:dyDescent="0.25">
      <c r="A2657" s="1">
        <v>45411</v>
      </c>
      <c r="B2657" t="s">
        <v>29</v>
      </c>
      <c r="C2657" t="s">
        <v>17</v>
      </c>
      <c r="D2657" t="s">
        <v>12</v>
      </c>
      <c r="E2657" t="s">
        <v>52</v>
      </c>
      <c r="F2657" t="s">
        <v>42</v>
      </c>
      <c r="G2657" t="s">
        <v>28</v>
      </c>
      <c r="H2657">
        <v>2</v>
      </c>
      <c r="I2657">
        <v>2244</v>
      </c>
      <c r="J2657">
        <v>353.83</v>
      </c>
    </row>
    <row r="2658" spans="1:10" x14ac:dyDescent="0.25">
      <c r="A2658" s="1">
        <v>45344</v>
      </c>
      <c r="B2658" t="s">
        <v>40</v>
      </c>
      <c r="C2658" t="s">
        <v>19</v>
      </c>
      <c r="D2658" t="s">
        <v>12</v>
      </c>
      <c r="E2658" t="s">
        <v>162</v>
      </c>
      <c r="F2658" t="s">
        <v>34</v>
      </c>
      <c r="G2658" t="s">
        <v>35</v>
      </c>
      <c r="H2658">
        <v>5</v>
      </c>
      <c r="I2658">
        <v>1785</v>
      </c>
      <c r="J2658">
        <v>134.94999999999999</v>
      </c>
    </row>
    <row r="2659" spans="1:10" x14ac:dyDescent="0.25">
      <c r="A2659" s="1">
        <v>45101</v>
      </c>
      <c r="B2659" t="s">
        <v>49</v>
      </c>
      <c r="C2659" t="s">
        <v>17</v>
      </c>
      <c r="D2659" t="s">
        <v>12</v>
      </c>
      <c r="E2659" t="s">
        <v>162</v>
      </c>
      <c r="F2659" t="s">
        <v>34</v>
      </c>
      <c r="G2659" t="s">
        <v>35</v>
      </c>
      <c r="H2659">
        <v>5</v>
      </c>
      <c r="I2659">
        <v>725</v>
      </c>
      <c r="J2659">
        <v>77.91</v>
      </c>
    </row>
    <row r="2660" spans="1:10" x14ac:dyDescent="0.25">
      <c r="A2660" s="1">
        <v>45609</v>
      </c>
      <c r="B2660" t="s">
        <v>40</v>
      </c>
      <c r="C2660" t="s">
        <v>19</v>
      </c>
      <c r="D2660" t="s">
        <v>12</v>
      </c>
      <c r="E2660" t="s">
        <v>223</v>
      </c>
      <c r="F2660" t="s">
        <v>23</v>
      </c>
      <c r="G2660" t="s">
        <v>24</v>
      </c>
      <c r="H2660">
        <v>4</v>
      </c>
      <c r="I2660">
        <v>2516</v>
      </c>
      <c r="J2660">
        <v>689.29</v>
      </c>
    </row>
    <row r="2661" spans="1:10" x14ac:dyDescent="0.25">
      <c r="A2661" s="1">
        <v>45075</v>
      </c>
      <c r="B2661" t="s">
        <v>36</v>
      </c>
      <c r="C2661" t="s">
        <v>17</v>
      </c>
      <c r="D2661" t="s">
        <v>12</v>
      </c>
      <c r="E2661" t="s">
        <v>134</v>
      </c>
      <c r="F2661" t="s">
        <v>42</v>
      </c>
      <c r="G2661" t="s">
        <v>28</v>
      </c>
      <c r="H2661">
        <v>8</v>
      </c>
      <c r="I2661">
        <v>6256</v>
      </c>
      <c r="J2661">
        <v>1152.99</v>
      </c>
    </row>
    <row r="2662" spans="1:10" x14ac:dyDescent="0.25">
      <c r="A2662" s="1">
        <v>45088</v>
      </c>
      <c r="B2662" t="s">
        <v>25</v>
      </c>
      <c r="C2662" t="s">
        <v>19</v>
      </c>
      <c r="D2662" t="s">
        <v>12</v>
      </c>
      <c r="E2662" t="s">
        <v>22</v>
      </c>
      <c r="F2662" t="s">
        <v>23</v>
      </c>
      <c r="G2662" t="s">
        <v>24</v>
      </c>
      <c r="H2662">
        <v>2</v>
      </c>
      <c r="I2662">
        <v>452</v>
      </c>
      <c r="J2662">
        <v>74.34</v>
      </c>
    </row>
    <row r="2663" spans="1:10" x14ac:dyDescent="0.25">
      <c r="A2663" s="1">
        <v>44625</v>
      </c>
      <c r="B2663" t="s">
        <v>55</v>
      </c>
      <c r="C2663" t="s">
        <v>19</v>
      </c>
      <c r="D2663" t="s">
        <v>12</v>
      </c>
      <c r="E2663" t="s">
        <v>210</v>
      </c>
      <c r="F2663" t="s">
        <v>34</v>
      </c>
      <c r="G2663" t="s">
        <v>35</v>
      </c>
      <c r="H2663">
        <v>7</v>
      </c>
      <c r="I2663">
        <v>5285</v>
      </c>
      <c r="J2663">
        <v>1338.58</v>
      </c>
    </row>
    <row r="2664" spans="1:10" x14ac:dyDescent="0.25">
      <c r="A2664" s="1">
        <v>45004</v>
      </c>
      <c r="B2664" t="s">
        <v>40</v>
      </c>
      <c r="C2664" t="s">
        <v>19</v>
      </c>
      <c r="D2664" t="s">
        <v>12</v>
      </c>
      <c r="E2664" t="s">
        <v>210</v>
      </c>
      <c r="F2664" t="s">
        <v>34</v>
      </c>
      <c r="G2664" t="s">
        <v>35</v>
      </c>
      <c r="H2664">
        <v>6</v>
      </c>
      <c r="I2664">
        <v>4872</v>
      </c>
      <c r="J2664">
        <v>786.79</v>
      </c>
    </row>
    <row r="2665" spans="1:10" x14ac:dyDescent="0.25">
      <c r="A2665" s="1">
        <v>45160</v>
      </c>
      <c r="B2665" t="s">
        <v>49</v>
      </c>
      <c r="C2665" t="s">
        <v>17</v>
      </c>
      <c r="D2665" t="s">
        <v>12</v>
      </c>
      <c r="E2665" t="s">
        <v>176</v>
      </c>
      <c r="F2665" t="s">
        <v>84</v>
      </c>
      <c r="G2665" t="s">
        <v>28</v>
      </c>
      <c r="H2665">
        <v>5</v>
      </c>
      <c r="I2665">
        <v>2495</v>
      </c>
      <c r="J2665">
        <v>164.56</v>
      </c>
    </row>
    <row r="2666" spans="1:10" x14ac:dyDescent="0.25">
      <c r="A2666" s="1">
        <v>44611</v>
      </c>
      <c r="B2666" t="s">
        <v>36</v>
      </c>
      <c r="C2666" t="s">
        <v>17</v>
      </c>
      <c r="D2666" t="s">
        <v>12</v>
      </c>
      <c r="E2666" t="s">
        <v>56</v>
      </c>
      <c r="F2666" t="s">
        <v>57</v>
      </c>
      <c r="G2666" t="s">
        <v>24</v>
      </c>
      <c r="H2666">
        <v>1</v>
      </c>
      <c r="I2666">
        <v>442</v>
      </c>
      <c r="J2666">
        <v>82.73</v>
      </c>
    </row>
    <row r="2667" spans="1:10" x14ac:dyDescent="0.25">
      <c r="A2667" s="1">
        <v>45552</v>
      </c>
      <c r="B2667" t="s">
        <v>10</v>
      </c>
      <c r="C2667" t="s">
        <v>11</v>
      </c>
      <c r="D2667" t="s">
        <v>12</v>
      </c>
      <c r="E2667" t="s">
        <v>56</v>
      </c>
      <c r="F2667" t="s">
        <v>57</v>
      </c>
      <c r="G2667" t="s">
        <v>24</v>
      </c>
      <c r="H2667">
        <v>9</v>
      </c>
      <c r="I2667">
        <v>8595</v>
      </c>
      <c r="J2667">
        <v>1312.19</v>
      </c>
    </row>
    <row r="2668" spans="1:10" x14ac:dyDescent="0.25">
      <c r="A2668" s="1">
        <v>44659</v>
      </c>
      <c r="B2668" t="s">
        <v>49</v>
      </c>
      <c r="C2668" t="s">
        <v>17</v>
      </c>
      <c r="D2668" t="s">
        <v>12</v>
      </c>
      <c r="E2668" t="s">
        <v>91</v>
      </c>
      <c r="F2668" t="s">
        <v>149</v>
      </c>
      <c r="G2668" t="s">
        <v>15</v>
      </c>
      <c r="H2668">
        <v>4</v>
      </c>
      <c r="I2668">
        <v>3528</v>
      </c>
      <c r="J2668">
        <v>411.5</v>
      </c>
    </row>
    <row r="2669" spans="1:10" x14ac:dyDescent="0.25">
      <c r="A2669" s="1">
        <v>45453</v>
      </c>
      <c r="B2669" t="s">
        <v>55</v>
      </c>
      <c r="C2669" t="s">
        <v>19</v>
      </c>
      <c r="D2669" t="s">
        <v>12</v>
      </c>
      <c r="E2669" t="s">
        <v>56</v>
      </c>
      <c r="F2669" t="s">
        <v>57</v>
      </c>
      <c r="G2669" t="s">
        <v>24</v>
      </c>
      <c r="H2669">
        <v>7</v>
      </c>
      <c r="I2669">
        <v>7777</v>
      </c>
      <c r="J2669">
        <v>746.84</v>
      </c>
    </row>
    <row r="2670" spans="1:10" x14ac:dyDescent="0.25">
      <c r="A2670" s="1">
        <v>44870</v>
      </c>
      <c r="B2670" t="s">
        <v>32</v>
      </c>
      <c r="C2670" t="s">
        <v>19</v>
      </c>
      <c r="D2670" t="s">
        <v>12</v>
      </c>
      <c r="E2670" t="s">
        <v>56</v>
      </c>
      <c r="F2670" t="s">
        <v>57</v>
      </c>
      <c r="G2670" t="s">
        <v>24</v>
      </c>
      <c r="H2670">
        <v>4</v>
      </c>
      <c r="I2670">
        <v>2008</v>
      </c>
      <c r="J2670">
        <v>451.68</v>
      </c>
    </row>
    <row r="2671" spans="1:10" x14ac:dyDescent="0.25">
      <c r="A2671" s="1">
        <v>44684</v>
      </c>
      <c r="B2671" t="s">
        <v>16</v>
      </c>
      <c r="C2671" t="s">
        <v>17</v>
      </c>
      <c r="D2671" t="s">
        <v>12</v>
      </c>
      <c r="E2671" t="s">
        <v>22</v>
      </c>
      <c r="F2671" t="s">
        <v>23</v>
      </c>
      <c r="G2671" t="s">
        <v>24</v>
      </c>
      <c r="H2671">
        <v>2</v>
      </c>
      <c r="I2671">
        <v>596</v>
      </c>
      <c r="J2671">
        <v>41.37</v>
      </c>
    </row>
    <row r="2672" spans="1:10" x14ac:dyDescent="0.25">
      <c r="A2672" s="1">
        <v>45651</v>
      </c>
      <c r="B2672" t="s">
        <v>32</v>
      </c>
      <c r="C2672" t="s">
        <v>19</v>
      </c>
      <c r="D2672" t="s">
        <v>12</v>
      </c>
      <c r="E2672" t="s">
        <v>22</v>
      </c>
      <c r="F2672" t="s">
        <v>23</v>
      </c>
      <c r="G2672" t="s">
        <v>24</v>
      </c>
      <c r="H2672">
        <v>9</v>
      </c>
      <c r="I2672">
        <v>4950</v>
      </c>
      <c r="J2672">
        <v>1402.67</v>
      </c>
    </row>
    <row r="2673" spans="1:10" x14ac:dyDescent="0.25">
      <c r="A2673" s="1">
        <v>45459</v>
      </c>
      <c r="B2673" t="s">
        <v>49</v>
      </c>
      <c r="C2673" t="s">
        <v>17</v>
      </c>
      <c r="D2673" t="s">
        <v>12</v>
      </c>
      <c r="E2673" t="s">
        <v>52</v>
      </c>
      <c r="F2673" t="s">
        <v>42</v>
      </c>
      <c r="G2673" t="s">
        <v>28</v>
      </c>
      <c r="H2673">
        <v>2</v>
      </c>
      <c r="I2673">
        <v>630</v>
      </c>
      <c r="J2673">
        <v>86.07</v>
      </c>
    </row>
    <row r="2674" spans="1:10" x14ac:dyDescent="0.25">
      <c r="A2674" s="1">
        <v>45478</v>
      </c>
      <c r="B2674" t="s">
        <v>25</v>
      </c>
      <c r="C2674" t="s">
        <v>19</v>
      </c>
      <c r="D2674" t="s">
        <v>12</v>
      </c>
      <c r="E2674" t="s">
        <v>52</v>
      </c>
      <c r="F2674" t="s">
        <v>42</v>
      </c>
      <c r="G2674" t="s">
        <v>28</v>
      </c>
      <c r="H2674">
        <v>6</v>
      </c>
      <c r="I2674">
        <v>6144</v>
      </c>
      <c r="J2674">
        <v>754.18</v>
      </c>
    </row>
    <row r="2675" spans="1:10" x14ac:dyDescent="0.25">
      <c r="A2675" s="1">
        <v>45263</v>
      </c>
      <c r="B2675" t="s">
        <v>36</v>
      </c>
      <c r="C2675" t="s">
        <v>17</v>
      </c>
      <c r="D2675" t="s">
        <v>12</v>
      </c>
      <c r="E2675" t="s">
        <v>22</v>
      </c>
      <c r="F2675" t="s">
        <v>23</v>
      </c>
      <c r="G2675" t="s">
        <v>24</v>
      </c>
      <c r="H2675">
        <v>1</v>
      </c>
      <c r="I2675">
        <v>140</v>
      </c>
      <c r="J2675">
        <v>24.21</v>
      </c>
    </row>
    <row r="2676" spans="1:10" x14ac:dyDescent="0.25">
      <c r="A2676" s="1">
        <v>45321</v>
      </c>
      <c r="B2676" t="s">
        <v>29</v>
      </c>
      <c r="C2676" t="s">
        <v>17</v>
      </c>
      <c r="D2676" t="s">
        <v>12</v>
      </c>
      <c r="E2676" t="s">
        <v>22</v>
      </c>
      <c r="F2676" t="s">
        <v>23</v>
      </c>
      <c r="G2676" t="s">
        <v>24</v>
      </c>
      <c r="H2676">
        <v>2</v>
      </c>
      <c r="I2676">
        <v>2014</v>
      </c>
      <c r="J2676">
        <v>215.06</v>
      </c>
    </row>
    <row r="2677" spans="1:10" x14ac:dyDescent="0.25">
      <c r="A2677" s="1">
        <v>45510</v>
      </c>
      <c r="B2677" t="s">
        <v>16</v>
      </c>
      <c r="C2677" t="s">
        <v>17</v>
      </c>
      <c r="D2677" t="s">
        <v>12</v>
      </c>
      <c r="E2677" t="s">
        <v>244</v>
      </c>
      <c r="F2677" t="s">
        <v>23</v>
      </c>
      <c r="G2677" t="s">
        <v>24</v>
      </c>
      <c r="H2677">
        <v>2</v>
      </c>
      <c r="I2677">
        <v>384</v>
      </c>
      <c r="J2677">
        <v>99.02</v>
      </c>
    </row>
    <row r="2678" spans="1:10" x14ac:dyDescent="0.25">
      <c r="A2678" s="1">
        <v>44579</v>
      </c>
      <c r="B2678" t="s">
        <v>10</v>
      </c>
      <c r="C2678" t="s">
        <v>11</v>
      </c>
      <c r="D2678" t="s">
        <v>12</v>
      </c>
      <c r="E2678" t="s">
        <v>74</v>
      </c>
      <c r="F2678" t="s">
        <v>23</v>
      </c>
      <c r="G2678" t="s">
        <v>24</v>
      </c>
      <c r="H2678">
        <v>7</v>
      </c>
      <c r="I2678">
        <v>3780</v>
      </c>
      <c r="J2678">
        <v>351.51</v>
      </c>
    </row>
    <row r="2679" spans="1:10" x14ac:dyDescent="0.25">
      <c r="A2679" s="1">
        <v>44985</v>
      </c>
      <c r="B2679" t="s">
        <v>36</v>
      </c>
      <c r="C2679" t="s">
        <v>17</v>
      </c>
      <c r="D2679" t="s">
        <v>12</v>
      </c>
      <c r="E2679" t="s">
        <v>37</v>
      </c>
      <c r="F2679" t="s">
        <v>34</v>
      </c>
      <c r="G2679" t="s">
        <v>35</v>
      </c>
      <c r="H2679">
        <v>7</v>
      </c>
      <c r="I2679">
        <v>5047</v>
      </c>
      <c r="J2679">
        <v>915.75</v>
      </c>
    </row>
    <row r="2680" spans="1:10" x14ac:dyDescent="0.25">
      <c r="A2680" s="1">
        <v>44800</v>
      </c>
      <c r="B2680" t="s">
        <v>29</v>
      </c>
      <c r="C2680" t="s">
        <v>17</v>
      </c>
      <c r="D2680" t="s">
        <v>12</v>
      </c>
      <c r="E2680" t="s">
        <v>26</v>
      </c>
      <c r="F2680" t="s">
        <v>27</v>
      </c>
      <c r="G2680" t="s">
        <v>28</v>
      </c>
      <c r="H2680">
        <v>3</v>
      </c>
      <c r="I2680">
        <v>2658</v>
      </c>
      <c r="J2680">
        <v>175.89</v>
      </c>
    </row>
    <row r="2681" spans="1:10" x14ac:dyDescent="0.25">
      <c r="A2681" s="1">
        <v>45213</v>
      </c>
      <c r="B2681" t="s">
        <v>16</v>
      </c>
      <c r="C2681" t="s">
        <v>17</v>
      </c>
      <c r="D2681" t="s">
        <v>12</v>
      </c>
      <c r="E2681" t="s">
        <v>22</v>
      </c>
      <c r="F2681" t="s">
        <v>23</v>
      </c>
      <c r="G2681" t="s">
        <v>24</v>
      </c>
      <c r="H2681">
        <v>8</v>
      </c>
      <c r="I2681">
        <v>528</v>
      </c>
      <c r="J2681">
        <v>53.91</v>
      </c>
    </row>
    <row r="2682" spans="1:10" x14ac:dyDescent="0.25">
      <c r="A2682" s="1">
        <v>44735</v>
      </c>
      <c r="B2682" t="s">
        <v>49</v>
      </c>
      <c r="C2682" t="s">
        <v>17</v>
      </c>
      <c r="D2682" t="s">
        <v>12</v>
      </c>
      <c r="E2682" t="s">
        <v>22</v>
      </c>
      <c r="F2682" t="s">
        <v>23</v>
      </c>
      <c r="G2682" t="s">
        <v>24</v>
      </c>
      <c r="H2682">
        <v>9</v>
      </c>
      <c r="I2682">
        <v>6507</v>
      </c>
      <c r="J2682">
        <v>1045.1400000000001</v>
      </c>
    </row>
    <row r="2683" spans="1:10" x14ac:dyDescent="0.25">
      <c r="A2683" s="1">
        <v>45079</v>
      </c>
      <c r="B2683" t="s">
        <v>25</v>
      </c>
      <c r="C2683" t="s">
        <v>19</v>
      </c>
      <c r="D2683" t="s">
        <v>12</v>
      </c>
      <c r="E2683" t="s">
        <v>26</v>
      </c>
      <c r="F2683" t="s">
        <v>27</v>
      </c>
      <c r="G2683" t="s">
        <v>28</v>
      </c>
      <c r="H2683">
        <v>7</v>
      </c>
      <c r="I2683">
        <v>5887</v>
      </c>
      <c r="J2683">
        <v>1035.5</v>
      </c>
    </row>
    <row r="2684" spans="1:10" x14ac:dyDescent="0.25">
      <c r="A2684" s="1">
        <v>45151</v>
      </c>
      <c r="B2684" t="s">
        <v>29</v>
      </c>
      <c r="C2684" t="s">
        <v>17</v>
      </c>
      <c r="D2684" t="s">
        <v>12</v>
      </c>
      <c r="E2684" t="s">
        <v>430</v>
      </c>
      <c r="F2684" t="s">
        <v>65</v>
      </c>
      <c r="G2684" t="s">
        <v>35</v>
      </c>
      <c r="H2684">
        <v>8</v>
      </c>
      <c r="I2684">
        <v>8224</v>
      </c>
      <c r="J2684">
        <v>1679.16</v>
      </c>
    </row>
    <row r="2685" spans="1:10" x14ac:dyDescent="0.25">
      <c r="A2685" s="1">
        <v>44632</v>
      </c>
      <c r="B2685" t="s">
        <v>55</v>
      </c>
      <c r="C2685" t="s">
        <v>19</v>
      </c>
      <c r="D2685" t="s">
        <v>12</v>
      </c>
      <c r="E2685" t="s">
        <v>52</v>
      </c>
      <c r="F2685" t="s">
        <v>42</v>
      </c>
      <c r="G2685" t="s">
        <v>28</v>
      </c>
      <c r="H2685">
        <v>3</v>
      </c>
      <c r="I2685">
        <v>723</v>
      </c>
      <c r="J2685">
        <v>115.25</v>
      </c>
    </row>
    <row r="2686" spans="1:10" x14ac:dyDescent="0.25">
      <c r="A2686" s="1">
        <v>45080</v>
      </c>
      <c r="B2686" t="s">
        <v>16</v>
      </c>
      <c r="C2686" t="s">
        <v>17</v>
      </c>
      <c r="D2686" t="s">
        <v>12</v>
      </c>
      <c r="E2686" t="s">
        <v>317</v>
      </c>
      <c r="F2686" t="s">
        <v>115</v>
      </c>
      <c r="G2686" t="s">
        <v>15</v>
      </c>
      <c r="H2686">
        <v>2</v>
      </c>
      <c r="I2686">
        <v>2272</v>
      </c>
      <c r="J2686">
        <v>504.72</v>
      </c>
    </row>
    <row r="2687" spans="1:10" x14ac:dyDescent="0.25">
      <c r="A2687" s="1">
        <v>44745</v>
      </c>
      <c r="B2687" t="s">
        <v>49</v>
      </c>
      <c r="C2687" t="s">
        <v>17</v>
      </c>
      <c r="D2687" t="s">
        <v>12</v>
      </c>
      <c r="E2687" t="s">
        <v>329</v>
      </c>
      <c r="F2687" t="s">
        <v>339</v>
      </c>
      <c r="G2687" t="s">
        <v>28</v>
      </c>
      <c r="H2687">
        <v>9</v>
      </c>
      <c r="I2687">
        <v>8640</v>
      </c>
      <c r="J2687">
        <v>1963.34</v>
      </c>
    </row>
    <row r="2688" spans="1:10" x14ac:dyDescent="0.25">
      <c r="A2688" s="1">
        <v>45183</v>
      </c>
      <c r="B2688" t="s">
        <v>25</v>
      </c>
      <c r="C2688" t="s">
        <v>19</v>
      </c>
      <c r="D2688" t="s">
        <v>12</v>
      </c>
      <c r="E2688" t="s">
        <v>22</v>
      </c>
      <c r="F2688" t="s">
        <v>23</v>
      </c>
      <c r="G2688" t="s">
        <v>24</v>
      </c>
      <c r="H2688">
        <v>8</v>
      </c>
      <c r="I2688">
        <v>2984</v>
      </c>
      <c r="J2688">
        <v>631.80999999999995</v>
      </c>
    </row>
    <row r="2689" spans="1:10" x14ac:dyDescent="0.25">
      <c r="A2689" s="1">
        <v>44679</v>
      </c>
      <c r="B2689" t="s">
        <v>40</v>
      </c>
      <c r="C2689" t="s">
        <v>19</v>
      </c>
      <c r="D2689" t="s">
        <v>12</v>
      </c>
      <c r="E2689" t="s">
        <v>22</v>
      </c>
      <c r="F2689" t="s">
        <v>23</v>
      </c>
      <c r="G2689" t="s">
        <v>24</v>
      </c>
      <c r="H2689">
        <v>2</v>
      </c>
      <c r="I2689">
        <v>606</v>
      </c>
      <c r="J2689">
        <v>150.94999999999999</v>
      </c>
    </row>
    <row r="2690" spans="1:10" x14ac:dyDescent="0.25">
      <c r="A2690" s="1">
        <v>44659</v>
      </c>
      <c r="B2690" t="s">
        <v>36</v>
      </c>
      <c r="C2690" t="s">
        <v>17</v>
      </c>
      <c r="D2690" t="s">
        <v>12</v>
      </c>
      <c r="E2690" t="s">
        <v>43</v>
      </c>
      <c r="F2690" t="s">
        <v>44</v>
      </c>
      <c r="G2690" t="s">
        <v>35</v>
      </c>
      <c r="H2690">
        <v>2</v>
      </c>
      <c r="I2690">
        <v>170</v>
      </c>
      <c r="J2690">
        <v>48.69</v>
      </c>
    </row>
    <row r="2691" spans="1:10" x14ac:dyDescent="0.25">
      <c r="A2691" s="1">
        <v>44641</v>
      </c>
      <c r="B2691" t="s">
        <v>29</v>
      </c>
      <c r="C2691" t="s">
        <v>17</v>
      </c>
      <c r="D2691" t="s">
        <v>12</v>
      </c>
      <c r="E2691" t="s">
        <v>43</v>
      </c>
      <c r="F2691" t="s">
        <v>44</v>
      </c>
      <c r="G2691" t="s">
        <v>35</v>
      </c>
      <c r="H2691">
        <v>9</v>
      </c>
      <c r="I2691">
        <v>5283</v>
      </c>
      <c r="J2691">
        <v>1550.3</v>
      </c>
    </row>
    <row r="2692" spans="1:10" x14ac:dyDescent="0.25">
      <c r="A2692" s="1">
        <v>44984</v>
      </c>
      <c r="B2692" t="s">
        <v>32</v>
      </c>
      <c r="C2692" t="s">
        <v>19</v>
      </c>
      <c r="D2692" t="s">
        <v>12</v>
      </c>
      <c r="E2692" t="s">
        <v>104</v>
      </c>
      <c r="F2692" t="s">
        <v>115</v>
      </c>
      <c r="G2692" t="s">
        <v>15</v>
      </c>
      <c r="H2692">
        <v>6</v>
      </c>
      <c r="I2692">
        <v>1350</v>
      </c>
      <c r="J2692">
        <v>356.88</v>
      </c>
    </row>
    <row r="2693" spans="1:10" x14ac:dyDescent="0.25">
      <c r="A2693" s="1">
        <v>44893</v>
      </c>
      <c r="B2693" t="s">
        <v>29</v>
      </c>
      <c r="C2693" t="s">
        <v>17</v>
      </c>
      <c r="D2693" t="s">
        <v>12</v>
      </c>
      <c r="E2693" t="s">
        <v>74</v>
      </c>
      <c r="F2693" t="s">
        <v>23</v>
      </c>
      <c r="G2693" t="s">
        <v>24</v>
      </c>
      <c r="H2693">
        <v>4</v>
      </c>
      <c r="I2693">
        <v>2500</v>
      </c>
      <c r="J2693">
        <v>467.34</v>
      </c>
    </row>
    <row r="2694" spans="1:10" x14ac:dyDescent="0.25">
      <c r="A2694" s="1">
        <v>44603</v>
      </c>
      <c r="B2694" t="s">
        <v>25</v>
      </c>
      <c r="C2694" t="s">
        <v>19</v>
      </c>
      <c r="D2694" t="s">
        <v>12</v>
      </c>
      <c r="E2694" t="s">
        <v>242</v>
      </c>
      <c r="F2694" t="s">
        <v>21</v>
      </c>
      <c r="G2694" t="s">
        <v>15</v>
      </c>
      <c r="H2694">
        <v>4</v>
      </c>
      <c r="I2694">
        <v>4648</v>
      </c>
      <c r="J2694">
        <v>689.85</v>
      </c>
    </row>
    <row r="2695" spans="1:10" x14ac:dyDescent="0.25">
      <c r="A2695" s="1">
        <v>45067</v>
      </c>
      <c r="B2695" t="s">
        <v>10</v>
      </c>
      <c r="C2695" t="s">
        <v>11</v>
      </c>
      <c r="D2695" t="s">
        <v>12</v>
      </c>
      <c r="E2695" t="s">
        <v>66</v>
      </c>
      <c r="F2695" t="s">
        <v>34</v>
      </c>
      <c r="G2695" t="s">
        <v>35</v>
      </c>
      <c r="H2695">
        <v>5</v>
      </c>
      <c r="I2695">
        <v>650</v>
      </c>
      <c r="J2695">
        <v>93.41</v>
      </c>
    </row>
    <row r="2696" spans="1:10" x14ac:dyDescent="0.25">
      <c r="A2696" s="1">
        <v>44818</v>
      </c>
      <c r="B2696" t="s">
        <v>36</v>
      </c>
      <c r="C2696" t="s">
        <v>17</v>
      </c>
      <c r="D2696" t="s">
        <v>12</v>
      </c>
      <c r="E2696" t="s">
        <v>382</v>
      </c>
      <c r="F2696" t="s">
        <v>78</v>
      </c>
      <c r="G2696" t="s">
        <v>28</v>
      </c>
      <c r="H2696">
        <v>2</v>
      </c>
      <c r="I2696">
        <v>1538</v>
      </c>
      <c r="J2696">
        <v>97.15</v>
      </c>
    </row>
    <row r="2697" spans="1:10" x14ac:dyDescent="0.25">
      <c r="A2697" s="1">
        <v>45458</v>
      </c>
      <c r="B2697" t="s">
        <v>32</v>
      </c>
      <c r="C2697" t="s">
        <v>19</v>
      </c>
      <c r="D2697" t="s">
        <v>12</v>
      </c>
      <c r="E2697" t="s">
        <v>317</v>
      </c>
      <c r="F2697" t="s">
        <v>115</v>
      </c>
      <c r="G2697" t="s">
        <v>15</v>
      </c>
      <c r="H2697">
        <v>4</v>
      </c>
      <c r="I2697">
        <v>3928</v>
      </c>
      <c r="J2697">
        <v>325.32</v>
      </c>
    </row>
    <row r="2698" spans="1:10" x14ac:dyDescent="0.25">
      <c r="A2698" s="1">
        <v>44643</v>
      </c>
      <c r="B2698" t="s">
        <v>29</v>
      </c>
      <c r="C2698" t="s">
        <v>17</v>
      </c>
      <c r="D2698" t="s">
        <v>12</v>
      </c>
      <c r="E2698" t="s">
        <v>37</v>
      </c>
      <c r="F2698" t="s">
        <v>34</v>
      </c>
      <c r="G2698" t="s">
        <v>35</v>
      </c>
      <c r="H2698">
        <v>2</v>
      </c>
      <c r="I2698">
        <v>2258</v>
      </c>
      <c r="J2698">
        <v>175.86</v>
      </c>
    </row>
    <row r="2699" spans="1:10" x14ac:dyDescent="0.25">
      <c r="A2699" s="1">
        <v>44721</v>
      </c>
      <c r="B2699" t="s">
        <v>36</v>
      </c>
      <c r="C2699" t="s">
        <v>17</v>
      </c>
      <c r="D2699" t="s">
        <v>12</v>
      </c>
      <c r="E2699" t="s">
        <v>37</v>
      </c>
      <c r="F2699" t="s">
        <v>34</v>
      </c>
      <c r="G2699" t="s">
        <v>35</v>
      </c>
      <c r="H2699">
        <v>9</v>
      </c>
      <c r="I2699">
        <v>2988</v>
      </c>
      <c r="J2699">
        <v>447.93</v>
      </c>
    </row>
    <row r="2700" spans="1:10" x14ac:dyDescent="0.25">
      <c r="A2700" s="1">
        <v>45023</v>
      </c>
      <c r="B2700" t="s">
        <v>29</v>
      </c>
      <c r="C2700" t="s">
        <v>17</v>
      </c>
      <c r="D2700" t="s">
        <v>12</v>
      </c>
      <c r="E2700" t="s">
        <v>37</v>
      </c>
      <c r="F2700" t="s">
        <v>34</v>
      </c>
      <c r="G2700" t="s">
        <v>35</v>
      </c>
      <c r="H2700">
        <v>8</v>
      </c>
      <c r="I2700">
        <v>4136</v>
      </c>
      <c r="J2700">
        <v>810.82</v>
      </c>
    </row>
    <row r="2701" spans="1:10" x14ac:dyDescent="0.25">
      <c r="A2701" s="1">
        <v>45221</v>
      </c>
      <c r="B2701" t="s">
        <v>16</v>
      </c>
      <c r="C2701" t="s">
        <v>17</v>
      </c>
      <c r="D2701" t="s">
        <v>12</v>
      </c>
      <c r="E2701" t="s">
        <v>37</v>
      </c>
      <c r="F2701" t="s">
        <v>34</v>
      </c>
      <c r="G2701" t="s">
        <v>35</v>
      </c>
      <c r="H2701">
        <v>7</v>
      </c>
      <c r="I2701">
        <v>3605</v>
      </c>
      <c r="J2701">
        <v>387.82</v>
      </c>
    </row>
    <row r="2702" spans="1:10" x14ac:dyDescent="0.25">
      <c r="A2702" s="1">
        <v>45148</v>
      </c>
      <c r="B2702" t="s">
        <v>32</v>
      </c>
      <c r="C2702" t="s">
        <v>19</v>
      </c>
      <c r="D2702" t="s">
        <v>12</v>
      </c>
      <c r="E2702" t="s">
        <v>52</v>
      </c>
      <c r="F2702" t="s">
        <v>42</v>
      </c>
      <c r="G2702" t="s">
        <v>28</v>
      </c>
      <c r="H2702">
        <v>3</v>
      </c>
      <c r="I2702">
        <v>1656</v>
      </c>
      <c r="J2702">
        <v>469.28</v>
      </c>
    </row>
    <row r="2703" spans="1:10" x14ac:dyDescent="0.25">
      <c r="A2703" s="1">
        <v>44919</v>
      </c>
      <c r="B2703" t="s">
        <v>10</v>
      </c>
      <c r="C2703" t="s">
        <v>11</v>
      </c>
      <c r="D2703" t="s">
        <v>12</v>
      </c>
      <c r="E2703" t="s">
        <v>20</v>
      </c>
      <c r="F2703" t="s">
        <v>21</v>
      </c>
      <c r="G2703" t="s">
        <v>15</v>
      </c>
      <c r="H2703">
        <v>8</v>
      </c>
      <c r="I2703">
        <v>7072</v>
      </c>
      <c r="J2703">
        <v>2113.06</v>
      </c>
    </row>
    <row r="2704" spans="1:10" x14ac:dyDescent="0.25">
      <c r="A2704" s="1">
        <v>45539</v>
      </c>
      <c r="B2704" t="s">
        <v>49</v>
      </c>
      <c r="C2704" t="s">
        <v>17</v>
      </c>
      <c r="D2704" t="s">
        <v>12</v>
      </c>
      <c r="E2704" t="s">
        <v>237</v>
      </c>
      <c r="F2704" t="s">
        <v>149</v>
      </c>
      <c r="G2704" t="s">
        <v>15</v>
      </c>
      <c r="H2704">
        <v>8</v>
      </c>
      <c r="I2704">
        <v>5368</v>
      </c>
      <c r="J2704">
        <v>542.52</v>
      </c>
    </row>
    <row r="2705" spans="1:10" x14ac:dyDescent="0.25">
      <c r="A2705" s="1">
        <v>45313</v>
      </c>
      <c r="B2705" t="s">
        <v>55</v>
      </c>
      <c r="C2705" t="s">
        <v>19</v>
      </c>
      <c r="D2705" t="s">
        <v>12</v>
      </c>
      <c r="E2705" t="s">
        <v>120</v>
      </c>
      <c r="F2705" t="s">
        <v>21</v>
      </c>
      <c r="G2705" t="s">
        <v>15</v>
      </c>
      <c r="H2705">
        <v>4</v>
      </c>
      <c r="I2705">
        <v>1356</v>
      </c>
      <c r="J2705">
        <v>374.79</v>
      </c>
    </row>
    <row r="2706" spans="1:10" x14ac:dyDescent="0.25">
      <c r="A2706" s="1">
        <v>45469</v>
      </c>
      <c r="B2706" t="s">
        <v>10</v>
      </c>
      <c r="C2706" t="s">
        <v>11</v>
      </c>
      <c r="D2706" t="s">
        <v>12</v>
      </c>
      <c r="E2706" t="s">
        <v>74</v>
      </c>
      <c r="F2706" t="s">
        <v>23</v>
      </c>
      <c r="G2706" t="s">
        <v>24</v>
      </c>
      <c r="H2706">
        <v>6</v>
      </c>
      <c r="I2706">
        <v>1326</v>
      </c>
      <c r="J2706">
        <v>338.66</v>
      </c>
    </row>
    <row r="2707" spans="1:10" x14ac:dyDescent="0.25">
      <c r="A2707" s="1">
        <v>45591</v>
      </c>
      <c r="B2707" t="s">
        <v>10</v>
      </c>
      <c r="C2707" t="s">
        <v>11</v>
      </c>
      <c r="D2707" t="s">
        <v>12</v>
      </c>
      <c r="E2707" t="s">
        <v>192</v>
      </c>
      <c r="F2707" t="s">
        <v>149</v>
      </c>
      <c r="G2707" t="s">
        <v>15</v>
      </c>
      <c r="H2707">
        <v>1</v>
      </c>
      <c r="I2707">
        <v>730</v>
      </c>
      <c r="J2707">
        <v>55.72</v>
      </c>
    </row>
    <row r="2708" spans="1:10" x14ac:dyDescent="0.25">
      <c r="A2708" s="1">
        <v>45422</v>
      </c>
      <c r="B2708" t="s">
        <v>29</v>
      </c>
      <c r="C2708" t="s">
        <v>17</v>
      </c>
      <c r="D2708" t="s">
        <v>12</v>
      </c>
      <c r="E2708" t="s">
        <v>440</v>
      </c>
      <c r="F2708" t="s">
        <v>34</v>
      </c>
      <c r="G2708" t="s">
        <v>35</v>
      </c>
      <c r="H2708">
        <v>4</v>
      </c>
      <c r="I2708">
        <v>4664</v>
      </c>
      <c r="J2708">
        <v>294.05</v>
      </c>
    </row>
    <row r="2709" spans="1:10" x14ac:dyDescent="0.25">
      <c r="A2709" s="1">
        <v>45264</v>
      </c>
      <c r="B2709" t="s">
        <v>55</v>
      </c>
      <c r="C2709" t="s">
        <v>19</v>
      </c>
      <c r="D2709" t="s">
        <v>12</v>
      </c>
      <c r="E2709" t="s">
        <v>161</v>
      </c>
      <c r="F2709" t="s">
        <v>34</v>
      </c>
      <c r="G2709" t="s">
        <v>35</v>
      </c>
      <c r="H2709">
        <v>8</v>
      </c>
      <c r="I2709">
        <v>3528</v>
      </c>
      <c r="J2709">
        <v>593.11</v>
      </c>
    </row>
    <row r="2710" spans="1:10" x14ac:dyDescent="0.25">
      <c r="A2710" s="1">
        <v>45004</v>
      </c>
      <c r="B2710" t="s">
        <v>16</v>
      </c>
      <c r="C2710" t="s">
        <v>17</v>
      </c>
      <c r="D2710" t="s">
        <v>12</v>
      </c>
      <c r="E2710" t="s">
        <v>116</v>
      </c>
      <c r="F2710" t="s">
        <v>23</v>
      </c>
      <c r="G2710" t="s">
        <v>24</v>
      </c>
      <c r="H2710">
        <v>3</v>
      </c>
      <c r="I2710">
        <v>1497</v>
      </c>
      <c r="J2710">
        <v>190.59</v>
      </c>
    </row>
    <row r="2711" spans="1:10" x14ac:dyDescent="0.25">
      <c r="A2711" s="1">
        <v>45037</v>
      </c>
      <c r="B2711" t="s">
        <v>18</v>
      </c>
      <c r="C2711" t="s">
        <v>19</v>
      </c>
      <c r="D2711" t="s">
        <v>12</v>
      </c>
      <c r="E2711" t="s">
        <v>92</v>
      </c>
      <c r="F2711" t="s">
        <v>44</v>
      </c>
      <c r="G2711" t="s">
        <v>35</v>
      </c>
      <c r="H2711">
        <v>3</v>
      </c>
      <c r="I2711">
        <v>2628</v>
      </c>
      <c r="J2711">
        <v>781.94</v>
      </c>
    </row>
    <row r="2712" spans="1:10" x14ac:dyDescent="0.25">
      <c r="A2712" s="1">
        <v>44877</v>
      </c>
      <c r="B2712" t="s">
        <v>55</v>
      </c>
      <c r="C2712" t="s">
        <v>19</v>
      </c>
      <c r="D2712" t="s">
        <v>12</v>
      </c>
      <c r="E2712" t="s">
        <v>22</v>
      </c>
      <c r="F2712" t="s">
        <v>23</v>
      </c>
      <c r="G2712" t="s">
        <v>24</v>
      </c>
      <c r="H2712">
        <v>4</v>
      </c>
      <c r="I2712">
        <v>4196</v>
      </c>
      <c r="J2712">
        <v>655.29</v>
      </c>
    </row>
    <row r="2713" spans="1:10" x14ac:dyDescent="0.25">
      <c r="A2713" s="1">
        <v>44775</v>
      </c>
      <c r="B2713" t="s">
        <v>36</v>
      </c>
      <c r="C2713" t="s">
        <v>17</v>
      </c>
      <c r="D2713" t="s">
        <v>12</v>
      </c>
      <c r="E2713" t="s">
        <v>52</v>
      </c>
      <c r="F2713" t="s">
        <v>42</v>
      </c>
      <c r="G2713" t="s">
        <v>28</v>
      </c>
      <c r="H2713">
        <v>7</v>
      </c>
      <c r="I2713">
        <v>1204</v>
      </c>
      <c r="J2713">
        <v>317.12</v>
      </c>
    </row>
    <row r="2714" spans="1:10" x14ac:dyDescent="0.25">
      <c r="A2714" s="1">
        <v>45161</v>
      </c>
      <c r="B2714" t="s">
        <v>10</v>
      </c>
      <c r="C2714" t="s">
        <v>11</v>
      </c>
      <c r="D2714" t="s">
        <v>12</v>
      </c>
      <c r="E2714" t="s">
        <v>52</v>
      </c>
      <c r="F2714" t="s">
        <v>42</v>
      </c>
      <c r="G2714" t="s">
        <v>28</v>
      </c>
      <c r="H2714">
        <v>7</v>
      </c>
      <c r="I2714">
        <v>7119</v>
      </c>
      <c r="J2714">
        <v>1555.05</v>
      </c>
    </row>
    <row r="2715" spans="1:10" x14ac:dyDescent="0.25">
      <c r="A2715" s="1">
        <v>45424</v>
      </c>
      <c r="B2715" t="s">
        <v>18</v>
      </c>
      <c r="C2715" t="s">
        <v>19</v>
      </c>
      <c r="D2715" t="s">
        <v>12</v>
      </c>
      <c r="E2715" t="s">
        <v>74</v>
      </c>
      <c r="F2715" t="s">
        <v>23</v>
      </c>
      <c r="G2715" t="s">
        <v>24</v>
      </c>
      <c r="H2715">
        <v>8</v>
      </c>
      <c r="I2715">
        <v>1848</v>
      </c>
      <c r="J2715">
        <v>351.02</v>
      </c>
    </row>
    <row r="2716" spans="1:10" x14ac:dyDescent="0.25">
      <c r="A2716" s="1">
        <v>45436</v>
      </c>
      <c r="B2716" t="s">
        <v>18</v>
      </c>
      <c r="C2716" t="s">
        <v>19</v>
      </c>
      <c r="D2716" t="s">
        <v>12</v>
      </c>
      <c r="E2716" t="s">
        <v>56</v>
      </c>
      <c r="F2716" t="s">
        <v>57</v>
      </c>
      <c r="G2716" t="s">
        <v>24</v>
      </c>
      <c r="H2716">
        <v>4</v>
      </c>
      <c r="I2716">
        <v>2232</v>
      </c>
      <c r="J2716">
        <v>531.12</v>
      </c>
    </row>
    <row r="2717" spans="1:10" x14ac:dyDescent="0.25">
      <c r="A2717" s="1">
        <v>45645</v>
      </c>
      <c r="B2717" t="s">
        <v>16</v>
      </c>
      <c r="C2717" t="s">
        <v>17</v>
      </c>
      <c r="D2717" t="s">
        <v>12</v>
      </c>
      <c r="E2717" t="s">
        <v>104</v>
      </c>
      <c r="F2717" t="s">
        <v>39</v>
      </c>
      <c r="G2717" t="s">
        <v>35</v>
      </c>
      <c r="H2717">
        <v>6</v>
      </c>
      <c r="I2717">
        <v>5190</v>
      </c>
      <c r="J2717">
        <v>898.86</v>
      </c>
    </row>
    <row r="2718" spans="1:10" x14ac:dyDescent="0.25">
      <c r="A2718" s="1">
        <v>44589</v>
      </c>
      <c r="B2718" t="s">
        <v>40</v>
      </c>
      <c r="C2718" t="s">
        <v>19</v>
      </c>
      <c r="D2718" t="s">
        <v>12</v>
      </c>
      <c r="E2718" t="s">
        <v>441</v>
      </c>
      <c r="F2718" t="s">
        <v>63</v>
      </c>
      <c r="G2718" t="s">
        <v>28</v>
      </c>
      <c r="H2718">
        <v>3</v>
      </c>
      <c r="I2718">
        <v>1830</v>
      </c>
      <c r="J2718">
        <v>403.42</v>
      </c>
    </row>
    <row r="2719" spans="1:10" x14ac:dyDescent="0.25">
      <c r="A2719" s="1">
        <v>44590</v>
      </c>
      <c r="B2719" t="s">
        <v>16</v>
      </c>
      <c r="C2719" t="s">
        <v>17</v>
      </c>
      <c r="D2719" t="s">
        <v>12</v>
      </c>
      <c r="E2719" t="s">
        <v>52</v>
      </c>
      <c r="F2719" t="s">
        <v>42</v>
      </c>
      <c r="G2719" t="s">
        <v>28</v>
      </c>
      <c r="H2719">
        <v>1</v>
      </c>
      <c r="I2719">
        <v>1033</v>
      </c>
      <c r="J2719">
        <v>302.68</v>
      </c>
    </row>
    <row r="2720" spans="1:10" x14ac:dyDescent="0.25">
      <c r="A2720" s="1">
        <v>44866</v>
      </c>
      <c r="B2720" t="s">
        <v>32</v>
      </c>
      <c r="C2720" t="s">
        <v>19</v>
      </c>
      <c r="D2720" t="s">
        <v>12</v>
      </c>
      <c r="E2720" t="s">
        <v>136</v>
      </c>
      <c r="F2720" t="s">
        <v>65</v>
      </c>
      <c r="G2720" t="s">
        <v>35</v>
      </c>
      <c r="H2720">
        <v>7</v>
      </c>
      <c r="I2720">
        <v>2324</v>
      </c>
      <c r="J2720">
        <v>611.70000000000005</v>
      </c>
    </row>
    <row r="2721" spans="1:10" x14ac:dyDescent="0.25">
      <c r="A2721" s="1">
        <v>45081</v>
      </c>
      <c r="B2721" t="s">
        <v>49</v>
      </c>
      <c r="C2721" t="s">
        <v>17</v>
      </c>
      <c r="D2721" t="s">
        <v>12</v>
      </c>
      <c r="E2721" t="s">
        <v>136</v>
      </c>
      <c r="F2721" t="s">
        <v>65</v>
      </c>
      <c r="G2721" t="s">
        <v>35</v>
      </c>
      <c r="H2721">
        <v>2</v>
      </c>
      <c r="I2721">
        <v>1942</v>
      </c>
      <c r="J2721">
        <v>235.42</v>
      </c>
    </row>
    <row r="2722" spans="1:10" x14ac:dyDescent="0.25">
      <c r="A2722" s="1">
        <v>44647</v>
      </c>
      <c r="B2722" t="s">
        <v>10</v>
      </c>
      <c r="C2722" t="s">
        <v>11</v>
      </c>
      <c r="D2722" t="s">
        <v>12</v>
      </c>
      <c r="E2722" t="s">
        <v>195</v>
      </c>
      <c r="F2722" t="s">
        <v>63</v>
      </c>
      <c r="G2722" t="s">
        <v>28</v>
      </c>
      <c r="H2722">
        <v>7</v>
      </c>
      <c r="I2722">
        <v>5740</v>
      </c>
      <c r="J2722">
        <v>1615.9</v>
      </c>
    </row>
    <row r="2723" spans="1:10" x14ac:dyDescent="0.25">
      <c r="A2723" s="1">
        <v>44856</v>
      </c>
      <c r="B2723" t="s">
        <v>32</v>
      </c>
      <c r="C2723" t="s">
        <v>19</v>
      </c>
      <c r="D2723" t="s">
        <v>12</v>
      </c>
      <c r="E2723" t="s">
        <v>195</v>
      </c>
      <c r="F2723" t="s">
        <v>63</v>
      </c>
      <c r="G2723" t="s">
        <v>28</v>
      </c>
      <c r="H2723">
        <v>9</v>
      </c>
      <c r="I2723">
        <v>6435</v>
      </c>
      <c r="J2723">
        <v>1096.8800000000001</v>
      </c>
    </row>
    <row r="2724" spans="1:10" x14ac:dyDescent="0.25">
      <c r="A2724" s="1">
        <v>44649</v>
      </c>
      <c r="B2724" t="s">
        <v>16</v>
      </c>
      <c r="C2724" t="s">
        <v>17</v>
      </c>
      <c r="D2724" t="s">
        <v>12</v>
      </c>
      <c r="E2724" t="s">
        <v>132</v>
      </c>
      <c r="F2724" t="s">
        <v>63</v>
      </c>
      <c r="G2724" t="s">
        <v>28</v>
      </c>
      <c r="H2724">
        <v>2</v>
      </c>
      <c r="I2724">
        <v>1168</v>
      </c>
      <c r="J2724">
        <v>172.18</v>
      </c>
    </row>
    <row r="2725" spans="1:10" x14ac:dyDescent="0.25">
      <c r="A2725" s="1">
        <v>44799</v>
      </c>
      <c r="B2725" t="s">
        <v>18</v>
      </c>
      <c r="C2725" t="s">
        <v>19</v>
      </c>
      <c r="D2725" t="s">
        <v>12</v>
      </c>
      <c r="E2725" t="s">
        <v>130</v>
      </c>
      <c r="F2725" t="s">
        <v>54</v>
      </c>
      <c r="G2725" t="s">
        <v>24</v>
      </c>
      <c r="H2725">
        <v>9</v>
      </c>
      <c r="I2725">
        <v>7362</v>
      </c>
      <c r="J2725">
        <v>441.36</v>
      </c>
    </row>
    <row r="2726" spans="1:10" x14ac:dyDescent="0.25">
      <c r="A2726" s="1">
        <v>45216</v>
      </c>
      <c r="B2726" t="s">
        <v>32</v>
      </c>
      <c r="C2726" t="s">
        <v>19</v>
      </c>
      <c r="D2726" t="s">
        <v>12</v>
      </c>
      <c r="E2726" t="s">
        <v>180</v>
      </c>
      <c r="F2726" t="s">
        <v>34</v>
      </c>
      <c r="G2726" t="s">
        <v>35</v>
      </c>
      <c r="H2726">
        <v>2</v>
      </c>
      <c r="I2726">
        <v>862</v>
      </c>
      <c r="J2726">
        <v>105.97</v>
      </c>
    </row>
    <row r="2727" spans="1:10" x14ac:dyDescent="0.25">
      <c r="A2727" s="1">
        <v>45224</v>
      </c>
      <c r="B2727" t="s">
        <v>16</v>
      </c>
      <c r="C2727" t="s">
        <v>17</v>
      </c>
      <c r="D2727" t="s">
        <v>12</v>
      </c>
      <c r="E2727" t="s">
        <v>331</v>
      </c>
      <c r="F2727" t="s">
        <v>23</v>
      </c>
      <c r="G2727" t="s">
        <v>24</v>
      </c>
      <c r="H2727">
        <v>1</v>
      </c>
      <c r="I2727">
        <v>956</v>
      </c>
      <c r="J2727">
        <v>167.16</v>
      </c>
    </row>
    <row r="2728" spans="1:10" x14ac:dyDescent="0.25">
      <c r="A2728" s="1">
        <v>44719</v>
      </c>
      <c r="B2728" t="s">
        <v>40</v>
      </c>
      <c r="C2728" t="s">
        <v>19</v>
      </c>
      <c r="D2728" t="s">
        <v>12</v>
      </c>
      <c r="E2728" t="s">
        <v>331</v>
      </c>
      <c r="F2728" t="s">
        <v>23</v>
      </c>
      <c r="G2728" t="s">
        <v>24</v>
      </c>
      <c r="H2728">
        <v>7</v>
      </c>
      <c r="I2728">
        <v>4438</v>
      </c>
      <c r="J2728">
        <v>770.3</v>
      </c>
    </row>
    <row r="2729" spans="1:10" x14ac:dyDescent="0.25">
      <c r="A2729" s="1">
        <v>45209</v>
      </c>
      <c r="B2729" t="s">
        <v>49</v>
      </c>
      <c r="C2729" t="s">
        <v>17</v>
      </c>
      <c r="D2729" t="s">
        <v>12</v>
      </c>
      <c r="E2729" t="s">
        <v>331</v>
      </c>
      <c r="F2729" t="s">
        <v>23</v>
      </c>
      <c r="G2729" t="s">
        <v>24</v>
      </c>
      <c r="H2729">
        <v>9</v>
      </c>
      <c r="I2729">
        <v>972</v>
      </c>
      <c r="J2729">
        <v>100</v>
      </c>
    </row>
    <row r="2730" spans="1:10" x14ac:dyDescent="0.25">
      <c r="A2730" s="1">
        <v>44806</v>
      </c>
      <c r="B2730" t="s">
        <v>49</v>
      </c>
      <c r="C2730" t="s">
        <v>17</v>
      </c>
      <c r="D2730" t="s">
        <v>12</v>
      </c>
      <c r="E2730" t="s">
        <v>331</v>
      </c>
      <c r="F2730" t="s">
        <v>23</v>
      </c>
      <c r="G2730" t="s">
        <v>24</v>
      </c>
      <c r="H2730">
        <v>2</v>
      </c>
      <c r="I2730">
        <v>1816</v>
      </c>
      <c r="J2730">
        <v>129.24</v>
      </c>
    </row>
    <row r="2731" spans="1:10" x14ac:dyDescent="0.25">
      <c r="A2731" s="1">
        <v>45041</v>
      </c>
      <c r="B2731" t="s">
        <v>36</v>
      </c>
      <c r="C2731" t="s">
        <v>17</v>
      </c>
      <c r="D2731" t="s">
        <v>12</v>
      </c>
      <c r="E2731" t="s">
        <v>442</v>
      </c>
      <c r="F2731" t="s">
        <v>23</v>
      </c>
      <c r="G2731" t="s">
        <v>24</v>
      </c>
      <c r="H2731">
        <v>4</v>
      </c>
      <c r="I2731">
        <v>596</v>
      </c>
      <c r="J2731">
        <v>105.89</v>
      </c>
    </row>
    <row r="2732" spans="1:10" x14ac:dyDescent="0.25">
      <c r="A2732" s="1">
        <v>45375</v>
      </c>
      <c r="B2732" t="s">
        <v>16</v>
      </c>
      <c r="C2732" t="s">
        <v>17</v>
      </c>
      <c r="D2732" t="s">
        <v>12</v>
      </c>
      <c r="E2732" t="s">
        <v>215</v>
      </c>
      <c r="F2732" t="s">
        <v>122</v>
      </c>
      <c r="G2732" t="s">
        <v>35</v>
      </c>
      <c r="H2732">
        <v>9</v>
      </c>
      <c r="I2732">
        <v>1233</v>
      </c>
      <c r="J2732">
        <v>346.9</v>
      </c>
    </row>
    <row r="2733" spans="1:10" x14ac:dyDescent="0.25">
      <c r="A2733" s="1">
        <v>44935</v>
      </c>
      <c r="B2733" t="s">
        <v>29</v>
      </c>
      <c r="C2733" t="s">
        <v>17</v>
      </c>
      <c r="D2733" t="s">
        <v>12</v>
      </c>
      <c r="E2733" t="s">
        <v>443</v>
      </c>
      <c r="F2733" t="s">
        <v>34</v>
      </c>
      <c r="G2733" t="s">
        <v>35</v>
      </c>
      <c r="H2733">
        <v>1</v>
      </c>
      <c r="I2733">
        <v>1055</v>
      </c>
      <c r="J2733">
        <v>88.61</v>
      </c>
    </row>
    <row r="2734" spans="1:10" x14ac:dyDescent="0.25">
      <c r="A2734" s="1">
        <v>44878</v>
      </c>
      <c r="B2734" t="s">
        <v>18</v>
      </c>
      <c r="C2734" t="s">
        <v>19</v>
      </c>
      <c r="D2734" t="s">
        <v>12</v>
      </c>
      <c r="E2734" t="s">
        <v>74</v>
      </c>
      <c r="F2734" t="s">
        <v>23</v>
      </c>
      <c r="G2734" t="s">
        <v>24</v>
      </c>
      <c r="H2734">
        <v>2</v>
      </c>
      <c r="I2734">
        <v>952</v>
      </c>
      <c r="J2734">
        <v>112.39</v>
      </c>
    </row>
    <row r="2735" spans="1:10" x14ac:dyDescent="0.25">
      <c r="A2735" s="1">
        <v>44989</v>
      </c>
      <c r="B2735" t="s">
        <v>16</v>
      </c>
      <c r="C2735" t="s">
        <v>17</v>
      </c>
      <c r="D2735" t="s">
        <v>12</v>
      </c>
      <c r="E2735" t="s">
        <v>444</v>
      </c>
      <c r="F2735" t="s">
        <v>23</v>
      </c>
      <c r="G2735" t="s">
        <v>24</v>
      </c>
      <c r="H2735">
        <v>1</v>
      </c>
      <c r="I2735">
        <v>312</v>
      </c>
      <c r="J2735">
        <v>40.47</v>
      </c>
    </row>
    <row r="2736" spans="1:10" x14ac:dyDescent="0.25">
      <c r="A2736" s="1">
        <v>44604</v>
      </c>
      <c r="B2736" t="s">
        <v>18</v>
      </c>
      <c r="C2736" t="s">
        <v>19</v>
      </c>
      <c r="D2736" t="s">
        <v>12</v>
      </c>
      <c r="E2736" t="s">
        <v>22</v>
      </c>
      <c r="F2736" t="s">
        <v>23</v>
      </c>
      <c r="G2736" t="s">
        <v>24</v>
      </c>
      <c r="H2736">
        <v>2</v>
      </c>
      <c r="I2736">
        <v>294</v>
      </c>
      <c r="J2736">
        <v>35.049999999999997</v>
      </c>
    </row>
    <row r="2737" spans="1:10" x14ac:dyDescent="0.25">
      <c r="A2737" s="1">
        <v>44648</v>
      </c>
      <c r="B2737" t="s">
        <v>32</v>
      </c>
      <c r="C2737" t="s">
        <v>19</v>
      </c>
      <c r="D2737" t="s">
        <v>12</v>
      </c>
      <c r="E2737" t="s">
        <v>52</v>
      </c>
      <c r="F2737" t="s">
        <v>42</v>
      </c>
      <c r="G2737" t="s">
        <v>28</v>
      </c>
      <c r="H2737">
        <v>2</v>
      </c>
      <c r="I2737">
        <v>474</v>
      </c>
      <c r="J2737">
        <v>120.91</v>
      </c>
    </row>
    <row r="2738" spans="1:10" x14ac:dyDescent="0.25">
      <c r="A2738" s="1">
        <v>45079</v>
      </c>
      <c r="B2738" t="s">
        <v>25</v>
      </c>
      <c r="C2738" t="s">
        <v>19</v>
      </c>
      <c r="D2738" t="s">
        <v>12</v>
      </c>
      <c r="E2738" t="s">
        <v>445</v>
      </c>
      <c r="F2738" t="s">
        <v>39</v>
      </c>
      <c r="G2738" t="s">
        <v>35</v>
      </c>
      <c r="H2738">
        <v>2</v>
      </c>
      <c r="I2738">
        <v>788</v>
      </c>
      <c r="J2738">
        <v>195.15</v>
      </c>
    </row>
    <row r="2739" spans="1:10" x14ac:dyDescent="0.25">
      <c r="A2739" s="1">
        <v>44696</v>
      </c>
      <c r="B2739" t="s">
        <v>16</v>
      </c>
      <c r="C2739" t="s">
        <v>17</v>
      </c>
      <c r="D2739" t="s">
        <v>12</v>
      </c>
      <c r="E2739" t="s">
        <v>22</v>
      </c>
      <c r="F2739" t="s">
        <v>23</v>
      </c>
      <c r="G2739" t="s">
        <v>24</v>
      </c>
      <c r="H2739">
        <v>8</v>
      </c>
      <c r="I2739">
        <v>2760</v>
      </c>
      <c r="J2739">
        <v>156.53</v>
      </c>
    </row>
    <row r="2740" spans="1:10" x14ac:dyDescent="0.25">
      <c r="A2740" s="1">
        <v>45213</v>
      </c>
      <c r="B2740" t="s">
        <v>55</v>
      </c>
      <c r="C2740" t="s">
        <v>19</v>
      </c>
      <c r="D2740" t="s">
        <v>12</v>
      </c>
      <c r="E2740" t="s">
        <v>37</v>
      </c>
      <c r="F2740" t="s">
        <v>34</v>
      </c>
      <c r="G2740" t="s">
        <v>35</v>
      </c>
      <c r="H2740">
        <v>4</v>
      </c>
      <c r="I2740">
        <v>908</v>
      </c>
      <c r="J2740">
        <v>219.79</v>
      </c>
    </row>
    <row r="2741" spans="1:10" x14ac:dyDescent="0.25">
      <c r="A2741" s="1">
        <v>44851</v>
      </c>
      <c r="B2741" t="s">
        <v>40</v>
      </c>
      <c r="C2741" t="s">
        <v>19</v>
      </c>
      <c r="D2741" t="s">
        <v>12</v>
      </c>
      <c r="E2741" t="s">
        <v>62</v>
      </c>
      <c r="F2741" t="s">
        <v>59</v>
      </c>
      <c r="G2741" t="s">
        <v>28</v>
      </c>
      <c r="H2741">
        <v>1</v>
      </c>
      <c r="I2741">
        <v>593</v>
      </c>
      <c r="J2741">
        <v>133.01</v>
      </c>
    </row>
    <row r="2742" spans="1:10" x14ac:dyDescent="0.25">
      <c r="A2742" s="1">
        <v>45123</v>
      </c>
      <c r="B2742" t="s">
        <v>29</v>
      </c>
      <c r="C2742" t="s">
        <v>17</v>
      </c>
      <c r="D2742" t="s">
        <v>12</v>
      </c>
      <c r="E2742" t="s">
        <v>182</v>
      </c>
      <c r="F2742" t="s">
        <v>183</v>
      </c>
      <c r="G2742" t="s">
        <v>15</v>
      </c>
      <c r="H2742">
        <v>6</v>
      </c>
      <c r="I2742">
        <v>1698</v>
      </c>
      <c r="J2742">
        <v>193.42</v>
      </c>
    </row>
    <row r="2743" spans="1:10" x14ac:dyDescent="0.25">
      <c r="A2743" s="1">
        <v>45558</v>
      </c>
      <c r="B2743" t="s">
        <v>10</v>
      </c>
      <c r="C2743" t="s">
        <v>11</v>
      </c>
      <c r="D2743" t="s">
        <v>12</v>
      </c>
      <c r="E2743" t="s">
        <v>146</v>
      </c>
      <c r="F2743" t="s">
        <v>21</v>
      </c>
      <c r="G2743" t="s">
        <v>15</v>
      </c>
      <c r="H2743">
        <v>1</v>
      </c>
      <c r="I2743">
        <v>546</v>
      </c>
      <c r="J2743">
        <v>124.1</v>
      </c>
    </row>
    <row r="2744" spans="1:10" x14ac:dyDescent="0.25">
      <c r="A2744" s="1">
        <v>44784</v>
      </c>
      <c r="B2744" t="s">
        <v>55</v>
      </c>
      <c r="C2744" t="s">
        <v>19</v>
      </c>
      <c r="D2744" t="s">
        <v>12</v>
      </c>
      <c r="E2744" t="s">
        <v>97</v>
      </c>
      <c r="F2744" t="s">
        <v>23</v>
      </c>
      <c r="G2744" t="s">
        <v>24</v>
      </c>
      <c r="H2744">
        <v>5</v>
      </c>
      <c r="I2744">
        <v>4380</v>
      </c>
      <c r="J2744">
        <v>275.83999999999997</v>
      </c>
    </row>
    <row r="2745" spans="1:10" x14ac:dyDescent="0.25">
      <c r="A2745" s="1">
        <v>45088</v>
      </c>
      <c r="B2745" t="s">
        <v>25</v>
      </c>
      <c r="C2745" t="s">
        <v>19</v>
      </c>
      <c r="D2745" t="s">
        <v>12</v>
      </c>
      <c r="E2745" t="s">
        <v>13</v>
      </c>
      <c r="F2745" t="s">
        <v>14</v>
      </c>
      <c r="G2745" t="s">
        <v>15</v>
      </c>
      <c r="H2745">
        <v>4</v>
      </c>
      <c r="I2745">
        <v>2472</v>
      </c>
      <c r="J2745">
        <v>594.62</v>
      </c>
    </row>
    <row r="2746" spans="1:10" x14ac:dyDescent="0.25">
      <c r="A2746" s="1">
        <v>45383</v>
      </c>
      <c r="B2746" t="s">
        <v>40</v>
      </c>
      <c r="C2746" t="s">
        <v>19</v>
      </c>
      <c r="D2746" t="s">
        <v>12</v>
      </c>
      <c r="E2746" t="s">
        <v>13</v>
      </c>
      <c r="F2746" t="s">
        <v>14</v>
      </c>
      <c r="G2746" t="s">
        <v>15</v>
      </c>
      <c r="H2746">
        <v>4</v>
      </c>
      <c r="I2746">
        <v>1996</v>
      </c>
      <c r="J2746">
        <v>396.63</v>
      </c>
    </row>
    <row r="2747" spans="1:10" x14ac:dyDescent="0.25">
      <c r="A2747" s="1">
        <v>45651</v>
      </c>
      <c r="B2747" t="s">
        <v>25</v>
      </c>
      <c r="C2747" t="s">
        <v>19</v>
      </c>
      <c r="D2747" t="s">
        <v>12</v>
      </c>
      <c r="E2747" t="s">
        <v>20</v>
      </c>
      <c r="F2747" t="s">
        <v>21</v>
      </c>
      <c r="G2747" t="s">
        <v>15</v>
      </c>
      <c r="H2747">
        <v>5</v>
      </c>
      <c r="I2747">
        <v>2525</v>
      </c>
      <c r="J2747">
        <v>699.74</v>
      </c>
    </row>
    <row r="2748" spans="1:10" x14ac:dyDescent="0.25">
      <c r="A2748" s="1">
        <v>44747</v>
      </c>
      <c r="B2748" t="s">
        <v>29</v>
      </c>
      <c r="C2748" t="s">
        <v>17</v>
      </c>
      <c r="D2748" t="s">
        <v>12</v>
      </c>
      <c r="E2748" t="s">
        <v>22</v>
      </c>
      <c r="F2748" t="s">
        <v>23</v>
      </c>
      <c r="G2748" t="s">
        <v>24</v>
      </c>
      <c r="H2748">
        <v>9</v>
      </c>
      <c r="I2748">
        <v>4041</v>
      </c>
      <c r="J2748">
        <v>517.23</v>
      </c>
    </row>
    <row r="2749" spans="1:10" x14ac:dyDescent="0.25">
      <c r="A2749" s="1">
        <v>45489</v>
      </c>
      <c r="B2749" t="s">
        <v>49</v>
      </c>
      <c r="C2749" t="s">
        <v>17</v>
      </c>
      <c r="D2749" t="s">
        <v>12</v>
      </c>
      <c r="E2749" t="s">
        <v>22</v>
      </c>
      <c r="F2749" t="s">
        <v>23</v>
      </c>
      <c r="G2749" t="s">
        <v>24</v>
      </c>
      <c r="H2749">
        <v>3</v>
      </c>
      <c r="I2749">
        <v>858</v>
      </c>
      <c r="J2749">
        <v>246.86</v>
      </c>
    </row>
    <row r="2750" spans="1:10" x14ac:dyDescent="0.25">
      <c r="A2750" s="1">
        <v>44909</v>
      </c>
      <c r="B2750" t="s">
        <v>49</v>
      </c>
      <c r="C2750" t="s">
        <v>17</v>
      </c>
      <c r="D2750" t="s">
        <v>12</v>
      </c>
      <c r="E2750" t="s">
        <v>26</v>
      </c>
      <c r="F2750" t="s">
        <v>27</v>
      </c>
      <c r="G2750" t="s">
        <v>28</v>
      </c>
      <c r="H2750">
        <v>9</v>
      </c>
      <c r="I2750">
        <v>4221</v>
      </c>
      <c r="J2750">
        <v>1238.5999999999999</v>
      </c>
    </row>
    <row r="2751" spans="1:10" x14ac:dyDescent="0.25">
      <c r="A2751" s="1">
        <v>44973</v>
      </c>
      <c r="B2751" t="s">
        <v>18</v>
      </c>
      <c r="C2751" t="s">
        <v>19</v>
      </c>
      <c r="D2751" t="s">
        <v>12</v>
      </c>
      <c r="E2751" t="s">
        <v>30</v>
      </c>
      <c r="F2751" t="s">
        <v>31</v>
      </c>
      <c r="G2751" t="s">
        <v>24</v>
      </c>
      <c r="H2751">
        <v>2</v>
      </c>
      <c r="I2751">
        <v>858</v>
      </c>
      <c r="J2751">
        <v>73.489999999999995</v>
      </c>
    </row>
    <row r="2752" spans="1:10" x14ac:dyDescent="0.25">
      <c r="A2752" s="1">
        <v>45631</v>
      </c>
      <c r="B2752" t="s">
        <v>49</v>
      </c>
      <c r="C2752" t="s">
        <v>17</v>
      </c>
      <c r="D2752" t="s">
        <v>12</v>
      </c>
      <c r="E2752" t="s">
        <v>26</v>
      </c>
      <c r="F2752" t="s">
        <v>27</v>
      </c>
      <c r="G2752" t="s">
        <v>28</v>
      </c>
      <c r="H2752">
        <v>1</v>
      </c>
      <c r="I2752">
        <v>776</v>
      </c>
      <c r="J2752">
        <v>172.19</v>
      </c>
    </row>
    <row r="2753" spans="1:10" x14ac:dyDescent="0.25">
      <c r="A2753" s="1">
        <v>45161</v>
      </c>
      <c r="B2753" t="s">
        <v>55</v>
      </c>
      <c r="C2753" t="s">
        <v>19</v>
      </c>
      <c r="D2753" t="s">
        <v>12</v>
      </c>
      <c r="E2753" t="s">
        <v>26</v>
      </c>
      <c r="F2753" t="s">
        <v>27</v>
      </c>
      <c r="G2753" t="s">
        <v>28</v>
      </c>
      <c r="H2753">
        <v>7</v>
      </c>
      <c r="I2753">
        <v>3654</v>
      </c>
      <c r="J2753">
        <v>871.81</v>
      </c>
    </row>
    <row r="2754" spans="1:10" x14ac:dyDescent="0.25">
      <c r="A2754" s="1">
        <v>45336</v>
      </c>
      <c r="B2754" t="s">
        <v>29</v>
      </c>
      <c r="C2754" t="s">
        <v>17</v>
      </c>
      <c r="D2754" t="s">
        <v>12</v>
      </c>
      <c r="E2754" t="s">
        <v>33</v>
      </c>
      <c r="F2754" t="s">
        <v>34</v>
      </c>
      <c r="G2754" t="s">
        <v>35</v>
      </c>
      <c r="H2754">
        <v>3</v>
      </c>
      <c r="I2754">
        <v>384</v>
      </c>
      <c r="J2754">
        <v>45.99</v>
      </c>
    </row>
    <row r="2755" spans="1:10" x14ac:dyDescent="0.25">
      <c r="A2755" s="1">
        <v>45185</v>
      </c>
      <c r="B2755" t="s">
        <v>10</v>
      </c>
      <c r="C2755" t="s">
        <v>11</v>
      </c>
      <c r="D2755" t="s">
        <v>12</v>
      </c>
      <c r="E2755" t="s">
        <v>37</v>
      </c>
      <c r="F2755" t="s">
        <v>34</v>
      </c>
      <c r="G2755" t="s">
        <v>35</v>
      </c>
      <c r="H2755">
        <v>5</v>
      </c>
      <c r="I2755">
        <v>535</v>
      </c>
      <c r="J2755">
        <v>43.47</v>
      </c>
    </row>
    <row r="2756" spans="1:10" x14ac:dyDescent="0.25">
      <c r="A2756" s="1">
        <v>44891</v>
      </c>
      <c r="B2756" t="s">
        <v>29</v>
      </c>
      <c r="C2756" t="s">
        <v>17</v>
      </c>
      <c r="D2756" t="s">
        <v>12</v>
      </c>
      <c r="E2756" t="s">
        <v>37</v>
      </c>
      <c r="F2756" t="s">
        <v>34</v>
      </c>
      <c r="G2756" t="s">
        <v>35</v>
      </c>
      <c r="H2756">
        <v>9</v>
      </c>
      <c r="I2756">
        <v>7992</v>
      </c>
      <c r="J2756">
        <v>1979.53</v>
      </c>
    </row>
    <row r="2757" spans="1:10" x14ac:dyDescent="0.25">
      <c r="A2757" s="1">
        <v>45477</v>
      </c>
      <c r="B2757" t="s">
        <v>16</v>
      </c>
      <c r="C2757" t="s">
        <v>17</v>
      </c>
      <c r="D2757" t="s">
        <v>12</v>
      </c>
      <c r="E2757" t="s">
        <v>38</v>
      </c>
      <c r="F2757" t="s">
        <v>39</v>
      </c>
      <c r="G2757" t="s">
        <v>35</v>
      </c>
      <c r="H2757">
        <v>7</v>
      </c>
      <c r="I2757">
        <v>3892</v>
      </c>
      <c r="J2757">
        <v>350.57</v>
      </c>
    </row>
    <row r="2758" spans="1:10" x14ac:dyDescent="0.25">
      <c r="A2758" s="1">
        <v>45348</v>
      </c>
      <c r="B2758" t="s">
        <v>18</v>
      </c>
      <c r="C2758" t="s">
        <v>19</v>
      </c>
      <c r="D2758" t="s">
        <v>12</v>
      </c>
      <c r="E2758" t="s">
        <v>38</v>
      </c>
      <c r="F2758" t="s">
        <v>39</v>
      </c>
      <c r="G2758" t="s">
        <v>35</v>
      </c>
      <c r="H2758">
        <v>3</v>
      </c>
      <c r="I2758">
        <v>2637</v>
      </c>
      <c r="J2758">
        <v>468.6</v>
      </c>
    </row>
    <row r="2759" spans="1:10" x14ac:dyDescent="0.25">
      <c r="A2759" s="1">
        <v>45334</v>
      </c>
      <c r="B2759" t="s">
        <v>16</v>
      </c>
      <c r="C2759" t="s">
        <v>17</v>
      </c>
      <c r="D2759" t="s">
        <v>12</v>
      </c>
      <c r="E2759" t="s">
        <v>41</v>
      </c>
      <c r="F2759" t="s">
        <v>42</v>
      </c>
      <c r="G2759" t="s">
        <v>28</v>
      </c>
      <c r="H2759">
        <v>8</v>
      </c>
      <c r="I2759">
        <v>8664</v>
      </c>
      <c r="J2759">
        <v>2349.6799999999998</v>
      </c>
    </row>
    <row r="2760" spans="1:10" x14ac:dyDescent="0.25">
      <c r="A2760" s="1">
        <v>45202</v>
      </c>
      <c r="B2760" t="s">
        <v>32</v>
      </c>
      <c r="C2760" t="s">
        <v>19</v>
      </c>
      <c r="D2760" t="s">
        <v>12</v>
      </c>
      <c r="E2760" t="s">
        <v>22</v>
      </c>
      <c r="F2760" t="s">
        <v>23</v>
      </c>
      <c r="G2760" t="s">
        <v>24</v>
      </c>
      <c r="H2760">
        <v>6</v>
      </c>
      <c r="I2760">
        <v>918</v>
      </c>
      <c r="J2760">
        <v>116.87</v>
      </c>
    </row>
    <row r="2761" spans="1:10" x14ac:dyDescent="0.25">
      <c r="A2761" s="1">
        <v>45308</v>
      </c>
      <c r="B2761" t="s">
        <v>36</v>
      </c>
      <c r="C2761" t="s">
        <v>17</v>
      </c>
      <c r="D2761" t="s">
        <v>12</v>
      </c>
      <c r="E2761" t="s">
        <v>43</v>
      </c>
      <c r="F2761" t="s">
        <v>44</v>
      </c>
      <c r="G2761" t="s">
        <v>35</v>
      </c>
      <c r="H2761">
        <v>5</v>
      </c>
      <c r="I2761">
        <v>5625</v>
      </c>
      <c r="J2761">
        <v>1006.95</v>
      </c>
    </row>
    <row r="2762" spans="1:10" x14ac:dyDescent="0.25">
      <c r="A2762" s="1">
        <v>45079</v>
      </c>
      <c r="B2762" t="s">
        <v>18</v>
      </c>
      <c r="C2762" t="s">
        <v>19</v>
      </c>
      <c r="D2762" t="s">
        <v>12</v>
      </c>
      <c r="E2762" t="s">
        <v>45</v>
      </c>
      <c r="F2762" t="s">
        <v>46</v>
      </c>
      <c r="G2762" t="s">
        <v>15</v>
      </c>
      <c r="H2762">
        <v>6</v>
      </c>
      <c r="I2762">
        <v>6030</v>
      </c>
      <c r="J2762">
        <v>511.7</v>
      </c>
    </row>
    <row r="2763" spans="1:10" x14ac:dyDescent="0.25">
      <c r="A2763" s="1">
        <v>44673</v>
      </c>
      <c r="B2763" t="s">
        <v>10</v>
      </c>
      <c r="C2763" t="s">
        <v>11</v>
      </c>
      <c r="D2763" t="s">
        <v>12</v>
      </c>
      <c r="E2763" t="s">
        <v>45</v>
      </c>
      <c r="F2763" t="s">
        <v>46</v>
      </c>
      <c r="G2763" t="s">
        <v>15</v>
      </c>
      <c r="H2763">
        <v>8</v>
      </c>
      <c r="I2763">
        <v>432</v>
      </c>
      <c r="J2763">
        <v>98.44</v>
      </c>
    </row>
    <row r="2764" spans="1:10" x14ac:dyDescent="0.25">
      <c r="A2764" s="1">
        <v>45343</v>
      </c>
      <c r="B2764" t="s">
        <v>55</v>
      </c>
      <c r="C2764" t="s">
        <v>19</v>
      </c>
      <c r="D2764" t="s">
        <v>12</v>
      </c>
      <c r="E2764" t="s">
        <v>37</v>
      </c>
      <c r="F2764" t="s">
        <v>34</v>
      </c>
      <c r="G2764" t="s">
        <v>35</v>
      </c>
      <c r="H2764">
        <v>6</v>
      </c>
      <c r="I2764">
        <v>1884</v>
      </c>
      <c r="J2764">
        <v>190.58</v>
      </c>
    </row>
    <row r="2765" spans="1:10" x14ac:dyDescent="0.25">
      <c r="A2765" s="1">
        <v>44978</v>
      </c>
      <c r="B2765" t="s">
        <v>55</v>
      </c>
      <c r="C2765" t="s">
        <v>19</v>
      </c>
      <c r="D2765" t="s">
        <v>12</v>
      </c>
      <c r="E2765" t="s">
        <v>37</v>
      </c>
      <c r="F2765" t="s">
        <v>34</v>
      </c>
      <c r="G2765" t="s">
        <v>35</v>
      </c>
      <c r="H2765">
        <v>9</v>
      </c>
      <c r="I2765">
        <v>9225</v>
      </c>
      <c r="J2765">
        <v>2526.27</v>
      </c>
    </row>
    <row r="2766" spans="1:10" x14ac:dyDescent="0.25">
      <c r="A2766" s="1">
        <v>44777</v>
      </c>
      <c r="B2766" t="s">
        <v>10</v>
      </c>
      <c r="C2766" t="s">
        <v>11</v>
      </c>
      <c r="D2766" t="s">
        <v>12</v>
      </c>
      <c r="E2766" t="s">
        <v>47</v>
      </c>
      <c r="F2766" t="s">
        <v>48</v>
      </c>
      <c r="G2766" t="s">
        <v>15</v>
      </c>
      <c r="H2766">
        <v>2</v>
      </c>
      <c r="I2766">
        <v>954</v>
      </c>
      <c r="J2766">
        <v>71</v>
      </c>
    </row>
    <row r="2767" spans="1:10" x14ac:dyDescent="0.25">
      <c r="A2767" s="1">
        <v>44964</v>
      </c>
      <c r="B2767" t="s">
        <v>32</v>
      </c>
      <c r="C2767" t="s">
        <v>19</v>
      </c>
      <c r="D2767" t="s">
        <v>12</v>
      </c>
      <c r="E2767" t="s">
        <v>50</v>
      </c>
      <c r="F2767" t="s">
        <v>51</v>
      </c>
      <c r="G2767" t="s">
        <v>35</v>
      </c>
      <c r="H2767">
        <v>8</v>
      </c>
      <c r="I2767">
        <v>7072</v>
      </c>
      <c r="J2767">
        <v>1983.42</v>
      </c>
    </row>
    <row r="2768" spans="1:10" x14ac:dyDescent="0.25">
      <c r="A2768" s="1">
        <v>45511</v>
      </c>
      <c r="B2768" t="s">
        <v>40</v>
      </c>
      <c r="C2768" t="s">
        <v>19</v>
      </c>
      <c r="D2768" t="s">
        <v>12</v>
      </c>
      <c r="E2768" t="s">
        <v>52</v>
      </c>
      <c r="F2768" t="s">
        <v>42</v>
      </c>
      <c r="G2768" t="s">
        <v>28</v>
      </c>
      <c r="H2768">
        <v>3</v>
      </c>
      <c r="I2768">
        <v>342</v>
      </c>
      <c r="J2768">
        <v>89.67</v>
      </c>
    </row>
    <row r="2769" spans="1:10" x14ac:dyDescent="0.25">
      <c r="A2769" s="1">
        <v>44962</v>
      </c>
      <c r="B2769" t="s">
        <v>10</v>
      </c>
      <c r="C2769" t="s">
        <v>11</v>
      </c>
      <c r="D2769" t="s">
        <v>12</v>
      </c>
      <c r="E2769" t="s">
        <v>53</v>
      </c>
      <c r="F2769" t="s">
        <v>54</v>
      </c>
      <c r="G2769" t="s">
        <v>24</v>
      </c>
      <c r="H2769">
        <v>4</v>
      </c>
      <c r="I2769">
        <v>2440</v>
      </c>
      <c r="J2769">
        <v>410.86</v>
      </c>
    </row>
    <row r="2770" spans="1:10" x14ac:dyDescent="0.25">
      <c r="A2770" s="1">
        <v>45313</v>
      </c>
      <c r="B2770" t="s">
        <v>16</v>
      </c>
      <c r="C2770" t="s">
        <v>17</v>
      </c>
      <c r="D2770" t="s">
        <v>12</v>
      </c>
      <c r="E2770" t="s">
        <v>52</v>
      </c>
      <c r="F2770" t="s">
        <v>42</v>
      </c>
      <c r="G2770" t="s">
        <v>28</v>
      </c>
      <c r="H2770">
        <v>5</v>
      </c>
      <c r="I2770">
        <v>510</v>
      </c>
      <c r="J2770">
        <v>82.47</v>
      </c>
    </row>
    <row r="2771" spans="1:10" x14ac:dyDescent="0.25">
      <c r="A2771" s="1">
        <v>45211</v>
      </c>
      <c r="B2771" t="s">
        <v>40</v>
      </c>
      <c r="C2771" t="s">
        <v>19</v>
      </c>
      <c r="D2771" t="s">
        <v>12</v>
      </c>
      <c r="E2771" t="s">
        <v>56</v>
      </c>
      <c r="F2771" t="s">
        <v>57</v>
      </c>
      <c r="G2771" t="s">
        <v>24</v>
      </c>
      <c r="H2771">
        <v>1</v>
      </c>
      <c r="I2771">
        <v>192</v>
      </c>
      <c r="J2771">
        <v>16.47</v>
      </c>
    </row>
    <row r="2772" spans="1:10" x14ac:dyDescent="0.25">
      <c r="A2772" s="1">
        <v>45195</v>
      </c>
      <c r="B2772" t="s">
        <v>16</v>
      </c>
      <c r="C2772" t="s">
        <v>17</v>
      </c>
      <c r="D2772" t="s">
        <v>12</v>
      </c>
      <c r="E2772" t="s">
        <v>58</v>
      </c>
      <c r="F2772" t="s">
        <v>59</v>
      </c>
      <c r="G2772" t="s">
        <v>28</v>
      </c>
      <c r="H2772">
        <v>5</v>
      </c>
      <c r="I2772">
        <v>3600</v>
      </c>
      <c r="J2772">
        <v>712.3</v>
      </c>
    </row>
    <row r="2773" spans="1:10" x14ac:dyDescent="0.25">
      <c r="A2773" s="1">
        <v>45444</v>
      </c>
      <c r="B2773" t="s">
        <v>25</v>
      </c>
      <c r="C2773" t="s">
        <v>19</v>
      </c>
      <c r="D2773" t="s">
        <v>12</v>
      </c>
      <c r="E2773" t="s">
        <v>37</v>
      </c>
      <c r="F2773" t="s">
        <v>34</v>
      </c>
      <c r="G2773" t="s">
        <v>35</v>
      </c>
      <c r="H2773">
        <v>7</v>
      </c>
      <c r="I2773">
        <v>2597</v>
      </c>
      <c r="J2773">
        <v>766.32</v>
      </c>
    </row>
    <row r="2774" spans="1:10" x14ac:dyDescent="0.25">
      <c r="A2774" s="1">
        <v>45150</v>
      </c>
      <c r="B2774" t="s">
        <v>25</v>
      </c>
      <c r="C2774" t="s">
        <v>19</v>
      </c>
      <c r="D2774" t="s">
        <v>12</v>
      </c>
      <c r="E2774" t="s">
        <v>60</v>
      </c>
      <c r="F2774" t="s">
        <v>44</v>
      </c>
      <c r="G2774" t="s">
        <v>35</v>
      </c>
      <c r="H2774">
        <v>4</v>
      </c>
      <c r="I2774">
        <v>772</v>
      </c>
      <c r="J2774">
        <v>215.62</v>
      </c>
    </row>
    <row r="2775" spans="1:10" x14ac:dyDescent="0.25">
      <c r="A2775" s="1">
        <v>45144</v>
      </c>
      <c r="B2775" t="s">
        <v>16</v>
      </c>
      <c r="C2775" t="s">
        <v>17</v>
      </c>
      <c r="D2775" t="s">
        <v>12</v>
      </c>
      <c r="E2775" t="s">
        <v>22</v>
      </c>
      <c r="F2775" t="s">
        <v>23</v>
      </c>
      <c r="G2775" t="s">
        <v>24</v>
      </c>
      <c r="H2775">
        <v>2</v>
      </c>
      <c r="I2775">
        <v>646</v>
      </c>
      <c r="J2775">
        <v>180.5</v>
      </c>
    </row>
    <row r="2776" spans="1:10" x14ac:dyDescent="0.25">
      <c r="A2776" s="1">
        <v>45380</v>
      </c>
      <c r="B2776" t="s">
        <v>40</v>
      </c>
      <c r="C2776" t="s">
        <v>19</v>
      </c>
      <c r="D2776" t="s">
        <v>12</v>
      </c>
      <c r="E2776" t="s">
        <v>22</v>
      </c>
      <c r="F2776" t="s">
        <v>23</v>
      </c>
      <c r="G2776" t="s">
        <v>24</v>
      </c>
      <c r="H2776">
        <v>7</v>
      </c>
      <c r="I2776">
        <v>2947</v>
      </c>
      <c r="J2776">
        <v>809.46</v>
      </c>
    </row>
    <row r="2777" spans="1:10" x14ac:dyDescent="0.25">
      <c r="A2777" s="1">
        <v>44978</v>
      </c>
      <c r="B2777" t="s">
        <v>55</v>
      </c>
      <c r="C2777" t="s">
        <v>19</v>
      </c>
      <c r="D2777" t="s">
        <v>12</v>
      </c>
      <c r="E2777" t="s">
        <v>61</v>
      </c>
      <c r="F2777" t="s">
        <v>23</v>
      </c>
      <c r="G2777" t="s">
        <v>24</v>
      </c>
      <c r="H2777">
        <v>5</v>
      </c>
      <c r="I2777">
        <v>880</v>
      </c>
      <c r="J2777">
        <v>255.9</v>
      </c>
    </row>
    <row r="2778" spans="1:10" x14ac:dyDescent="0.25">
      <c r="A2778" s="1">
        <v>44603</v>
      </c>
      <c r="B2778" t="s">
        <v>25</v>
      </c>
      <c r="C2778" t="s">
        <v>19</v>
      </c>
      <c r="D2778" t="s">
        <v>12</v>
      </c>
      <c r="E2778" t="s">
        <v>26</v>
      </c>
      <c r="F2778" t="s">
        <v>27</v>
      </c>
      <c r="G2778" t="s">
        <v>28</v>
      </c>
      <c r="H2778">
        <v>3</v>
      </c>
      <c r="I2778">
        <v>1038</v>
      </c>
      <c r="J2778">
        <v>219.69</v>
      </c>
    </row>
    <row r="2779" spans="1:10" x14ac:dyDescent="0.25">
      <c r="A2779" s="1">
        <v>45509</v>
      </c>
      <c r="B2779" t="s">
        <v>10</v>
      </c>
      <c r="C2779" t="s">
        <v>11</v>
      </c>
      <c r="D2779" t="s">
        <v>12</v>
      </c>
      <c r="E2779" t="s">
        <v>62</v>
      </c>
      <c r="F2779" t="s">
        <v>63</v>
      </c>
      <c r="G2779" t="s">
        <v>28</v>
      </c>
      <c r="H2779">
        <v>1</v>
      </c>
      <c r="I2779">
        <v>714</v>
      </c>
      <c r="J2779">
        <v>209.69</v>
      </c>
    </row>
    <row r="2780" spans="1:10" x14ac:dyDescent="0.25">
      <c r="A2780" s="1">
        <v>45142</v>
      </c>
      <c r="B2780" t="s">
        <v>55</v>
      </c>
      <c r="C2780" t="s">
        <v>19</v>
      </c>
      <c r="D2780" t="s">
        <v>12</v>
      </c>
      <c r="E2780" t="s">
        <v>64</v>
      </c>
      <c r="F2780" t="s">
        <v>65</v>
      </c>
      <c r="G2780" t="s">
        <v>35</v>
      </c>
      <c r="H2780">
        <v>4</v>
      </c>
      <c r="I2780">
        <v>1792</v>
      </c>
      <c r="J2780">
        <v>506.56</v>
      </c>
    </row>
    <row r="2781" spans="1:10" x14ac:dyDescent="0.25">
      <c r="A2781" s="1">
        <v>44794</v>
      </c>
      <c r="B2781" t="s">
        <v>29</v>
      </c>
      <c r="C2781" t="s">
        <v>17</v>
      </c>
      <c r="D2781" t="s">
        <v>12</v>
      </c>
      <c r="E2781" t="s">
        <v>56</v>
      </c>
      <c r="F2781" t="s">
        <v>57</v>
      </c>
      <c r="G2781" t="s">
        <v>24</v>
      </c>
      <c r="H2781">
        <v>6</v>
      </c>
      <c r="I2781">
        <v>5874</v>
      </c>
      <c r="J2781">
        <v>1386.51</v>
      </c>
    </row>
    <row r="2782" spans="1:10" x14ac:dyDescent="0.25">
      <c r="A2782" s="1">
        <v>45151</v>
      </c>
      <c r="B2782" t="s">
        <v>32</v>
      </c>
      <c r="C2782" t="s">
        <v>19</v>
      </c>
      <c r="D2782" t="s">
        <v>12</v>
      </c>
      <c r="E2782" t="s">
        <v>66</v>
      </c>
      <c r="F2782" t="s">
        <v>34</v>
      </c>
      <c r="G2782" t="s">
        <v>35</v>
      </c>
      <c r="H2782">
        <v>6</v>
      </c>
      <c r="I2782">
        <v>2496</v>
      </c>
      <c r="J2782">
        <v>332.08</v>
      </c>
    </row>
    <row r="2783" spans="1:10" x14ac:dyDescent="0.25">
      <c r="A2783" s="1">
        <v>45273</v>
      </c>
      <c r="B2783" t="s">
        <v>32</v>
      </c>
      <c r="C2783" t="s">
        <v>19</v>
      </c>
      <c r="D2783" t="s">
        <v>12</v>
      </c>
      <c r="E2783" t="s">
        <v>22</v>
      </c>
      <c r="F2783" t="s">
        <v>23</v>
      </c>
      <c r="G2783" t="s">
        <v>24</v>
      </c>
      <c r="H2783">
        <v>3</v>
      </c>
      <c r="I2783">
        <v>795</v>
      </c>
      <c r="J2783">
        <v>60.34</v>
      </c>
    </row>
    <row r="2784" spans="1:10" x14ac:dyDescent="0.25">
      <c r="A2784" s="1">
        <v>44952</v>
      </c>
      <c r="B2784" t="s">
        <v>40</v>
      </c>
      <c r="C2784" t="s">
        <v>19</v>
      </c>
      <c r="D2784" t="s">
        <v>12</v>
      </c>
      <c r="E2784" t="s">
        <v>62</v>
      </c>
      <c r="F2784" t="s">
        <v>63</v>
      </c>
      <c r="G2784" t="s">
        <v>28</v>
      </c>
      <c r="H2784">
        <v>7</v>
      </c>
      <c r="I2784">
        <v>7238</v>
      </c>
      <c r="J2784">
        <v>1597.03</v>
      </c>
    </row>
    <row r="2785" spans="1:10" x14ac:dyDescent="0.25">
      <c r="A2785" s="1">
        <v>45165</v>
      </c>
      <c r="B2785" t="s">
        <v>18</v>
      </c>
      <c r="C2785" t="s">
        <v>19</v>
      </c>
      <c r="D2785" t="s">
        <v>12</v>
      </c>
      <c r="E2785" t="s">
        <v>52</v>
      </c>
      <c r="F2785" t="s">
        <v>42</v>
      </c>
      <c r="G2785" t="s">
        <v>28</v>
      </c>
      <c r="H2785">
        <v>1</v>
      </c>
      <c r="I2785">
        <v>430</v>
      </c>
      <c r="J2785">
        <v>83.33</v>
      </c>
    </row>
    <row r="2786" spans="1:10" x14ac:dyDescent="0.25">
      <c r="A2786" s="1">
        <v>44571</v>
      </c>
      <c r="B2786" t="s">
        <v>29</v>
      </c>
      <c r="C2786" t="s">
        <v>17</v>
      </c>
      <c r="D2786" t="s">
        <v>12</v>
      </c>
      <c r="E2786" t="s">
        <v>52</v>
      </c>
      <c r="F2786" t="s">
        <v>42</v>
      </c>
      <c r="G2786" t="s">
        <v>28</v>
      </c>
      <c r="H2786">
        <v>4</v>
      </c>
      <c r="I2786">
        <v>1728</v>
      </c>
      <c r="J2786">
        <v>239.64</v>
      </c>
    </row>
    <row r="2787" spans="1:10" x14ac:dyDescent="0.25">
      <c r="A2787" s="1">
        <v>44658</v>
      </c>
      <c r="B2787" t="s">
        <v>36</v>
      </c>
      <c r="C2787" t="s">
        <v>17</v>
      </c>
      <c r="D2787" t="s">
        <v>12</v>
      </c>
      <c r="E2787" t="s">
        <v>67</v>
      </c>
      <c r="F2787" t="s">
        <v>54</v>
      </c>
      <c r="G2787" t="s">
        <v>24</v>
      </c>
      <c r="H2787">
        <v>3</v>
      </c>
      <c r="I2787">
        <v>1833</v>
      </c>
      <c r="J2787">
        <v>314.79000000000002</v>
      </c>
    </row>
    <row r="2788" spans="1:10" x14ac:dyDescent="0.25">
      <c r="A2788" s="1">
        <v>45222</v>
      </c>
      <c r="B2788" t="s">
        <v>36</v>
      </c>
      <c r="C2788" t="s">
        <v>17</v>
      </c>
      <c r="D2788" t="s">
        <v>12</v>
      </c>
      <c r="E2788" t="s">
        <v>64</v>
      </c>
      <c r="F2788" t="s">
        <v>46</v>
      </c>
      <c r="G2788" t="s">
        <v>15</v>
      </c>
      <c r="H2788">
        <v>7</v>
      </c>
      <c r="I2788">
        <v>7280</v>
      </c>
      <c r="J2788">
        <v>1682.79</v>
      </c>
    </row>
    <row r="2789" spans="1:10" x14ac:dyDescent="0.25">
      <c r="A2789" s="1">
        <v>45352</v>
      </c>
      <c r="B2789" t="s">
        <v>32</v>
      </c>
      <c r="C2789" t="s">
        <v>19</v>
      </c>
      <c r="D2789" t="s">
        <v>12</v>
      </c>
      <c r="E2789" t="s">
        <v>68</v>
      </c>
      <c r="F2789" t="s">
        <v>63</v>
      </c>
      <c r="G2789" t="s">
        <v>28</v>
      </c>
      <c r="H2789">
        <v>1</v>
      </c>
      <c r="I2789">
        <v>814</v>
      </c>
      <c r="J2789">
        <v>197.91</v>
      </c>
    </row>
    <row r="2790" spans="1:10" x14ac:dyDescent="0.25">
      <c r="A2790" s="1">
        <v>44991</v>
      </c>
      <c r="B2790" t="s">
        <v>10</v>
      </c>
      <c r="C2790" t="s">
        <v>11</v>
      </c>
      <c r="D2790" t="s">
        <v>12</v>
      </c>
      <c r="E2790" t="s">
        <v>69</v>
      </c>
      <c r="F2790" t="s">
        <v>63</v>
      </c>
      <c r="G2790" t="s">
        <v>28</v>
      </c>
      <c r="H2790">
        <v>8</v>
      </c>
      <c r="I2790">
        <v>4696</v>
      </c>
      <c r="J2790">
        <v>410.03</v>
      </c>
    </row>
    <row r="2791" spans="1:10" x14ac:dyDescent="0.25">
      <c r="A2791" s="1">
        <v>45134</v>
      </c>
      <c r="B2791" t="s">
        <v>16</v>
      </c>
      <c r="C2791" t="s">
        <v>17</v>
      </c>
      <c r="D2791" t="s">
        <v>12</v>
      </c>
      <c r="E2791" t="s">
        <v>70</v>
      </c>
      <c r="F2791" t="s">
        <v>71</v>
      </c>
      <c r="G2791" t="s">
        <v>35</v>
      </c>
      <c r="H2791">
        <v>5</v>
      </c>
      <c r="I2791">
        <v>1190</v>
      </c>
      <c r="J2791">
        <v>235.64</v>
      </c>
    </row>
    <row r="2792" spans="1:10" x14ac:dyDescent="0.25">
      <c r="A2792" s="1">
        <v>45307</v>
      </c>
      <c r="B2792" t="s">
        <v>10</v>
      </c>
      <c r="C2792" t="s">
        <v>11</v>
      </c>
      <c r="D2792" t="s">
        <v>12</v>
      </c>
      <c r="E2792" t="s">
        <v>47</v>
      </c>
      <c r="F2792" t="s">
        <v>46</v>
      </c>
      <c r="G2792" t="s">
        <v>15</v>
      </c>
      <c r="H2792">
        <v>1</v>
      </c>
      <c r="I2792">
        <v>591</v>
      </c>
      <c r="J2792">
        <v>39.06</v>
      </c>
    </row>
    <row r="2793" spans="1:10" x14ac:dyDescent="0.25">
      <c r="A2793" s="1">
        <v>45259</v>
      </c>
      <c r="B2793" t="s">
        <v>16</v>
      </c>
      <c r="C2793" t="s">
        <v>17</v>
      </c>
      <c r="D2793" t="s">
        <v>12</v>
      </c>
      <c r="E2793" t="s">
        <v>47</v>
      </c>
      <c r="F2793" t="s">
        <v>46</v>
      </c>
      <c r="G2793" t="s">
        <v>15</v>
      </c>
      <c r="H2793">
        <v>9</v>
      </c>
      <c r="I2793">
        <v>8100</v>
      </c>
      <c r="J2793">
        <v>2203.56</v>
      </c>
    </row>
    <row r="2794" spans="1:10" x14ac:dyDescent="0.25">
      <c r="A2794" s="1">
        <v>45388</v>
      </c>
      <c r="B2794" t="s">
        <v>55</v>
      </c>
      <c r="C2794" t="s">
        <v>19</v>
      </c>
      <c r="D2794" t="s">
        <v>12</v>
      </c>
      <c r="E2794" t="s">
        <v>72</v>
      </c>
      <c r="F2794" t="s">
        <v>21</v>
      </c>
      <c r="G2794" t="s">
        <v>15</v>
      </c>
      <c r="H2794">
        <v>6</v>
      </c>
      <c r="I2794">
        <v>1500</v>
      </c>
      <c r="J2794">
        <v>183.31</v>
      </c>
    </row>
    <row r="2795" spans="1:10" x14ac:dyDescent="0.25">
      <c r="A2795" s="1">
        <v>45499</v>
      </c>
      <c r="B2795" t="s">
        <v>32</v>
      </c>
      <c r="C2795" t="s">
        <v>19</v>
      </c>
      <c r="D2795" t="s">
        <v>12</v>
      </c>
      <c r="E2795" t="s">
        <v>72</v>
      </c>
      <c r="F2795" t="s">
        <v>21</v>
      </c>
      <c r="G2795" t="s">
        <v>15</v>
      </c>
      <c r="H2795">
        <v>2</v>
      </c>
      <c r="I2795">
        <v>300</v>
      </c>
      <c r="J2795">
        <v>48.69</v>
      </c>
    </row>
    <row r="2796" spans="1:10" x14ac:dyDescent="0.25">
      <c r="A2796" s="1">
        <v>45077</v>
      </c>
      <c r="B2796" t="s">
        <v>32</v>
      </c>
      <c r="C2796" t="s">
        <v>19</v>
      </c>
      <c r="D2796" t="s">
        <v>12</v>
      </c>
      <c r="E2796" t="s">
        <v>72</v>
      </c>
      <c r="F2796" t="s">
        <v>21</v>
      </c>
      <c r="G2796" t="s">
        <v>15</v>
      </c>
      <c r="H2796">
        <v>9</v>
      </c>
      <c r="I2796">
        <v>1098</v>
      </c>
      <c r="J2796">
        <v>106.97</v>
      </c>
    </row>
    <row r="2797" spans="1:10" x14ac:dyDescent="0.25">
      <c r="A2797" s="1">
        <v>45440</v>
      </c>
      <c r="B2797" t="s">
        <v>36</v>
      </c>
      <c r="C2797" t="s">
        <v>17</v>
      </c>
      <c r="D2797" t="s">
        <v>12</v>
      </c>
      <c r="E2797" t="s">
        <v>43</v>
      </c>
      <c r="F2797" t="s">
        <v>44</v>
      </c>
      <c r="G2797" t="s">
        <v>35</v>
      </c>
      <c r="H2797">
        <v>4</v>
      </c>
      <c r="I2797">
        <v>2336</v>
      </c>
      <c r="J2797">
        <v>509.49</v>
      </c>
    </row>
    <row r="2798" spans="1:10" x14ac:dyDescent="0.25">
      <c r="A2798" s="1">
        <v>44839</v>
      </c>
      <c r="B2798" t="s">
        <v>25</v>
      </c>
      <c r="C2798" t="s">
        <v>19</v>
      </c>
      <c r="D2798" t="s">
        <v>12</v>
      </c>
      <c r="E2798" t="s">
        <v>43</v>
      </c>
      <c r="F2798" t="s">
        <v>44</v>
      </c>
      <c r="G2798" t="s">
        <v>35</v>
      </c>
      <c r="H2798">
        <v>5</v>
      </c>
      <c r="I2798">
        <v>410</v>
      </c>
      <c r="J2798">
        <v>40.96</v>
      </c>
    </row>
    <row r="2799" spans="1:10" x14ac:dyDescent="0.25">
      <c r="A2799" s="1">
        <v>45208</v>
      </c>
      <c r="B2799" t="s">
        <v>16</v>
      </c>
      <c r="C2799" t="s">
        <v>17</v>
      </c>
      <c r="D2799" t="s">
        <v>12</v>
      </c>
      <c r="E2799" t="s">
        <v>43</v>
      </c>
      <c r="F2799" t="s">
        <v>44</v>
      </c>
      <c r="G2799" t="s">
        <v>35</v>
      </c>
      <c r="H2799">
        <v>9</v>
      </c>
      <c r="I2799">
        <v>594</v>
      </c>
      <c r="J2799">
        <v>51.49</v>
      </c>
    </row>
    <row r="2800" spans="1:10" x14ac:dyDescent="0.25">
      <c r="A2800" s="1">
        <v>45189</v>
      </c>
      <c r="B2800" t="s">
        <v>32</v>
      </c>
      <c r="C2800" t="s">
        <v>19</v>
      </c>
      <c r="D2800" t="s">
        <v>12</v>
      </c>
      <c r="E2800" t="s">
        <v>43</v>
      </c>
      <c r="F2800" t="s">
        <v>44</v>
      </c>
      <c r="G2800" t="s">
        <v>35</v>
      </c>
      <c r="H2800">
        <v>2</v>
      </c>
      <c r="I2800">
        <v>218</v>
      </c>
      <c r="J2800">
        <v>38.93</v>
      </c>
    </row>
    <row r="2801" spans="1:10" x14ac:dyDescent="0.25">
      <c r="A2801" s="1">
        <v>45010</v>
      </c>
      <c r="B2801" t="s">
        <v>18</v>
      </c>
      <c r="C2801" t="s">
        <v>19</v>
      </c>
      <c r="D2801" t="s">
        <v>12</v>
      </c>
      <c r="E2801" t="s">
        <v>73</v>
      </c>
      <c r="F2801" t="s">
        <v>51</v>
      </c>
      <c r="G2801" t="s">
        <v>35</v>
      </c>
      <c r="H2801">
        <v>2</v>
      </c>
      <c r="I2801">
        <v>1298</v>
      </c>
      <c r="J2801">
        <v>123.9</v>
      </c>
    </row>
    <row r="2802" spans="1:10" x14ac:dyDescent="0.25">
      <c r="A2802" s="1">
        <v>45379</v>
      </c>
      <c r="B2802" t="s">
        <v>18</v>
      </c>
      <c r="C2802" t="s">
        <v>19</v>
      </c>
      <c r="D2802" t="s">
        <v>12</v>
      </c>
      <c r="E2802" t="s">
        <v>74</v>
      </c>
      <c r="F2802" t="s">
        <v>23</v>
      </c>
      <c r="G2802" t="s">
        <v>24</v>
      </c>
      <c r="H2802">
        <v>5</v>
      </c>
      <c r="I2802">
        <v>895</v>
      </c>
      <c r="J2802">
        <v>180.64</v>
      </c>
    </row>
    <row r="2803" spans="1:10" x14ac:dyDescent="0.25">
      <c r="A2803" s="1">
        <v>45138</v>
      </c>
      <c r="B2803" t="s">
        <v>49</v>
      </c>
      <c r="C2803" t="s">
        <v>17</v>
      </c>
      <c r="D2803" t="s">
        <v>12</v>
      </c>
      <c r="E2803" t="s">
        <v>43</v>
      </c>
      <c r="F2803" t="s">
        <v>44</v>
      </c>
      <c r="G2803" t="s">
        <v>35</v>
      </c>
      <c r="H2803">
        <v>4</v>
      </c>
      <c r="I2803">
        <v>2828</v>
      </c>
      <c r="J2803">
        <v>539.42999999999995</v>
      </c>
    </row>
    <row r="2804" spans="1:10" x14ac:dyDescent="0.25">
      <c r="A2804" s="1">
        <v>45245</v>
      </c>
      <c r="B2804" t="s">
        <v>18</v>
      </c>
      <c r="C2804" t="s">
        <v>19</v>
      </c>
      <c r="D2804" t="s">
        <v>12</v>
      </c>
      <c r="E2804" t="s">
        <v>74</v>
      </c>
      <c r="F2804" t="s">
        <v>23</v>
      </c>
      <c r="G2804" t="s">
        <v>24</v>
      </c>
      <c r="H2804">
        <v>3</v>
      </c>
      <c r="I2804">
        <v>813</v>
      </c>
      <c r="J2804">
        <v>188.94</v>
      </c>
    </row>
    <row r="2805" spans="1:10" x14ac:dyDescent="0.25">
      <c r="A2805" s="1">
        <v>45462</v>
      </c>
      <c r="B2805" t="s">
        <v>36</v>
      </c>
      <c r="C2805" t="s">
        <v>17</v>
      </c>
      <c r="D2805" t="s">
        <v>12</v>
      </c>
      <c r="E2805" t="s">
        <v>22</v>
      </c>
      <c r="F2805" t="s">
        <v>23</v>
      </c>
      <c r="G2805" t="s">
        <v>24</v>
      </c>
      <c r="H2805">
        <v>4</v>
      </c>
      <c r="I2805">
        <v>1800</v>
      </c>
      <c r="J2805">
        <v>170.19</v>
      </c>
    </row>
    <row r="2806" spans="1:10" x14ac:dyDescent="0.25">
      <c r="A2806" s="1">
        <v>45497</v>
      </c>
      <c r="B2806" t="s">
        <v>18</v>
      </c>
      <c r="C2806" t="s">
        <v>19</v>
      </c>
      <c r="D2806" t="s">
        <v>12</v>
      </c>
      <c r="E2806" t="s">
        <v>75</v>
      </c>
      <c r="F2806" t="s">
        <v>63</v>
      </c>
      <c r="G2806" t="s">
        <v>28</v>
      </c>
      <c r="H2806">
        <v>1</v>
      </c>
      <c r="I2806">
        <v>99</v>
      </c>
      <c r="J2806">
        <v>12.79</v>
      </c>
    </row>
    <row r="2807" spans="1:10" x14ac:dyDescent="0.25">
      <c r="A2807" s="1">
        <v>44819</v>
      </c>
      <c r="B2807" t="s">
        <v>29</v>
      </c>
      <c r="C2807" t="s">
        <v>17</v>
      </c>
      <c r="D2807" t="s">
        <v>12</v>
      </c>
      <c r="E2807" t="s">
        <v>76</v>
      </c>
      <c r="F2807" t="s">
        <v>54</v>
      </c>
      <c r="G2807" t="s">
        <v>24</v>
      </c>
      <c r="H2807">
        <v>8</v>
      </c>
      <c r="I2807">
        <v>7576</v>
      </c>
      <c r="J2807">
        <v>1703.42</v>
      </c>
    </row>
    <row r="2808" spans="1:10" x14ac:dyDescent="0.25">
      <c r="A2808" s="1">
        <v>45315</v>
      </c>
      <c r="B2808" t="s">
        <v>32</v>
      </c>
      <c r="C2808" t="s">
        <v>19</v>
      </c>
      <c r="D2808" t="s">
        <v>12</v>
      </c>
      <c r="E2808" t="s">
        <v>76</v>
      </c>
      <c r="F2808" t="s">
        <v>54</v>
      </c>
      <c r="G2808" t="s">
        <v>24</v>
      </c>
      <c r="H2808">
        <v>3</v>
      </c>
      <c r="I2808">
        <v>1317</v>
      </c>
      <c r="J2808">
        <v>71.02</v>
      </c>
    </row>
    <row r="2809" spans="1:10" x14ac:dyDescent="0.25">
      <c r="A2809" s="1">
        <v>45372</v>
      </c>
      <c r="B2809" t="s">
        <v>32</v>
      </c>
      <c r="C2809" t="s">
        <v>19</v>
      </c>
      <c r="D2809" t="s">
        <v>12</v>
      </c>
      <c r="E2809" t="s">
        <v>76</v>
      </c>
      <c r="F2809" t="s">
        <v>54</v>
      </c>
      <c r="G2809" t="s">
        <v>24</v>
      </c>
      <c r="H2809">
        <v>3</v>
      </c>
      <c r="I2809">
        <v>957</v>
      </c>
      <c r="J2809">
        <v>120.27</v>
      </c>
    </row>
    <row r="2810" spans="1:10" x14ac:dyDescent="0.25">
      <c r="A2810" s="1">
        <v>44578</v>
      </c>
      <c r="B2810" t="s">
        <v>16</v>
      </c>
      <c r="C2810" t="s">
        <v>17</v>
      </c>
      <c r="D2810" t="s">
        <v>12</v>
      </c>
      <c r="E2810" t="s">
        <v>77</v>
      </c>
      <c r="F2810" t="s">
        <v>78</v>
      </c>
      <c r="G2810" t="s">
        <v>28</v>
      </c>
      <c r="H2810">
        <v>4</v>
      </c>
      <c r="I2810">
        <v>1316</v>
      </c>
      <c r="J2810">
        <v>244.13</v>
      </c>
    </row>
    <row r="2811" spans="1:10" x14ac:dyDescent="0.25">
      <c r="A2811" s="1">
        <v>45646</v>
      </c>
      <c r="B2811" t="s">
        <v>29</v>
      </c>
      <c r="C2811" t="s">
        <v>17</v>
      </c>
      <c r="D2811" t="s">
        <v>12</v>
      </c>
      <c r="E2811" t="s">
        <v>43</v>
      </c>
      <c r="F2811" t="s">
        <v>44</v>
      </c>
      <c r="G2811" t="s">
        <v>35</v>
      </c>
      <c r="H2811">
        <v>6</v>
      </c>
      <c r="I2811">
        <v>5346</v>
      </c>
      <c r="J2811">
        <v>351.93</v>
      </c>
    </row>
    <row r="2812" spans="1:10" x14ac:dyDescent="0.25">
      <c r="A2812" s="1">
        <v>44992</v>
      </c>
      <c r="B2812" t="s">
        <v>40</v>
      </c>
      <c r="C2812" t="s">
        <v>19</v>
      </c>
      <c r="D2812" t="s">
        <v>12</v>
      </c>
      <c r="E2812" t="s">
        <v>52</v>
      </c>
      <c r="F2812" t="s">
        <v>42</v>
      </c>
      <c r="G2812" t="s">
        <v>28</v>
      </c>
      <c r="H2812">
        <v>1</v>
      </c>
      <c r="I2812">
        <v>464</v>
      </c>
      <c r="J2812">
        <v>66.260000000000005</v>
      </c>
    </row>
    <row r="2813" spans="1:10" x14ac:dyDescent="0.25">
      <c r="A2813" s="1">
        <v>44832</v>
      </c>
      <c r="B2813" t="s">
        <v>49</v>
      </c>
      <c r="C2813" t="s">
        <v>17</v>
      </c>
      <c r="D2813" t="s">
        <v>12</v>
      </c>
      <c r="E2813" t="s">
        <v>79</v>
      </c>
      <c r="F2813" t="s">
        <v>54</v>
      </c>
      <c r="G2813" t="s">
        <v>24</v>
      </c>
      <c r="H2813">
        <v>7</v>
      </c>
      <c r="I2813">
        <v>3752</v>
      </c>
      <c r="J2813">
        <v>835.34</v>
      </c>
    </row>
    <row r="2814" spans="1:10" x14ac:dyDescent="0.25">
      <c r="A2814" s="1">
        <v>45474</v>
      </c>
      <c r="B2814" t="s">
        <v>49</v>
      </c>
      <c r="C2814" t="s">
        <v>17</v>
      </c>
      <c r="D2814" t="s">
        <v>12</v>
      </c>
      <c r="E2814" t="s">
        <v>79</v>
      </c>
      <c r="F2814" t="s">
        <v>54</v>
      </c>
      <c r="G2814" t="s">
        <v>24</v>
      </c>
      <c r="H2814">
        <v>6</v>
      </c>
      <c r="I2814">
        <v>1962</v>
      </c>
      <c r="J2814">
        <v>301.57</v>
      </c>
    </row>
    <row r="2815" spans="1:10" x14ac:dyDescent="0.25">
      <c r="A2815" s="1">
        <v>45623</v>
      </c>
      <c r="B2815" t="s">
        <v>40</v>
      </c>
      <c r="C2815" t="s">
        <v>19</v>
      </c>
      <c r="D2815" t="s">
        <v>12</v>
      </c>
      <c r="E2815" t="s">
        <v>79</v>
      </c>
      <c r="F2815" t="s">
        <v>54</v>
      </c>
      <c r="G2815" t="s">
        <v>24</v>
      </c>
      <c r="H2815">
        <v>6</v>
      </c>
      <c r="I2815">
        <v>2310</v>
      </c>
      <c r="J2815">
        <v>202.98</v>
      </c>
    </row>
    <row r="2816" spans="1:10" x14ac:dyDescent="0.25">
      <c r="A2816" s="1">
        <v>44986</v>
      </c>
      <c r="B2816" t="s">
        <v>18</v>
      </c>
      <c r="C2816" t="s">
        <v>19</v>
      </c>
      <c r="D2816" t="s">
        <v>12</v>
      </c>
      <c r="E2816" t="s">
        <v>80</v>
      </c>
      <c r="F2816" t="s">
        <v>78</v>
      </c>
      <c r="G2816" t="s">
        <v>28</v>
      </c>
      <c r="H2816">
        <v>4</v>
      </c>
      <c r="I2816">
        <v>3028</v>
      </c>
      <c r="J2816">
        <v>685.23</v>
      </c>
    </row>
    <row r="2817" spans="1:10" x14ac:dyDescent="0.25">
      <c r="A2817" s="1">
        <v>45129</v>
      </c>
      <c r="B2817" t="s">
        <v>36</v>
      </c>
      <c r="C2817" t="s">
        <v>17</v>
      </c>
      <c r="D2817" t="s">
        <v>12</v>
      </c>
      <c r="E2817" t="s">
        <v>52</v>
      </c>
      <c r="F2817" t="s">
        <v>42</v>
      </c>
      <c r="G2817" t="s">
        <v>28</v>
      </c>
      <c r="H2817">
        <v>3</v>
      </c>
      <c r="I2817">
        <v>2994</v>
      </c>
      <c r="J2817">
        <v>877.92</v>
      </c>
    </row>
    <row r="2818" spans="1:10" x14ac:dyDescent="0.25">
      <c r="A2818" s="1">
        <v>45461</v>
      </c>
      <c r="B2818" t="s">
        <v>18</v>
      </c>
      <c r="C2818" t="s">
        <v>19</v>
      </c>
      <c r="D2818" t="s">
        <v>12</v>
      </c>
      <c r="E2818" t="s">
        <v>81</v>
      </c>
      <c r="F2818" t="s">
        <v>46</v>
      </c>
      <c r="G2818" t="s">
        <v>15</v>
      </c>
      <c r="H2818">
        <v>3</v>
      </c>
      <c r="I2818">
        <v>3393</v>
      </c>
      <c r="J2818">
        <v>313.45</v>
      </c>
    </row>
    <row r="2819" spans="1:10" x14ac:dyDescent="0.25">
      <c r="A2819" s="1">
        <v>45604</v>
      </c>
      <c r="B2819" t="s">
        <v>25</v>
      </c>
      <c r="C2819" t="s">
        <v>19</v>
      </c>
      <c r="D2819" t="s">
        <v>12</v>
      </c>
      <c r="E2819" t="s">
        <v>26</v>
      </c>
      <c r="F2819" t="s">
        <v>27</v>
      </c>
      <c r="G2819" t="s">
        <v>28</v>
      </c>
      <c r="H2819">
        <v>3</v>
      </c>
      <c r="I2819">
        <v>1209</v>
      </c>
      <c r="J2819">
        <v>320.61</v>
      </c>
    </row>
    <row r="2820" spans="1:10" x14ac:dyDescent="0.25">
      <c r="A2820" s="1">
        <v>44883</v>
      </c>
      <c r="B2820" t="s">
        <v>49</v>
      </c>
      <c r="C2820" t="s">
        <v>17</v>
      </c>
      <c r="D2820" t="s">
        <v>12</v>
      </c>
      <c r="E2820" t="s">
        <v>74</v>
      </c>
      <c r="F2820" t="s">
        <v>23</v>
      </c>
      <c r="G2820" t="s">
        <v>24</v>
      </c>
      <c r="H2820">
        <v>8</v>
      </c>
      <c r="I2820">
        <v>5784</v>
      </c>
      <c r="J2820">
        <v>1276.57</v>
      </c>
    </row>
    <row r="2821" spans="1:10" x14ac:dyDescent="0.25">
      <c r="A2821" s="1">
        <v>44630</v>
      </c>
      <c r="B2821" t="s">
        <v>55</v>
      </c>
      <c r="C2821" t="s">
        <v>19</v>
      </c>
      <c r="D2821" t="s">
        <v>12</v>
      </c>
      <c r="E2821" t="s">
        <v>52</v>
      </c>
      <c r="F2821" t="s">
        <v>42</v>
      </c>
      <c r="G2821" t="s">
        <v>28</v>
      </c>
      <c r="H2821">
        <v>9</v>
      </c>
      <c r="I2821">
        <v>3078</v>
      </c>
      <c r="J2821">
        <v>285.05</v>
      </c>
    </row>
    <row r="2822" spans="1:10" x14ac:dyDescent="0.25">
      <c r="A2822" s="1">
        <v>45309</v>
      </c>
      <c r="B2822" t="s">
        <v>10</v>
      </c>
      <c r="C2822" t="s">
        <v>11</v>
      </c>
      <c r="D2822" t="s">
        <v>12</v>
      </c>
      <c r="E2822" t="s">
        <v>52</v>
      </c>
      <c r="F2822" t="s">
        <v>42</v>
      </c>
      <c r="G2822" t="s">
        <v>28</v>
      </c>
      <c r="H2822">
        <v>4</v>
      </c>
      <c r="I2822">
        <v>2464</v>
      </c>
      <c r="J2822">
        <v>602.29999999999995</v>
      </c>
    </row>
    <row r="2823" spans="1:10" x14ac:dyDescent="0.25">
      <c r="A2823" s="1">
        <v>45640</v>
      </c>
      <c r="B2823" t="s">
        <v>25</v>
      </c>
      <c r="C2823" t="s">
        <v>19</v>
      </c>
      <c r="D2823" t="s">
        <v>12</v>
      </c>
      <c r="E2823" t="s">
        <v>52</v>
      </c>
      <c r="F2823" t="s">
        <v>42</v>
      </c>
      <c r="G2823" t="s">
        <v>28</v>
      </c>
      <c r="H2823">
        <v>5</v>
      </c>
      <c r="I2823">
        <v>2445</v>
      </c>
      <c r="J2823">
        <v>146.6</v>
      </c>
    </row>
    <row r="2824" spans="1:10" x14ac:dyDescent="0.25">
      <c r="A2824" s="1">
        <v>44981</v>
      </c>
      <c r="B2824" t="s">
        <v>49</v>
      </c>
      <c r="C2824" t="s">
        <v>17</v>
      </c>
      <c r="D2824" t="s">
        <v>12</v>
      </c>
      <c r="E2824" t="s">
        <v>82</v>
      </c>
      <c r="F2824" t="s">
        <v>83</v>
      </c>
      <c r="G2824" t="s">
        <v>28</v>
      </c>
      <c r="H2824">
        <v>8</v>
      </c>
      <c r="I2824">
        <v>5312</v>
      </c>
      <c r="J2824">
        <v>841.13</v>
      </c>
    </row>
    <row r="2825" spans="1:10" x14ac:dyDescent="0.25">
      <c r="A2825" s="1">
        <v>44651</v>
      </c>
      <c r="B2825" t="s">
        <v>49</v>
      </c>
      <c r="C2825" t="s">
        <v>17</v>
      </c>
      <c r="D2825" t="s">
        <v>12</v>
      </c>
      <c r="E2825" t="s">
        <v>64</v>
      </c>
      <c r="F2825" t="s">
        <v>84</v>
      </c>
      <c r="G2825" t="s">
        <v>28</v>
      </c>
      <c r="H2825">
        <v>1</v>
      </c>
      <c r="I2825">
        <v>657</v>
      </c>
      <c r="J2825">
        <v>101.85</v>
      </c>
    </row>
    <row r="2826" spans="1:10" x14ac:dyDescent="0.25">
      <c r="A2826" s="1">
        <v>45429</v>
      </c>
      <c r="B2826" t="s">
        <v>49</v>
      </c>
      <c r="C2826" t="s">
        <v>17</v>
      </c>
      <c r="D2826" t="s">
        <v>12</v>
      </c>
      <c r="E2826" t="s">
        <v>85</v>
      </c>
      <c r="F2826" t="s">
        <v>21</v>
      </c>
      <c r="G2826" t="s">
        <v>15</v>
      </c>
      <c r="H2826">
        <v>3</v>
      </c>
      <c r="I2826">
        <v>2580</v>
      </c>
      <c r="J2826">
        <v>173.89</v>
      </c>
    </row>
    <row r="2827" spans="1:10" x14ac:dyDescent="0.25">
      <c r="A2827" s="1">
        <v>44839</v>
      </c>
      <c r="B2827" t="s">
        <v>55</v>
      </c>
      <c r="C2827" t="s">
        <v>19</v>
      </c>
      <c r="D2827" t="s">
        <v>12</v>
      </c>
      <c r="E2827" t="s">
        <v>26</v>
      </c>
      <c r="F2827" t="s">
        <v>27</v>
      </c>
      <c r="G2827" t="s">
        <v>28</v>
      </c>
      <c r="H2827">
        <v>8</v>
      </c>
      <c r="I2827">
        <v>4624</v>
      </c>
      <c r="J2827">
        <v>893.74</v>
      </c>
    </row>
    <row r="2828" spans="1:10" x14ac:dyDescent="0.25">
      <c r="A2828" s="1">
        <v>45252</v>
      </c>
      <c r="B2828" t="s">
        <v>32</v>
      </c>
      <c r="C2828" t="s">
        <v>19</v>
      </c>
      <c r="D2828" t="s">
        <v>12</v>
      </c>
      <c r="E2828" t="s">
        <v>37</v>
      </c>
      <c r="F2828" t="s">
        <v>34</v>
      </c>
      <c r="G2828" t="s">
        <v>35</v>
      </c>
      <c r="H2828">
        <v>2</v>
      </c>
      <c r="I2828">
        <v>1258</v>
      </c>
      <c r="J2828">
        <v>146.69999999999999</v>
      </c>
    </row>
    <row r="2829" spans="1:10" x14ac:dyDescent="0.25">
      <c r="A2829" s="1">
        <v>45501</v>
      </c>
      <c r="B2829" t="s">
        <v>25</v>
      </c>
      <c r="C2829" t="s">
        <v>19</v>
      </c>
      <c r="D2829" t="s">
        <v>12</v>
      </c>
      <c r="E2829" t="s">
        <v>74</v>
      </c>
      <c r="F2829" t="s">
        <v>23</v>
      </c>
      <c r="G2829" t="s">
        <v>24</v>
      </c>
      <c r="H2829">
        <v>7</v>
      </c>
      <c r="I2829">
        <v>6468</v>
      </c>
      <c r="J2829">
        <v>398.23</v>
      </c>
    </row>
    <row r="2830" spans="1:10" x14ac:dyDescent="0.25">
      <c r="A2830" s="1">
        <v>45070</v>
      </c>
      <c r="B2830" t="s">
        <v>36</v>
      </c>
      <c r="C2830" t="s">
        <v>17</v>
      </c>
      <c r="D2830" t="s">
        <v>12</v>
      </c>
      <c r="E2830" t="s">
        <v>74</v>
      </c>
      <c r="F2830" t="s">
        <v>23</v>
      </c>
      <c r="G2830" t="s">
        <v>24</v>
      </c>
      <c r="H2830">
        <v>3</v>
      </c>
      <c r="I2830">
        <v>1359</v>
      </c>
      <c r="J2830">
        <v>152.85</v>
      </c>
    </row>
    <row r="2831" spans="1:10" x14ac:dyDescent="0.25">
      <c r="A2831" s="1">
        <v>45624</v>
      </c>
      <c r="B2831" t="s">
        <v>55</v>
      </c>
      <c r="C2831" t="s">
        <v>19</v>
      </c>
      <c r="D2831" t="s">
        <v>12</v>
      </c>
      <c r="E2831" t="s">
        <v>74</v>
      </c>
      <c r="F2831" t="s">
        <v>23</v>
      </c>
      <c r="G2831" t="s">
        <v>24</v>
      </c>
      <c r="H2831">
        <v>1</v>
      </c>
      <c r="I2831">
        <v>104</v>
      </c>
      <c r="J2831">
        <v>18.670000000000002</v>
      </c>
    </row>
    <row r="2832" spans="1:10" x14ac:dyDescent="0.25">
      <c r="A2832" s="1">
        <v>44986</v>
      </c>
      <c r="B2832" t="s">
        <v>29</v>
      </c>
      <c r="C2832" t="s">
        <v>17</v>
      </c>
      <c r="D2832" t="s">
        <v>12</v>
      </c>
      <c r="E2832" t="s">
        <v>56</v>
      </c>
      <c r="F2832" t="s">
        <v>57</v>
      </c>
      <c r="G2832" t="s">
        <v>24</v>
      </c>
      <c r="H2832">
        <v>3</v>
      </c>
      <c r="I2832">
        <v>1785</v>
      </c>
      <c r="J2832">
        <v>93.17</v>
      </c>
    </row>
    <row r="2833" spans="1:10" x14ac:dyDescent="0.25">
      <c r="A2833" s="1">
        <v>44716</v>
      </c>
      <c r="B2833" t="s">
        <v>36</v>
      </c>
      <c r="C2833" t="s">
        <v>17</v>
      </c>
      <c r="D2833" t="s">
        <v>12</v>
      </c>
      <c r="E2833" t="s">
        <v>22</v>
      </c>
      <c r="F2833" t="s">
        <v>23</v>
      </c>
      <c r="G2833" t="s">
        <v>24</v>
      </c>
      <c r="H2833">
        <v>8</v>
      </c>
      <c r="I2833">
        <v>7728</v>
      </c>
      <c r="J2833">
        <v>1748.26</v>
      </c>
    </row>
    <row r="2834" spans="1:10" x14ac:dyDescent="0.25">
      <c r="A2834" s="1">
        <v>45073</v>
      </c>
      <c r="B2834" t="s">
        <v>40</v>
      </c>
      <c r="C2834" t="s">
        <v>19</v>
      </c>
      <c r="D2834" t="s">
        <v>12</v>
      </c>
      <c r="E2834" t="s">
        <v>86</v>
      </c>
      <c r="F2834" t="s">
        <v>84</v>
      </c>
      <c r="G2834" t="s">
        <v>28</v>
      </c>
      <c r="H2834">
        <v>6</v>
      </c>
      <c r="I2834">
        <v>4188</v>
      </c>
      <c r="J2834">
        <v>1231.1600000000001</v>
      </c>
    </row>
    <row r="2835" spans="1:10" x14ac:dyDescent="0.25">
      <c r="A2835" s="1">
        <v>44737</v>
      </c>
      <c r="B2835" t="s">
        <v>32</v>
      </c>
      <c r="C2835" t="s">
        <v>19</v>
      </c>
      <c r="D2835" t="s">
        <v>12</v>
      </c>
      <c r="E2835" t="s">
        <v>87</v>
      </c>
      <c r="F2835" t="s">
        <v>88</v>
      </c>
      <c r="G2835" t="s">
        <v>15</v>
      </c>
      <c r="H2835">
        <v>8</v>
      </c>
      <c r="I2835">
        <v>3520</v>
      </c>
      <c r="J2835">
        <v>359.84</v>
      </c>
    </row>
    <row r="2836" spans="1:10" x14ac:dyDescent="0.25">
      <c r="A2836" s="1">
        <v>45150</v>
      </c>
      <c r="B2836" t="s">
        <v>25</v>
      </c>
      <c r="C2836" t="s">
        <v>19</v>
      </c>
      <c r="D2836" t="s">
        <v>12</v>
      </c>
      <c r="E2836" t="s">
        <v>89</v>
      </c>
      <c r="F2836" t="s">
        <v>71</v>
      </c>
      <c r="G2836" t="s">
        <v>35</v>
      </c>
      <c r="H2836">
        <v>3</v>
      </c>
      <c r="I2836">
        <v>2280</v>
      </c>
      <c r="J2836">
        <v>365.17</v>
      </c>
    </row>
    <row r="2837" spans="1:10" x14ac:dyDescent="0.25">
      <c r="A2837" s="1">
        <v>45482</v>
      </c>
      <c r="B2837" t="s">
        <v>10</v>
      </c>
      <c r="C2837" t="s">
        <v>11</v>
      </c>
      <c r="D2837" t="s">
        <v>12</v>
      </c>
      <c r="E2837" t="s">
        <v>52</v>
      </c>
      <c r="F2837" t="s">
        <v>42</v>
      </c>
      <c r="G2837" t="s">
        <v>28</v>
      </c>
      <c r="H2837">
        <v>9</v>
      </c>
      <c r="I2837">
        <v>2484</v>
      </c>
      <c r="J2837">
        <v>655.54</v>
      </c>
    </row>
    <row r="2838" spans="1:10" x14ac:dyDescent="0.25">
      <c r="A2838" s="1">
        <v>45399</v>
      </c>
      <c r="B2838" t="s">
        <v>18</v>
      </c>
      <c r="C2838" t="s">
        <v>19</v>
      </c>
      <c r="D2838" t="s">
        <v>12</v>
      </c>
      <c r="E2838" t="s">
        <v>70</v>
      </c>
      <c r="F2838" t="s">
        <v>71</v>
      </c>
      <c r="G2838" t="s">
        <v>35</v>
      </c>
      <c r="H2838">
        <v>3</v>
      </c>
      <c r="I2838">
        <v>1248</v>
      </c>
      <c r="J2838">
        <v>348.19</v>
      </c>
    </row>
    <row r="2839" spans="1:10" x14ac:dyDescent="0.25">
      <c r="A2839" s="1">
        <v>45272</v>
      </c>
      <c r="B2839" t="s">
        <v>32</v>
      </c>
      <c r="C2839" t="s">
        <v>19</v>
      </c>
      <c r="D2839" t="s">
        <v>12</v>
      </c>
      <c r="E2839" t="s">
        <v>70</v>
      </c>
      <c r="F2839" t="s">
        <v>71</v>
      </c>
      <c r="G2839" t="s">
        <v>35</v>
      </c>
      <c r="H2839">
        <v>2</v>
      </c>
      <c r="I2839">
        <v>850</v>
      </c>
      <c r="J2839">
        <v>59.92</v>
      </c>
    </row>
    <row r="2840" spans="1:10" x14ac:dyDescent="0.25">
      <c r="A2840" s="1">
        <v>44568</v>
      </c>
      <c r="B2840" t="s">
        <v>10</v>
      </c>
      <c r="C2840" t="s">
        <v>11</v>
      </c>
      <c r="D2840" t="s">
        <v>12</v>
      </c>
      <c r="E2840" t="s">
        <v>75</v>
      </c>
      <c r="F2840" t="s">
        <v>39</v>
      </c>
      <c r="G2840" t="s">
        <v>35</v>
      </c>
      <c r="H2840">
        <v>4</v>
      </c>
      <c r="I2840">
        <v>1412</v>
      </c>
      <c r="J2840">
        <v>150.13</v>
      </c>
    </row>
    <row r="2841" spans="1:10" x14ac:dyDescent="0.25">
      <c r="A2841" s="1">
        <v>44711</v>
      </c>
      <c r="B2841" t="s">
        <v>29</v>
      </c>
      <c r="C2841" t="s">
        <v>17</v>
      </c>
      <c r="D2841" t="s">
        <v>12</v>
      </c>
      <c r="E2841" t="s">
        <v>90</v>
      </c>
      <c r="F2841" t="s">
        <v>63</v>
      </c>
      <c r="G2841" t="s">
        <v>28</v>
      </c>
      <c r="H2841">
        <v>1</v>
      </c>
      <c r="I2841">
        <v>465</v>
      </c>
      <c r="J2841">
        <v>26.5</v>
      </c>
    </row>
    <row r="2842" spans="1:10" x14ac:dyDescent="0.25">
      <c r="A2842" s="1">
        <v>45440</v>
      </c>
      <c r="B2842" t="s">
        <v>10</v>
      </c>
      <c r="C2842" t="s">
        <v>11</v>
      </c>
      <c r="D2842" t="s">
        <v>12</v>
      </c>
      <c r="E2842" t="s">
        <v>91</v>
      </c>
      <c r="F2842" t="s">
        <v>23</v>
      </c>
      <c r="G2842" t="s">
        <v>24</v>
      </c>
      <c r="H2842">
        <v>1</v>
      </c>
      <c r="I2842">
        <v>293</v>
      </c>
      <c r="J2842">
        <v>29.58</v>
      </c>
    </row>
    <row r="2843" spans="1:10" x14ac:dyDescent="0.25">
      <c r="A2843" s="1">
        <v>44562</v>
      </c>
      <c r="B2843" t="s">
        <v>18</v>
      </c>
      <c r="C2843" t="s">
        <v>19</v>
      </c>
      <c r="D2843" t="s">
        <v>12</v>
      </c>
      <c r="E2843" t="s">
        <v>92</v>
      </c>
      <c r="F2843" t="s">
        <v>44</v>
      </c>
      <c r="G2843" t="s">
        <v>35</v>
      </c>
      <c r="H2843">
        <v>9</v>
      </c>
      <c r="I2843">
        <v>9234</v>
      </c>
      <c r="J2843">
        <v>2523.67</v>
      </c>
    </row>
    <row r="2844" spans="1:10" x14ac:dyDescent="0.25">
      <c r="A2844" s="1">
        <v>44896</v>
      </c>
      <c r="B2844" t="s">
        <v>18</v>
      </c>
      <c r="C2844" t="s">
        <v>19</v>
      </c>
      <c r="D2844" t="s">
        <v>12</v>
      </c>
      <c r="E2844" t="s">
        <v>93</v>
      </c>
      <c r="F2844" t="s">
        <v>94</v>
      </c>
      <c r="G2844" t="s">
        <v>24</v>
      </c>
      <c r="H2844">
        <v>2</v>
      </c>
      <c r="I2844">
        <v>1298</v>
      </c>
      <c r="J2844">
        <v>239.45</v>
      </c>
    </row>
    <row r="2845" spans="1:10" x14ac:dyDescent="0.25">
      <c r="A2845" s="1">
        <v>45511</v>
      </c>
      <c r="B2845" t="s">
        <v>10</v>
      </c>
      <c r="C2845" t="s">
        <v>11</v>
      </c>
      <c r="D2845" t="s">
        <v>12</v>
      </c>
      <c r="E2845" t="s">
        <v>93</v>
      </c>
      <c r="F2845" t="s">
        <v>94</v>
      </c>
      <c r="G2845" t="s">
        <v>24</v>
      </c>
      <c r="H2845">
        <v>9</v>
      </c>
      <c r="I2845">
        <v>9477</v>
      </c>
      <c r="J2845">
        <v>2443.62</v>
      </c>
    </row>
    <row r="2846" spans="1:10" x14ac:dyDescent="0.25">
      <c r="A2846" s="1">
        <v>45441</v>
      </c>
      <c r="B2846" t="s">
        <v>10</v>
      </c>
      <c r="C2846" t="s">
        <v>11</v>
      </c>
      <c r="D2846" t="s">
        <v>12</v>
      </c>
      <c r="E2846" t="s">
        <v>95</v>
      </c>
      <c r="F2846" t="s">
        <v>44</v>
      </c>
      <c r="G2846" t="s">
        <v>35</v>
      </c>
      <c r="H2846">
        <v>7</v>
      </c>
      <c r="I2846">
        <v>6713</v>
      </c>
      <c r="J2846">
        <v>457.99</v>
      </c>
    </row>
    <row r="2847" spans="1:10" x14ac:dyDescent="0.25">
      <c r="A2847" s="1">
        <v>44676</v>
      </c>
      <c r="B2847" t="s">
        <v>55</v>
      </c>
      <c r="C2847" t="s">
        <v>19</v>
      </c>
      <c r="D2847" t="s">
        <v>12</v>
      </c>
      <c r="E2847" t="s">
        <v>96</v>
      </c>
      <c r="F2847" t="s">
        <v>34</v>
      </c>
      <c r="G2847" t="s">
        <v>35</v>
      </c>
      <c r="H2847">
        <v>5</v>
      </c>
      <c r="I2847">
        <v>5700</v>
      </c>
      <c r="J2847">
        <v>999.26</v>
      </c>
    </row>
    <row r="2848" spans="1:10" x14ac:dyDescent="0.25">
      <c r="A2848" s="1">
        <v>45502</v>
      </c>
      <c r="B2848" t="s">
        <v>25</v>
      </c>
      <c r="C2848" t="s">
        <v>19</v>
      </c>
      <c r="D2848" t="s">
        <v>12</v>
      </c>
      <c r="E2848" t="s">
        <v>74</v>
      </c>
      <c r="F2848" t="s">
        <v>23</v>
      </c>
      <c r="G2848" t="s">
        <v>24</v>
      </c>
      <c r="H2848">
        <v>6</v>
      </c>
      <c r="I2848">
        <v>4146</v>
      </c>
      <c r="J2848">
        <v>700.46</v>
      </c>
    </row>
    <row r="2849" spans="1:10" x14ac:dyDescent="0.25">
      <c r="A2849" s="1">
        <v>45210</v>
      </c>
      <c r="B2849" t="s">
        <v>18</v>
      </c>
      <c r="C2849" t="s">
        <v>19</v>
      </c>
      <c r="D2849" t="s">
        <v>12</v>
      </c>
      <c r="E2849" t="s">
        <v>41</v>
      </c>
      <c r="F2849" t="s">
        <v>42</v>
      </c>
      <c r="G2849" t="s">
        <v>28</v>
      </c>
      <c r="H2849">
        <v>8</v>
      </c>
      <c r="I2849">
        <v>6968</v>
      </c>
      <c r="J2849">
        <v>704.55</v>
      </c>
    </row>
    <row r="2850" spans="1:10" x14ac:dyDescent="0.25">
      <c r="A2850" s="1">
        <v>45544</v>
      </c>
      <c r="B2850" t="s">
        <v>25</v>
      </c>
      <c r="C2850" t="s">
        <v>19</v>
      </c>
      <c r="D2850" t="s">
        <v>12</v>
      </c>
      <c r="E2850" t="s">
        <v>22</v>
      </c>
      <c r="F2850" t="s">
        <v>23</v>
      </c>
      <c r="G2850" t="s">
        <v>24</v>
      </c>
      <c r="H2850">
        <v>2</v>
      </c>
      <c r="I2850">
        <v>1054</v>
      </c>
      <c r="J2850">
        <v>243.5</v>
      </c>
    </row>
    <row r="2851" spans="1:10" x14ac:dyDescent="0.25">
      <c r="A2851" s="1">
        <v>44635</v>
      </c>
      <c r="B2851" t="s">
        <v>49</v>
      </c>
      <c r="C2851" t="s">
        <v>17</v>
      </c>
      <c r="D2851" t="s">
        <v>12</v>
      </c>
      <c r="E2851" t="s">
        <v>45</v>
      </c>
      <c r="F2851" t="s">
        <v>46</v>
      </c>
      <c r="G2851" t="s">
        <v>15</v>
      </c>
      <c r="H2851">
        <v>3</v>
      </c>
      <c r="I2851">
        <v>1983</v>
      </c>
      <c r="J2851">
        <v>453.09</v>
      </c>
    </row>
    <row r="2852" spans="1:10" x14ac:dyDescent="0.25">
      <c r="A2852" s="1">
        <v>45225</v>
      </c>
      <c r="B2852" t="s">
        <v>49</v>
      </c>
      <c r="C2852" t="s">
        <v>17</v>
      </c>
      <c r="D2852" t="s">
        <v>12</v>
      </c>
      <c r="E2852" t="s">
        <v>97</v>
      </c>
      <c r="F2852" t="s">
        <v>23</v>
      </c>
      <c r="G2852" t="s">
        <v>24</v>
      </c>
      <c r="H2852">
        <v>5</v>
      </c>
      <c r="I2852">
        <v>875</v>
      </c>
      <c r="J2852">
        <v>70.72</v>
      </c>
    </row>
    <row r="2853" spans="1:10" x14ac:dyDescent="0.25">
      <c r="A2853" s="1">
        <v>45194</v>
      </c>
      <c r="B2853" t="s">
        <v>10</v>
      </c>
      <c r="C2853" t="s">
        <v>11</v>
      </c>
      <c r="D2853" t="s">
        <v>12</v>
      </c>
      <c r="E2853" t="s">
        <v>97</v>
      </c>
      <c r="F2853" t="s">
        <v>23</v>
      </c>
      <c r="G2853" t="s">
        <v>24</v>
      </c>
      <c r="H2853">
        <v>2</v>
      </c>
      <c r="I2853">
        <v>268</v>
      </c>
      <c r="J2853">
        <v>63.01</v>
      </c>
    </row>
    <row r="2854" spans="1:10" x14ac:dyDescent="0.25">
      <c r="A2854" s="1">
        <v>45490</v>
      </c>
      <c r="B2854" t="s">
        <v>29</v>
      </c>
      <c r="C2854" t="s">
        <v>17</v>
      </c>
      <c r="D2854" t="s">
        <v>12</v>
      </c>
      <c r="E2854" t="s">
        <v>97</v>
      </c>
      <c r="F2854" t="s">
        <v>23</v>
      </c>
      <c r="G2854" t="s">
        <v>24</v>
      </c>
      <c r="H2854">
        <v>6</v>
      </c>
      <c r="I2854">
        <v>5370</v>
      </c>
      <c r="J2854">
        <v>1045.0999999999999</v>
      </c>
    </row>
    <row r="2855" spans="1:10" x14ac:dyDescent="0.25">
      <c r="A2855" s="1">
        <v>45301</v>
      </c>
      <c r="B2855" t="s">
        <v>36</v>
      </c>
      <c r="C2855" t="s">
        <v>17</v>
      </c>
      <c r="D2855" t="s">
        <v>12</v>
      </c>
      <c r="E2855" t="s">
        <v>98</v>
      </c>
      <c r="F2855" t="s">
        <v>54</v>
      </c>
      <c r="G2855" t="s">
        <v>24</v>
      </c>
      <c r="H2855">
        <v>8</v>
      </c>
      <c r="I2855">
        <v>3624</v>
      </c>
      <c r="J2855">
        <v>1071.43</v>
      </c>
    </row>
    <row r="2856" spans="1:10" x14ac:dyDescent="0.25">
      <c r="A2856" s="1">
        <v>45557</v>
      </c>
      <c r="B2856" t="s">
        <v>32</v>
      </c>
      <c r="C2856" t="s">
        <v>19</v>
      </c>
      <c r="D2856" t="s">
        <v>12</v>
      </c>
      <c r="E2856" t="s">
        <v>99</v>
      </c>
      <c r="F2856" t="s">
        <v>100</v>
      </c>
      <c r="G2856" t="s">
        <v>35</v>
      </c>
      <c r="H2856">
        <v>4</v>
      </c>
      <c r="I2856">
        <v>1932</v>
      </c>
      <c r="J2856">
        <v>301.16000000000003</v>
      </c>
    </row>
    <row r="2857" spans="1:10" x14ac:dyDescent="0.25">
      <c r="A2857" s="1">
        <v>44809</v>
      </c>
      <c r="B2857" t="s">
        <v>40</v>
      </c>
      <c r="C2857" t="s">
        <v>19</v>
      </c>
      <c r="D2857" t="s">
        <v>12</v>
      </c>
      <c r="E2857" t="s">
        <v>70</v>
      </c>
      <c r="F2857" t="s">
        <v>71</v>
      </c>
      <c r="G2857" t="s">
        <v>35</v>
      </c>
      <c r="H2857">
        <v>7</v>
      </c>
      <c r="I2857">
        <v>6020</v>
      </c>
      <c r="J2857">
        <v>384.74</v>
      </c>
    </row>
    <row r="2858" spans="1:10" x14ac:dyDescent="0.25">
      <c r="A2858" s="1">
        <v>45414</v>
      </c>
      <c r="B2858" t="s">
        <v>29</v>
      </c>
      <c r="C2858" t="s">
        <v>17</v>
      </c>
      <c r="D2858" t="s">
        <v>12</v>
      </c>
      <c r="E2858" t="s">
        <v>101</v>
      </c>
      <c r="F2858" t="s">
        <v>21</v>
      </c>
      <c r="G2858" t="s">
        <v>15</v>
      </c>
      <c r="H2858">
        <v>5</v>
      </c>
      <c r="I2858">
        <v>1775</v>
      </c>
      <c r="J2858">
        <v>234.67</v>
      </c>
    </row>
    <row r="2859" spans="1:10" x14ac:dyDescent="0.25">
      <c r="A2859" s="1">
        <v>44994</v>
      </c>
      <c r="B2859" t="s">
        <v>32</v>
      </c>
      <c r="C2859" t="s">
        <v>19</v>
      </c>
      <c r="D2859" t="s">
        <v>12</v>
      </c>
      <c r="E2859" t="s">
        <v>101</v>
      </c>
      <c r="F2859" t="s">
        <v>21</v>
      </c>
      <c r="G2859" t="s">
        <v>15</v>
      </c>
      <c r="H2859">
        <v>3</v>
      </c>
      <c r="I2859">
        <v>1488</v>
      </c>
      <c r="J2859">
        <v>382.09</v>
      </c>
    </row>
    <row r="2860" spans="1:10" x14ac:dyDescent="0.25">
      <c r="A2860" s="1">
        <v>45556</v>
      </c>
      <c r="B2860" t="s">
        <v>49</v>
      </c>
      <c r="C2860" t="s">
        <v>17</v>
      </c>
      <c r="D2860" t="s">
        <v>12</v>
      </c>
      <c r="E2860" t="s">
        <v>22</v>
      </c>
      <c r="F2860" t="s">
        <v>23</v>
      </c>
      <c r="G2860" t="s">
        <v>24</v>
      </c>
      <c r="H2860">
        <v>6</v>
      </c>
      <c r="I2860">
        <v>6720</v>
      </c>
      <c r="J2860">
        <v>1113.56</v>
      </c>
    </row>
    <row r="2861" spans="1:10" x14ac:dyDescent="0.25">
      <c r="A2861" s="1">
        <v>44657</v>
      </c>
      <c r="B2861" t="s">
        <v>16</v>
      </c>
      <c r="C2861" t="s">
        <v>17</v>
      </c>
      <c r="D2861" t="s">
        <v>12</v>
      </c>
      <c r="E2861" t="s">
        <v>22</v>
      </c>
      <c r="F2861" t="s">
        <v>23</v>
      </c>
      <c r="G2861" t="s">
        <v>24</v>
      </c>
      <c r="H2861">
        <v>7</v>
      </c>
      <c r="I2861">
        <v>5047</v>
      </c>
      <c r="J2861">
        <v>1356.23</v>
      </c>
    </row>
    <row r="2862" spans="1:10" x14ac:dyDescent="0.25">
      <c r="A2862" s="1">
        <v>44627</v>
      </c>
      <c r="B2862" t="s">
        <v>18</v>
      </c>
      <c r="C2862" t="s">
        <v>19</v>
      </c>
      <c r="D2862" t="s">
        <v>12</v>
      </c>
      <c r="E2862" t="s">
        <v>13</v>
      </c>
      <c r="F2862" t="s">
        <v>14</v>
      </c>
      <c r="G2862" t="s">
        <v>15</v>
      </c>
      <c r="H2862">
        <v>5</v>
      </c>
      <c r="I2862">
        <v>3735</v>
      </c>
      <c r="J2862">
        <v>957.13</v>
      </c>
    </row>
    <row r="2863" spans="1:10" x14ac:dyDescent="0.25">
      <c r="A2863" s="1">
        <v>45348</v>
      </c>
      <c r="B2863" t="s">
        <v>49</v>
      </c>
      <c r="C2863" t="s">
        <v>17</v>
      </c>
      <c r="D2863" t="s">
        <v>12</v>
      </c>
      <c r="E2863" t="s">
        <v>102</v>
      </c>
      <c r="F2863" t="s">
        <v>34</v>
      </c>
      <c r="G2863" t="s">
        <v>35</v>
      </c>
      <c r="H2863">
        <v>5</v>
      </c>
      <c r="I2863">
        <v>1250</v>
      </c>
      <c r="J2863">
        <v>120.74</v>
      </c>
    </row>
    <row r="2864" spans="1:10" x14ac:dyDescent="0.25">
      <c r="A2864" s="1">
        <v>44572</v>
      </c>
      <c r="B2864" t="s">
        <v>18</v>
      </c>
      <c r="C2864" t="s">
        <v>19</v>
      </c>
      <c r="D2864" t="s">
        <v>12</v>
      </c>
      <c r="E2864" t="s">
        <v>74</v>
      </c>
      <c r="F2864" t="s">
        <v>23</v>
      </c>
      <c r="G2864" t="s">
        <v>24</v>
      </c>
      <c r="H2864">
        <v>7</v>
      </c>
      <c r="I2864">
        <v>2751</v>
      </c>
      <c r="J2864">
        <v>548.04999999999995</v>
      </c>
    </row>
    <row r="2865" spans="1:10" x14ac:dyDescent="0.25">
      <c r="A2865" s="1">
        <v>45121</v>
      </c>
      <c r="B2865" t="s">
        <v>55</v>
      </c>
      <c r="C2865" t="s">
        <v>19</v>
      </c>
      <c r="D2865" t="s">
        <v>12</v>
      </c>
      <c r="E2865" t="s">
        <v>103</v>
      </c>
      <c r="F2865" t="s">
        <v>21</v>
      </c>
      <c r="G2865" t="s">
        <v>15</v>
      </c>
      <c r="H2865">
        <v>9</v>
      </c>
      <c r="I2865">
        <v>468</v>
      </c>
      <c r="J2865">
        <v>58.98</v>
      </c>
    </row>
    <row r="2866" spans="1:10" x14ac:dyDescent="0.25">
      <c r="A2866" s="1">
        <v>45113</v>
      </c>
      <c r="B2866" t="s">
        <v>10</v>
      </c>
      <c r="C2866" t="s">
        <v>11</v>
      </c>
      <c r="D2866" t="s">
        <v>12</v>
      </c>
      <c r="E2866" t="s">
        <v>22</v>
      </c>
      <c r="F2866" t="s">
        <v>23</v>
      </c>
      <c r="G2866" t="s">
        <v>24</v>
      </c>
      <c r="H2866">
        <v>4</v>
      </c>
      <c r="I2866">
        <v>632</v>
      </c>
      <c r="J2866">
        <v>114.82</v>
      </c>
    </row>
    <row r="2867" spans="1:10" x14ac:dyDescent="0.25">
      <c r="A2867" s="1">
        <v>44819</v>
      </c>
      <c r="B2867" t="s">
        <v>49</v>
      </c>
      <c r="C2867" t="s">
        <v>17</v>
      </c>
      <c r="D2867" t="s">
        <v>12</v>
      </c>
      <c r="E2867" t="s">
        <v>74</v>
      </c>
      <c r="F2867" t="s">
        <v>23</v>
      </c>
      <c r="G2867" t="s">
        <v>24</v>
      </c>
      <c r="H2867">
        <v>7</v>
      </c>
      <c r="I2867">
        <v>798</v>
      </c>
      <c r="J2867">
        <v>219.2</v>
      </c>
    </row>
    <row r="2868" spans="1:10" x14ac:dyDescent="0.25">
      <c r="A2868" s="1">
        <v>44589</v>
      </c>
      <c r="B2868" t="s">
        <v>32</v>
      </c>
      <c r="C2868" t="s">
        <v>19</v>
      </c>
      <c r="D2868" t="s">
        <v>12</v>
      </c>
      <c r="E2868" t="s">
        <v>72</v>
      </c>
      <c r="F2868" t="s">
        <v>21</v>
      </c>
      <c r="G2868" t="s">
        <v>15</v>
      </c>
      <c r="H2868">
        <v>5</v>
      </c>
      <c r="I2868">
        <v>1295</v>
      </c>
      <c r="J2868">
        <v>104.26</v>
      </c>
    </row>
    <row r="2869" spans="1:10" x14ac:dyDescent="0.25">
      <c r="A2869" s="1">
        <v>45636</v>
      </c>
      <c r="B2869" t="s">
        <v>25</v>
      </c>
      <c r="C2869" t="s">
        <v>19</v>
      </c>
      <c r="D2869" t="s">
        <v>12</v>
      </c>
      <c r="E2869" t="s">
        <v>56</v>
      </c>
      <c r="F2869" t="s">
        <v>57</v>
      </c>
      <c r="G2869" t="s">
        <v>24</v>
      </c>
      <c r="H2869">
        <v>4</v>
      </c>
      <c r="I2869">
        <v>3360</v>
      </c>
      <c r="J2869">
        <v>540.38</v>
      </c>
    </row>
    <row r="2870" spans="1:10" x14ac:dyDescent="0.25">
      <c r="A2870" s="1">
        <v>45088</v>
      </c>
      <c r="B2870" t="s">
        <v>25</v>
      </c>
      <c r="C2870" t="s">
        <v>19</v>
      </c>
      <c r="D2870" t="s">
        <v>12</v>
      </c>
      <c r="E2870" t="s">
        <v>43</v>
      </c>
      <c r="F2870" t="s">
        <v>44</v>
      </c>
      <c r="G2870" t="s">
        <v>35</v>
      </c>
      <c r="H2870">
        <v>5</v>
      </c>
      <c r="I2870">
        <v>995</v>
      </c>
      <c r="J2870">
        <v>206.95</v>
      </c>
    </row>
    <row r="2871" spans="1:10" x14ac:dyDescent="0.25">
      <c r="A2871" s="1">
        <v>45646</v>
      </c>
      <c r="B2871" t="s">
        <v>32</v>
      </c>
      <c r="C2871" t="s">
        <v>19</v>
      </c>
      <c r="D2871" t="s">
        <v>12</v>
      </c>
      <c r="E2871" t="s">
        <v>104</v>
      </c>
      <c r="F2871" t="s">
        <v>14</v>
      </c>
      <c r="G2871" t="s">
        <v>15</v>
      </c>
      <c r="H2871">
        <v>5</v>
      </c>
      <c r="I2871">
        <v>550</v>
      </c>
      <c r="J2871">
        <v>28.72</v>
      </c>
    </row>
    <row r="2872" spans="1:10" x14ac:dyDescent="0.25">
      <c r="A2872" s="1">
        <v>44984</v>
      </c>
      <c r="B2872" t="s">
        <v>36</v>
      </c>
      <c r="C2872" t="s">
        <v>17</v>
      </c>
      <c r="D2872" t="s">
        <v>12</v>
      </c>
      <c r="E2872" t="s">
        <v>105</v>
      </c>
      <c r="F2872" t="s">
        <v>23</v>
      </c>
      <c r="G2872" t="s">
        <v>24</v>
      </c>
      <c r="H2872">
        <v>8</v>
      </c>
      <c r="I2872">
        <v>5384</v>
      </c>
      <c r="J2872">
        <v>724.8</v>
      </c>
    </row>
    <row r="2873" spans="1:10" x14ac:dyDescent="0.25">
      <c r="A2873" s="1">
        <v>45249</v>
      </c>
      <c r="B2873" t="s">
        <v>10</v>
      </c>
      <c r="C2873" t="s">
        <v>11</v>
      </c>
      <c r="D2873" t="s">
        <v>12</v>
      </c>
      <c r="E2873" t="s">
        <v>72</v>
      </c>
      <c r="F2873" t="s">
        <v>21</v>
      </c>
      <c r="G2873" t="s">
        <v>15</v>
      </c>
      <c r="H2873">
        <v>3</v>
      </c>
      <c r="I2873">
        <v>3534</v>
      </c>
      <c r="J2873">
        <v>489.06</v>
      </c>
    </row>
    <row r="2874" spans="1:10" x14ac:dyDescent="0.25">
      <c r="A2874" s="1">
        <v>45342</v>
      </c>
      <c r="B2874" t="s">
        <v>40</v>
      </c>
      <c r="C2874" t="s">
        <v>19</v>
      </c>
      <c r="D2874" t="s">
        <v>12</v>
      </c>
      <c r="E2874" t="s">
        <v>52</v>
      </c>
      <c r="F2874" t="s">
        <v>42</v>
      </c>
      <c r="G2874" t="s">
        <v>28</v>
      </c>
      <c r="H2874">
        <v>9</v>
      </c>
      <c r="I2874">
        <v>6813</v>
      </c>
      <c r="J2874">
        <v>890.05</v>
      </c>
    </row>
    <row r="2875" spans="1:10" x14ac:dyDescent="0.25">
      <c r="A2875" s="1">
        <v>45257</v>
      </c>
      <c r="B2875" t="s">
        <v>32</v>
      </c>
      <c r="C2875" t="s">
        <v>19</v>
      </c>
      <c r="D2875" t="s">
        <v>12</v>
      </c>
      <c r="E2875" t="s">
        <v>52</v>
      </c>
      <c r="F2875" t="s">
        <v>42</v>
      </c>
      <c r="G2875" t="s">
        <v>28</v>
      </c>
      <c r="H2875">
        <v>6</v>
      </c>
      <c r="I2875">
        <v>5508</v>
      </c>
      <c r="J2875">
        <v>1632.37</v>
      </c>
    </row>
    <row r="2876" spans="1:10" x14ac:dyDescent="0.25">
      <c r="A2876" s="1">
        <v>44588</v>
      </c>
      <c r="B2876" t="s">
        <v>29</v>
      </c>
      <c r="C2876" t="s">
        <v>17</v>
      </c>
      <c r="D2876" t="s">
        <v>12</v>
      </c>
      <c r="E2876" t="s">
        <v>52</v>
      </c>
      <c r="F2876" t="s">
        <v>42</v>
      </c>
      <c r="G2876" t="s">
        <v>28</v>
      </c>
      <c r="H2876">
        <v>1</v>
      </c>
      <c r="I2876">
        <v>966</v>
      </c>
      <c r="J2876">
        <v>202.53</v>
      </c>
    </row>
    <row r="2877" spans="1:10" x14ac:dyDescent="0.25">
      <c r="A2877" s="1">
        <v>45477</v>
      </c>
      <c r="B2877" t="s">
        <v>16</v>
      </c>
      <c r="C2877" t="s">
        <v>17</v>
      </c>
      <c r="D2877" t="s">
        <v>12</v>
      </c>
      <c r="E2877" t="s">
        <v>106</v>
      </c>
      <c r="F2877" t="s">
        <v>71</v>
      </c>
      <c r="G2877" t="s">
        <v>35</v>
      </c>
      <c r="H2877">
        <v>4</v>
      </c>
      <c r="I2877">
        <v>460</v>
      </c>
      <c r="J2877">
        <v>92.24</v>
      </c>
    </row>
    <row r="2878" spans="1:10" x14ac:dyDescent="0.25">
      <c r="A2878" s="1">
        <v>45103</v>
      </c>
      <c r="B2878" t="s">
        <v>40</v>
      </c>
      <c r="C2878" t="s">
        <v>19</v>
      </c>
      <c r="D2878" t="s">
        <v>12</v>
      </c>
      <c r="E2878" t="s">
        <v>52</v>
      </c>
      <c r="F2878" t="s">
        <v>42</v>
      </c>
      <c r="G2878" t="s">
        <v>28</v>
      </c>
      <c r="H2878">
        <v>6</v>
      </c>
      <c r="I2878">
        <v>7026</v>
      </c>
      <c r="J2878">
        <v>459.4</v>
      </c>
    </row>
    <row r="2879" spans="1:10" x14ac:dyDescent="0.25">
      <c r="A2879" s="1">
        <v>45436</v>
      </c>
      <c r="B2879" t="s">
        <v>40</v>
      </c>
      <c r="C2879" t="s">
        <v>19</v>
      </c>
      <c r="D2879" t="s">
        <v>12</v>
      </c>
      <c r="E2879" t="s">
        <v>107</v>
      </c>
      <c r="F2879" t="s">
        <v>108</v>
      </c>
      <c r="G2879" t="s">
        <v>15</v>
      </c>
      <c r="H2879">
        <v>5</v>
      </c>
      <c r="I2879">
        <v>910</v>
      </c>
      <c r="J2879">
        <v>116.47</v>
      </c>
    </row>
    <row r="2880" spans="1:10" x14ac:dyDescent="0.25">
      <c r="A2880" s="1">
        <v>44795</v>
      </c>
      <c r="B2880" t="s">
        <v>36</v>
      </c>
      <c r="C2880" t="s">
        <v>17</v>
      </c>
      <c r="D2880" t="s">
        <v>12</v>
      </c>
      <c r="E2880" t="s">
        <v>109</v>
      </c>
      <c r="F2880" t="s">
        <v>23</v>
      </c>
      <c r="G2880" t="s">
        <v>24</v>
      </c>
      <c r="H2880">
        <v>9</v>
      </c>
      <c r="I2880">
        <v>5796</v>
      </c>
      <c r="J2880">
        <v>1729.18</v>
      </c>
    </row>
    <row r="2881" spans="1:10" x14ac:dyDescent="0.25">
      <c r="A2881" s="1">
        <v>44832</v>
      </c>
      <c r="B2881" t="s">
        <v>36</v>
      </c>
      <c r="C2881" t="s">
        <v>17</v>
      </c>
      <c r="D2881" t="s">
        <v>12</v>
      </c>
      <c r="E2881" t="s">
        <v>50</v>
      </c>
      <c r="F2881" t="s">
        <v>51</v>
      </c>
      <c r="G2881" t="s">
        <v>35</v>
      </c>
      <c r="H2881">
        <v>3</v>
      </c>
      <c r="I2881">
        <v>1050</v>
      </c>
      <c r="J2881">
        <v>292.64</v>
      </c>
    </row>
    <row r="2882" spans="1:10" x14ac:dyDescent="0.25">
      <c r="A2882" s="1">
        <v>45440</v>
      </c>
      <c r="B2882" t="s">
        <v>16</v>
      </c>
      <c r="C2882" t="s">
        <v>17</v>
      </c>
      <c r="D2882" t="s">
        <v>12</v>
      </c>
      <c r="E2882" t="s">
        <v>110</v>
      </c>
      <c r="F2882" t="s">
        <v>57</v>
      </c>
      <c r="G2882" t="s">
        <v>24</v>
      </c>
      <c r="H2882">
        <v>1</v>
      </c>
      <c r="I2882">
        <v>1043</v>
      </c>
      <c r="J2882">
        <v>151.13</v>
      </c>
    </row>
    <row r="2883" spans="1:10" x14ac:dyDescent="0.25">
      <c r="A2883" s="1">
        <v>44842</v>
      </c>
      <c r="B2883" t="s">
        <v>10</v>
      </c>
      <c r="C2883" t="s">
        <v>11</v>
      </c>
      <c r="D2883" t="s">
        <v>12</v>
      </c>
      <c r="E2883" t="s">
        <v>53</v>
      </c>
      <c r="F2883" t="s">
        <v>44</v>
      </c>
      <c r="G2883" t="s">
        <v>35</v>
      </c>
      <c r="H2883">
        <v>3</v>
      </c>
      <c r="I2883">
        <v>3330</v>
      </c>
      <c r="J2883">
        <v>503.85</v>
      </c>
    </row>
    <row r="2884" spans="1:10" x14ac:dyDescent="0.25">
      <c r="A2884" s="1">
        <v>44580</v>
      </c>
      <c r="B2884" t="s">
        <v>16</v>
      </c>
      <c r="C2884" t="s">
        <v>17</v>
      </c>
      <c r="D2884" t="s">
        <v>12</v>
      </c>
      <c r="E2884" t="s">
        <v>111</v>
      </c>
      <c r="F2884" t="s">
        <v>34</v>
      </c>
      <c r="G2884" t="s">
        <v>35</v>
      </c>
      <c r="H2884">
        <v>8</v>
      </c>
      <c r="I2884">
        <v>1896</v>
      </c>
      <c r="J2884">
        <v>448.53</v>
      </c>
    </row>
    <row r="2885" spans="1:10" x14ac:dyDescent="0.25">
      <c r="A2885" s="1">
        <v>45045</v>
      </c>
      <c r="B2885" t="s">
        <v>25</v>
      </c>
      <c r="C2885" t="s">
        <v>19</v>
      </c>
      <c r="D2885" t="s">
        <v>12</v>
      </c>
      <c r="E2885" t="s">
        <v>112</v>
      </c>
      <c r="F2885" t="s">
        <v>63</v>
      </c>
      <c r="G2885" t="s">
        <v>28</v>
      </c>
      <c r="H2885">
        <v>5</v>
      </c>
      <c r="I2885">
        <v>5170</v>
      </c>
      <c r="J2885">
        <v>1248.6600000000001</v>
      </c>
    </row>
    <row r="2886" spans="1:10" x14ac:dyDescent="0.25">
      <c r="A2886" s="1">
        <v>45040</v>
      </c>
      <c r="B2886" t="s">
        <v>10</v>
      </c>
      <c r="C2886" t="s">
        <v>11</v>
      </c>
      <c r="D2886" t="s">
        <v>12</v>
      </c>
      <c r="E2886" t="s">
        <v>43</v>
      </c>
      <c r="F2886" t="s">
        <v>44</v>
      </c>
      <c r="G2886" t="s">
        <v>35</v>
      </c>
      <c r="H2886">
        <v>2</v>
      </c>
      <c r="I2886">
        <v>466</v>
      </c>
      <c r="J2886">
        <v>25.04</v>
      </c>
    </row>
    <row r="2887" spans="1:10" x14ac:dyDescent="0.25">
      <c r="A2887" s="1">
        <v>45092</v>
      </c>
      <c r="B2887" t="s">
        <v>16</v>
      </c>
      <c r="C2887" t="s">
        <v>17</v>
      </c>
      <c r="D2887" t="s">
        <v>12</v>
      </c>
      <c r="E2887" t="s">
        <v>43</v>
      </c>
      <c r="F2887" t="s">
        <v>44</v>
      </c>
      <c r="G2887" t="s">
        <v>35</v>
      </c>
      <c r="H2887">
        <v>8</v>
      </c>
      <c r="I2887">
        <v>6032</v>
      </c>
      <c r="J2887">
        <v>1636.61</v>
      </c>
    </row>
    <row r="2888" spans="1:10" x14ac:dyDescent="0.25">
      <c r="A2888" s="1">
        <v>45007</v>
      </c>
      <c r="B2888" t="s">
        <v>25</v>
      </c>
      <c r="C2888" t="s">
        <v>19</v>
      </c>
      <c r="D2888" t="s">
        <v>12</v>
      </c>
      <c r="E2888" t="s">
        <v>113</v>
      </c>
      <c r="F2888" t="s">
        <v>34</v>
      </c>
      <c r="G2888" t="s">
        <v>35</v>
      </c>
      <c r="H2888">
        <v>1</v>
      </c>
      <c r="I2888">
        <v>1084</v>
      </c>
      <c r="J2888">
        <v>103.06</v>
      </c>
    </row>
    <row r="2889" spans="1:10" x14ac:dyDescent="0.25">
      <c r="A2889" s="1">
        <v>45189</v>
      </c>
      <c r="B2889" t="s">
        <v>49</v>
      </c>
      <c r="C2889" t="s">
        <v>17</v>
      </c>
      <c r="D2889" t="s">
        <v>12</v>
      </c>
      <c r="E2889" t="s">
        <v>52</v>
      </c>
      <c r="F2889" t="s">
        <v>42</v>
      </c>
      <c r="G2889" t="s">
        <v>28</v>
      </c>
      <c r="H2889">
        <v>2</v>
      </c>
      <c r="I2889">
        <v>490</v>
      </c>
      <c r="J2889">
        <v>45.34</v>
      </c>
    </row>
    <row r="2890" spans="1:10" x14ac:dyDescent="0.25">
      <c r="A2890" s="1">
        <v>44742</v>
      </c>
      <c r="B2890" t="s">
        <v>36</v>
      </c>
      <c r="C2890" t="s">
        <v>17</v>
      </c>
      <c r="D2890" t="s">
        <v>12</v>
      </c>
      <c r="E2890" t="s">
        <v>114</v>
      </c>
      <c r="F2890" t="s">
        <v>115</v>
      </c>
      <c r="G2890" t="s">
        <v>15</v>
      </c>
      <c r="H2890">
        <v>6</v>
      </c>
      <c r="I2890">
        <v>558</v>
      </c>
      <c r="J2890">
        <v>57.01</v>
      </c>
    </row>
    <row r="2891" spans="1:10" x14ac:dyDescent="0.25">
      <c r="A2891" s="1">
        <v>45340</v>
      </c>
      <c r="B2891" t="s">
        <v>36</v>
      </c>
      <c r="C2891" t="s">
        <v>17</v>
      </c>
      <c r="D2891" t="s">
        <v>12</v>
      </c>
      <c r="E2891" t="s">
        <v>112</v>
      </c>
      <c r="F2891" t="s">
        <v>63</v>
      </c>
      <c r="G2891" t="s">
        <v>28</v>
      </c>
      <c r="H2891">
        <v>4</v>
      </c>
      <c r="I2891">
        <v>4024</v>
      </c>
      <c r="J2891">
        <v>787.06</v>
      </c>
    </row>
    <row r="2892" spans="1:10" x14ac:dyDescent="0.25">
      <c r="A2892" s="1">
        <v>44959</v>
      </c>
      <c r="B2892" t="s">
        <v>16</v>
      </c>
      <c r="C2892" t="s">
        <v>17</v>
      </c>
      <c r="D2892" t="s">
        <v>12</v>
      </c>
      <c r="E2892" t="s">
        <v>56</v>
      </c>
      <c r="F2892" t="s">
        <v>57</v>
      </c>
      <c r="G2892" t="s">
        <v>24</v>
      </c>
      <c r="H2892">
        <v>4</v>
      </c>
      <c r="I2892">
        <v>1560</v>
      </c>
      <c r="J2892">
        <v>461.15</v>
      </c>
    </row>
    <row r="2893" spans="1:10" x14ac:dyDescent="0.25">
      <c r="A2893" s="1">
        <v>45359</v>
      </c>
      <c r="B2893" t="s">
        <v>55</v>
      </c>
      <c r="C2893" t="s">
        <v>19</v>
      </c>
      <c r="D2893" t="s">
        <v>12</v>
      </c>
      <c r="E2893" t="s">
        <v>116</v>
      </c>
      <c r="F2893" t="s">
        <v>23</v>
      </c>
      <c r="G2893" t="s">
        <v>24</v>
      </c>
      <c r="H2893">
        <v>1</v>
      </c>
      <c r="I2893">
        <v>126</v>
      </c>
      <c r="J2893">
        <v>26.62</v>
      </c>
    </row>
    <row r="2894" spans="1:10" x14ac:dyDescent="0.25">
      <c r="A2894" s="1">
        <v>45207</v>
      </c>
      <c r="B2894" t="s">
        <v>16</v>
      </c>
      <c r="C2894" t="s">
        <v>17</v>
      </c>
      <c r="D2894" t="s">
        <v>12</v>
      </c>
      <c r="E2894" t="s">
        <v>52</v>
      </c>
      <c r="F2894" t="s">
        <v>42</v>
      </c>
      <c r="G2894" t="s">
        <v>28</v>
      </c>
      <c r="H2894">
        <v>7</v>
      </c>
      <c r="I2894">
        <v>4921</v>
      </c>
      <c r="J2894">
        <v>827.87</v>
      </c>
    </row>
    <row r="2895" spans="1:10" x14ac:dyDescent="0.25">
      <c r="A2895" s="1">
        <v>45209</v>
      </c>
      <c r="B2895" t="s">
        <v>29</v>
      </c>
      <c r="C2895" t="s">
        <v>17</v>
      </c>
      <c r="D2895" t="s">
        <v>12</v>
      </c>
      <c r="E2895" t="s">
        <v>117</v>
      </c>
      <c r="F2895" t="s">
        <v>59</v>
      </c>
      <c r="G2895" t="s">
        <v>28</v>
      </c>
      <c r="H2895">
        <v>5</v>
      </c>
      <c r="I2895">
        <v>2665</v>
      </c>
      <c r="J2895">
        <v>532.76</v>
      </c>
    </row>
    <row r="2896" spans="1:10" x14ac:dyDescent="0.25">
      <c r="A2896" s="1">
        <v>45021</v>
      </c>
      <c r="B2896" t="s">
        <v>29</v>
      </c>
      <c r="C2896" t="s">
        <v>17</v>
      </c>
      <c r="D2896" t="s">
        <v>12</v>
      </c>
      <c r="E2896" t="s">
        <v>62</v>
      </c>
      <c r="F2896" t="s">
        <v>63</v>
      </c>
      <c r="G2896" t="s">
        <v>28</v>
      </c>
      <c r="H2896">
        <v>4</v>
      </c>
      <c r="I2896">
        <v>200</v>
      </c>
      <c r="J2896">
        <v>58.42</v>
      </c>
    </row>
    <row r="2897" spans="1:10" x14ac:dyDescent="0.25">
      <c r="A2897" s="1">
        <v>45505</v>
      </c>
      <c r="B2897" t="s">
        <v>32</v>
      </c>
      <c r="C2897" t="s">
        <v>19</v>
      </c>
      <c r="D2897" t="s">
        <v>12</v>
      </c>
      <c r="E2897" t="s">
        <v>30</v>
      </c>
      <c r="F2897" t="s">
        <v>31</v>
      </c>
      <c r="G2897" t="s">
        <v>24</v>
      </c>
      <c r="H2897">
        <v>2</v>
      </c>
      <c r="I2897">
        <v>186</v>
      </c>
      <c r="J2897">
        <v>32.479999999999997</v>
      </c>
    </row>
    <row r="2898" spans="1:10" x14ac:dyDescent="0.25">
      <c r="A2898" s="1">
        <v>45577</v>
      </c>
      <c r="B2898" t="s">
        <v>36</v>
      </c>
      <c r="C2898" t="s">
        <v>17</v>
      </c>
      <c r="D2898" t="s">
        <v>12</v>
      </c>
      <c r="E2898" t="s">
        <v>70</v>
      </c>
      <c r="F2898" t="s">
        <v>71</v>
      </c>
      <c r="G2898" t="s">
        <v>35</v>
      </c>
      <c r="H2898">
        <v>8</v>
      </c>
      <c r="I2898">
        <v>5456</v>
      </c>
      <c r="J2898">
        <v>898.06</v>
      </c>
    </row>
    <row r="2899" spans="1:10" x14ac:dyDescent="0.25">
      <c r="A2899" s="1">
        <v>44771</v>
      </c>
      <c r="B2899" t="s">
        <v>32</v>
      </c>
      <c r="C2899" t="s">
        <v>19</v>
      </c>
      <c r="D2899" t="s">
        <v>12</v>
      </c>
      <c r="E2899" t="s">
        <v>26</v>
      </c>
      <c r="F2899" t="s">
        <v>27</v>
      </c>
      <c r="G2899" t="s">
        <v>28</v>
      </c>
      <c r="H2899">
        <v>9</v>
      </c>
      <c r="I2899">
        <v>3321</v>
      </c>
      <c r="J2899">
        <v>540.66999999999996</v>
      </c>
    </row>
    <row r="2900" spans="1:10" x14ac:dyDescent="0.25">
      <c r="A2900" s="1">
        <v>45335</v>
      </c>
      <c r="B2900" t="s">
        <v>29</v>
      </c>
      <c r="C2900" t="s">
        <v>17</v>
      </c>
      <c r="D2900" t="s">
        <v>12</v>
      </c>
      <c r="E2900" t="s">
        <v>118</v>
      </c>
      <c r="F2900" t="s">
        <v>42</v>
      </c>
      <c r="G2900" t="s">
        <v>28</v>
      </c>
      <c r="H2900">
        <v>7</v>
      </c>
      <c r="I2900">
        <v>3766</v>
      </c>
      <c r="J2900">
        <v>914.49</v>
      </c>
    </row>
    <row r="2901" spans="1:10" x14ac:dyDescent="0.25">
      <c r="A2901" s="1">
        <v>44688</v>
      </c>
      <c r="B2901" t="s">
        <v>49</v>
      </c>
      <c r="C2901" t="s">
        <v>17</v>
      </c>
      <c r="D2901" t="s">
        <v>12</v>
      </c>
      <c r="E2901" t="s">
        <v>118</v>
      </c>
      <c r="F2901" t="s">
        <v>42</v>
      </c>
      <c r="G2901" t="s">
        <v>28</v>
      </c>
      <c r="H2901">
        <v>6</v>
      </c>
      <c r="I2901">
        <v>3150</v>
      </c>
      <c r="J2901">
        <v>498.63</v>
      </c>
    </row>
    <row r="2902" spans="1:10" x14ac:dyDescent="0.25">
      <c r="A2902" s="1">
        <v>44700</v>
      </c>
      <c r="B2902" t="s">
        <v>55</v>
      </c>
      <c r="C2902" t="s">
        <v>19</v>
      </c>
      <c r="D2902" t="s">
        <v>12</v>
      </c>
      <c r="E2902" t="s">
        <v>56</v>
      </c>
      <c r="F2902" t="s">
        <v>57</v>
      </c>
      <c r="G2902" t="s">
        <v>24</v>
      </c>
      <c r="H2902">
        <v>2</v>
      </c>
      <c r="I2902">
        <v>646</v>
      </c>
      <c r="J2902">
        <v>110.13</v>
      </c>
    </row>
    <row r="2903" spans="1:10" x14ac:dyDescent="0.25">
      <c r="A2903" s="1">
        <v>44785</v>
      </c>
      <c r="B2903" t="s">
        <v>40</v>
      </c>
      <c r="C2903" t="s">
        <v>19</v>
      </c>
      <c r="D2903" t="s">
        <v>12</v>
      </c>
      <c r="E2903" t="s">
        <v>105</v>
      </c>
      <c r="F2903" t="s">
        <v>23</v>
      </c>
      <c r="G2903" t="s">
        <v>24</v>
      </c>
      <c r="H2903">
        <v>5</v>
      </c>
      <c r="I2903">
        <v>2665</v>
      </c>
      <c r="J2903">
        <v>369.73</v>
      </c>
    </row>
    <row r="2904" spans="1:10" x14ac:dyDescent="0.25">
      <c r="A2904" s="1">
        <v>45212</v>
      </c>
      <c r="B2904" t="s">
        <v>32</v>
      </c>
      <c r="C2904" t="s">
        <v>19</v>
      </c>
      <c r="D2904" t="s">
        <v>12</v>
      </c>
      <c r="E2904" t="s">
        <v>119</v>
      </c>
      <c r="F2904" t="s">
        <v>71</v>
      </c>
      <c r="G2904" t="s">
        <v>35</v>
      </c>
      <c r="H2904">
        <v>9</v>
      </c>
      <c r="I2904">
        <v>1467</v>
      </c>
      <c r="J2904">
        <v>384.22</v>
      </c>
    </row>
    <row r="2905" spans="1:10" x14ac:dyDescent="0.25">
      <c r="A2905" s="1">
        <v>45478</v>
      </c>
      <c r="B2905" t="s">
        <v>18</v>
      </c>
      <c r="C2905" t="s">
        <v>19</v>
      </c>
      <c r="D2905" t="s">
        <v>12</v>
      </c>
      <c r="E2905" t="s">
        <v>22</v>
      </c>
      <c r="F2905" t="s">
        <v>23</v>
      </c>
      <c r="G2905" t="s">
        <v>24</v>
      </c>
      <c r="H2905">
        <v>7</v>
      </c>
      <c r="I2905">
        <v>4620</v>
      </c>
      <c r="J2905">
        <v>990.79</v>
      </c>
    </row>
    <row r="2906" spans="1:10" x14ac:dyDescent="0.25">
      <c r="A2906" s="1">
        <v>45002</v>
      </c>
      <c r="B2906" t="s">
        <v>18</v>
      </c>
      <c r="C2906" t="s">
        <v>19</v>
      </c>
      <c r="D2906" t="s">
        <v>12</v>
      </c>
      <c r="E2906" t="s">
        <v>103</v>
      </c>
      <c r="F2906" t="s">
        <v>21</v>
      </c>
      <c r="G2906" t="s">
        <v>15</v>
      </c>
      <c r="H2906">
        <v>8</v>
      </c>
      <c r="I2906">
        <v>1184</v>
      </c>
      <c r="J2906">
        <v>148.69</v>
      </c>
    </row>
    <row r="2907" spans="1:10" x14ac:dyDescent="0.25">
      <c r="A2907" s="1">
        <v>45231</v>
      </c>
      <c r="B2907" t="s">
        <v>25</v>
      </c>
      <c r="C2907" t="s">
        <v>19</v>
      </c>
      <c r="D2907" t="s">
        <v>12</v>
      </c>
      <c r="E2907" t="s">
        <v>120</v>
      </c>
      <c r="F2907" t="s">
        <v>21</v>
      </c>
      <c r="G2907" t="s">
        <v>15</v>
      </c>
      <c r="H2907">
        <v>1</v>
      </c>
      <c r="I2907">
        <v>113</v>
      </c>
      <c r="J2907">
        <v>20.07</v>
      </c>
    </row>
    <row r="2908" spans="1:10" x14ac:dyDescent="0.25">
      <c r="A2908" s="1">
        <v>45567</v>
      </c>
      <c r="B2908" t="s">
        <v>10</v>
      </c>
      <c r="C2908" t="s">
        <v>11</v>
      </c>
      <c r="D2908" t="s">
        <v>12</v>
      </c>
      <c r="E2908" t="s">
        <v>111</v>
      </c>
      <c r="F2908" t="s">
        <v>115</v>
      </c>
      <c r="G2908" t="s">
        <v>15</v>
      </c>
      <c r="H2908">
        <v>8</v>
      </c>
      <c r="I2908">
        <v>3336</v>
      </c>
      <c r="J2908">
        <v>492.76</v>
      </c>
    </row>
    <row r="2909" spans="1:10" x14ac:dyDescent="0.25">
      <c r="A2909" s="1">
        <v>45025</v>
      </c>
      <c r="B2909" t="s">
        <v>40</v>
      </c>
      <c r="C2909" t="s">
        <v>19</v>
      </c>
      <c r="D2909" t="s">
        <v>12</v>
      </c>
      <c r="E2909" t="s">
        <v>121</v>
      </c>
      <c r="F2909" t="s">
        <v>122</v>
      </c>
      <c r="G2909" t="s">
        <v>35</v>
      </c>
      <c r="H2909">
        <v>4</v>
      </c>
      <c r="I2909">
        <v>4224</v>
      </c>
      <c r="J2909">
        <v>477.33</v>
      </c>
    </row>
    <row r="2910" spans="1:10" x14ac:dyDescent="0.25">
      <c r="A2910" s="1">
        <v>44751</v>
      </c>
      <c r="B2910" t="s">
        <v>29</v>
      </c>
      <c r="C2910" t="s">
        <v>17</v>
      </c>
      <c r="D2910" t="s">
        <v>12</v>
      </c>
      <c r="E2910" t="s">
        <v>74</v>
      </c>
      <c r="F2910" t="s">
        <v>23</v>
      </c>
      <c r="G2910" t="s">
        <v>24</v>
      </c>
      <c r="H2910">
        <v>3</v>
      </c>
      <c r="I2910">
        <v>1098</v>
      </c>
      <c r="J2910">
        <v>144.24</v>
      </c>
    </row>
    <row r="2911" spans="1:10" x14ac:dyDescent="0.25">
      <c r="A2911" s="1">
        <v>45361</v>
      </c>
      <c r="B2911" t="s">
        <v>25</v>
      </c>
      <c r="C2911" t="s">
        <v>19</v>
      </c>
      <c r="D2911" t="s">
        <v>12</v>
      </c>
      <c r="E2911" t="s">
        <v>75</v>
      </c>
      <c r="F2911" t="s">
        <v>63</v>
      </c>
      <c r="G2911" t="s">
        <v>28</v>
      </c>
      <c r="H2911">
        <v>8</v>
      </c>
      <c r="I2911">
        <v>4400</v>
      </c>
      <c r="J2911">
        <v>351.82</v>
      </c>
    </row>
    <row r="2912" spans="1:10" x14ac:dyDescent="0.25">
      <c r="A2912" s="1">
        <v>44689</v>
      </c>
      <c r="B2912" t="s">
        <v>10</v>
      </c>
      <c r="C2912" t="s">
        <v>11</v>
      </c>
      <c r="D2912" t="s">
        <v>12</v>
      </c>
      <c r="E2912" t="s">
        <v>123</v>
      </c>
      <c r="F2912" t="s">
        <v>23</v>
      </c>
      <c r="G2912" t="s">
        <v>24</v>
      </c>
      <c r="H2912">
        <v>8</v>
      </c>
      <c r="I2912">
        <v>5616</v>
      </c>
      <c r="J2912">
        <v>723.42</v>
      </c>
    </row>
    <row r="2913" spans="1:10" x14ac:dyDescent="0.25">
      <c r="A2913" s="1">
        <v>45353</v>
      </c>
      <c r="B2913" t="s">
        <v>10</v>
      </c>
      <c r="C2913" t="s">
        <v>11</v>
      </c>
      <c r="D2913" t="s">
        <v>12</v>
      </c>
      <c r="E2913" t="s">
        <v>104</v>
      </c>
      <c r="F2913" t="s">
        <v>115</v>
      </c>
      <c r="G2913" t="s">
        <v>15</v>
      </c>
      <c r="H2913">
        <v>7</v>
      </c>
      <c r="I2913">
        <v>4676</v>
      </c>
      <c r="J2913">
        <v>520.38</v>
      </c>
    </row>
    <row r="2914" spans="1:10" x14ac:dyDescent="0.25">
      <c r="A2914" s="1">
        <v>44761</v>
      </c>
      <c r="B2914" t="s">
        <v>32</v>
      </c>
      <c r="C2914" t="s">
        <v>19</v>
      </c>
      <c r="D2914" t="s">
        <v>12</v>
      </c>
      <c r="E2914" t="s">
        <v>124</v>
      </c>
      <c r="F2914" t="s">
        <v>23</v>
      </c>
      <c r="G2914" t="s">
        <v>24</v>
      </c>
      <c r="H2914">
        <v>2</v>
      </c>
      <c r="I2914">
        <v>2370</v>
      </c>
      <c r="J2914">
        <v>641.23</v>
      </c>
    </row>
    <row r="2915" spans="1:10" x14ac:dyDescent="0.25">
      <c r="A2915" s="1">
        <v>44950</v>
      </c>
      <c r="B2915" t="s">
        <v>16</v>
      </c>
      <c r="C2915" t="s">
        <v>17</v>
      </c>
      <c r="D2915" t="s">
        <v>12</v>
      </c>
      <c r="E2915" t="s">
        <v>105</v>
      </c>
      <c r="F2915" t="s">
        <v>23</v>
      </c>
      <c r="G2915" t="s">
        <v>24</v>
      </c>
      <c r="H2915">
        <v>7</v>
      </c>
      <c r="I2915">
        <v>4487</v>
      </c>
      <c r="J2915">
        <v>688.76</v>
      </c>
    </row>
    <row r="2916" spans="1:10" x14ac:dyDescent="0.25">
      <c r="A2916" s="1">
        <v>45566</v>
      </c>
      <c r="B2916" t="s">
        <v>25</v>
      </c>
      <c r="C2916" t="s">
        <v>19</v>
      </c>
      <c r="D2916" t="s">
        <v>12</v>
      </c>
      <c r="E2916" t="s">
        <v>74</v>
      </c>
      <c r="F2916" t="s">
        <v>23</v>
      </c>
      <c r="G2916" t="s">
        <v>24</v>
      </c>
      <c r="H2916">
        <v>6</v>
      </c>
      <c r="I2916">
        <v>6384</v>
      </c>
      <c r="J2916">
        <v>1754.15</v>
      </c>
    </row>
    <row r="2917" spans="1:10" x14ac:dyDescent="0.25">
      <c r="A2917" s="1">
        <v>45015</v>
      </c>
      <c r="B2917" t="s">
        <v>49</v>
      </c>
      <c r="C2917" t="s">
        <v>17</v>
      </c>
      <c r="D2917" t="s">
        <v>12</v>
      </c>
      <c r="E2917" t="s">
        <v>125</v>
      </c>
      <c r="F2917" t="s">
        <v>126</v>
      </c>
      <c r="G2917" t="s">
        <v>35</v>
      </c>
      <c r="H2917">
        <v>8</v>
      </c>
      <c r="I2917">
        <v>2960</v>
      </c>
      <c r="J2917">
        <v>878.11</v>
      </c>
    </row>
    <row r="2918" spans="1:10" x14ac:dyDescent="0.25">
      <c r="A2918" s="1">
        <v>44644</v>
      </c>
      <c r="B2918" t="s">
        <v>32</v>
      </c>
      <c r="C2918" t="s">
        <v>19</v>
      </c>
      <c r="D2918" t="s">
        <v>12</v>
      </c>
      <c r="E2918" t="s">
        <v>127</v>
      </c>
      <c r="F2918" t="s">
        <v>57</v>
      </c>
      <c r="G2918" t="s">
        <v>24</v>
      </c>
      <c r="H2918">
        <v>1</v>
      </c>
      <c r="I2918">
        <v>897</v>
      </c>
      <c r="J2918">
        <v>250.78</v>
      </c>
    </row>
    <row r="2919" spans="1:10" x14ac:dyDescent="0.25">
      <c r="A2919" s="1">
        <v>45010</v>
      </c>
      <c r="B2919" t="s">
        <v>40</v>
      </c>
      <c r="C2919" t="s">
        <v>19</v>
      </c>
      <c r="D2919" t="s">
        <v>12</v>
      </c>
      <c r="E2919" t="s">
        <v>128</v>
      </c>
      <c r="F2919" t="s">
        <v>23</v>
      </c>
      <c r="G2919" t="s">
        <v>24</v>
      </c>
      <c r="H2919">
        <v>2</v>
      </c>
      <c r="I2919">
        <v>1178</v>
      </c>
      <c r="J2919">
        <v>120.51</v>
      </c>
    </row>
    <row r="2920" spans="1:10" x14ac:dyDescent="0.25">
      <c r="A2920" s="1">
        <v>44946</v>
      </c>
      <c r="B2920" t="s">
        <v>32</v>
      </c>
      <c r="C2920" t="s">
        <v>19</v>
      </c>
      <c r="D2920" t="s">
        <v>12</v>
      </c>
      <c r="E2920" t="s">
        <v>26</v>
      </c>
      <c r="F2920" t="s">
        <v>27</v>
      </c>
      <c r="G2920" t="s">
        <v>28</v>
      </c>
      <c r="H2920">
        <v>2</v>
      </c>
      <c r="I2920">
        <v>1026</v>
      </c>
      <c r="J2920">
        <v>64.510000000000005</v>
      </c>
    </row>
    <row r="2921" spans="1:10" x14ac:dyDescent="0.25">
      <c r="A2921" s="1">
        <v>44703</v>
      </c>
      <c r="B2921" t="s">
        <v>10</v>
      </c>
      <c r="C2921" t="s">
        <v>11</v>
      </c>
      <c r="D2921" t="s">
        <v>12</v>
      </c>
      <c r="E2921" t="s">
        <v>129</v>
      </c>
      <c r="F2921" t="s">
        <v>14</v>
      </c>
      <c r="G2921" t="s">
        <v>15</v>
      </c>
      <c r="H2921">
        <v>1</v>
      </c>
      <c r="I2921">
        <v>1148</v>
      </c>
      <c r="J2921">
        <v>89.04</v>
      </c>
    </row>
    <row r="2922" spans="1:10" x14ac:dyDescent="0.25">
      <c r="A2922" s="1">
        <v>44972</v>
      </c>
      <c r="B2922" t="s">
        <v>10</v>
      </c>
      <c r="C2922" t="s">
        <v>11</v>
      </c>
      <c r="D2922" t="s">
        <v>12</v>
      </c>
      <c r="E2922" t="s">
        <v>52</v>
      </c>
      <c r="F2922" t="s">
        <v>42</v>
      </c>
      <c r="G2922" t="s">
        <v>28</v>
      </c>
      <c r="H2922">
        <v>7</v>
      </c>
      <c r="I2922">
        <v>3185</v>
      </c>
      <c r="J2922">
        <v>765.41</v>
      </c>
    </row>
    <row r="2923" spans="1:10" x14ac:dyDescent="0.25">
      <c r="A2923" s="1">
        <v>44623</v>
      </c>
      <c r="B2923" t="s">
        <v>40</v>
      </c>
      <c r="C2923" t="s">
        <v>19</v>
      </c>
      <c r="D2923" t="s">
        <v>12</v>
      </c>
      <c r="E2923" t="s">
        <v>130</v>
      </c>
      <c r="F2923" t="s">
        <v>14</v>
      </c>
      <c r="G2923" t="s">
        <v>15</v>
      </c>
      <c r="H2923">
        <v>7</v>
      </c>
      <c r="I2923">
        <v>5180</v>
      </c>
      <c r="J2923">
        <v>463.35</v>
      </c>
    </row>
    <row r="2924" spans="1:10" x14ac:dyDescent="0.25">
      <c r="A2924" s="1">
        <v>44867</v>
      </c>
      <c r="B2924" t="s">
        <v>29</v>
      </c>
      <c r="C2924" t="s">
        <v>17</v>
      </c>
      <c r="D2924" t="s">
        <v>12</v>
      </c>
      <c r="E2924" t="s">
        <v>131</v>
      </c>
      <c r="F2924" t="s">
        <v>63</v>
      </c>
      <c r="G2924" t="s">
        <v>28</v>
      </c>
      <c r="H2924">
        <v>5</v>
      </c>
      <c r="I2924">
        <v>2025</v>
      </c>
      <c r="J2924">
        <v>295.13</v>
      </c>
    </row>
    <row r="2925" spans="1:10" x14ac:dyDescent="0.25">
      <c r="A2925" s="1">
        <v>45650</v>
      </c>
      <c r="B2925" t="s">
        <v>18</v>
      </c>
      <c r="C2925" t="s">
        <v>19</v>
      </c>
      <c r="D2925" t="s">
        <v>12</v>
      </c>
      <c r="E2925" t="s">
        <v>52</v>
      </c>
      <c r="F2925" t="s">
        <v>42</v>
      </c>
      <c r="G2925" t="s">
        <v>28</v>
      </c>
      <c r="H2925">
        <v>9</v>
      </c>
      <c r="I2925">
        <v>1359</v>
      </c>
      <c r="J2925">
        <v>187.72</v>
      </c>
    </row>
    <row r="2926" spans="1:10" x14ac:dyDescent="0.25">
      <c r="A2926" s="1">
        <v>45015</v>
      </c>
      <c r="B2926" t="s">
        <v>25</v>
      </c>
      <c r="C2926" t="s">
        <v>19</v>
      </c>
      <c r="D2926" t="s">
        <v>12</v>
      </c>
      <c r="E2926" t="s">
        <v>132</v>
      </c>
      <c r="F2926" t="s">
        <v>115</v>
      </c>
      <c r="G2926" t="s">
        <v>15</v>
      </c>
      <c r="H2926">
        <v>4</v>
      </c>
      <c r="I2926">
        <v>1836</v>
      </c>
      <c r="J2926">
        <v>462.52</v>
      </c>
    </row>
    <row r="2927" spans="1:10" x14ac:dyDescent="0.25">
      <c r="A2927" s="1">
        <v>44898</v>
      </c>
      <c r="B2927" t="s">
        <v>18</v>
      </c>
      <c r="C2927" t="s">
        <v>19</v>
      </c>
      <c r="D2927" t="s">
        <v>12</v>
      </c>
      <c r="E2927" t="s">
        <v>91</v>
      </c>
      <c r="F2927" t="s">
        <v>133</v>
      </c>
      <c r="G2927" t="s">
        <v>28</v>
      </c>
      <c r="H2927">
        <v>2</v>
      </c>
      <c r="I2927">
        <v>702</v>
      </c>
      <c r="J2927">
        <v>112.04</v>
      </c>
    </row>
    <row r="2928" spans="1:10" x14ac:dyDescent="0.25">
      <c r="A2928" s="1">
        <v>45633</v>
      </c>
      <c r="B2928" t="s">
        <v>40</v>
      </c>
      <c r="C2928" t="s">
        <v>19</v>
      </c>
      <c r="D2928" t="s">
        <v>12</v>
      </c>
      <c r="E2928" t="s">
        <v>52</v>
      </c>
      <c r="F2928" t="s">
        <v>42</v>
      </c>
      <c r="G2928" t="s">
        <v>28</v>
      </c>
      <c r="H2928">
        <v>8</v>
      </c>
      <c r="I2928">
        <v>6576</v>
      </c>
      <c r="J2928">
        <v>1337.38</v>
      </c>
    </row>
    <row r="2929" spans="1:10" x14ac:dyDescent="0.25">
      <c r="A2929" s="1">
        <v>45358</v>
      </c>
      <c r="B2929" t="s">
        <v>32</v>
      </c>
      <c r="C2929" t="s">
        <v>19</v>
      </c>
      <c r="D2929" t="s">
        <v>12</v>
      </c>
      <c r="E2929" t="s">
        <v>70</v>
      </c>
      <c r="F2929" t="s">
        <v>71</v>
      </c>
      <c r="G2929" t="s">
        <v>35</v>
      </c>
      <c r="H2929">
        <v>2</v>
      </c>
      <c r="I2929">
        <v>1428</v>
      </c>
      <c r="J2929">
        <v>398.24</v>
      </c>
    </row>
    <row r="2930" spans="1:10" x14ac:dyDescent="0.25">
      <c r="A2930" s="1">
        <v>44934</v>
      </c>
      <c r="B2930" t="s">
        <v>25</v>
      </c>
      <c r="C2930" t="s">
        <v>19</v>
      </c>
      <c r="D2930" t="s">
        <v>12</v>
      </c>
      <c r="E2930" t="s">
        <v>134</v>
      </c>
      <c r="F2930" t="s">
        <v>42</v>
      </c>
      <c r="G2930" t="s">
        <v>28</v>
      </c>
      <c r="H2930">
        <v>7</v>
      </c>
      <c r="I2930">
        <v>6853</v>
      </c>
      <c r="J2930">
        <v>1259.03</v>
      </c>
    </row>
    <row r="2931" spans="1:10" x14ac:dyDescent="0.25">
      <c r="A2931" s="1">
        <v>44697</v>
      </c>
      <c r="B2931" t="s">
        <v>25</v>
      </c>
      <c r="C2931" t="s">
        <v>19</v>
      </c>
      <c r="D2931" t="s">
        <v>12</v>
      </c>
      <c r="E2931" t="s">
        <v>52</v>
      </c>
      <c r="F2931" t="s">
        <v>42</v>
      </c>
      <c r="G2931" t="s">
        <v>28</v>
      </c>
      <c r="H2931">
        <v>2</v>
      </c>
      <c r="I2931">
        <v>1492</v>
      </c>
      <c r="J2931">
        <v>276.56</v>
      </c>
    </row>
    <row r="2932" spans="1:10" x14ac:dyDescent="0.25">
      <c r="A2932" s="1">
        <v>45411</v>
      </c>
      <c r="B2932" t="s">
        <v>10</v>
      </c>
      <c r="C2932" t="s">
        <v>11</v>
      </c>
      <c r="D2932" t="s">
        <v>12</v>
      </c>
      <c r="E2932" t="s">
        <v>135</v>
      </c>
      <c r="F2932" t="s">
        <v>83</v>
      </c>
      <c r="G2932" t="s">
        <v>28</v>
      </c>
      <c r="H2932">
        <v>6</v>
      </c>
      <c r="I2932">
        <v>1938</v>
      </c>
      <c r="J2932">
        <v>146.72999999999999</v>
      </c>
    </row>
    <row r="2933" spans="1:10" x14ac:dyDescent="0.25">
      <c r="A2933" s="1">
        <v>44934</v>
      </c>
      <c r="B2933" t="s">
        <v>25</v>
      </c>
      <c r="C2933" t="s">
        <v>19</v>
      </c>
      <c r="D2933" t="s">
        <v>12</v>
      </c>
      <c r="E2933" t="s">
        <v>136</v>
      </c>
      <c r="F2933" t="s">
        <v>65</v>
      </c>
      <c r="G2933" t="s">
        <v>35</v>
      </c>
      <c r="H2933">
        <v>5</v>
      </c>
      <c r="I2933">
        <v>905</v>
      </c>
      <c r="J2933">
        <v>70.91</v>
      </c>
    </row>
    <row r="2934" spans="1:10" x14ac:dyDescent="0.25">
      <c r="A2934" s="1">
        <v>44617</v>
      </c>
      <c r="B2934" t="s">
        <v>10</v>
      </c>
      <c r="C2934" t="s">
        <v>11</v>
      </c>
      <c r="D2934" t="s">
        <v>12</v>
      </c>
      <c r="E2934" t="s">
        <v>66</v>
      </c>
      <c r="F2934" t="s">
        <v>34</v>
      </c>
      <c r="G2934" t="s">
        <v>35</v>
      </c>
      <c r="H2934">
        <v>3</v>
      </c>
      <c r="I2934">
        <v>2571</v>
      </c>
      <c r="J2934">
        <v>510.01</v>
      </c>
    </row>
    <row r="2935" spans="1:10" x14ac:dyDescent="0.25">
      <c r="A2935" s="1">
        <v>45390</v>
      </c>
      <c r="B2935" t="s">
        <v>18</v>
      </c>
      <c r="C2935" t="s">
        <v>19</v>
      </c>
      <c r="D2935" t="s">
        <v>12</v>
      </c>
      <c r="E2935" t="s">
        <v>66</v>
      </c>
      <c r="F2935" t="s">
        <v>34</v>
      </c>
      <c r="G2935" t="s">
        <v>35</v>
      </c>
      <c r="H2935">
        <v>4</v>
      </c>
      <c r="I2935">
        <v>1500</v>
      </c>
      <c r="J2935">
        <v>127.81</v>
      </c>
    </row>
    <row r="2936" spans="1:10" x14ac:dyDescent="0.25">
      <c r="A2936" s="1">
        <v>45002</v>
      </c>
      <c r="B2936" t="s">
        <v>32</v>
      </c>
      <c r="C2936" t="s">
        <v>19</v>
      </c>
      <c r="D2936" t="s">
        <v>12</v>
      </c>
      <c r="E2936" t="s">
        <v>137</v>
      </c>
      <c r="F2936" t="s">
        <v>23</v>
      </c>
      <c r="G2936" t="s">
        <v>24</v>
      </c>
      <c r="H2936">
        <v>9</v>
      </c>
      <c r="I2936">
        <v>8712</v>
      </c>
      <c r="J2936">
        <v>1034.27</v>
      </c>
    </row>
    <row r="2937" spans="1:10" x14ac:dyDescent="0.25">
      <c r="A2937" s="1">
        <v>45496</v>
      </c>
      <c r="B2937" t="s">
        <v>36</v>
      </c>
      <c r="C2937" t="s">
        <v>17</v>
      </c>
      <c r="D2937" t="s">
        <v>12</v>
      </c>
      <c r="E2937" t="s">
        <v>138</v>
      </c>
      <c r="F2937" t="s">
        <v>94</v>
      </c>
      <c r="G2937" t="s">
        <v>24</v>
      </c>
      <c r="H2937">
        <v>4</v>
      </c>
      <c r="I2937">
        <v>1308</v>
      </c>
      <c r="J2937">
        <v>368.28</v>
      </c>
    </row>
    <row r="2938" spans="1:10" x14ac:dyDescent="0.25">
      <c r="A2938" s="1">
        <v>45357</v>
      </c>
      <c r="B2938" t="s">
        <v>40</v>
      </c>
      <c r="C2938" t="s">
        <v>19</v>
      </c>
      <c r="D2938" t="s">
        <v>12</v>
      </c>
      <c r="E2938" t="s">
        <v>26</v>
      </c>
      <c r="F2938" t="s">
        <v>27</v>
      </c>
      <c r="G2938" t="s">
        <v>28</v>
      </c>
      <c r="H2938">
        <v>4</v>
      </c>
      <c r="I2938">
        <v>2648</v>
      </c>
      <c r="J2938">
        <v>707.32</v>
      </c>
    </row>
    <row r="2939" spans="1:10" x14ac:dyDescent="0.25">
      <c r="A2939" s="1">
        <v>44638</v>
      </c>
      <c r="B2939" t="s">
        <v>25</v>
      </c>
      <c r="C2939" t="s">
        <v>19</v>
      </c>
      <c r="D2939" t="s">
        <v>12</v>
      </c>
      <c r="E2939" t="s">
        <v>26</v>
      </c>
      <c r="F2939" t="s">
        <v>27</v>
      </c>
      <c r="G2939" t="s">
        <v>28</v>
      </c>
      <c r="H2939">
        <v>9</v>
      </c>
      <c r="I2939">
        <v>9810</v>
      </c>
      <c r="J2939">
        <v>1666.96</v>
      </c>
    </row>
    <row r="2940" spans="1:10" x14ac:dyDescent="0.25">
      <c r="A2940" s="1">
        <v>45415</v>
      </c>
      <c r="B2940" t="s">
        <v>29</v>
      </c>
      <c r="C2940" t="s">
        <v>17</v>
      </c>
      <c r="D2940" t="s">
        <v>12</v>
      </c>
      <c r="E2940" t="s">
        <v>26</v>
      </c>
      <c r="F2940" t="s">
        <v>27</v>
      </c>
      <c r="G2940" t="s">
        <v>28</v>
      </c>
      <c r="H2940">
        <v>3</v>
      </c>
      <c r="I2940">
        <v>3291</v>
      </c>
      <c r="J2940">
        <v>274.10000000000002</v>
      </c>
    </row>
    <row r="2941" spans="1:10" x14ac:dyDescent="0.25">
      <c r="A2941" s="1">
        <v>44826</v>
      </c>
      <c r="B2941" t="s">
        <v>32</v>
      </c>
      <c r="C2941" t="s">
        <v>19</v>
      </c>
      <c r="D2941" t="s">
        <v>12</v>
      </c>
      <c r="E2941" t="s">
        <v>26</v>
      </c>
      <c r="F2941" t="s">
        <v>27</v>
      </c>
      <c r="G2941" t="s">
        <v>28</v>
      </c>
      <c r="H2941">
        <v>1</v>
      </c>
      <c r="I2941">
        <v>758</v>
      </c>
      <c r="J2941">
        <v>96.44</v>
      </c>
    </row>
    <row r="2942" spans="1:10" x14ac:dyDescent="0.25">
      <c r="A2942" s="1">
        <v>44833</v>
      </c>
      <c r="B2942" t="s">
        <v>49</v>
      </c>
      <c r="C2942" t="s">
        <v>17</v>
      </c>
      <c r="D2942" t="s">
        <v>12</v>
      </c>
      <c r="E2942" t="s">
        <v>139</v>
      </c>
      <c r="F2942" t="s">
        <v>34</v>
      </c>
      <c r="G2942" t="s">
        <v>35</v>
      </c>
      <c r="H2942">
        <v>7</v>
      </c>
      <c r="I2942">
        <v>2436</v>
      </c>
      <c r="J2942">
        <v>715.14</v>
      </c>
    </row>
    <row r="2943" spans="1:10" x14ac:dyDescent="0.25">
      <c r="A2943" s="1">
        <v>45444</v>
      </c>
      <c r="B2943" t="s">
        <v>32</v>
      </c>
      <c r="C2943" t="s">
        <v>19</v>
      </c>
      <c r="D2943" t="s">
        <v>12</v>
      </c>
      <c r="E2943" t="s">
        <v>118</v>
      </c>
      <c r="F2943" t="s">
        <v>23</v>
      </c>
      <c r="G2943" t="s">
        <v>24</v>
      </c>
      <c r="H2943">
        <v>7</v>
      </c>
      <c r="I2943">
        <v>560</v>
      </c>
      <c r="J2943">
        <v>163.16</v>
      </c>
    </row>
    <row r="2944" spans="1:10" x14ac:dyDescent="0.25">
      <c r="A2944" s="1">
        <v>44854</v>
      </c>
      <c r="B2944" t="s">
        <v>40</v>
      </c>
      <c r="C2944" t="s">
        <v>19</v>
      </c>
      <c r="D2944" t="s">
        <v>12</v>
      </c>
      <c r="E2944" t="s">
        <v>74</v>
      </c>
      <c r="F2944" t="s">
        <v>23</v>
      </c>
      <c r="G2944" t="s">
        <v>24</v>
      </c>
      <c r="H2944">
        <v>8</v>
      </c>
      <c r="I2944">
        <v>4240</v>
      </c>
      <c r="J2944">
        <v>519.72</v>
      </c>
    </row>
    <row r="2945" spans="1:10" x14ac:dyDescent="0.25">
      <c r="A2945" s="1">
        <v>45540</v>
      </c>
      <c r="B2945" t="s">
        <v>36</v>
      </c>
      <c r="C2945" t="s">
        <v>17</v>
      </c>
      <c r="D2945" t="s">
        <v>12</v>
      </c>
      <c r="E2945" t="s">
        <v>26</v>
      </c>
      <c r="F2945" t="s">
        <v>27</v>
      </c>
      <c r="G2945" t="s">
        <v>28</v>
      </c>
      <c r="H2945">
        <v>8</v>
      </c>
      <c r="I2945">
        <v>5416</v>
      </c>
      <c r="J2945">
        <v>403.52</v>
      </c>
    </row>
    <row r="2946" spans="1:10" x14ac:dyDescent="0.25">
      <c r="A2946" s="1">
        <v>45123</v>
      </c>
      <c r="B2946" t="s">
        <v>40</v>
      </c>
      <c r="C2946" t="s">
        <v>19</v>
      </c>
      <c r="D2946" t="s">
        <v>12</v>
      </c>
      <c r="E2946" t="s">
        <v>52</v>
      </c>
      <c r="F2946" t="s">
        <v>42</v>
      </c>
      <c r="G2946" t="s">
        <v>28</v>
      </c>
      <c r="H2946">
        <v>8</v>
      </c>
      <c r="I2946">
        <v>1728</v>
      </c>
      <c r="J2946">
        <v>477.7</v>
      </c>
    </row>
    <row r="2947" spans="1:10" x14ac:dyDescent="0.25">
      <c r="A2947" s="1">
        <v>45122</v>
      </c>
      <c r="B2947" t="s">
        <v>49</v>
      </c>
      <c r="C2947" t="s">
        <v>17</v>
      </c>
      <c r="D2947" t="s">
        <v>12</v>
      </c>
      <c r="E2947" t="s">
        <v>130</v>
      </c>
      <c r="F2947" t="s">
        <v>54</v>
      </c>
      <c r="G2947" t="s">
        <v>24</v>
      </c>
      <c r="H2947">
        <v>9</v>
      </c>
      <c r="I2947">
        <v>6309</v>
      </c>
      <c r="J2947">
        <v>801.15</v>
      </c>
    </row>
    <row r="2948" spans="1:10" x14ac:dyDescent="0.25">
      <c r="A2948" s="1">
        <v>45146</v>
      </c>
      <c r="B2948" t="s">
        <v>49</v>
      </c>
      <c r="C2948" t="s">
        <v>17</v>
      </c>
      <c r="D2948" t="s">
        <v>12</v>
      </c>
      <c r="E2948" t="s">
        <v>140</v>
      </c>
      <c r="F2948" t="s">
        <v>42</v>
      </c>
      <c r="G2948" t="s">
        <v>28</v>
      </c>
      <c r="H2948">
        <v>8</v>
      </c>
      <c r="I2948">
        <v>3400</v>
      </c>
      <c r="J2948">
        <v>758.57</v>
      </c>
    </row>
    <row r="2949" spans="1:10" x14ac:dyDescent="0.25">
      <c r="A2949" s="1">
        <v>44680</v>
      </c>
      <c r="B2949" t="s">
        <v>55</v>
      </c>
      <c r="C2949" t="s">
        <v>19</v>
      </c>
      <c r="D2949" t="s">
        <v>12</v>
      </c>
      <c r="E2949" t="s">
        <v>103</v>
      </c>
      <c r="F2949" t="s">
        <v>21</v>
      </c>
      <c r="G2949" t="s">
        <v>15</v>
      </c>
      <c r="H2949">
        <v>1</v>
      </c>
      <c r="I2949">
        <v>403</v>
      </c>
      <c r="J2949">
        <v>72.45</v>
      </c>
    </row>
    <row r="2950" spans="1:10" x14ac:dyDescent="0.25">
      <c r="A2950" s="1">
        <v>44912</v>
      </c>
      <c r="B2950" t="s">
        <v>49</v>
      </c>
      <c r="C2950" t="s">
        <v>17</v>
      </c>
      <c r="D2950" t="s">
        <v>12</v>
      </c>
      <c r="E2950" t="s">
        <v>13</v>
      </c>
      <c r="F2950" t="s">
        <v>14</v>
      </c>
      <c r="G2950" t="s">
        <v>15</v>
      </c>
      <c r="H2950">
        <v>4</v>
      </c>
      <c r="I2950">
        <v>2108</v>
      </c>
      <c r="J2950">
        <v>375.62</v>
      </c>
    </row>
    <row r="2951" spans="1:10" x14ac:dyDescent="0.25">
      <c r="A2951" s="1">
        <v>44834</v>
      </c>
      <c r="B2951" t="s">
        <v>29</v>
      </c>
      <c r="C2951" t="s">
        <v>17</v>
      </c>
      <c r="D2951" t="s">
        <v>12</v>
      </c>
      <c r="E2951" t="s">
        <v>13</v>
      </c>
      <c r="F2951" t="s">
        <v>14</v>
      </c>
      <c r="G2951" t="s">
        <v>15</v>
      </c>
      <c r="H2951">
        <v>2</v>
      </c>
      <c r="I2951">
        <v>1090</v>
      </c>
      <c r="J2951">
        <v>296.12</v>
      </c>
    </row>
    <row r="2952" spans="1:10" x14ac:dyDescent="0.25">
      <c r="A2952" s="1">
        <v>44871</v>
      </c>
      <c r="B2952" t="s">
        <v>49</v>
      </c>
      <c r="C2952" t="s">
        <v>17</v>
      </c>
      <c r="D2952" t="s">
        <v>12</v>
      </c>
      <c r="E2952" t="s">
        <v>52</v>
      </c>
      <c r="F2952" t="s">
        <v>42</v>
      </c>
      <c r="G2952" t="s">
        <v>28</v>
      </c>
      <c r="H2952">
        <v>7</v>
      </c>
      <c r="I2952">
        <v>1274</v>
      </c>
      <c r="J2952">
        <v>317.92</v>
      </c>
    </row>
    <row r="2953" spans="1:10" x14ac:dyDescent="0.25">
      <c r="A2953" s="1">
        <v>45393</v>
      </c>
      <c r="B2953" t="s">
        <v>16</v>
      </c>
      <c r="C2953" t="s">
        <v>17</v>
      </c>
      <c r="D2953" t="s">
        <v>12</v>
      </c>
      <c r="E2953" t="s">
        <v>105</v>
      </c>
      <c r="F2953" t="s">
        <v>23</v>
      </c>
      <c r="G2953" t="s">
        <v>24</v>
      </c>
      <c r="H2953">
        <v>3</v>
      </c>
      <c r="I2953">
        <v>1056</v>
      </c>
      <c r="J2953">
        <v>70.540000000000006</v>
      </c>
    </row>
    <row r="2954" spans="1:10" x14ac:dyDescent="0.25">
      <c r="A2954" s="1">
        <v>45078</v>
      </c>
      <c r="B2954" t="s">
        <v>16</v>
      </c>
      <c r="C2954" t="s">
        <v>17</v>
      </c>
      <c r="D2954" t="s">
        <v>12</v>
      </c>
      <c r="E2954" t="s">
        <v>141</v>
      </c>
      <c r="F2954" t="s">
        <v>57</v>
      </c>
      <c r="G2954" t="s">
        <v>24</v>
      </c>
      <c r="H2954">
        <v>9</v>
      </c>
      <c r="I2954">
        <v>5247</v>
      </c>
      <c r="J2954">
        <v>921.09</v>
      </c>
    </row>
    <row r="2955" spans="1:10" x14ac:dyDescent="0.25">
      <c r="A2955" s="1">
        <v>45236</v>
      </c>
      <c r="B2955" t="s">
        <v>16</v>
      </c>
      <c r="C2955" t="s">
        <v>17</v>
      </c>
      <c r="D2955" t="s">
        <v>12</v>
      </c>
      <c r="E2955" t="s">
        <v>56</v>
      </c>
      <c r="F2955" t="s">
        <v>57</v>
      </c>
      <c r="G2955" t="s">
        <v>24</v>
      </c>
      <c r="H2955">
        <v>7</v>
      </c>
      <c r="I2955">
        <v>6006</v>
      </c>
      <c r="J2955">
        <v>1595.22</v>
      </c>
    </row>
    <row r="2956" spans="1:10" x14ac:dyDescent="0.25">
      <c r="A2956" s="1">
        <v>45309</v>
      </c>
      <c r="B2956" t="s">
        <v>36</v>
      </c>
      <c r="C2956" t="s">
        <v>17</v>
      </c>
      <c r="D2956" t="s">
        <v>12</v>
      </c>
      <c r="E2956" t="s">
        <v>52</v>
      </c>
      <c r="F2956" t="s">
        <v>42</v>
      </c>
      <c r="G2956" t="s">
        <v>28</v>
      </c>
      <c r="H2956">
        <v>5</v>
      </c>
      <c r="I2956">
        <v>5415</v>
      </c>
      <c r="J2956">
        <v>1261.6500000000001</v>
      </c>
    </row>
    <row r="2957" spans="1:10" x14ac:dyDescent="0.25">
      <c r="A2957" s="1">
        <v>44616</v>
      </c>
      <c r="B2957" t="s">
        <v>40</v>
      </c>
      <c r="C2957" t="s">
        <v>19</v>
      </c>
      <c r="D2957" t="s">
        <v>12</v>
      </c>
      <c r="E2957" t="s">
        <v>52</v>
      </c>
      <c r="F2957" t="s">
        <v>42</v>
      </c>
      <c r="G2957" t="s">
        <v>28</v>
      </c>
      <c r="H2957">
        <v>1</v>
      </c>
      <c r="I2957">
        <v>632</v>
      </c>
      <c r="J2957">
        <v>81.540000000000006</v>
      </c>
    </row>
    <row r="2958" spans="1:10" x14ac:dyDescent="0.25">
      <c r="A2958" s="1">
        <v>45322</v>
      </c>
      <c r="B2958" t="s">
        <v>10</v>
      </c>
      <c r="C2958" t="s">
        <v>11</v>
      </c>
      <c r="D2958" t="s">
        <v>12</v>
      </c>
      <c r="E2958" t="s">
        <v>57</v>
      </c>
      <c r="F2958" t="s">
        <v>142</v>
      </c>
      <c r="G2958" t="s">
        <v>28</v>
      </c>
      <c r="H2958">
        <v>8</v>
      </c>
      <c r="I2958">
        <v>6160</v>
      </c>
      <c r="J2958">
        <v>947.96</v>
      </c>
    </row>
    <row r="2959" spans="1:10" x14ac:dyDescent="0.25">
      <c r="A2959" s="1">
        <v>45072</v>
      </c>
      <c r="B2959" t="s">
        <v>10</v>
      </c>
      <c r="C2959" t="s">
        <v>11</v>
      </c>
      <c r="D2959" t="s">
        <v>12</v>
      </c>
      <c r="E2959" t="s">
        <v>80</v>
      </c>
      <c r="F2959" t="s">
        <v>78</v>
      </c>
      <c r="G2959" t="s">
        <v>28</v>
      </c>
      <c r="H2959">
        <v>1</v>
      </c>
      <c r="I2959">
        <v>857</v>
      </c>
      <c r="J2959">
        <v>172.91</v>
      </c>
    </row>
    <row r="2960" spans="1:10" x14ac:dyDescent="0.25">
      <c r="A2960" s="1">
        <v>44954</v>
      </c>
      <c r="B2960" t="s">
        <v>18</v>
      </c>
      <c r="C2960" t="s">
        <v>19</v>
      </c>
      <c r="D2960" t="s">
        <v>12</v>
      </c>
      <c r="E2960" t="s">
        <v>80</v>
      </c>
      <c r="F2960" t="s">
        <v>78</v>
      </c>
      <c r="G2960" t="s">
        <v>28</v>
      </c>
      <c r="H2960">
        <v>1</v>
      </c>
      <c r="I2960">
        <v>169</v>
      </c>
      <c r="J2960">
        <v>22.99</v>
      </c>
    </row>
    <row r="2961" spans="1:10" x14ac:dyDescent="0.25">
      <c r="A2961" s="1">
        <v>45200</v>
      </c>
      <c r="B2961" t="s">
        <v>18</v>
      </c>
      <c r="C2961" t="s">
        <v>19</v>
      </c>
      <c r="D2961" t="s">
        <v>12</v>
      </c>
      <c r="E2961" t="s">
        <v>143</v>
      </c>
      <c r="F2961" t="s">
        <v>100</v>
      </c>
      <c r="G2961" t="s">
        <v>35</v>
      </c>
      <c r="H2961">
        <v>7</v>
      </c>
      <c r="I2961">
        <v>1463</v>
      </c>
      <c r="J2961">
        <v>175.13</v>
      </c>
    </row>
    <row r="2962" spans="1:10" x14ac:dyDescent="0.25">
      <c r="A2962" s="1">
        <v>44913</v>
      </c>
      <c r="B2962" t="s">
        <v>25</v>
      </c>
      <c r="C2962" t="s">
        <v>19</v>
      </c>
      <c r="D2962" t="s">
        <v>12</v>
      </c>
      <c r="E2962" t="s">
        <v>144</v>
      </c>
      <c r="F2962" t="s">
        <v>100</v>
      </c>
      <c r="G2962" t="s">
        <v>35</v>
      </c>
      <c r="H2962">
        <v>8</v>
      </c>
      <c r="I2962">
        <v>7528</v>
      </c>
      <c r="J2962">
        <v>1283.07</v>
      </c>
    </row>
    <row r="2963" spans="1:10" x14ac:dyDescent="0.25">
      <c r="A2963" s="1">
        <v>44919</v>
      </c>
      <c r="B2963" t="s">
        <v>32</v>
      </c>
      <c r="C2963" t="s">
        <v>19</v>
      </c>
      <c r="D2963" t="s">
        <v>12</v>
      </c>
      <c r="E2963" t="s">
        <v>52</v>
      </c>
      <c r="F2963" t="s">
        <v>42</v>
      </c>
      <c r="G2963" t="s">
        <v>28</v>
      </c>
      <c r="H2963">
        <v>2</v>
      </c>
      <c r="I2963">
        <v>1158</v>
      </c>
      <c r="J2963">
        <v>227.61</v>
      </c>
    </row>
    <row r="2964" spans="1:10" x14ac:dyDescent="0.25">
      <c r="A2964" s="1">
        <v>44729</v>
      </c>
      <c r="B2964" t="s">
        <v>36</v>
      </c>
      <c r="C2964" t="s">
        <v>17</v>
      </c>
      <c r="D2964" t="s">
        <v>12</v>
      </c>
      <c r="E2964" t="s">
        <v>145</v>
      </c>
      <c r="F2964" t="s">
        <v>44</v>
      </c>
      <c r="G2964" t="s">
        <v>35</v>
      </c>
      <c r="H2964">
        <v>4</v>
      </c>
      <c r="I2964">
        <v>200</v>
      </c>
      <c r="J2964">
        <v>20.25</v>
      </c>
    </row>
    <row r="2965" spans="1:10" x14ac:dyDescent="0.25">
      <c r="A2965" s="1">
        <v>44927</v>
      </c>
      <c r="B2965" t="s">
        <v>40</v>
      </c>
      <c r="C2965" t="s">
        <v>19</v>
      </c>
      <c r="D2965" t="s">
        <v>12</v>
      </c>
      <c r="E2965" t="s">
        <v>146</v>
      </c>
      <c r="F2965" t="s">
        <v>21</v>
      </c>
      <c r="G2965" t="s">
        <v>15</v>
      </c>
      <c r="H2965">
        <v>2</v>
      </c>
      <c r="I2965">
        <v>1514</v>
      </c>
      <c r="J2965">
        <v>180.67</v>
      </c>
    </row>
    <row r="2966" spans="1:10" x14ac:dyDescent="0.25">
      <c r="A2966" s="1">
        <v>45480</v>
      </c>
      <c r="B2966" t="s">
        <v>32</v>
      </c>
      <c r="C2966" t="s">
        <v>19</v>
      </c>
      <c r="D2966" t="s">
        <v>12</v>
      </c>
      <c r="E2966" t="s">
        <v>26</v>
      </c>
      <c r="F2966" t="s">
        <v>27</v>
      </c>
      <c r="G2966" t="s">
        <v>28</v>
      </c>
      <c r="H2966">
        <v>7</v>
      </c>
      <c r="I2966">
        <v>2632</v>
      </c>
      <c r="J2966">
        <v>738.93</v>
      </c>
    </row>
    <row r="2967" spans="1:10" x14ac:dyDescent="0.25">
      <c r="A2967" s="1">
        <v>44773</v>
      </c>
      <c r="B2967" t="s">
        <v>49</v>
      </c>
      <c r="C2967" t="s">
        <v>17</v>
      </c>
      <c r="D2967" t="s">
        <v>12</v>
      </c>
      <c r="E2967" t="s">
        <v>26</v>
      </c>
      <c r="F2967" t="s">
        <v>27</v>
      </c>
      <c r="G2967" t="s">
        <v>28</v>
      </c>
      <c r="H2967">
        <v>1</v>
      </c>
      <c r="I2967">
        <v>358</v>
      </c>
      <c r="J2967">
        <v>77.84</v>
      </c>
    </row>
    <row r="2968" spans="1:10" x14ac:dyDescent="0.25">
      <c r="A2968" s="1">
        <v>45081</v>
      </c>
      <c r="B2968" t="s">
        <v>25</v>
      </c>
      <c r="C2968" t="s">
        <v>19</v>
      </c>
      <c r="D2968" t="s">
        <v>12</v>
      </c>
      <c r="E2968" t="s">
        <v>52</v>
      </c>
      <c r="F2968" t="s">
        <v>42</v>
      </c>
      <c r="G2968" t="s">
        <v>28</v>
      </c>
      <c r="H2968">
        <v>8</v>
      </c>
      <c r="I2968">
        <v>2360</v>
      </c>
      <c r="J2968">
        <v>653.29999999999995</v>
      </c>
    </row>
    <row r="2969" spans="1:10" x14ac:dyDescent="0.25">
      <c r="A2969" s="1">
        <v>45167</v>
      </c>
      <c r="B2969" t="s">
        <v>49</v>
      </c>
      <c r="C2969" t="s">
        <v>17</v>
      </c>
      <c r="D2969" t="s">
        <v>12</v>
      </c>
      <c r="E2969" t="s">
        <v>37</v>
      </c>
      <c r="F2969" t="s">
        <v>34</v>
      </c>
      <c r="G2969" t="s">
        <v>35</v>
      </c>
      <c r="H2969">
        <v>5</v>
      </c>
      <c r="I2969">
        <v>5275</v>
      </c>
      <c r="J2969">
        <v>594.29</v>
      </c>
    </row>
    <row r="2970" spans="1:10" x14ac:dyDescent="0.25">
      <c r="A2970" s="1">
        <v>45022</v>
      </c>
      <c r="B2970" t="s">
        <v>36</v>
      </c>
      <c r="C2970" t="s">
        <v>17</v>
      </c>
      <c r="D2970" t="s">
        <v>12</v>
      </c>
      <c r="E2970" t="s">
        <v>74</v>
      </c>
      <c r="F2970" t="s">
        <v>23</v>
      </c>
      <c r="G2970" t="s">
        <v>24</v>
      </c>
      <c r="H2970">
        <v>9</v>
      </c>
      <c r="I2970">
        <v>1719</v>
      </c>
      <c r="J2970">
        <v>251.85</v>
      </c>
    </row>
    <row r="2971" spans="1:10" x14ac:dyDescent="0.25">
      <c r="A2971" s="1">
        <v>44961</v>
      </c>
      <c r="B2971" t="s">
        <v>40</v>
      </c>
      <c r="C2971" t="s">
        <v>19</v>
      </c>
      <c r="D2971" t="s">
        <v>12</v>
      </c>
      <c r="E2971" t="s">
        <v>70</v>
      </c>
      <c r="F2971" t="s">
        <v>71</v>
      </c>
      <c r="G2971" t="s">
        <v>35</v>
      </c>
      <c r="H2971">
        <v>6</v>
      </c>
      <c r="I2971">
        <v>1956</v>
      </c>
      <c r="J2971">
        <v>434.03</v>
      </c>
    </row>
    <row r="2972" spans="1:10" x14ac:dyDescent="0.25">
      <c r="A2972" s="1">
        <v>44800</v>
      </c>
      <c r="B2972" t="s">
        <v>49</v>
      </c>
      <c r="C2972" t="s">
        <v>17</v>
      </c>
      <c r="D2972" t="s">
        <v>12</v>
      </c>
      <c r="E2972" t="s">
        <v>147</v>
      </c>
      <c r="F2972" t="s">
        <v>42</v>
      </c>
      <c r="G2972" t="s">
        <v>28</v>
      </c>
      <c r="H2972">
        <v>3</v>
      </c>
      <c r="I2972">
        <v>1875</v>
      </c>
      <c r="J2972">
        <v>152.07</v>
      </c>
    </row>
    <row r="2973" spans="1:10" x14ac:dyDescent="0.25">
      <c r="A2973" s="1">
        <v>44725</v>
      </c>
      <c r="B2973" t="s">
        <v>36</v>
      </c>
      <c r="C2973" t="s">
        <v>17</v>
      </c>
      <c r="D2973" t="s">
        <v>12</v>
      </c>
      <c r="E2973" t="s">
        <v>148</v>
      </c>
      <c r="F2973" t="s">
        <v>149</v>
      </c>
      <c r="G2973" t="s">
        <v>15</v>
      </c>
      <c r="H2973">
        <v>4</v>
      </c>
      <c r="I2973">
        <v>984</v>
      </c>
      <c r="J2973">
        <v>157.72</v>
      </c>
    </row>
    <row r="2974" spans="1:10" x14ac:dyDescent="0.25">
      <c r="A2974" s="1">
        <v>45158</v>
      </c>
      <c r="B2974" t="s">
        <v>25</v>
      </c>
      <c r="C2974" t="s">
        <v>19</v>
      </c>
      <c r="D2974" t="s">
        <v>12</v>
      </c>
      <c r="E2974" t="s">
        <v>22</v>
      </c>
      <c r="F2974" t="s">
        <v>23</v>
      </c>
      <c r="G2974" t="s">
        <v>24</v>
      </c>
      <c r="H2974">
        <v>4</v>
      </c>
      <c r="I2974">
        <v>3616</v>
      </c>
      <c r="J2974">
        <v>789.63</v>
      </c>
    </row>
    <row r="2975" spans="1:10" x14ac:dyDescent="0.25">
      <c r="A2975" s="1">
        <v>45583</v>
      </c>
      <c r="B2975" t="s">
        <v>18</v>
      </c>
      <c r="C2975" t="s">
        <v>19</v>
      </c>
      <c r="D2975" t="s">
        <v>12</v>
      </c>
      <c r="E2975" t="s">
        <v>74</v>
      </c>
      <c r="F2975" t="s">
        <v>23</v>
      </c>
      <c r="G2975" t="s">
        <v>24</v>
      </c>
      <c r="H2975">
        <v>5</v>
      </c>
      <c r="I2975">
        <v>4560</v>
      </c>
      <c r="J2975">
        <v>1180.8</v>
      </c>
    </row>
    <row r="2976" spans="1:10" x14ac:dyDescent="0.25">
      <c r="A2976" s="1">
        <v>45549</v>
      </c>
      <c r="B2976" t="s">
        <v>40</v>
      </c>
      <c r="C2976" t="s">
        <v>19</v>
      </c>
      <c r="D2976" t="s">
        <v>12</v>
      </c>
      <c r="E2976" t="s">
        <v>37</v>
      </c>
      <c r="F2976" t="s">
        <v>34</v>
      </c>
      <c r="G2976" t="s">
        <v>35</v>
      </c>
      <c r="H2976">
        <v>8</v>
      </c>
      <c r="I2976">
        <v>7496</v>
      </c>
      <c r="J2976">
        <v>2019.32</v>
      </c>
    </row>
    <row r="2977" spans="1:10" x14ac:dyDescent="0.25">
      <c r="A2977" s="1">
        <v>44790</v>
      </c>
      <c r="B2977" t="s">
        <v>25</v>
      </c>
      <c r="C2977" t="s">
        <v>19</v>
      </c>
      <c r="D2977" t="s">
        <v>12</v>
      </c>
      <c r="E2977" t="s">
        <v>150</v>
      </c>
      <c r="F2977" t="s">
        <v>23</v>
      </c>
      <c r="G2977" t="s">
        <v>24</v>
      </c>
      <c r="H2977">
        <v>5</v>
      </c>
      <c r="I2977">
        <v>5070</v>
      </c>
      <c r="J2977">
        <v>889.97</v>
      </c>
    </row>
    <row r="2978" spans="1:10" x14ac:dyDescent="0.25">
      <c r="A2978" s="1">
        <v>44672</v>
      </c>
      <c r="B2978" t="s">
        <v>32</v>
      </c>
      <c r="C2978" t="s">
        <v>19</v>
      </c>
      <c r="D2978" t="s">
        <v>12</v>
      </c>
      <c r="E2978" t="s">
        <v>151</v>
      </c>
      <c r="F2978" t="s">
        <v>152</v>
      </c>
      <c r="G2978" t="s">
        <v>15</v>
      </c>
      <c r="H2978">
        <v>5</v>
      </c>
      <c r="I2978">
        <v>4505</v>
      </c>
      <c r="J2978">
        <v>1351.28</v>
      </c>
    </row>
    <row r="2979" spans="1:10" x14ac:dyDescent="0.25">
      <c r="A2979" s="1">
        <v>44574</v>
      </c>
      <c r="B2979" t="s">
        <v>18</v>
      </c>
      <c r="C2979" t="s">
        <v>19</v>
      </c>
      <c r="D2979" t="s">
        <v>12</v>
      </c>
      <c r="E2979" t="s">
        <v>151</v>
      </c>
      <c r="F2979" t="s">
        <v>152</v>
      </c>
      <c r="G2979" t="s">
        <v>15</v>
      </c>
      <c r="H2979">
        <v>2</v>
      </c>
      <c r="I2979">
        <v>1916</v>
      </c>
      <c r="J2979">
        <v>503.83</v>
      </c>
    </row>
    <row r="2980" spans="1:10" x14ac:dyDescent="0.25">
      <c r="A2980" s="1">
        <v>45532</v>
      </c>
      <c r="B2980" t="s">
        <v>25</v>
      </c>
      <c r="C2980" t="s">
        <v>19</v>
      </c>
      <c r="D2980" t="s">
        <v>12</v>
      </c>
      <c r="E2980" t="s">
        <v>132</v>
      </c>
      <c r="F2980" t="s">
        <v>115</v>
      </c>
      <c r="G2980" t="s">
        <v>15</v>
      </c>
      <c r="H2980">
        <v>7</v>
      </c>
      <c r="I2980">
        <v>8113</v>
      </c>
      <c r="J2980">
        <v>1103.57</v>
      </c>
    </row>
    <row r="2981" spans="1:10" x14ac:dyDescent="0.25">
      <c r="A2981" s="1">
        <v>44786</v>
      </c>
      <c r="B2981" t="s">
        <v>55</v>
      </c>
      <c r="C2981" t="s">
        <v>19</v>
      </c>
      <c r="D2981" t="s">
        <v>12</v>
      </c>
      <c r="E2981" t="s">
        <v>22</v>
      </c>
      <c r="F2981" t="s">
        <v>23</v>
      </c>
      <c r="G2981" t="s">
        <v>24</v>
      </c>
      <c r="H2981">
        <v>9</v>
      </c>
      <c r="I2981">
        <v>1809</v>
      </c>
      <c r="J2981">
        <v>392.44</v>
      </c>
    </row>
    <row r="2982" spans="1:10" x14ac:dyDescent="0.25">
      <c r="A2982" s="1">
        <v>45170</v>
      </c>
      <c r="B2982" t="s">
        <v>55</v>
      </c>
      <c r="C2982" t="s">
        <v>19</v>
      </c>
      <c r="D2982" t="s">
        <v>12</v>
      </c>
      <c r="E2982" t="s">
        <v>153</v>
      </c>
      <c r="F2982" t="s">
        <v>63</v>
      </c>
      <c r="G2982" t="s">
        <v>28</v>
      </c>
      <c r="H2982">
        <v>3</v>
      </c>
      <c r="I2982">
        <v>1227</v>
      </c>
      <c r="J2982">
        <v>229.75</v>
      </c>
    </row>
    <row r="2983" spans="1:10" x14ac:dyDescent="0.25">
      <c r="A2983" s="1">
        <v>45127</v>
      </c>
      <c r="B2983" t="s">
        <v>55</v>
      </c>
      <c r="C2983" t="s">
        <v>19</v>
      </c>
      <c r="D2983" t="s">
        <v>12</v>
      </c>
      <c r="E2983" t="s">
        <v>154</v>
      </c>
      <c r="F2983" t="s">
        <v>115</v>
      </c>
      <c r="G2983" t="s">
        <v>15</v>
      </c>
      <c r="H2983">
        <v>6</v>
      </c>
      <c r="I2983">
        <v>2040</v>
      </c>
      <c r="J2983">
        <v>124.65</v>
      </c>
    </row>
    <row r="2984" spans="1:10" x14ac:dyDescent="0.25">
      <c r="A2984" s="1">
        <v>44917</v>
      </c>
      <c r="B2984" t="s">
        <v>18</v>
      </c>
      <c r="C2984" t="s">
        <v>19</v>
      </c>
      <c r="D2984" t="s">
        <v>12</v>
      </c>
      <c r="E2984" t="s">
        <v>154</v>
      </c>
      <c r="F2984" t="s">
        <v>115</v>
      </c>
      <c r="G2984" t="s">
        <v>15</v>
      </c>
      <c r="H2984">
        <v>6</v>
      </c>
      <c r="I2984">
        <v>6324</v>
      </c>
      <c r="J2984">
        <v>629.20000000000005</v>
      </c>
    </row>
    <row r="2985" spans="1:10" x14ac:dyDescent="0.25">
      <c r="A2985" s="1">
        <v>45010</v>
      </c>
      <c r="B2985" t="s">
        <v>10</v>
      </c>
      <c r="C2985" t="s">
        <v>11</v>
      </c>
      <c r="D2985" t="s">
        <v>12</v>
      </c>
      <c r="E2985" t="s">
        <v>22</v>
      </c>
      <c r="F2985" t="s">
        <v>23</v>
      </c>
      <c r="G2985" t="s">
        <v>24</v>
      </c>
      <c r="H2985">
        <v>3</v>
      </c>
      <c r="I2985">
        <v>2724</v>
      </c>
      <c r="J2985">
        <v>521.24</v>
      </c>
    </row>
    <row r="2986" spans="1:10" x14ac:dyDescent="0.25">
      <c r="A2986" s="1">
        <v>45060</v>
      </c>
      <c r="B2986" t="s">
        <v>55</v>
      </c>
      <c r="C2986" t="s">
        <v>19</v>
      </c>
      <c r="D2986" t="s">
        <v>12</v>
      </c>
      <c r="E2986" t="s">
        <v>52</v>
      </c>
      <c r="F2986" t="s">
        <v>42</v>
      </c>
      <c r="G2986" t="s">
        <v>28</v>
      </c>
      <c r="H2986">
        <v>1</v>
      </c>
      <c r="I2986">
        <v>1188</v>
      </c>
      <c r="J2986">
        <v>110.32</v>
      </c>
    </row>
    <row r="2987" spans="1:10" x14ac:dyDescent="0.25">
      <c r="A2987" s="1">
        <v>45314</v>
      </c>
      <c r="B2987" t="s">
        <v>49</v>
      </c>
      <c r="C2987" t="s">
        <v>17</v>
      </c>
      <c r="D2987" t="s">
        <v>12</v>
      </c>
      <c r="E2987" t="s">
        <v>155</v>
      </c>
      <c r="F2987" t="s">
        <v>156</v>
      </c>
      <c r="G2987" t="s">
        <v>28</v>
      </c>
      <c r="H2987">
        <v>8</v>
      </c>
      <c r="I2987">
        <v>8776</v>
      </c>
      <c r="J2987">
        <v>1561.07</v>
      </c>
    </row>
    <row r="2988" spans="1:10" x14ac:dyDescent="0.25">
      <c r="A2988" s="1">
        <v>45010</v>
      </c>
      <c r="B2988" t="s">
        <v>55</v>
      </c>
      <c r="C2988" t="s">
        <v>19</v>
      </c>
      <c r="D2988" t="s">
        <v>12</v>
      </c>
      <c r="E2988" t="s">
        <v>22</v>
      </c>
      <c r="F2988" t="s">
        <v>23</v>
      </c>
      <c r="G2988" t="s">
        <v>24</v>
      </c>
      <c r="H2988">
        <v>9</v>
      </c>
      <c r="I2988">
        <v>5553</v>
      </c>
      <c r="J2988">
        <v>1432.76</v>
      </c>
    </row>
    <row r="2989" spans="1:10" x14ac:dyDescent="0.25">
      <c r="A2989" s="1">
        <v>44800</v>
      </c>
      <c r="B2989" t="s">
        <v>40</v>
      </c>
      <c r="C2989" t="s">
        <v>19</v>
      </c>
      <c r="D2989" t="s">
        <v>12</v>
      </c>
      <c r="E2989" t="s">
        <v>157</v>
      </c>
      <c r="F2989" t="s">
        <v>21</v>
      </c>
      <c r="G2989" t="s">
        <v>15</v>
      </c>
      <c r="H2989">
        <v>2</v>
      </c>
      <c r="I2989">
        <v>970</v>
      </c>
      <c r="J2989">
        <v>262.19</v>
      </c>
    </row>
    <row r="2990" spans="1:10" x14ac:dyDescent="0.25">
      <c r="A2990" s="1">
        <v>44757</v>
      </c>
      <c r="B2990" t="s">
        <v>49</v>
      </c>
      <c r="C2990" t="s">
        <v>17</v>
      </c>
      <c r="D2990" t="s">
        <v>12</v>
      </c>
      <c r="E2990" t="s">
        <v>157</v>
      </c>
      <c r="F2990" t="s">
        <v>21</v>
      </c>
      <c r="G2990" t="s">
        <v>15</v>
      </c>
      <c r="H2990">
        <v>5</v>
      </c>
      <c r="I2990">
        <v>940</v>
      </c>
      <c r="J2990">
        <v>56.7</v>
      </c>
    </row>
    <row r="2991" spans="1:10" x14ac:dyDescent="0.25">
      <c r="A2991" s="1">
        <v>45481</v>
      </c>
      <c r="B2991" t="s">
        <v>10</v>
      </c>
      <c r="C2991" t="s">
        <v>11</v>
      </c>
      <c r="D2991" t="s">
        <v>12</v>
      </c>
      <c r="E2991" t="s">
        <v>37</v>
      </c>
      <c r="F2991" t="s">
        <v>34</v>
      </c>
      <c r="G2991" t="s">
        <v>35</v>
      </c>
      <c r="H2991">
        <v>1</v>
      </c>
      <c r="I2991">
        <v>1175</v>
      </c>
      <c r="J2991">
        <v>171.51</v>
      </c>
    </row>
    <row r="2992" spans="1:10" x14ac:dyDescent="0.25">
      <c r="A2992" s="1">
        <v>44872</v>
      </c>
      <c r="B2992" t="s">
        <v>55</v>
      </c>
      <c r="C2992" t="s">
        <v>19</v>
      </c>
      <c r="D2992" t="s">
        <v>12</v>
      </c>
      <c r="E2992" t="s">
        <v>67</v>
      </c>
      <c r="F2992" t="s">
        <v>54</v>
      </c>
      <c r="G2992" t="s">
        <v>24</v>
      </c>
      <c r="H2992">
        <v>9</v>
      </c>
      <c r="I2992">
        <v>4860</v>
      </c>
      <c r="J2992">
        <v>1425.54</v>
      </c>
    </row>
    <row r="2993" spans="1:10" x14ac:dyDescent="0.25">
      <c r="A2993" s="1">
        <v>44852</v>
      </c>
      <c r="B2993" t="s">
        <v>29</v>
      </c>
      <c r="C2993" t="s">
        <v>17</v>
      </c>
      <c r="D2993" t="s">
        <v>12</v>
      </c>
      <c r="E2993" t="s">
        <v>67</v>
      </c>
      <c r="F2993" t="s">
        <v>54</v>
      </c>
      <c r="G2993" t="s">
        <v>24</v>
      </c>
      <c r="H2993">
        <v>1</v>
      </c>
      <c r="I2993">
        <v>987</v>
      </c>
      <c r="J2993">
        <v>207.69</v>
      </c>
    </row>
    <row r="2994" spans="1:10" x14ac:dyDescent="0.25">
      <c r="A2994" s="1">
        <v>45429</v>
      </c>
      <c r="B2994" t="s">
        <v>25</v>
      </c>
      <c r="C2994" t="s">
        <v>19</v>
      </c>
      <c r="D2994" t="s">
        <v>12</v>
      </c>
      <c r="E2994" t="s">
        <v>52</v>
      </c>
      <c r="F2994" t="s">
        <v>42</v>
      </c>
      <c r="G2994" t="s">
        <v>28</v>
      </c>
      <c r="H2994">
        <v>7</v>
      </c>
      <c r="I2994">
        <v>2968</v>
      </c>
      <c r="J2994">
        <v>485.13</v>
      </c>
    </row>
    <row r="2995" spans="1:10" x14ac:dyDescent="0.25">
      <c r="A2995" s="1">
        <v>44629</v>
      </c>
      <c r="B2995" t="s">
        <v>16</v>
      </c>
      <c r="C2995" t="s">
        <v>17</v>
      </c>
      <c r="D2995" t="s">
        <v>12</v>
      </c>
      <c r="E2995" t="s">
        <v>26</v>
      </c>
      <c r="F2995" t="s">
        <v>27</v>
      </c>
      <c r="G2995" t="s">
        <v>28</v>
      </c>
      <c r="H2995">
        <v>3</v>
      </c>
      <c r="I2995">
        <v>2172</v>
      </c>
      <c r="J2995">
        <v>364.77</v>
      </c>
    </row>
    <row r="2996" spans="1:10" x14ac:dyDescent="0.25">
      <c r="A2996" s="1">
        <v>44562</v>
      </c>
      <c r="B2996" t="s">
        <v>29</v>
      </c>
      <c r="C2996" t="s">
        <v>17</v>
      </c>
      <c r="D2996" t="s">
        <v>12</v>
      </c>
      <c r="E2996" t="s">
        <v>26</v>
      </c>
      <c r="F2996" t="s">
        <v>27</v>
      </c>
      <c r="G2996" t="s">
        <v>28</v>
      </c>
      <c r="H2996">
        <v>7</v>
      </c>
      <c r="I2996">
        <v>3941</v>
      </c>
      <c r="J2996">
        <v>628.96</v>
      </c>
    </row>
    <row r="2997" spans="1:10" x14ac:dyDescent="0.25">
      <c r="A2997" s="1">
        <v>44734</v>
      </c>
      <c r="B2997" t="s">
        <v>29</v>
      </c>
      <c r="C2997" t="s">
        <v>17</v>
      </c>
      <c r="D2997" t="s">
        <v>12</v>
      </c>
      <c r="E2997" t="s">
        <v>52</v>
      </c>
      <c r="F2997" t="s">
        <v>42</v>
      </c>
      <c r="G2997" t="s">
        <v>28</v>
      </c>
      <c r="H2997">
        <v>7</v>
      </c>
      <c r="I2997">
        <v>2261</v>
      </c>
      <c r="J2997">
        <v>566.36</v>
      </c>
    </row>
    <row r="2998" spans="1:10" x14ac:dyDescent="0.25">
      <c r="A2998" s="1">
        <v>44757</v>
      </c>
      <c r="B2998" t="s">
        <v>32</v>
      </c>
      <c r="C2998" t="s">
        <v>19</v>
      </c>
      <c r="D2998" t="s">
        <v>12</v>
      </c>
      <c r="E2998" t="s">
        <v>22</v>
      </c>
      <c r="F2998" t="s">
        <v>23</v>
      </c>
      <c r="G2998" t="s">
        <v>24</v>
      </c>
      <c r="H2998">
        <v>9</v>
      </c>
      <c r="I2998">
        <v>8802</v>
      </c>
      <c r="J2998">
        <v>2519.9299999999998</v>
      </c>
    </row>
    <row r="2999" spans="1:10" x14ac:dyDescent="0.25">
      <c r="A2999" s="1">
        <v>45000</v>
      </c>
      <c r="B2999" t="s">
        <v>10</v>
      </c>
      <c r="C2999" t="s">
        <v>11</v>
      </c>
      <c r="D2999" t="s">
        <v>12</v>
      </c>
      <c r="E2999" t="s">
        <v>158</v>
      </c>
      <c r="F2999" t="s">
        <v>21</v>
      </c>
      <c r="G2999" t="s">
        <v>15</v>
      </c>
      <c r="H2999">
        <v>5</v>
      </c>
      <c r="I2999">
        <v>3025</v>
      </c>
      <c r="J2999">
        <v>172.43</v>
      </c>
    </row>
    <row r="3000" spans="1:10" x14ac:dyDescent="0.25">
      <c r="A3000" s="1">
        <v>44577</v>
      </c>
      <c r="B3000" t="s">
        <v>10</v>
      </c>
      <c r="C3000" t="s">
        <v>11</v>
      </c>
      <c r="D3000" t="s">
        <v>12</v>
      </c>
      <c r="E3000" t="s">
        <v>158</v>
      </c>
      <c r="F3000" t="s">
        <v>21</v>
      </c>
      <c r="G3000" t="s">
        <v>15</v>
      </c>
      <c r="H3000">
        <v>4</v>
      </c>
      <c r="I3000">
        <v>4428</v>
      </c>
      <c r="J3000">
        <v>600.54999999999995</v>
      </c>
    </row>
    <row r="3001" spans="1:10" x14ac:dyDescent="0.25">
      <c r="A3001" s="1">
        <v>45593</v>
      </c>
      <c r="B3001" t="s">
        <v>16</v>
      </c>
      <c r="C3001" t="s">
        <v>17</v>
      </c>
      <c r="D3001" t="s">
        <v>12</v>
      </c>
      <c r="E3001" t="s">
        <v>158</v>
      </c>
      <c r="F3001" t="s">
        <v>21</v>
      </c>
      <c r="G3001" t="s">
        <v>15</v>
      </c>
      <c r="H3001">
        <v>9</v>
      </c>
      <c r="I3001">
        <v>7344</v>
      </c>
      <c r="J3001">
        <v>1417.84</v>
      </c>
    </row>
    <row r="3002" spans="1:10" x14ac:dyDescent="0.25">
      <c r="A3002" s="1">
        <v>45527</v>
      </c>
      <c r="B3002" t="s">
        <v>49</v>
      </c>
      <c r="C3002" t="s">
        <v>17</v>
      </c>
      <c r="D3002" t="s">
        <v>12</v>
      </c>
      <c r="E3002" t="s">
        <v>56</v>
      </c>
      <c r="F3002" t="s">
        <v>57</v>
      </c>
      <c r="G3002" t="s">
        <v>24</v>
      </c>
      <c r="H3002">
        <v>4</v>
      </c>
      <c r="I3002">
        <v>2236</v>
      </c>
      <c r="J3002">
        <v>167.78</v>
      </c>
    </row>
    <row r="3003" spans="1:10" x14ac:dyDescent="0.25">
      <c r="A3003" s="1">
        <v>45620</v>
      </c>
      <c r="B3003" t="s">
        <v>40</v>
      </c>
      <c r="C3003" t="s">
        <v>19</v>
      </c>
      <c r="D3003" t="s">
        <v>12</v>
      </c>
      <c r="E3003" t="s">
        <v>159</v>
      </c>
      <c r="F3003" t="s">
        <v>23</v>
      </c>
      <c r="G3003" t="s">
        <v>24</v>
      </c>
      <c r="H3003">
        <v>8</v>
      </c>
      <c r="I3003">
        <v>536</v>
      </c>
      <c r="J3003">
        <v>57.08</v>
      </c>
    </row>
    <row r="3004" spans="1:10" x14ac:dyDescent="0.25">
      <c r="A3004" s="1">
        <v>45585</v>
      </c>
      <c r="B3004" t="s">
        <v>36</v>
      </c>
      <c r="C3004" t="s">
        <v>17</v>
      </c>
      <c r="D3004" t="s">
        <v>12</v>
      </c>
      <c r="E3004" t="s">
        <v>159</v>
      </c>
      <c r="F3004" t="s">
        <v>23</v>
      </c>
      <c r="G3004" t="s">
        <v>24</v>
      </c>
      <c r="H3004">
        <v>5</v>
      </c>
      <c r="I3004">
        <v>1980</v>
      </c>
      <c r="J3004">
        <v>249.22</v>
      </c>
    </row>
    <row r="3005" spans="1:10" x14ac:dyDescent="0.25">
      <c r="A3005" s="1">
        <v>44587</v>
      </c>
      <c r="B3005" t="s">
        <v>10</v>
      </c>
      <c r="C3005" t="s">
        <v>11</v>
      </c>
      <c r="D3005" t="s">
        <v>12</v>
      </c>
      <c r="E3005" t="s">
        <v>159</v>
      </c>
      <c r="F3005" t="s">
        <v>23</v>
      </c>
      <c r="G3005" t="s">
        <v>24</v>
      </c>
      <c r="H3005">
        <v>6</v>
      </c>
      <c r="I3005">
        <v>2100</v>
      </c>
      <c r="J3005">
        <v>202.86</v>
      </c>
    </row>
    <row r="3006" spans="1:10" x14ac:dyDescent="0.25">
      <c r="A3006" s="1">
        <v>45032</v>
      </c>
      <c r="B3006" t="s">
        <v>32</v>
      </c>
      <c r="C3006" t="s">
        <v>19</v>
      </c>
      <c r="D3006" t="s">
        <v>12</v>
      </c>
      <c r="E3006" t="s">
        <v>52</v>
      </c>
      <c r="F3006" t="s">
        <v>42</v>
      </c>
      <c r="G3006" t="s">
        <v>28</v>
      </c>
      <c r="H3006">
        <v>3</v>
      </c>
      <c r="I3006">
        <v>1497</v>
      </c>
      <c r="J3006">
        <v>122.76</v>
      </c>
    </row>
    <row r="3007" spans="1:10" x14ac:dyDescent="0.25">
      <c r="A3007" s="1">
        <v>45491</v>
      </c>
      <c r="B3007" t="s">
        <v>55</v>
      </c>
      <c r="C3007" t="s">
        <v>19</v>
      </c>
      <c r="D3007" t="s">
        <v>12</v>
      </c>
      <c r="E3007" t="s">
        <v>160</v>
      </c>
      <c r="F3007" t="s">
        <v>27</v>
      </c>
      <c r="G3007" t="s">
        <v>28</v>
      </c>
      <c r="H3007">
        <v>6</v>
      </c>
      <c r="I3007">
        <v>4200</v>
      </c>
      <c r="J3007">
        <v>1013.7</v>
      </c>
    </row>
    <row r="3008" spans="1:10" x14ac:dyDescent="0.25">
      <c r="A3008" s="1">
        <v>44886</v>
      </c>
      <c r="B3008" t="s">
        <v>29</v>
      </c>
      <c r="C3008" t="s">
        <v>17</v>
      </c>
      <c r="D3008" t="s">
        <v>12</v>
      </c>
      <c r="E3008" t="s">
        <v>160</v>
      </c>
      <c r="F3008" t="s">
        <v>27</v>
      </c>
      <c r="G3008" t="s">
        <v>28</v>
      </c>
      <c r="H3008">
        <v>2</v>
      </c>
      <c r="I3008">
        <v>1242</v>
      </c>
      <c r="J3008">
        <v>191.82</v>
      </c>
    </row>
    <row r="3009" spans="1:10" x14ac:dyDescent="0.25">
      <c r="A3009" s="1">
        <v>44894</v>
      </c>
      <c r="B3009" t="s">
        <v>32</v>
      </c>
      <c r="C3009" t="s">
        <v>19</v>
      </c>
      <c r="D3009" t="s">
        <v>12</v>
      </c>
      <c r="E3009" t="s">
        <v>161</v>
      </c>
      <c r="F3009" t="s">
        <v>39</v>
      </c>
      <c r="G3009" t="s">
        <v>35</v>
      </c>
      <c r="H3009">
        <v>5</v>
      </c>
      <c r="I3009">
        <v>1570</v>
      </c>
      <c r="J3009">
        <v>312.81</v>
      </c>
    </row>
    <row r="3010" spans="1:10" x14ac:dyDescent="0.25">
      <c r="A3010" s="1">
        <v>45108</v>
      </c>
      <c r="B3010" t="s">
        <v>36</v>
      </c>
      <c r="C3010" t="s">
        <v>17</v>
      </c>
      <c r="D3010" t="s">
        <v>12</v>
      </c>
      <c r="E3010" t="s">
        <v>22</v>
      </c>
      <c r="F3010" t="s">
        <v>23</v>
      </c>
      <c r="G3010" t="s">
        <v>24</v>
      </c>
      <c r="H3010">
        <v>4</v>
      </c>
      <c r="I3010">
        <v>428</v>
      </c>
      <c r="J3010">
        <v>86.62</v>
      </c>
    </row>
    <row r="3011" spans="1:10" x14ac:dyDescent="0.25">
      <c r="A3011" s="1">
        <v>44959</v>
      </c>
      <c r="B3011" t="s">
        <v>10</v>
      </c>
      <c r="C3011" t="s">
        <v>11</v>
      </c>
      <c r="D3011" t="s">
        <v>12</v>
      </c>
      <c r="E3011" t="s">
        <v>130</v>
      </c>
      <c r="F3011" t="s">
        <v>54</v>
      </c>
      <c r="G3011" t="s">
        <v>24</v>
      </c>
      <c r="H3011">
        <v>1</v>
      </c>
      <c r="I3011">
        <v>914</v>
      </c>
      <c r="J3011">
        <v>270.74</v>
      </c>
    </row>
    <row r="3012" spans="1:10" x14ac:dyDescent="0.25">
      <c r="A3012" s="1">
        <v>45639</v>
      </c>
      <c r="B3012" t="s">
        <v>18</v>
      </c>
      <c r="C3012" t="s">
        <v>19</v>
      </c>
      <c r="D3012" t="s">
        <v>12</v>
      </c>
      <c r="E3012" t="s">
        <v>102</v>
      </c>
      <c r="F3012" t="s">
        <v>34</v>
      </c>
      <c r="G3012" t="s">
        <v>35</v>
      </c>
      <c r="H3012">
        <v>3</v>
      </c>
      <c r="I3012">
        <v>465</v>
      </c>
      <c r="J3012">
        <v>98.93</v>
      </c>
    </row>
    <row r="3013" spans="1:10" x14ac:dyDescent="0.25">
      <c r="A3013" s="1">
        <v>44800</v>
      </c>
      <c r="B3013" t="s">
        <v>32</v>
      </c>
      <c r="C3013" t="s">
        <v>19</v>
      </c>
      <c r="D3013" t="s">
        <v>12</v>
      </c>
      <c r="E3013" t="s">
        <v>52</v>
      </c>
      <c r="F3013" t="s">
        <v>42</v>
      </c>
      <c r="G3013" t="s">
        <v>28</v>
      </c>
      <c r="H3013">
        <v>2</v>
      </c>
      <c r="I3013">
        <v>1062</v>
      </c>
      <c r="J3013">
        <v>83.49</v>
      </c>
    </row>
    <row r="3014" spans="1:10" x14ac:dyDescent="0.25">
      <c r="A3014" s="1">
        <v>44707</v>
      </c>
      <c r="B3014" t="s">
        <v>25</v>
      </c>
      <c r="C3014" t="s">
        <v>19</v>
      </c>
      <c r="D3014" t="s">
        <v>12</v>
      </c>
      <c r="E3014" t="s">
        <v>132</v>
      </c>
      <c r="F3014" t="s">
        <v>115</v>
      </c>
      <c r="G3014" t="s">
        <v>15</v>
      </c>
      <c r="H3014">
        <v>8</v>
      </c>
      <c r="I3014">
        <v>8720</v>
      </c>
      <c r="J3014">
        <v>1984.11</v>
      </c>
    </row>
    <row r="3015" spans="1:10" x14ac:dyDescent="0.25">
      <c r="A3015" s="1">
        <v>45326</v>
      </c>
      <c r="B3015" t="s">
        <v>16</v>
      </c>
      <c r="C3015" t="s">
        <v>17</v>
      </c>
      <c r="D3015" t="s">
        <v>12</v>
      </c>
      <c r="E3015" t="s">
        <v>132</v>
      </c>
      <c r="F3015" t="s">
        <v>115</v>
      </c>
      <c r="G3015" t="s">
        <v>15</v>
      </c>
      <c r="H3015">
        <v>6</v>
      </c>
      <c r="I3015">
        <v>1308</v>
      </c>
      <c r="J3015">
        <v>343.61</v>
      </c>
    </row>
    <row r="3016" spans="1:10" x14ac:dyDescent="0.25">
      <c r="A3016" s="1">
        <v>45638</v>
      </c>
      <c r="B3016" t="s">
        <v>29</v>
      </c>
      <c r="C3016" t="s">
        <v>17</v>
      </c>
      <c r="D3016" t="s">
        <v>12</v>
      </c>
      <c r="E3016" t="s">
        <v>111</v>
      </c>
      <c r="F3016" t="s">
        <v>115</v>
      </c>
      <c r="G3016" t="s">
        <v>15</v>
      </c>
      <c r="H3016">
        <v>9</v>
      </c>
      <c r="I3016">
        <v>8514</v>
      </c>
      <c r="J3016">
        <v>1291.97</v>
      </c>
    </row>
    <row r="3017" spans="1:10" x14ac:dyDescent="0.25">
      <c r="A3017" s="1">
        <v>44964</v>
      </c>
      <c r="B3017" t="s">
        <v>18</v>
      </c>
      <c r="C3017" t="s">
        <v>19</v>
      </c>
      <c r="D3017" t="s">
        <v>12</v>
      </c>
      <c r="E3017" t="s">
        <v>75</v>
      </c>
      <c r="F3017" t="s">
        <v>108</v>
      </c>
      <c r="G3017" t="s">
        <v>15</v>
      </c>
      <c r="H3017">
        <v>2</v>
      </c>
      <c r="I3017">
        <v>1212</v>
      </c>
      <c r="J3017">
        <v>151.07</v>
      </c>
    </row>
    <row r="3018" spans="1:10" x14ac:dyDescent="0.25">
      <c r="A3018" s="1">
        <v>45040</v>
      </c>
      <c r="B3018" t="s">
        <v>29</v>
      </c>
      <c r="C3018" t="s">
        <v>17</v>
      </c>
      <c r="D3018" t="s">
        <v>12</v>
      </c>
      <c r="E3018" t="s">
        <v>162</v>
      </c>
      <c r="F3018" t="s">
        <v>23</v>
      </c>
      <c r="G3018" t="s">
        <v>24</v>
      </c>
      <c r="H3018">
        <v>4</v>
      </c>
      <c r="I3018">
        <v>2576</v>
      </c>
      <c r="J3018">
        <v>503.57</v>
      </c>
    </row>
    <row r="3019" spans="1:10" x14ac:dyDescent="0.25">
      <c r="A3019" s="1">
        <v>45195</v>
      </c>
      <c r="B3019" t="s">
        <v>49</v>
      </c>
      <c r="C3019" t="s">
        <v>17</v>
      </c>
      <c r="D3019" t="s">
        <v>12</v>
      </c>
      <c r="E3019" t="s">
        <v>75</v>
      </c>
      <c r="F3019" t="s">
        <v>63</v>
      </c>
      <c r="G3019" t="s">
        <v>28</v>
      </c>
      <c r="H3019">
        <v>8</v>
      </c>
      <c r="I3019">
        <v>4800</v>
      </c>
      <c r="J3019">
        <v>606.19000000000005</v>
      </c>
    </row>
    <row r="3020" spans="1:10" x14ac:dyDescent="0.25">
      <c r="A3020" s="1">
        <v>44836</v>
      </c>
      <c r="B3020" t="s">
        <v>32</v>
      </c>
      <c r="C3020" t="s">
        <v>19</v>
      </c>
      <c r="D3020" t="s">
        <v>12</v>
      </c>
      <c r="E3020" t="s">
        <v>22</v>
      </c>
      <c r="F3020" t="s">
        <v>23</v>
      </c>
      <c r="G3020" t="s">
        <v>24</v>
      </c>
      <c r="H3020">
        <v>5</v>
      </c>
      <c r="I3020">
        <v>1440</v>
      </c>
      <c r="J3020">
        <v>274.54000000000002</v>
      </c>
    </row>
    <row r="3021" spans="1:10" x14ac:dyDescent="0.25">
      <c r="A3021" s="1">
        <v>44816</v>
      </c>
      <c r="B3021" t="s">
        <v>32</v>
      </c>
      <c r="C3021" t="s">
        <v>19</v>
      </c>
      <c r="D3021" t="s">
        <v>12</v>
      </c>
      <c r="E3021" t="s">
        <v>26</v>
      </c>
      <c r="F3021" t="s">
        <v>27</v>
      </c>
      <c r="G3021" t="s">
        <v>28</v>
      </c>
      <c r="H3021">
        <v>9</v>
      </c>
      <c r="I3021">
        <v>10251</v>
      </c>
      <c r="J3021">
        <v>737.45</v>
      </c>
    </row>
    <row r="3022" spans="1:10" x14ac:dyDescent="0.25">
      <c r="A3022" s="1">
        <v>44944</v>
      </c>
      <c r="B3022" t="s">
        <v>40</v>
      </c>
      <c r="C3022" t="s">
        <v>19</v>
      </c>
      <c r="D3022" t="s">
        <v>12</v>
      </c>
      <c r="E3022" t="s">
        <v>74</v>
      </c>
      <c r="F3022" t="s">
        <v>23</v>
      </c>
      <c r="G3022" t="s">
        <v>24</v>
      </c>
      <c r="H3022">
        <v>7</v>
      </c>
      <c r="I3022">
        <v>3038</v>
      </c>
      <c r="J3022">
        <v>570.98</v>
      </c>
    </row>
    <row r="3023" spans="1:10" x14ac:dyDescent="0.25">
      <c r="A3023" s="1">
        <v>44889</v>
      </c>
      <c r="B3023" t="s">
        <v>36</v>
      </c>
      <c r="C3023" t="s">
        <v>17</v>
      </c>
      <c r="D3023" t="s">
        <v>12</v>
      </c>
      <c r="E3023" t="s">
        <v>22</v>
      </c>
      <c r="F3023" t="s">
        <v>23</v>
      </c>
      <c r="G3023" t="s">
        <v>24</v>
      </c>
      <c r="H3023">
        <v>9</v>
      </c>
      <c r="I3023">
        <v>6993</v>
      </c>
      <c r="J3023">
        <v>1945.56</v>
      </c>
    </row>
    <row r="3024" spans="1:10" x14ac:dyDescent="0.25">
      <c r="A3024" s="1">
        <v>45358</v>
      </c>
      <c r="B3024" t="s">
        <v>36</v>
      </c>
      <c r="C3024" t="s">
        <v>17</v>
      </c>
      <c r="D3024" t="s">
        <v>12</v>
      </c>
      <c r="E3024" t="s">
        <v>52</v>
      </c>
      <c r="F3024" t="s">
        <v>42</v>
      </c>
      <c r="G3024" t="s">
        <v>28</v>
      </c>
      <c r="H3024">
        <v>4</v>
      </c>
      <c r="I3024">
        <v>1632</v>
      </c>
      <c r="J3024">
        <v>247.88</v>
      </c>
    </row>
    <row r="3025" spans="1:10" x14ac:dyDescent="0.25">
      <c r="A3025" s="1">
        <v>45572</v>
      </c>
      <c r="B3025" t="s">
        <v>49</v>
      </c>
      <c r="C3025" t="s">
        <v>17</v>
      </c>
      <c r="D3025" t="s">
        <v>12</v>
      </c>
      <c r="E3025" t="s">
        <v>163</v>
      </c>
      <c r="F3025" t="s">
        <v>44</v>
      </c>
      <c r="G3025" t="s">
        <v>35</v>
      </c>
      <c r="H3025">
        <v>9</v>
      </c>
      <c r="I3025">
        <v>5706</v>
      </c>
      <c r="J3025">
        <v>1704.8</v>
      </c>
    </row>
    <row r="3026" spans="1:10" x14ac:dyDescent="0.25">
      <c r="A3026" s="1">
        <v>44802</v>
      </c>
      <c r="B3026" t="s">
        <v>25</v>
      </c>
      <c r="C3026" t="s">
        <v>19</v>
      </c>
      <c r="D3026" t="s">
        <v>12</v>
      </c>
      <c r="E3026" t="s">
        <v>74</v>
      </c>
      <c r="F3026" t="s">
        <v>23</v>
      </c>
      <c r="G3026" t="s">
        <v>24</v>
      </c>
      <c r="H3026">
        <v>9</v>
      </c>
      <c r="I3026">
        <v>9657</v>
      </c>
      <c r="J3026">
        <v>1187.22</v>
      </c>
    </row>
    <row r="3027" spans="1:10" x14ac:dyDescent="0.25">
      <c r="A3027" s="1">
        <v>44592</v>
      </c>
      <c r="B3027" t="s">
        <v>32</v>
      </c>
      <c r="C3027" t="s">
        <v>19</v>
      </c>
      <c r="D3027" t="s">
        <v>12</v>
      </c>
      <c r="E3027" t="s">
        <v>102</v>
      </c>
      <c r="F3027" t="s">
        <v>34</v>
      </c>
      <c r="G3027" t="s">
        <v>35</v>
      </c>
      <c r="H3027">
        <v>5</v>
      </c>
      <c r="I3027">
        <v>4405</v>
      </c>
      <c r="J3027">
        <v>450.83</v>
      </c>
    </row>
    <row r="3028" spans="1:10" x14ac:dyDescent="0.25">
      <c r="A3028" s="1">
        <v>45274</v>
      </c>
      <c r="B3028" t="s">
        <v>49</v>
      </c>
      <c r="C3028" t="s">
        <v>17</v>
      </c>
      <c r="D3028" t="s">
        <v>12</v>
      </c>
      <c r="E3028" t="s">
        <v>22</v>
      </c>
      <c r="F3028" t="s">
        <v>23</v>
      </c>
      <c r="G3028" t="s">
        <v>24</v>
      </c>
      <c r="H3028">
        <v>4</v>
      </c>
      <c r="I3028">
        <v>1720</v>
      </c>
      <c r="J3028">
        <v>360.78</v>
      </c>
    </row>
    <row r="3029" spans="1:10" x14ac:dyDescent="0.25">
      <c r="A3029" s="1">
        <v>45151</v>
      </c>
      <c r="B3029" t="s">
        <v>25</v>
      </c>
      <c r="C3029" t="s">
        <v>19</v>
      </c>
      <c r="D3029" t="s">
        <v>12</v>
      </c>
      <c r="E3029" t="s">
        <v>164</v>
      </c>
      <c r="F3029" t="s">
        <v>94</v>
      </c>
      <c r="G3029" t="s">
        <v>24</v>
      </c>
      <c r="H3029">
        <v>7</v>
      </c>
      <c r="I3029">
        <v>4557</v>
      </c>
      <c r="J3029">
        <v>234.62</v>
      </c>
    </row>
    <row r="3030" spans="1:10" x14ac:dyDescent="0.25">
      <c r="A3030" s="1">
        <v>45638</v>
      </c>
      <c r="B3030" t="s">
        <v>29</v>
      </c>
      <c r="C3030" t="s">
        <v>17</v>
      </c>
      <c r="D3030" t="s">
        <v>12</v>
      </c>
      <c r="E3030" t="s">
        <v>165</v>
      </c>
      <c r="F3030" t="s">
        <v>23</v>
      </c>
      <c r="G3030" t="s">
        <v>24</v>
      </c>
      <c r="H3030">
        <v>7</v>
      </c>
      <c r="I3030">
        <v>2380</v>
      </c>
      <c r="J3030">
        <v>431.43</v>
      </c>
    </row>
    <row r="3031" spans="1:10" x14ac:dyDescent="0.25">
      <c r="A3031" s="1">
        <v>44603</v>
      </c>
      <c r="B3031" t="s">
        <v>29</v>
      </c>
      <c r="C3031" t="s">
        <v>17</v>
      </c>
      <c r="D3031" t="s">
        <v>12</v>
      </c>
      <c r="E3031" t="s">
        <v>76</v>
      </c>
      <c r="F3031" t="s">
        <v>54</v>
      </c>
      <c r="G3031" t="s">
        <v>24</v>
      </c>
      <c r="H3031">
        <v>8</v>
      </c>
      <c r="I3031">
        <v>456</v>
      </c>
      <c r="J3031">
        <v>74.989999999999995</v>
      </c>
    </row>
    <row r="3032" spans="1:10" x14ac:dyDescent="0.25">
      <c r="A3032" s="1">
        <v>45246</v>
      </c>
      <c r="B3032" t="s">
        <v>25</v>
      </c>
      <c r="C3032" t="s">
        <v>19</v>
      </c>
      <c r="D3032" t="s">
        <v>12</v>
      </c>
      <c r="E3032" t="s">
        <v>166</v>
      </c>
      <c r="F3032" t="s">
        <v>31</v>
      </c>
      <c r="G3032" t="s">
        <v>24</v>
      </c>
      <c r="H3032">
        <v>6</v>
      </c>
      <c r="I3032">
        <v>6534</v>
      </c>
      <c r="J3032">
        <v>355.03</v>
      </c>
    </row>
    <row r="3033" spans="1:10" x14ac:dyDescent="0.25">
      <c r="A3033" s="1">
        <v>44624</v>
      </c>
      <c r="B3033" t="s">
        <v>40</v>
      </c>
      <c r="C3033" t="s">
        <v>19</v>
      </c>
      <c r="D3033" t="s">
        <v>12</v>
      </c>
      <c r="E3033" t="s">
        <v>53</v>
      </c>
      <c r="F3033" t="s">
        <v>44</v>
      </c>
      <c r="G3033" t="s">
        <v>35</v>
      </c>
      <c r="H3033">
        <v>6</v>
      </c>
      <c r="I3033">
        <v>3456</v>
      </c>
      <c r="J3033">
        <v>307.45999999999998</v>
      </c>
    </row>
    <row r="3034" spans="1:10" x14ac:dyDescent="0.25">
      <c r="A3034" s="1">
        <v>44741</v>
      </c>
      <c r="B3034" t="s">
        <v>49</v>
      </c>
      <c r="C3034" t="s">
        <v>17</v>
      </c>
      <c r="D3034" t="s">
        <v>12</v>
      </c>
      <c r="E3034" t="s">
        <v>167</v>
      </c>
      <c r="F3034" t="s">
        <v>108</v>
      </c>
      <c r="G3034" t="s">
        <v>15</v>
      </c>
      <c r="H3034">
        <v>9</v>
      </c>
      <c r="I3034">
        <v>8163</v>
      </c>
      <c r="J3034">
        <v>2352.46</v>
      </c>
    </row>
    <row r="3035" spans="1:10" x14ac:dyDescent="0.25">
      <c r="A3035" s="1">
        <v>45166</v>
      </c>
      <c r="B3035" t="s">
        <v>29</v>
      </c>
      <c r="C3035" t="s">
        <v>17</v>
      </c>
      <c r="D3035" t="s">
        <v>12</v>
      </c>
      <c r="E3035" t="s">
        <v>167</v>
      </c>
      <c r="F3035" t="s">
        <v>108</v>
      </c>
      <c r="G3035" t="s">
        <v>15</v>
      </c>
      <c r="H3035">
        <v>6</v>
      </c>
      <c r="I3035">
        <v>4656</v>
      </c>
      <c r="J3035">
        <v>601.71</v>
      </c>
    </row>
    <row r="3036" spans="1:10" x14ac:dyDescent="0.25">
      <c r="A3036" s="1">
        <v>44820</v>
      </c>
      <c r="B3036" t="s">
        <v>40</v>
      </c>
      <c r="C3036" t="s">
        <v>19</v>
      </c>
      <c r="D3036" t="s">
        <v>12</v>
      </c>
      <c r="E3036" t="s">
        <v>53</v>
      </c>
      <c r="F3036" t="s">
        <v>44</v>
      </c>
      <c r="G3036" t="s">
        <v>35</v>
      </c>
      <c r="H3036">
        <v>2</v>
      </c>
      <c r="I3036">
        <v>966</v>
      </c>
      <c r="J3036">
        <v>241.54</v>
      </c>
    </row>
    <row r="3037" spans="1:10" x14ac:dyDescent="0.25">
      <c r="A3037" s="1">
        <v>44897</v>
      </c>
      <c r="B3037" t="s">
        <v>16</v>
      </c>
      <c r="C3037" t="s">
        <v>17</v>
      </c>
      <c r="D3037" t="s">
        <v>12</v>
      </c>
      <c r="E3037" t="s">
        <v>53</v>
      </c>
      <c r="F3037" t="s">
        <v>44</v>
      </c>
      <c r="G3037" t="s">
        <v>35</v>
      </c>
      <c r="H3037">
        <v>4</v>
      </c>
      <c r="I3037">
        <v>2580</v>
      </c>
      <c r="J3037">
        <v>669.67</v>
      </c>
    </row>
    <row r="3038" spans="1:10" x14ac:dyDescent="0.25">
      <c r="A3038" s="1">
        <v>44836</v>
      </c>
      <c r="B3038" t="s">
        <v>25</v>
      </c>
      <c r="C3038" t="s">
        <v>19</v>
      </c>
      <c r="D3038" t="s">
        <v>12</v>
      </c>
      <c r="E3038" t="s">
        <v>75</v>
      </c>
      <c r="F3038" t="s">
        <v>63</v>
      </c>
      <c r="G3038" t="s">
        <v>28</v>
      </c>
      <c r="H3038">
        <v>9</v>
      </c>
      <c r="I3038">
        <v>8127</v>
      </c>
      <c r="J3038">
        <v>1906.5</v>
      </c>
    </row>
    <row r="3039" spans="1:10" x14ac:dyDescent="0.25">
      <c r="A3039" s="1">
        <v>44700</v>
      </c>
      <c r="B3039" t="s">
        <v>32</v>
      </c>
      <c r="C3039" t="s">
        <v>19</v>
      </c>
      <c r="D3039" t="s">
        <v>12</v>
      </c>
      <c r="E3039" t="s">
        <v>26</v>
      </c>
      <c r="F3039" t="s">
        <v>27</v>
      </c>
      <c r="G3039" t="s">
        <v>28</v>
      </c>
      <c r="H3039">
        <v>4</v>
      </c>
      <c r="I3039">
        <v>2128</v>
      </c>
      <c r="J3039">
        <v>614.04999999999995</v>
      </c>
    </row>
    <row r="3040" spans="1:10" x14ac:dyDescent="0.25">
      <c r="A3040" s="1">
        <v>44717</v>
      </c>
      <c r="B3040" t="s">
        <v>40</v>
      </c>
      <c r="C3040" t="s">
        <v>19</v>
      </c>
      <c r="D3040" t="s">
        <v>12</v>
      </c>
      <c r="E3040" t="s">
        <v>52</v>
      </c>
      <c r="F3040" t="s">
        <v>42</v>
      </c>
      <c r="G3040" t="s">
        <v>28</v>
      </c>
      <c r="H3040">
        <v>9</v>
      </c>
      <c r="I3040">
        <v>6417</v>
      </c>
      <c r="J3040">
        <v>1100.52</v>
      </c>
    </row>
    <row r="3041" spans="1:10" x14ac:dyDescent="0.25">
      <c r="A3041" s="1">
        <v>44723</v>
      </c>
      <c r="B3041" t="s">
        <v>49</v>
      </c>
      <c r="C3041" t="s">
        <v>17</v>
      </c>
      <c r="D3041" t="s">
        <v>12</v>
      </c>
      <c r="E3041" t="s">
        <v>93</v>
      </c>
      <c r="F3041" t="s">
        <v>94</v>
      </c>
      <c r="G3041" t="s">
        <v>24</v>
      </c>
      <c r="H3041">
        <v>7</v>
      </c>
      <c r="I3041">
        <v>3997</v>
      </c>
      <c r="J3041">
        <v>494.78</v>
      </c>
    </row>
    <row r="3042" spans="1:10" x14ac:dyDescent="0.25">
      <c r="A3042" s="1">
        <v>44999</v>
      </c>
      <c r="B3042" t="s">
        <v>55</v>
      </c>
      <c r="C3042" t="s">
        <v>19</v>
      </c>
      <c r="D3042" t="s">
        <v>12</v>
      </c>
      <c r="E3042" t="s">
        <v>52</v>
      </c>
      <c r="F3042" t="s">
        <v>42</v>
      </c>
      <c r="G3042" t="s">
        <v>28</v>
      </c>
      <c r="H3042">
        <v>1</v>
      </c>
      <c r="I3042">
        <v>879</v>
      </c>
      <c r="J3042">
        <v>149.52000000000001</v>
      </c>
    </row>
    <row r="3043" spans="1:10" x14ac:dyDescent="0.25">
      <c r="A3043" s="1">
        <v>45247</v>
      </c>
      <c r="B3043" t="s">
        <v>55</v>
      </c>
      <c r="C3043" t="s">
        <v>19</v>
      </c>
      <c r="D3043" t="s">
        <v>12</v>
      </c>
      <c r="E3043" t="s">
        <v>52</v>
      </c>
      <c r="F3043" t="s">
        <v>42</v>
      </c>
      <c r="G3043" t="s">
        <v>28</v>
      </c>
      <c r="H3043">
        <v>3</v>
      </c>
      <c r="I3043">
        <v>2415</v>
      </c>
      <c r="J3043">
        <v>538.39</v>
      </c>
    </row>
    <row r="3044" spans="1:10" x14ac:dyDescent="0.25">
      <c r="A3044" s="1">
        <v>45562</v>
      </c>
      <c r="B3044" t="s">
        <v>25</v>
      </c>
      <c r="C3044" t="s">
        <v>19</v>
      </c>
      <c r="D3044" t="s">
        <v>12</v>
      </c>
      <c r="E3044" t="s">
        <v>97</v>
      </c>
      <c r="F3044" t="s">
        <v>23</v>
      </c>
      <c r="G3044" t="s">
        <v>24</v>
      </c>
      <c r="H3044">
        <v>4</v>
      </c>
      <c r="I3044">
        <v>1064</v>
      </c>
      <c r="J3044">
        <v>314.83999999999997</v>
      </c>
    </row>
    <row r="3045" spans="1:10" x14ac:dyDescent="0.25">
      <c r="A3045" s="1">
        <v>44609</v>
      </c>
      <c r="B3045" t="s">
        <v>16</v>
      </c>
      <c r="C3045" t="s">
        <v>17</v>
      </c>
      <c r="D3045" t="s">
        <v>12</v>
      </c>
      <c r="E3045" t="s">
        <v>37</v>
      </c>
      <c r="F3045" t="s">
        <v>34</v>
      </c>
      <c r="G3045" t="s">
        <v>35</v>
      </c>
      <c r="H3045">
        <v>4</v>
      </c>
      <c r="I3045">
        <v>1156</v>
      </c>
      <c r="J3045">
        <v>326.92</v>
      </c>
    </row>
    <row r="3046" spans="1:10" x14ac:dyDescent="0.25">
      <c r="A3046" s="1">
        <v>44693</v>
      </c>
      <c r="B3046" t="s">
        <v>40</v>
      </c>
      <c r="C3046" t="s">
        <v>19</v>
      </c>
      <c r="D3046" t="s">
        <v>12</v>
      </c>
      <c r="E3046" t="s">
        <v>129</v>
      </c>
      <c r="F3046" t="s">
        <v>168</v>
      </c>
      <c r="G3046" t="s">
        <v>15</v>
      </c>
      <c r="H3046">
        <v>1</v>
      </c>
      <c r="I3046">
        <v>1184</v>
      </c>
      <c r="J3046">
        <v>218.27</v>
      </c>
    </row>
    <row r="3047" spans="1:10" x14ac:dyDescent="0.25">
      <c r="A3047" s="1">
        <v>44597</v>
      </c>
      <c r="B3047" t="s">
        <v>49</v>
      </c>
      <c r="C3047" t="s">
        <v>17</v>
      </c>
      <c r="D3047" t="s">
        <v>12</v>
      </c>
      <c r="E3047" t="s">
        <v>96</v>
      </c>
      <c r="F3047" t="s">
        <v>34</v>
      </c>
      <c r="G3047" t="s">
        <v>35</v>
      </c>
      <c r="H3047">
        <v>3</v>
      </c>
      <c r="I3047">
        <v>1950</v>
      </c>
      <c r="J3047">
        <v>211.16</v>
      </c>
    </row>
    <row r="3048" spans="1:10" x14ac:dyDescent="0.25">
      <c r="A3048" s="1">
        <v>44802</v>
      </c>
      <c r="B3048" t="s">
        <v>55</v>
      </c>
      <c r="C3048" t="s">
        <v>19</v>
      </c>
      <c r="D3048" t="s">
        <v>12</v>
      </c>
      <c r="E3048" t="s">
        <v>43</v>
      </c>
      <c r="F3048" t="s">
        <v>44</v>
      </c>
      <c r="G3048" t="s">
        <v>35</v>
      </c>
      <c r="H3048">
        <v>4</v>
      </c>
      <c r="I3048">
        <v>1088</v>
      </c>
      <c r="J3048">
        <v>295.08999999999997</v>
      </c>
    </row>
    <row r="3049" spans="1:10" x14ac:dyDescent="0.25">
      <c r="A3049" s="1">
        <v>45264</v>
      </c>
      <c r="B3049" t="s">
        <v>10</v>
      </c>
      <c r="C3049" t="s">
        <v>11</v>
      </c>
      <c r="D3049" t="s">
        <v>12</v>
      </c>
      <c r="E3049" t="s">
        <v>75</v>
      </c>
      <c r="F3049" t="s">
        <v>108</v>
      </c>
      <c r="G3049" t="s">
        <v>15</v>
      </c>
      <c r="H3049">
        <v>6</v>
      </c>
      <c r="I3049">
        <v>4380</v>
      </c>
      <c r="J3049">
        <v>522.29999999999995</v>
      </c>
    </row>
    <row r="3050" spans="1:10" x14ac:dyDescent="0.25">
      <c r="A3050" s="1">
        <v>45402</v>
      </c>
      <c r="B3050" t="s">
        <v>25</v>
      </c>
      <c r="C3050" t="s">
        <v>19</v>
      </c>
      <c r="D3050" t="s">
        <v>12</v>
      </c>
      <c r="E3050" t="s">
        <v>169</v>
      </c>
      <c r="F3050" t="s">
        <v>83</v>
      </c>
      <c r="G3050" t="s">
        <v>28</v>
      </c>
      <c r="H3050">
        <v>1</v>
      </c>
      <c r="I3050">
        <v>998</v>
      </c>
      <c r="J3050">
        <v>196.17</v>
      </c>
    </row>
    <row r="3051" spans="1:10" x14ac:dyDescent="0.25">
      <c r="A3051" s="1">
        <v>45437</v>
      </c>
      <c r="B3051" t="s">
        <v>40</v>
      </c>
      <c r="C3051" t="s">
        <v>19</v>
      </c>
      <c r="D3051" t="s">
        <v>12</v>
      </c>
      <c r="E3051" t="s">
        <v>170</v>
      </c>
      <c r="F3051" t="s">
        <v>78</v>
      </c>
      <c r="G3051" t="s">
        <v>28</v>
      </c>
      <c r="H3051">
        <v>6</v>
      </c>
      <c r="I3051">
        <v>5766</v>
      </c>
      <c r="J3051">
        <v>675.17</v>
      </c>
    </row>
    <row r="3052" spans="1:10" x14ac:dyDescent="0.25">
      <c r="A3052" s="1">
        <v>45574</v>
      </c>
      <c r="B3052" t="s">
        <v>18</v>
      </c>
      <c r="C3052" t="s">
        <v>19</v>
      </c>
      <c r="D3052" t="s">
        <v>12</v>
      </c>
      <c r="E3052" t="s">
        <v>162</v>
      </c>
      <c r="F3052" t="s">
        <v>34</v>
      </c>
      <c r="G3052" t="s">
        <v>35</v>
      </c>
      <c r="H3052">
        <v>6</v>
      </c>
      <c r="I3052">
        <v>3120</v>
      </c>
      <c r="J3052">
        <v>274.64999999999998</v>
      </c>
    </row>
    <row r="3053" spans="1:10" x14ac:dyDescent="0.25">
      <c r="A3053" s="1">
        <v>44627</v>
      </c>
      <c r="B3053" t="s">
        <v>10</v>
      </c>
      <c r="C3053" t="s">
        <v>11</v>
      </c>
      <c r="D3053" t="s">
        <v>12</v>
      </c>
      <c r="E3053" t="s">
        <v>171</v>
      </c>
      <c r="F3053" t="s">
        <v>94</v>
      </c>
      <c r="G3053" t="s">
        <v>24</v>
      </c>
      <c r="H3053">
        <v>7</v>
      </c>
      <c r="I3053">
        <v>637</v>
      </c>
      <c r="J3053">
        <v>68.11</v>
      </c>
    </row>
    <row r="3054" spans="1:10" x14ac:dyDescent="0.25">
      <c r="A3054" s="1">
        <v>45225</v>
      </c>
      <c r="B3054" t="s">
        <v>55</v>
      </c>
      <c r="C3054" t="s">
        <v>19</v>
      </c>
      <c r="D3054" t="s">
        <v>12</v>
      </c>
      <c r="E3054" t="s">
        <v>70</v>
      </c>
      <c r="F3054" t="s">
        <v>71</v>
      </c>
      <c r="G3054" t="s">
        <v>35</v>
      </c>
      <c r="H3054">
        <v>6</v>
      </c>
      <c r="I3054">
        <v>3306</v>
      </c>
      <c r="J3054">
        <v>697.74</v>
      </c>
    </row>
    <row r="3055" spans="1:10" x14ac:dyDescent="0.25">
      <c r="A3055" s="1">
        <v>44712</v>
      </c>
      <c r="B3055" t="s">
        <v>36</v>
      </c>
      <c r="C3055" t="s">
        <v>17</v>
      </c>
      <c r="D3055" t="s">
        <v>12</v>
      </c>
      <c r="E3055" t="s">
        <v>37</v>
      </c>
      <c r="F3055" t="s">
        <v>34</v>
      </c>
      <c r="G3055" t="s">
        <v>35</v>
      </c>
      <c r="H3055">
        <v>6</v>
      </c>
      <c r="I3055">
        <v>7020</v>
      </c>
      <c r="J3055">
        <v>726.72</v>
      </c>
    </row>
    <row r="3056" spans="1:10" x14ac:dyDescent="0.25">
      <c r="A3056" s="1">
        <v>44820</v>
      </c>
      <c r="B3056" t="s">
        <v>25</v>
      </c>
      <c r="C3056" t="s">
        <v>19</v>
      </c>
      <c r="D3056" t="s">
        <v>12</v>
      </c>
      <c r="E3056" t="s">
        <v>22</v>
      </c>
      <c r="F3056" t="s">
        <v>23</v>
      </c>
      <c r="G3056" t="s">
        <v>24</v>
      </c>
      <c r="H3056">
        <v>7</v>
      </c>
      <c r="I3056">
        <v>5971</v>
      </c>
      <c r="J3056">
        <v>502.14</v>
      </c>
    </row>
    <row r="3057" spans="1:10" x14ac:dyDescent="0.25">
      <c r="A3057" s="1">
        <v>45252</v>
      </c>
      <c r="B3057" t="s">
        <v>55</v>
      </c>
      <c r="C3057" t="s">
        <v>19</v>
      </c>
      <c r="D3057" t="s">
        <v>12</v>
      </c>
      <c r="E3057" t="s">
        <v>52</v>
      </c>
      <c r="F3057" t="s">
        <v>42</v>
      </c>
      <c r="G3057" t="s">
        <v>28</v>
      </c>
      <c r="H3057">
        <v>2</v>
      </c>
      <c r="I3057">
        <v>750</v>
      </c>
      <c r="J3057">
        <v>77.680000000000007</v>
      </c>
    </row>
    <row r="3058" spans="1:10" x14ac:dyDescent="0.25">
      <c r="A3058" s="1">
        <v>45408</v>
      </c>
      <c r="B3058" t="s">
        <v>18</v>
      </c>
      <c r="C3058" t="s">
        <v>19</v>
      </c>
      <c r="D3058" t="s">
        <v>12</v>
      </c>
      <c r="E3058" t="s">
        <v>110</v>
      </c>
      <c r="F3058" t="s">
        <v>57</v>
      </c>
      <c r="G3058" t="s">
        <v>24</v>
      </c>
      <c r="H3058">
        <v>3</v>
      </c>
      <c r="I3058">
        <v>2379</v>
      </c>
      <c r="J3058">
        <v>523</v>
      </c>
    </row>
    <row r="3059" spans="1:10" x14ac:dyDescent="0.25">
      <c r="A3059" s="1">
        <v>44794</v>
      </c>
      <c r="B3059" t="s">
        <v>25</v>
      </c>
      <c r="C3059" t="s">
        <v>19</v>
      </c>
      <c r="D3059" t="s">
        <v>12</v>
      </c>
      <c r="E3059" t="s">
        <v>22</v>
      </c>
      <c r="F3059" t="s">
        <v>23</v>
      </c>
      <c r="G3059" t="s">
        <v>24</v>
      </c>
      <c r="H3059">
        <v>1</v>
      </c>
      <c r="I3059">
        <v>699</v>
      </c>
      <c r="J3059">
        <v>108.94</v>
      </c>
    </row>
    <row r="3060" spans="1:10" x14ac:dyDescent="0.25">
      <c r="A3060" s="1">
        <v>44942</v>
      </c>
      <c r="B3060" t="s">
        <v>25</v>
      </c>
      <c r="C3060" t="s">
        <v>19</v>
      </c>
      <c r="D3060" t="s">
        <v>12</v>
      </c>
      <c r="E3060" t="s">
        <v>22</v>
      </c>
      <c r="F3060" t="s">
        <v>23</v>
      </c>
      <c r="G3060" t="s">
        <v>24</v>
      </c>
      <c r="H3060">
        <v>9</v>
      </c>
      <c r="I3060">
        <v>6876</v>
      </c>
      <c r="J3060">
        <v>1895.24</v>
      </c>
    </row>
    <row r="3061" spans="1:10" x14ac:dyDescent="0.25">
      <c r="A3061" s="1">
        <v>44594</v>
      </c>
      <c r="B3061" t="s">
        <v>36</v>
      </c>
      <c r="C3061" t="s">
        <v>17</v>
      </c>
      <c r="D3061" t="s">
        <v>12</v>
      </c>
      <c r="E3061" t="s">
        <v>22</v>
      </c>
      <c r="F3061" t="s">
        <v>23</v>
      </c>
      <c r="G3061" t="s">
        <v>24</v>
      </c>
      <c r="H3061">
        <v>8</v>
      </c>
      <c r="I3061">
        <v>1800</v>
      </c>
      <c r="J3061">
        <v>494.02</v>
      </c>
    </row>
    <row r="3062" spans="1:10" x14ac:dyDescent="0.25">
      <c r="A3062" s="1">
        <v>45484</v>
      </c>
      <c r="B3062" t="s">
        <v>18</v>
      </c>
      <c r="C3062" t="s">
        <v>19</v>
      </c>
      <c r="D3062" t="s">
        <v>12</v>
      </c>
      <c r="E3062" t="s">
        <v>26</v>
      </c>
      <c r="F3062" t="s">
        <v>27</v>
      </c>
      <c r="G3062" t="s">
        <v>28</v>
      </c>
      <c r="H3062">
        <v>5</v>
      </c>
      <c r="I3062">
        <v>1255</v>
      </c>
      <c r="J3062">
        <v>236.25</v>
      </c>
    </row>
    <row r="3063" spans="1:10" x14ac:dyDescent="0.25">
      <c r="A3063" s="1">
        <v>44716</v>
      </c>
      <c r="B3063" t="s">
        <v>32</v>
      </c>
      <c r="C3063" t="s">
        <v>19</v>
      </c>
      <c r="D3063" t="s">
        <v>12</v>
      </c>
      <c r="E3063" t="s">
        <v>172</v>
      </c>
      <c r="F3063" t="s">
        <v>173</v>
      </c>
      <c r="G3063" t="s">
        <v>24</v>
      </c>
      <c r="H3063">
        <v>9</v>
      </c>
      <c r="I3063">
        <v>1998</v>
      </c>
      <c r="J3063">
        <v>343.58</v>
      </c>
    </row>
    <row r="3064" spans="1:10" x14ac:dyDescent="0.25">
      <c r="A3064" s="1">
        <v>44891</v>
      </c>
      <c r="B3064" t="s">
        <v>29</v>
      </c>
      <c r="C3064" t="s">
        <v>17</v>
      </c>
      <c r="D3064" t="s">
        <v>12</v>
      </c>
      <c r="E3064" t="s">
        <v>164</v>
      </c>
      <c r="F3064" t="s">
        <v>94</v>
      </c>
      <c r="G3064" t="s">
        <v>24</v>
      </c>
      <c r="H3064">
        <v>1</v>
      </c>
      <c r="I3064">
        <v>307</v>
      </c>
      <c r="J3064">
        <v>80.19</v>
      </c>
    </row>
    <row r="3065" spans="1:10" x14ac:dyDescent="0.25">
      <c r="A3065" s="1">
        <v>45468</v>
      </c>
      <c r="B3065" t="s">
        <v>10</v>
      </c>
      <c r="C3065" t="s">
        <v>11</v>
      </c>
      <c r="D3065" t="s">
        <v>12</v>
      </c>
      <c r="E3065" t="s">
        <v>174</v>
      </c>
      <c r="F3065" t="s">
        <v>27</v>
      </c>
      <c r="G3065" t="s">
        <v>28</v>
      </c>
      <c r="H3065">
        <v>1</v>
      </c>
      <c r="I3065">
        <v>235</v>
      </c>
      <c r="J3065">
        <v>54.87</v>
      </c>
    </row>
    <row r="3066" spans="1:10" x14ac:dyDescent="0.25">
      <c r="A3066" s="1">
        <v>45231</v>
      </c>
      <c r="B3066" t="s">
        <v>36</v>
      </c>
      <c r="C3066" t="s">
        <v>17</v>
      </c>
      <c r="D3066" t="s">
        <v>12</v>
      </c>
      <c r="E3066" t="s">
        <v>175</v>
      </c>
      <c r="F3066" t="s">
        <v>23</v>
      </c>
      <c r="G3066" t="s">
        <v>24</v>
      </c>
      <c r="H3066">
        <v>6</v>
      </c>
      <c r="I3066">
        <v>1506</v>
      </c>
      <c r="J3066">
        <v>407.73</v>
      </c>
    </row>
    <row r="3067" spans="1:10" x14ac:dyDescent="0.25">
      <c r="A3067" s="1">
        <v>45591</v>
      </c>
      <c r="B3067" t="s">
        <v>18</v>
      </c>
      <c r="C3067" t="s">
        <v>19</v>
      </c>
      <c r="D3067" t="s">
        <v>12</v>
      </c>
      <c r="E3067" t="s">
        <v>176</v>
      </c>
      <c r="F3067" t="s">
        <v>84</v>
      </c>
      <c r="G3067" t="s">
        <v>28</v>
      </c>
      <c r="H3067">
        <v>8</v>
      </c>
      <c r="I3067">
        <v>2464</v>
      </c>
      <c r="J3067">
        <v>216.51</v>
      </c>
    </row>
    <row r="3068" spans="1:10" x14ac:dyDescent="0.25">
      <c r="A3068" s="1">
        <v>45058</v>
      </c>
      <c r="B3068" t="s">
        <v>32</v>
      </c>
      <c r="C3068" t="s">
        <v>19</v>
      </c>
      <c r="D3068" t="s">
        <v>12</v>
      </c>
      <c r="E3068" t="s">
        <v>75</v>
      </c>
      <c r="F3068" t="s">
        <v>63</v>
      </c>
      <c r="G3068" t="s">
        <v>28</v>
      </c>
      <c r="H3068">
        <v>2</v>
      </c>
      <c r="I3068">
        <v>322</v>
      </c>
      <c r="J3068">
        <v>42.03</v>
      </c>
    </row>
    <row r="3069" spans="1:10" x14ac:dyDescent="0.25">
      <c r="A3069" s="1">
        <v>44989</v>
      </c>
      <c r="B3069" t="s">
        <v>10</v>
      </c>
      <c r="C3069" t="s">
        <v>11</v>
      </c>
      <c r="D3069" t="s">
        <v>12</v>
      </c>
      <c r="E3069" t="s">
        <v>177</v>
      </c>
      <c r="F3069" t="s">
        <v>42</v>
      </c>
      <c r="G3069" t="s">
        <v>28</v>
      </c>
      <c r="H3069">
        <v>4</v>
      </c>
      <c r="I3069">
        <v>1100</v>
      </c>
      <c r="J3069">
        <v>100.02</v>
      </c>
    </row>
    <row r="3070" spans="1:10" x14ac:dyDescent="0.25">
      <c r="A3070" s="1">
        <v>44628</v>
      </c>
      <c r="B3070" t="s">
        <v>49</v>
      </c>
      <c r="C3070" t="s">
        <v>17</v>
      </c>
      <c r="D3070" t="s">
        <v>12</v>
      </c>
      <c r="E3070" t="s">
        <v>56</v>
      </c>
      <c r="F3070" t="s">
        <v>57</v>
      </c>
      <c r="G3070" t="s">
        <v>24</v>
      </c>
      <c r="H3070">
        <v>4</v>
      </c>
      <c r="I3070">
        <v>2188</v>
      </c>
      <c r="J3070">
        <v>265.54000000000002</v>
      </c>
    </row>
    <row r="3071" spans="1:10" x14ac:dyDescent="0.25">
      <c r="A3071" s="1">
        <v>45282</v>
      </c>
      <c r="B3071" t="s">
        <v>10</v>
      </c>
      <c r="C3071" t="s">
        <v>11</v>
      </c>
      <c r="D3071" t="s">
        <v>12</v>
      </c>
      <c r="E3071" t="s">
        <v>52</v>
      </c>
      <c r="F3071" t="s">
        <v>42</v>
      </c>
      <c r="G3071" t="s">
        <v>28</v>
      </c>
      <c r="H3071">
        <v>9</v>
      </c>
      <c r="I3071">
        <v>2934</v>
      </c>
      <c r="J3071">
        <v>473.34</v>
      </c>
    </row>
    <row r="3072" spans="1:10" x14ac:dyDescent="0.25">
      <c r="A3072" s="1">
        <v>44869</v>
      </c>
      <c r="B3072" t="s">
        <v>29</v>
      </c>
      <c r="C3072" t="s">
        <v>17</v>
      </c>
      <c r="D3072" t="s">
        <v>12</v>
      </c>
      <c r="E3072" t="s">
        <v>22</v>
      </c>
      <c r="F3072" t="s">
        <v>23</v>
      </c>
      <c r="G3072" t="s">
        <v>24</v>
      </c>
      <c r="H3072">
        <v>8</v>
      </c>
      <c r="I3072">
        <v>9224</v>
      </c>
      <c r="J3072">
        <v>514.05999999999995</v>
      </c>
    </row>
    <row r="3073" spans="1:10" x14ac:dyDescent="0.25">
      <c r="A3073" s="1">
        <v>44910</v>
      </c>
      <c r="B3073" t="s">
        <v>36</v>
      </c>
      <c r="C3073" t="s">
        <v>17</v>
      </c>
      <c r="D3073" t="s">
        <v>12</v>
      </c>
      <c r="E3073" t="s">
        <v>22</v>
      </c>
      <c r="F3073" t="s">
        <v>23</v>
      </c>
      <c r="G3073" t="s">
        <v>24</v>
      </c>
      <c r="H3073">
        <v>4</v>
      </c>
      <c r="I3073">
        <v>2436</v>
      </c>
      <c r="J3073">
        <v>142.81</v>
      </c>
    </row>
    <row r="3074" spans="1:10" x14ac:dyDescent="0.25">
      <c r="A3074" s="1">
        <v>44827</v>
      </c>
      <c r="B3074" t="s">
        <v>32</v>
      </c>
      <c r="C3074" t="s">
        <v>19</v>
      </c>
      <c r="D3074" t="s">
        <v>12</v>
      </c>
      <c r="E3074" t="s">
        <v>178</v>
      </c>
      <c r="F3074" t="s">
        <v>34</v>
      </c>
      <c r="G3074" t="s">
        <v>35</v>
      </c>
      <c r="H3074">
        <v>4</v>
      </c>
      <c r="I3074">
        <v>972</v>
      </c>
      <c r="J3074">
        <v>97.55</v>
      </c>
    </row>
    <row r="3075" spans="1:10" x14ac:dyDescent="0.25">
      <c r="A3075" s="1">
        <v>45568</v>
      </c>
      <c r="B3075" t="s">
        <v>55</v>
      </c>
      <c r="C3075" t="s">
        <v>19</v>
      </c>
      <c r="D3075" t="s">
        <v>12</v>
      </c>
      <c r="E3075" t="s">
        <v>52</v>
      </c>
      <c r="F3075" t="s">
        <v>42</v>
      </c>
      <c r="G3075" t="s">
        <v>28</v>
      </c>
      <c r="H3075">
        <v>6</v>
      </c>
      <c r="I3075">
        <v>5484</v>
      </c>
      <c r="J3075">
        <v>540.4</v>
      </c>
    </row>
    <row r="3076" spans="1:10" x14ac:dyDescent="0.25">
      <c r="A3076" s="1">
        <v>45582</v>
      </c>
      <c r="B3076" t="s">
        <v>25</v>
      </c>
      <c r="C3076" t="s">
        <v>19</v>
      </c>
      <c r="D3076" t="s">
        <v>12</v>
      </c>
      <c r="E3076" t="s">
        <v>52</v>
      </c>
      <c r="F3076" t="s">
        <v>42</v>
      </c>
      <c r="G3076" t="s">
        <v>28</v>
      </c>
      <c r="H3076">
        <v>8</v>
      </c>
      <c r="I3076">
        <v>3152</v>
      </c>
      <c r="J3076">
        <v>337.36</v>
      </c>
    </row>
    <row r="3077" spans="1:10" x14ac:dyDescent="0.25">
      <c r="A3077" s="1">
        <v>45373</v>
      </c>
      <c r="B3077" t="s">
        <v>49</v>
      </c>
      <c r="C3077" t="s">
        <v>17</v>
      </c>
      <c r="D3077" t="s">
        <v>12</v>
      </c>
      <c r="E3077" t="s">
        <v>52</v>
      </c>
      <c r="F3077" t="s">
        <v>42</v>
      </c>
      <c r="G3077" t="s">
        <v>28</v>
      </c>
      <c r="H3077">
        <v>8</v>
      </c>
      <c r="I3077">
        <v>6032</v>
      </c>
      <c r="J3077">
        <v>870.17</v>
      </c>
    </row>
    <row r="3078" spans="1:10" x14ac:dyDescent="0.25">
      <c r="A3078" s="1">
        <v>45026</v>
      </c>
      <c r="B3078" t="s">
        <v>25</v>
      </c>
      <c r="C3078" t="s">
        <v>19</v>
      </c>
      <c r="D3078" t="s">
        <v>12</v>
      </c>
      <c r="E3078" t="s">
        <v>179</v>
      </c>
      <c r="F3078" t="s">
        <v>44</v>
      </c>
      <c r="G3078" t="s">
        <v>35</v>
      </c>
      <c r="H3078">
        <v>7</v>
      </c>
      <c r="I3078">
        <v>6384</v>
      </c>
      <c r="J3078">
        <v>1324.49</v>
      </c>
    </row>
    <row r="3079" spans="1:10" x14ac:dyDescent="0.25">
      <c r="A3079" s="1">
        <v>45117</v>
      </c>
      <c r="B3079" t="s">
        <v>10</v>
      </c>
      <c r="C3079" t="s">
        <v>11</v>
      </c>
      <c r="D3079" t="s">
        <v>12</v>
      </c>
      <c r="E3079" t="s">
        <v>75</v>
      </c>
      <c r="F3079" t="s">
        <v>63</v>
      </c>
      <c r="G3079" t="s">
        <v>28</v>
      </c>
      <c r="H3079">
        <v>5</v>
      </c>
      <c r="I3079">
        <v>3705</v>
      </c>
      <c r="J3079">
        <v>707.08</v>
      </c>
    </row>
    <row r="3080" spans="1:10" x14ac:dyDescent="0.25">
      <c r="A3080" s="1">
        <v>44869</v>
      </c>
      <c r="B3080" t="s">
        <v>32</v>
      </c>
      <c r="C3080" t="s">
        <v>19</v>
      </c>
      <c r="D3080" t="s">
        <v>12</v>
      </c>
      <c r="E3080" t="s">
        <v>52</v>
      </c>
      <c r="F3080" t="s">
        <v>42</v>
      </c>
      <c r="G3080" t="s">
        <v>28</v>
      </c>
      <c r="H3080">
        <v>6</v>
      </c>
      <c r="I3080">
        <v>5580</v>
      </c>
      <c r="J3080">
        <v>394.03</v>
      </c>
    </row>
    <row r="3081" spans="1:10" x14ac:dyDescent="0.25">
      <c r="A3081" s="1">
        <v>44667</v>
      </c>
      <c r="B3081" t="s">
        <v>25</v>
      </c>
      <c r="C3081" t="s">
        <v>19</v>
      </c>
      <c r="D3081" t="s">
        <v>12</v>
      </c>
      <c r="E3081" t="s">
        <v>180</v>
      </c>
      <c r="F3081" t="s">
        <v>34</v>
      </c>
      <c r="G3081" t="s">
        <v>35</v>
      </c>
      <c r="H3081">
        <v>2</v>
      </c>
      <c r="I3081">
        <v>1236</v>
      </c>
      <c r="J3081">
        <v>120.74</v>
      </c>
    </row>
    <row r="3082" spans="1:10" x14ac:dyDescent="0.25">
      <c r="A3082" s="1">
        <v>45018</v>
      </c>
      <c r="B3082" t="s">
        <v>25</v>
      </c>
      <c r="C3082" t="s">
        <v>19</v>
      </c>
      <c r="D3082" t="s">
        <v>12</v>
      </c>
      <c r="E3082" t="s">
        <v>117</v>
      </c>
      <c r="F3082" t="s">
        <v>59</v>
      </c>
      <c r="G3082" t="s">
        <v>28</v>
      </c>
      <c r="H3082">
        <v>8</v>
      </c>
      <c r="I3082">
        <v>7040</v>
      </c>
      <c r="J3082">
        <v>1969.93</v>
      </c>
    </row>
    <row r="3083" spans="1:10" x14ac:dyDescent="0.25">
      <c r="A3083" s="1">
        <v>45454</v>
      </c>
      <c r="B3083" t="s">
        <v>25</v>
      </c>
      <c r="C3083" t="s">
        <v>19</v>
      </c>
      <c r="D3083" t="s">
        <v>12</v>
      </c>
      <c r="E3083" t="s">
        <v>22</v>
      </c>
      <c r="F3083" t="s">
        <v>23</v>
      </c>
      <c r="G3083" t="s">
        <v>24</v>
      </c>
      <c r="H3083">
        <v>9</v>
      </c>
      <c r="I3083">
        <v>909</v>
      </c>
      <c r="J3083">
        <v>138.04</v>
      </c>
    </row>
    <row r="3084" spans="1:10" x14ac:dyDescent="0.25">
      <c r="A3084" s="1">
        <v>45652</v>
      </c>
      <c r="B3084" t="s">
        <v>16</v>
      </c>
      <c r="C3084" t="s">
        <v>17</v>
      </c>
      <c r="D3084" t="s">
        <v>12</v>
      </c>
      <c r="E3084" t="s">
        <v>181</v>
      </c>
      <c r="F3084" t="s">
        <v>57</v>
      </c>
      <c r="G3084" t="s">
        <v>24</v>
      </c>
      <c r="H3084">
        <v>1</v>
      </c>
      <c r="I3084">
        <v>106</v>
      </c>
      <c r="J3084">
        <v>7.24</v>
      </c>
    </row>
    <row r="3085" spans="1:10" x14ac:dyDescent="0.25">
      <c r="A3085" s="1">
        <v>45608</v>
      </c>
      <c r="B3085" t="s">
        <v>32</v>
      </c>
      <c r="C3085" t="s">
        <v>19</v>
      </c>
      <c r="D3085" t="s">
        <v>12</v>
      </c>
      <c r="E3085" t="s">
        <v>182</v>
      </c>
      <c r="F3085" t="s">
        <v>183</v>
      </c>
      <c r="G3085" t="s">
        <v>15</v>
      </c>
      <c r="H3085">
        <v>1</v>
      </c>
      <c r="I3085">
        <v>281</v>
      </c>
      <c r="J3085">
        <v>67.849999999999994</v>
      </c>
    </row>
    <row r="3086" spans="1:10" x14ac:dyDescent="0.25">
      <c r="A3086" s="1">
        <v>44829</v>
      </c>
      <c r="B3086" t="s">
        <v>25</v>
      </c>
      <c r="C3086" t="s">
        <v>19</v>
      </c>
      <c r="D3086" t="s">
        <v>12</v>
      </c>
      <c r="E3086" t="s">
        <v>112</v>
      </c>
      <c r="F3086" t="s">
        <v>63</v>
      </c>
      <c r="G3086" t="s">
        <v>28</v>
      </c>
      <c r="H3086">
        <v>6</v>
      </c>
      <c r="I3086">
        <v>6768</v>
      </c>
      <c r="J3086">
        <v>1851.01</v>
      </c>
    </row>
    <row r="3087" spans="1:10" x14ac:dyDescent="0.25">
      <c r="A3087" s="1">
        <v>44992</v>
      </c>
      <c r="B3087" t="s">
        <v>55</v>
      </c>
      <c r="C3087" t="s">
        <v>19</v>
      </c>
      <c r="D3087" t="s">
        <v>12</v>
      </c>
      <c r="E3087" t="s">
        <v>57</v>
      </c>
      <c r="F3087" t="s">
        <v>142</v>
      </c>
      <c r="G3087" t="s">
        <v>28</v>
      </c>
      <c r="H3087">
        <v>6</v>
      </c>
      <c r="I3087">
        <v>4302</v>
      </c>
      <c r="J3087">
        <v>276.35000000000002</v>
      </c>
    </row>
    <row r="3088" spans="1:10" x14ac:dyDescent="0.25">
      <c r="A3088" s="1">
        <v>44884</v>
      </c>
      <c r="B3088" t="s">
        <v>40</v>
      </c>
      <c r="C3088" t="s">
        <v>19</v>
      </c>
      <c r="D3088" t="s">
        <v>12</v>
      </c>
      <c r="E3088" t="s">
        <v>136</v>
      </c>
      <c r="F3088" t="s">
        <v>65</v>
      </c>
      <c r="G3088" t="s">
        <v>35</v>
      </c>
      <c r="H3088">
        <v>9</v>
      </c>
      <c r="I3088">
        <v>7146</v>
      </c>
      <c r="J3088">
        <v>2125.44</v>
      </c>
    </row>
    <row r="3089" spans="1:10" x14ac:dyDescent="0.25">
      <c r="A3089" s="1">
        <v>44973</v>
      </c>
      <c r="B3089" t="s">
        <v>40</v>
      </c>
      <c r="C3089" t="s">
        <v>19</v>
      </c>
      <c r="D3089" t="s">
        <v>12</v>
      </c>
      <c r="E3089" t="s">
        <v>52</v>
      </c>
      <c r="F3089" t="s">
        <v>42</v>
      </c>
      <c r="G3089" t="s">
        <v>28</v>
      </c>
      <c r="H3089">
        <v>3</v>
      </c>
      <c r="I3089">
        <v>582</v>
      </c>
      <c r="J3089">
        <v>48.08</v>
      </c>
    </row>
    <row r="3090" spans="1:10" x14ac:dyDescent="0.25">
      <c r="A3090" s="1">
        <v>45505</v>
      </c>
      <c r="B3090" t="s">
        <v>29</v>
      </c>
      <c r="C3090" t="s">
        <v>17</v>
      </c>
      <c r="D3090" t="s">
        <v>12</v>
      </c>
      <c r="E3090" t="s">
        <v>37</v>
      </c>
      <c r="F3090" t="s">
        <v>34</v>
      </c>
      <c r="G3090" t="s">
        <v>35</v>
      </c>
      <c r="H3090">
        <v>6</v>
      </c>
      <c r="I3090">
        <v>576</v>
      </c>
      <c r="J3090">
        <v>162.75</v>
      </c>
    </row>
    <row r="3091" spans="1:10" x14ac:dyDescent="0.25">
      <c r="A3091" s="1">
        <v>45193</v>
      </c>
      <c r="B3091" t="s">
        <v>49</v>
      </c>
      <c r="C3091" t="s">
        <v>17</v>
      </c>
      <c r="D3091" t="s">
        <v>12</v>
      </c>
      <c r="E3091" t="s">
        <v>26</v>
      </c>
      <c r="F3091" t="s">
        <v>27</v>
      </c>
      <c r="G3091" t="s">
        <v>28</v>
      </c>
      <c r="H3091">
        <v>5</v>
      </c>
      <c r="I3091">
        <v>4265</v>
      </c>
      <c r="J3091">
        <v>796.12</v>
      </c>
    </row>
    <row r="3092" spans="1:10" x14ac:dyDescent="0.25">
      <c r="A3092" s="1">
        <v>45101</v>
      </c>
      <c r="B3092" t="s">
        <v>32</v>
      </c>
      <c r="C3092" t="s">
        <v>19</v>
      </c>
      <c r="D3092" t="s">
        <v>12</v>
      </c>
      <c r="E3092" t="s">
        <v>74</v>
      </c>
      <c r="F3092" t="s">
        <v>23</v>
      </c>
      <c r="G3092" t="s">
        <v>24</v>
      </c>
      <c r="H3092">
        <v>8</v>
      </c>
      <c r="I3092">
        <v>5368</v>
      </c>
      <c r="J3092">
        <v>333.53</v>
      </c>
    </row>
    <row r="3093" spans="1:10" x14ac:dyDescent="0.25">
      <c r="A3093" s="1">
        <v>45264</v>
      </c>
      <c r="B3093" t="s">
        <v>29</v>
      </c>
      <c r="C3093" t="s">
        <v>17</v>
      </c>
      <c r="D3093" t="s">
        <v>12</v>
      </c>
      <c r="E3093" t="s">
        <v>26</v>
      </c>
      <c r="F3093" t="s">
        <v>27</v>
      </c>
      <c r="G3093" t="s">
        <v>28</v>
      </c>
      <c r="H3093">
        <v>1</v>
      </c>
      <c r="I3093">
        <v>314</v>
      </c>
      <c r="J3093">
        <v>66.23</v>
      </c>
    </row>
    <row r="3094" spans="1:10" x14ac:dyDescent="0.25">
      <c r="A3094" s="1">
        <v>45650</v>
      </c>
      <c r="B3094" t="s">
        <v>18</v>
      </c>
      <c r="C3094" t="s">
        <v>19</v>
      </c>
      <c r="D3094" t="s">
        <v>12</v>
      </c>
      <c r="E3094" t="s">
        <v>26</v>
      </c>
      <c r="F3094" t="s">
        <v>27</v>
      </c>
      <c r="G3094" t="s">
        <v>28</v>
      </c>
      <c r="H3094">
        <v>6</v>
      </c>
      <c r="I3094">
        <v>2676</v>
      </c>
      <c r="J3094">
        <v>646.70000000000005</v>
      </c>
    </row>
    <row r="3095" spans="1:10" x14ac:dyDescent="0.25">
      <c r="A3095" s="1">
        <v>44605</v>
      </c>
      <c r="B3095" t="s">
        <v>55</v>
      </c>
      <c r="C3095" t="s">
        <v>19</v>
      </c>
      <c r="D3095" t="s">
        <v>12</v>
      </c>
      <c r="E3095" t="s">
        <v>75</v>
      </c>
      <c r="F3095" t="s">
        <v>63</v>
      </c>
      <c r="G3095" t="s">
        <v>28</v>
      </c>
      <c r="H3095">
        <v>4</v>
      </c>
      <c r="I3095">
        <v>3384</v>
      </c>
      <c r="J3095">
        <v>947.52</v>
      </c>
    </row>
    <row r="3096" spans="1:10" x14ac:dyDescent="0.25">
      <c r="A3096" s="1">
        <v>45127</v>
      </c>
      <c r="B3096" t="s">
        <v>16</v>
      </c>
      <c r="C3096" t="s">
        <v>17</v>
      </c>
      <c r="D3096" t="s">
        <v>12</v>
      </c>
      <c r="E3096" t="s">
        <v>56</v>
      </c>
      <c r="F3096" t="s">
        <v>57</v>
      </c>
      <c r="G3096" t="s">
        <v>24</v>
      </c>
      <c r="H3096">
        <v>6</v>
      </c>
      <c r="I3096">
        <v>3186</v>
      </c>
      <c r="J3096">
        <v>794.94</v>
      </c>
    </row>
    <row r="3097" spans="1:10" x14ac:dyDescent="0.25">
      <c r="A3097" s="1">
        <v>45646</v>
      </c>
      <c r="B3097" t="s">
        <v>32</v>
      </c>
      <c r="C3097" t="s">
        <v>19</v>
      </c>
      <c r="D3097" t="s">
        <v>12</v>
      </c>
      <c r="E3097" t="s">
        <v>52</v>
      </c>
      <c r="F3097" t="s">
        <v>42</v>
      </c>
      <c r="G3097" t="s">
        <v>28</v>
      </c>
      <c r="H3097">
        <v>4</v>
      </c>
      <c r="I3097">
        <v>1832</v>
      </c>
      <c r="J3097">
        <v>528.69000000000005</v>
      </c>
    </row>
    <row r="3098" spans="1:10" x14ac:dyDescent="0.25">
      <c r="A3098" s="1">
        <v>45598</v>
      </c>
      <c r="B3098" t="s">
        <v>10</v>
      </c>
      <c r="C3098" t="s">
        <v>11</v>
      </c>
      <c r="D3098" t="s">
        <v>12</v>
      </c>
      <c r="E3098" t="s">
        <v>74</v>
      </c>
      <c r="F3098" t="s">
        <v>23</v>
      </c>
      <c r="G3098" t="s">
        <v>24</v>
      </c>
      <c r="H3098">
        <v>8</v>
      </c>
      <c r="I3098">
        <v>4784</v>
      </c>
      <c r="J3098">
        <v>769.91</v>
      </c>
    </row>
    <row r="3099" spans="1:10" x14ac:dyDescent="0.25">
      <c r="A3099" s="1">
        <v>45338</v>
      </c>
      <c r="B3099" t="s">
        <v>18</v>
      </c>
      <c r="C3099" t="s">
        <v>19</v>
      </c>
      <c r="D3099" t="s">
        <v>12</v>
      </c>
      <c r="E3099" t="s">
        <v>43</v>
      </c>
      <c r="F3099" t="s">
        <v>44</v>
      </c>
      <c r="G3099" t="s">
        <v>35</v>
      </c>
      <c r="H3099">
        <v>1</v>
      </c>
      <c r="I3099">
        <v>381</v>
      </c>
      <c r="J3099">
        <v>63.18</v>
      </c>
    </row>
    <row r="3100" spans="1:10" x14ac:dyDescent="0.25">
      <c r="A3100" s="1">
        <v>44894</v>
      </c>
      <c r="B3100" t="s">
        <v>40</v>
      </c>
      <c r="C3100" t="s">
        <v>19</v>
      </c>
      <c r="D3100" t="s">
        <v>12</v>
      </c>
      <c r="E3100" t="s">
        <v>74</v>
      </c>
      <c r="F3100" t="s">
        <v>23</v>
      </c>
      <c r="G3100" t="s">
        <v>24</v>
      </c>
      <c r="H3100">
        <v>9</v>
      </c>
      <c r="I3100">
        <v>4527</v>
      </c>
      <c r="J3100">
        <v>677.34</v>
      </c>
    </row>
    <row r="3101" spans="1:10" x14ac:dyDescent="0.25">
      <c r="A3101" s="1">
        <v>44706</v>
      </c>
      <c r="B3101" t="s">
        <v>10</v>
      </c>
      <c r="C3101" t="s">
        <v>11</v>
      </c>
      <c r="D3101" t="s">
        <v>12</v>
      </c>
      <c r="E3101" t="s">
        <v>52</v>
      </c>
      <c r="F3101" t="s">
        <v>42</v>
      </c>
      <c r="G3101" t="s">
        <v>28</v>
      </c>
      <c r="H3101">
        <v>4</v>
      </c>
      <c r="I3101">
        <v>1612</v>
      </c>
      <c r="J3101">
        <v>240.42</v>
      </c>
    </row>
    <row r="3102" spans="1:10" x14ac:dyDescent="0.25">
      <c r="A3102" s="1">
        <v>45203</v>
      </c>
      <c r="B3102" t="s">
        <v>10</v>
      </c>
      <c r="C3102" t="s">
        <v>11</v>
      </c>
      <c r="D3102" t="s">
        <v>12</v>
      </c>
      <c r="E3102" t="s">
        <v>52</v>
      </c>
      <c r="F3102" t="s">
        <v>42</v>
      </c>
      <c r="G3102" t="s">
        <v>28</v>
      </c>
      <c r="H3102">
        <v>2</v>
      </c>
      <c r="I3102">
        <v>1918</v>
      </c>
      <c r="J3102">
        <v>435.56</v>
      </c>
    </row>
    <row r="3103" spans="1:10" x14ac:dyDescent="0.25">
      <c r="A3103" s="1">
        <v>45295</v>
      </c>
      <c r="B3103" t="s">
        <v>25</v>
      </c>
      <c r="C3103" t="s">
        <v>19</v>
      </c>
      <c r="D3103" t="s">
        <v>12</v>
      </c>
      <c r="E3103" t="s">
        <v>43</v>
      </c>
      <c r="F3103" t="s">
        <v>44</v>
      </c>
      <c r="G3103" t="s">
        <v>35</v>
      </c>
      <c r="H3103">
        <v>1</v>
      </c>
      <c r="I3103">
        <v>179</v>
      </c>
      <c r="J3103">
        <v>42.37</v>
      </c>
    </row>
    <row r="3104" spans="1:10" x14ac:dyDescent="0.25">
      <c r="A3104" s="1">
        <v>45443</v>
      </c>
      <c r="B3104" t="s">
        <v>32</v>
      </c>
      <c r="C3104" t="s">
        <v>19</v>
      </c>
      <c r="D3104" t="s">
        <v>12</v>
      </c>
      <c r="E3104" t="s">
        <v>69</v>
      </c>
      <c r="F3104" t="s">
        <v>63</v>
      </c>
      <c r="G3104" t="s">
        <v>28</v>
      </c>
      <c r="H3104">
        <v>3</v>
      </c>
      <c r="I3104">
        <v>3153</v>
      </c>
      <c r="J3104">
        <v>224.29</v>
      </c>
    </row>
    <row r="3105" spans="1:10" x14ac:dyDescent="0.25">
      <c r="A3105" s="1">
        <v>45034</v>
      </c>
      <c r="B3105" t="s">
        <v>18</v>
      </c>
      <c r="C3105" t="s">
        <v>19</v>
      </c>
      <c r="D3105" t="s">
        <v>12</v>
      </c>
      <c r="E3105" t="s">
        <v>26</v>
      </c>
      <c r="F3105" t="s">
        <v>27</v>
      </c>
      <c r="G3105" t="s">
        <v>28</v>
      </c>
      <c r="H3105">
        <v>8</v>
      </c>
      <c r="I3105">
        <v>3864</v>
      </c>
      <c r="J3105">
        <v>855.75</v>
      </c>
    </row>
    <row r="3106" spans="1:10" x14ac:dyDescent="0.25">
      <c r="A3106" s="1">
        <v>45059</v>
      </c>
      <c r="B3106" t="s">
        <v>10</v>
      </c>
      <c r="C3106" t="s">
        <v>11</v>
      </c>
      <c r="D3106" t="s">
        <v>12</v>
      </c>
      <c r="E3106" t="s">
        <v>66</v>
      </c>
      <c r="F3106" t="s">
        <v>34</v>
      </c>
      <c r="G3106" t="s">
        <v>35</v>
      </c>
      <c r="H3106">
        <v>5</v>
      </c>
      <c r="I3106">
        <v>2440</v>
      </c>
      <c r="J3106">
        <v>570.78</v>
      </c>
    </row>
    <row r="3107" spans="1:10" x14ac:dyDescent="0.25">
      <c r="A3107" s="1">
        <v>45016</v>
      </c>
      <c r="B3107" t="s">
        <v>25</v>
      </c>
      <c r="C3107" t="s">
        <v>19</v>
      </c>
      <c r="D3107" t="s">
        <v>12</v>
      </c>
      <c r="E3107" t="s">
        <v>184</v>
      </c>
      <c r="F3107" t="s">
        <v>23</v>
      </c>
      <c r="G3107" t="s">
        <v>24</v>
      </c>
      <c r="H3107">
        <v>6</v>
      </c>
      <c r="I3107">
        <v>3660</v>
      </c>
      <c r="J3107">
        <v>675.38</v>
      </c>
    </row>
    <row r="3108" spans="1:10" x14ac:dyDescent="0.25">
      <c r="A3108" s="1">
        <v>45507</v>
      </c>
      <c r="B3108" t="s">
        <v>32</v>
      </c>
      <c r="C3108" t="s">
        <v>19</v>
      </c>
      <c r="D3108" t="s">
        <v>12</v>
      </c>
      <c r="E3108" t="s">
        <v>105</v>
      </c>
      <c r="F3108" t="s">
        <v>23</v>
      </c>
      <c r="G3108" t="s">
        <v>24</v>
      </c>
      <c r="H3108">
        <v>3</v>
      </c>
      <c r="I3108">
        <v>318</v>
      </c>
      <c r="J3108">
        <v>49.93</v>
      </c>
    </row>
    <row r="3109" spans="1:10" x14ac:dyDescent="0.25">
      <c r="A3109" s="1">
        <v>45276</v>
      </c>
      <c r="B3109" t="s">
        <v>16</v>
      </c>
      <c r="C3109" t="s">
        <v>17</v>
      </c>
      <c r="D3109" t="s">
        <v>12</v>
      </c>
      <c r="E3109" t="s">
        <v>105</v>
      </c>
      <c r="F3109" t="s">
        <v>23</v>
      </c>
      <c r="G3109" t="s">
        <v>24</v>
      </c>
      <c r="H3109">
        <v>3</v>
      </c>
      <c r="I3109">
        <v>483</v>
      </c>
      <c r="J3109">
        <v>63.27</v>
      </c>
    </row>
    <row r="3110" spans="1:10" x14ac:dyDescent="0.25">
      <c r="A3110" s="1">
        <v>45525</v>
      </c>
      <c r="B3110" t="s">
        <v>29</v>
      </c>
      <c r="C3110" t="s">
        <v>17</v>
      </c>
      <c r="D3110" t="s">
        <v>12</v>
      </c>
      <c r="E3110" t="s">
        <v>185</v>
      </c>
      <c r="F3110" t="s">
        <v>115</v>
      </c>
      <c r="G3110" t="s">
        <v>15</v>
      </c>
      <c r="H3110">
        <v>6</v>
      </c>
      <c r="I3110">
        <v>6774</v>
      </c>
      <c r="J3110">
        <v>960.41</v>
      </c>
    </row>
    <row r="3111" spans="1:10" x14ac:dyDescent="0.25">
      <c r="A3111" s="1">
        <v>45293</v>
      </c>
      <c r="B3111" t="s">
        <v>36</v>
      </c>
      <c r="C3111" t="s">
        <v>17</v>
      </c>
      <c r="D3111" t="s">
        <v>12</v>
      </c>
      <c r="E3111" t="s">
        <v>186</v>
      </c>
      <c r="F3111" t="s">
        <v>65</v>
      </c>
      <c r="G3111" t="s">
        <v>35</v>
      </c>
      <c r="H3111">
        <v>5</v>
      </c>
      <c r="I3111">
        <v>5310</v>
      </c>
      <c r="J3111">
        <v>806.12</v>
      </c>
    </row>
    <row r="3112" spans="1:10" x14ac:dyDescent="0.25">
      <c r="A3112" s="1">
        <v>45357</v>
      </c>
      <c r="B3112" t="s">
        <v>49</v>
      </c>
      <c r="C3112" t="s">
        <v>17</v>
      </c>
      <c r="D3112" t="s">
        <v>12</v>
      </c>
      <c r="E3112" t="s">
        <v>187</v>
      </c>
      <c r="F3112" t="s">
        <v>23</v>
      </c>
      <c r="G3112" t="s">
        <v>24</v>
      </c>
      <c r="H3112">
        <v>6</v>
      </c>
      <c r="I3112">
        <v>5154</v>
      </c>
      <c r="J3112">
        <v>779.43</v>
      </c>
    </row>
    <row r="3113" spans="1:10" x14ac:dyDescent="0.25">
      <c r="A3113" s="1">
        <v>45188</v>
      </c>
      <c r="B3113" t="s">
        <v>49</v>
      </c>
      <c r="C3113" t="s">
        <v>17</v>
      </c>
      <c r="D3113" t="s">
        <v>12</v>
      </c>
      <c r="E3113" t="s">
        <v>140</v>
      </c>
      <c r="F3113" t="s">
        <v>57</v>
      </c>
      <c r="G3113" t="s">
        <v>24</v>
      </c>
      <c r="H3113">
        <v>9</v>
      </c>
      <c r="I3113">
        <v>6741</v>
      </c>
      <c r="J3113">
        <v>823.17</v>
      </c>
    </row>
    <row r="3114" spans="1:10" x14ac:dyDescent="0.25">
      <c r="A3114" s="1">
        <v>44694</v>
      </c>
      <c r="B3114" t="s">
        <v>25</v>
      </c>
      <c r="C3114" t="s">
        <v>19</v>
      </c>
      <c r="D3114" t="s">
        <v>12</v>
      </c>
      <c r="E3114" t="s">
        <v>43</v>
      </c>
      <c r="F3114" t="s">
        <v>44</v>
      </c>
      <c r="G3114" t="s">
        <v>35</v>
      </c>
      <c r="H3114">
        <v>2</v>
      </c>
      <c r="I3114">
        <v>520</v>
      </c>
      <c r="J3114">
        <v>61.33</v>
      </c>
    </row>
    <row r="3115" spans="1:10" x14ac:dyDescent="0.25">
      <c r="A3115" s="1">
        <v>45462</v>
      </c>
      <c r="B3115" t="s">
        <v>18</v>
      </c>
      <c r="C3115" t="s">
        <v>19</v>
      </c>
      <c r="D3115" t="s">
        <v>12</v>
      </c>
      <c r="E3115" t="s">
        <v>154</v>
      </c>
      <c r="F3115" t="s">
        <v>115</v>
      </c>
      <c r="G3115" t="s">
        <v>15</v>
      </c>
      <c r="H3115">
        <v>7</v>
      </c>
      <c r="I3115">
        <v>1120</v>
      </c>
      <c r="J3115">
        <v>111.79</v>
      </c>
    </row>
    <row r="3116" spans="1:10" x14ac:dyDescent="0.25">
      <c r="A3116" s="1">
        <v>44754</v>
      </c>
      <c r="B3116" t="s">
        <v>49</v>
      </c>
      <c r="C3116" t="s">
        <v>17</v>
      </c>
      <c r="D3116" t="s">
        <v>12</v>
      </c>
      <c r="E3116" t="s">
        <v>62</v>
      </c>
      <c r="F3116" t="s">
        <v>63</v>
      </c>
      <c r="G3116" t="s">
        <v>28</v>
      </c>
      <c r="H3116">
        <v>1</v>
      </c>
      <c r="I3116">
        <v>911</v>
      </c>
      <c r="J3116">
        <v>155.30000000000001</v>
      </c>
    </row>
    <row r="3117" spans="1:10" x14ac:dyDescent="0.25">
      <c r="A3117" s="1">
        <v>44641</v>
      </c>
      <c r="B3117" t="s">
        <v>36</v>
      </c>
      <c r="C3117" t="s">
        <v>17</v>
      </c>
      <c r="D3117" t="s">
        <v>12</v>
      </c>
      <c r="E3117" t="s">
        <v>62</v>
      </c>
      <c r="F3117" t="s">
        <v>63</v>
      </c>
      <c r="G3117" t="s">
        <v>28</v>
      </c>
      <c r="H3117">
        <v>8</v>
      </c>
      <c r="I3117">
        <v>1064</v>
      </c>
      <c r="J3117">
        <v>190.73</v>
      </c>
    </row>
    <row r="3118" spans="1:10" x14ac:dyDescent="0.25">
      <c r="A3118" s="1">
        <v>45410</v>
      </c>
      <c r="B3118" t="s">
        <v>55</v>
      </c>
      <c r="C3118" t="s">
        <v>19</v>
      </c>
      <c r="D3118" t="s">
        <v>12</v>
      </c>
      <c r="E3118" t="s">
        <v>22</v>
      </c>
      <c r="F3118" t="s">
        <v>23</v>
      </c>
      <c r="G3118" t="s">
        <v>24</v>
      </c>
      <c r="H3118">
        <v>7</v>
      </c>
      <c r="I3118">
        <v>1981</v>
      </c>
      <c r="J3118">
        <v>404.3</v>
      </c>
    </row>
    <row r="3119" spans="1:10" x14ac:dyDescent="0.25">
      <c r="A3119" s="1">
        <v>44671</v>
      </c>
      <c r="B3119" t="s">
        <v>25</v>
      </c>
      <c r="C3119" t="s">
        <v>19</v>
      </c>
      <c r="D3119" t="s">
        <v>12</v>
      </c>
      <c r="E3119" t="s">
        <v>43</v>
      </c>
      <c r="F3119" t="s">
        <v>44</v>
      </c>
      <c r="G3119" t="s">
        <v>35</v>
      </c>
      <c r="H3119">
        <v>5</v>
      </c>
      <c r="I3119">
        <v>4280</v>
      </c>
      <c r="J3119">
        <v>540.47</v>
      </c>
    </row>
    <row r="3120" spans="1:10" x14ac:dyDescent="0.25">
      <c r="A3120" s="1">
        <v>45468</v>
      </c>
      <c r="B3120" t="s">
        <v>32</v>
      </c>
      <c r="C3120" t="s">
        <v>19</v>
      </c>
      <c r="D3120" t="s">
        <v>12</v>
      </c>
      <c r="E3120" t="s">
        <v>43</v>
      </c>
      <c r="F3120" t="s">
        <v>44</v>
      </c>
      <c r="G3120" t="s">
        <v>35</v>
      </c>
      <c r="H3120">
        <v>5</v>
      </c>
      <c r="I3120">
        <v>5125</v>
      </c>
      <c r="J3120">
        <v>268.39</v>
      </c>
    </row>
    <row r="3121" spans="1:10" x14ac:dyDescent="0.25">
      <c r="A3121" s="1">
        <v>45652</v>
      </c>
      <c r="B3121" t="s">
        <v>36</v>
      </c>
      <c r="C3121" t="s">
        <v>17</v>
      </c>
      <c r="D3121" t="s">
        <v>12</v>
      </c>
      <c r="E3121" t="s">
        <v>188</v>
      </c>
      <c r="F3121" t="s">
        <v>189</v>
      </c>
      <c r="G3121" t="s">
        <v>24</v>
      </c>
      <c r="H3121">
        <v>7</v>
      </c>
      <c r="I3121">
        <v>1575</v>
      </c>
      <c r="J3121">
        <v>313.95999999999998</v>
      </c>
    </row>
    <row r="3122" spans="1:10" x14ac:dyDescent="0.25">
      <c r="A3122" s="1">
        <v>45410</v>
      </c>
      <c r="B3122" t="s">
        <v>18</v>
      </c>
      <c r="C3122" t="s">
        <v>19</v>
      </c>
      <c r="D3122" t="s">
        <v>12</v>
      </c>
      <c r="E3122" t="s">
        <v>188</v>
      </c>
      <c r="F3122" t="s">
        <v>189</v>
      </c>
      <c r="G3122" t="s">
        <v>24</v>
      </c>
      <c r="H3122">
        <v>9</v>
      </c>
      <c r="I3122">
        <v>9972</v>
      </c>
      <c r="J3122">
        <v>1868.64</v>
      </c>
    </row>
    <row r="3123" spans="1:10" x14ac:dyDescent="0.25">
      <c r="A3123" s="1">
        <v>44835</v>
      </c>
      <c r="B3123" t="s">
        <v>40</v>
      </c>
      <c r="C3123" t="s">
        <v>19</v>
      </c>
      <c r="D3123" t="s">
        <v>12</v>
      </c>
      <c r="E3123" t="s">
        <v>190</v>
      </c>
      <c r="F3123" t="s">
        <v>191</v>
      </c>
      <c r="G3123" t="s">
        <v>35</v>
      </c>
      <c r="H3123">
        <v>8</v>
      </c>
      <c r="I3123">
        <v>4576</v>
      </c>
      <c r="J3123">
        <v>900.04</v>
      </c>
    </row>
    <row r="3124" spans="1:10" x14ac:dyDescent="0.25">
      <c r="A3124" s="1">
        <v>45444</v>
      </c>
      <c r="B3124" t="s">
        <v>36</v>
      </c>
      <c r="C3124" t="s">
        <v>17</v>
      </c>
      <c r="D3124" t="s">
        <v>12</v>
      </c>
      <c r="E3124" t="s">
        <v>148</v>
      </c>
      <c r="F3124" t="s">
        <v>149</v>
      </c>
      <c r="G3124" t="s">
        <v>15</v>
      </c>
      <c r="H3124">
        <v>7</v>
      </c>
      <c r="I3124">
        <v>6559</v>
      </c>
      <c r="J3124">
        <v>1141.32</v>
      </c>
    </row>
    <row r="3125" spans="1:10" x14ac:dyDescent="0.25">
      <c r="A3125" s="1">
        <v>45127</v>
      </c>
      <c r="B3125" t="s">
        <v>18</v>
      </c>
      <c r="C3125" t="s">
        <v>19</v>
      </c>
      <c r="D3125" t="s">
        <v>12</v>
      </c>
      <c r="E3125" t="s">
        <v>192</v>
      </c>
      <c r="F3125" t="s">
        <v>149</v>
      </c>
      <c r="G3125" t="s">
        <v>15</v>
      </c>
      <c r="H3125">
        <v>1</v>
      </c>
      <c r="I3125">
        <v>619</v>
      </c>
      <c r="J3125">
        <v>35.36</v>
      </c>
    </row>
    <row r="3126" spans="1:10" x14ac:dyDescent="0.25">
      <c r="A3126" s="1">
        <v>45452</v>
      </c>
      <c r="B3126" t="s">
        <v>29</v>
      </c>
      <c r="C3126" t="s">
        <v>17</v>
      </c>
      <c r="D3126" t="s">
        <v>12</v>
      </c>
      <c r="E3126" t="s">
        <v>193</v>
      </c>
      <c r="F3126" t="s">
        <v>14</v>
      </c>
      <c r="G3126" t="s">
        <v>15</v>
      </c>
      <c r="H3126">
        <v>8</v>
      </c>
      <c r="I3126">
        <v>2488</v>
      </c>
      <c r="J3126">
        <v>151.94999999999999</v>
      </c>
    </row>
    <row r="3127" spans="1:10" x14ac:dyDescent="0.25">
      <c r="A3127" s="1">
        <v>44863</v>
      </c>
      <c r="B3127" t="s">
        <v>16</v>
      </c>
      <c r="C3127" t="s">
        <v>17</v>
      </c>
      <c r="D3127" t="s">
        <v>12</v>
      </c>
      <c r="E3127" t="s">
        <v>66</v>
      </c>
      <c r="F3127" t="s">
        <v>34</v>
      </c>
      <c r="G3127" t="s">
        <v>35</v>
      </c>
      <c r="H3127">
        <v>4</v>
      </c>
      <c r="I3127">
        <v>2536</v>
      </c>
      <c r="J3127">
        <v>148.85</v>
      </c>
    </row>
    <row r="3128" spans="1:10" x14ac:dyDescent="0.25">
      <c r="A3128" s="1">
        <v>44595</v>
      </c>
      <c r="B3128" t="s">
        <v>18</v>
      </c>
      <c r="C3128" t="s">
        <v>19</v>
      </c>
      <c r="D3128" t="s">
        <v>12</v>
      </c>
      <c r="E3128" t="s">
        <v>57</v>
      </c>
      <c r="F3128" t="s">
        <v>142</v>
      </c>
      <c r="G3128" t="s">
        <v>28</v>
      </c>
      <c r="H3128">
        <v>8</v>
      </c>
      <c r="I3128">
        <v>5416</v>
      </c>
      <c r="J3128">
        <v>297.5</v>
      </c>
    </row>
    <row r="3129" spans="1:10" x14ac:dyDescent="0.25">
      <c r="A3129" s="1">
        <v>44970</v>
      </c>
      <c r="B3129" t="s">
        <v>32</v>
      </c>
      <c r="C3129" t="s">
        <v>19</v>
      </c>
      <c r="D3129" t="s">
        <v>12</v>
      </c>
      <c r="E3129" t="s">
        <v>22</v>
      </c>
      <c r="F3129" t="s">
        <v>23</v>
      </c>
      <c r="G3129" t="s">
        <v>24</v>
      </c>
      <c r="H3129">
        <v>2</v>
      </c>
      <c r="I3129">
        <v>2334</v>
      </c>
      <c r="J3129">
        <v>158.07</v>
      </c>
    </row>
    <row r="3130" spans="1:10" x14ac:dyDescent="0.25">
      <c r="A3130" s="1">
        <v>44770</v>
      </c>
      <c r="B3130" t="s">
        <v>25</v>
      </c>
      <c r="C3130" t="s">
        <v>19</v>
      </c>
      <c r="D3130" t="s">
        <v>12</v>
      </c>
      <c r="E3130" t="s">
        <v>52</v>
      </c>
      <c r="F3130" t="s">
        <v>42</v>
      </c>
      <c r="G3130" t="s">
        <v>28</v>
      </c>
      <c r="H3130">
        <v>9</v>
      </c>
      <c r="I3130">
        <v>1080</v>
      </c>
      <c r="J3130">
        <v>183.42</v>
      </c>
    </row>
    <row r="3131" spans="1:10" x14ac:dyDescent="0.25">
      <c r="A3131" s="1">
        <v>45420</v>
      </c>
      <c r="B3131" t="s">
        <v>18</v>
      </c>
      <c r="C3131" t="s">
        <v>19</v>
      </c>
      <c r="D3131" t="s">
        <v>12</v>
      </c>
      <c r="E3131" t="s">
        <v>53</v>
      </c>
      <c r="F3131" t="s">
        <v>54</v>
      </c>
      <c r="G3131" t="s">
        <v>24</v>
      </c>
      <c r="H3131">
        <v>4</v>
      </c>
      <c r="I3131">
        <v>1324</v>
      </c>
      <c r="J3131">
        <v>127.07</v>
      </c>
    </row>
    <row r="3132" spans="1:10" x14ac:dyDescent="0.25">
      <c r="A3132" s="1">
        <v>45123</v>
      </c>
      <c r="B3132" t="s">
        <v>25</v>
      </c>
      <c r="C3132" t="s">
        <v>19</v>
      </c>
      <c r="D3132" t="s">
        <v>12</v>
      </c>
      <c r="E3132" t="s">
        <v>53</v>
      </c>
      <c r="F3132" t="s">
        <v>54</v>
      </c>
      <c r="G3132" t="s">
        <v>24</v>
      </c>
      <c r="H3132">
        <v>2</v>
      </c>
      <c r="I3132">
        <v>2304</v>
      </c>
      <c r="J3132">
        <v>444.08</v>
      </c>
    </row>
    <row r="3133" spans="1:10" x14ac:dyDescent="0.25">
      <c r="A3133" s="1">
        <v>45343</v>
      </c>
      <c r="B3133" t="s">
        <v>40</v>
      </c>
      <c r="C3133" t="s">
        <v>19</v>
      </c>
      <c r="D3133" t="s">
        <v>12</v>
      </c>
      <c r="E3133" t="s">
        <v>13</v>
      </c>
      <c r="F3133" t="s">
        <v>173</v>
      </c>
      <c r="G3133" t="s">
        <v>24</v>
      </c>
      <c r="H3133">
        <v>4</v>
      </c>
      <c r="I3133">
        <v>4736</v>
      </c>
      <c r="J3133">
        <v>1026.24</v>
      </c>
    </row>
    <row r="3134" spans="1:10" x14ac:dyDescent="0.25">
      <c r="A3134" s="1">
        <v>45152</v>
      </c>
      <c r="B3134" t="s">
        <v>16</v>
      </c>
      <c r="C3134" t="s">
        <v>17</v>
      </c>
      <c r="D3134" t="s">
        <v>12</v>
      </c>
      <c r="E3134" t="s">
        <v>74</v>
      </c>
      <c r="F3134" t="s">
        <v>23</v>
      </c>
      <c r="G3134" t="s">
        <v>24</v>
      </c>
      <c r="H3134">
        <v>9</v>
      </c>
      <c r="I3134">
        <v>2925</v>
      </c>
      <c r="J3134">
        <v>457.49</v>
      </c>
    </row>
    <row r="3135" spans="1:10" x14ac:dyDescent="0.25">
      <c r="A3135" s="1">
        <v>44953</v>
      </c>
      <c r="B3135" t="s">
        <v>55</v>
      </c>
      <c r="C3135" t="s">
        <v>19</v>
      </c>
      <c r="D3135" t="s">
        <v>12</v>
      </c>
      <c r="E3135" t="s">
        <v>74</v>
      </c>
      <c r="F3135" t="s">
        <v>23</v>
      </c>
      <c r="G3135" t="s">
        <v>24</v>
      </c>
      <c r="H3135">
        <v>9</v>
      </c>
      <c r="I3135">
        <v>6345</v>
      </c>
      <c r="J3135">
        <v>1627.26</v>
      </c>
    </row>
    <row r="3136" spans="1:10" x14ac:dyDescent="0.25">
      <c r="A3136" s="1">
        <v>44725</v>
      </c>
      <c r="B3136" t="s">
        <v>29</v>
      </c>
      <c r="C3136" t="s">
        <v>17</v>
      </c>
      <c r="D3136" t="s">
        <v>12</v>
      </c>
      <c r="E3136" t="s">
        <v>194</v>
      </c>
      <c r="F3136" t="s">
        <v>57</v>
      </c>
      <c r="G3136" t="s">
        <v>24</v>
      </c>
      <c r="H3136">
        <v>9</v>
      </c>
      <c r="I3136">
        <v>4221</v>
      </c>
      <c r="J3136">
        <v>912.84</v>
      </c>
    </row>
    <row r="3137" spans="1:10" x14ac:dyDescent="0.25">
      <c r="A3137" s="1">
        <v>44901</v>
      </c>
      <c r="B3137" t="s">
        <v>29</v>
      </c>
      <c r="C3137" t="s">
        <v>17</v>
      </c>
      <c r="D3137" t="s">
        <v>12</v>
      </c>
      <c r="E3137" t="s">
        <v>116</v>
      </c>
      <c r="F3137" t="s">
        <v>42</v>
      </c>
      <c r="G3137" t="s">
        <v>28</v>
      </c>
      <c r="H3137">
        <v>7</v>
      </c>
      <c r="I3137">
        <v>462</v>
      </c>
      <c r="J3137">
        <v>56.89</v>
      </c>
    </row>
    <row r="3138" spans="1:10" x14ac:dyDescent="0.25">
      <c r="A3138" s="1">
        <v>44694</v>
      </c>
      <c r="B3138" t="s">
        <v>36</v>
      </c>
      <c r="C3138" t="s">
        <v>17</v>
      </c>
      <c r="D3138" t="s">
        <v>12</v>
      </c>
      <c r="E3138" t="s">
        <v>22</v>
      </c>
      <c r="F3138" t="s">
        <v>23</v>
      </c>
      <c r="G3138" t="s">
        <v>24</v>
      </c>
      <c r="H3138">
        <v>7</v>
      </c>
      <c r="I3138">
        <v>7588</v>
      </c>
      <c r="J3138">
        <v>1625.55</v>
      </c>
    </row>
    <row r="3139" spans="1:10" x14ac:dyDescent="0.25">
      <c r="A3139" s="1">
        <v>44907</v>
      </c>
      <c r="B3139" t="s">
        <v>49</v>
      </c>
      <c r="C3139" t="s">
        <v>17</v>
      </c>
      <c r="D3139" t="s">
        <v>12</v>
      </c>
      <c r="E3139" t="s">
        <v>52</v>
      </c>
      <c r="F3139" t="s">
        <v>42</v>
      </c>
      <c r="G3139" t="s">
        <v>28</v>
      </c>
      <c r="H3139">
        <v>6</v>
      </c>
      <c r="I3139">
        <v>5232</v>
      </c>
      <c r="J3139">
        <v>1270.6400000000001</v>
      </c>
    </row>
    <row r="3140" spans="1:10" x14ac:dyDescent="0.25">
      <c r="A3140" s="1">
        <v>45505</v>
      </c>
      <c r="B3140" t="s">
        <v>25</v>
      </c>
      <c r="C3140" t="s">
        <v>19</v>
      </c>
      <c r="D3140" t="s">
        <v>12</v>
      </c>
      <c r="E3140" t="s">
        <v>74</v>
      </c>
      <c r="F3140" t="s">
        <v>23</v>
      </c>
      <c r="G3140" t="s">
        <v>24</v>
      </c>
      <c r="H3140">
        <v>8</v>
      </c>
      <c r="I3140">
        <v>1440</v>
      </c>
      <c r="J3140">
        <v>402.06</v>
      </c>
    </row>
    <row r="3141" spans="1:10" x14ac:dyDescent="0.25">
      <c r="A3141" s="1">
        <v>45016</v>
      </c>
      <c r="B3141" t="s">
        <v>36</v>
      </c>
      <c r="C3141" t="s">
        <v>17</v>
      </c>
      <c r="D3141" t="s">
        <v>12</v>
      </c>
      <c r="E3141" t="s">
        <v>195</v>
      </c>
      <c r="F3141" t="s">
        <v>63</v>
      </c>
      <c r="G3141" t="s">
        <v>28</v>
      </c>
      <c r="H3141">
        <v>2</v>
      </c>
      <c r="I3141">
        <v>1026</v>
      </c>
      <c r="J3141">
        <v>226.4</v>
      </c>
    </row>
    <row r="3142" spans="1:10" x14ac:dyDescent="0.25">
      <c r="A3142" s="1">
        <v>45556</v>
      </c>
      <c r="B3142" t="s">
        <v>25</v>
      </c>
      <c r="C3142" t="s">
        <v>19</v>
      </c>
      <c r="D3142" t="s">
        <v>12</v>
      </c>
      <c r="E3142" t="s">
        <v>146</v>
      </c>
      <c r="F3142" t="s">
        <v>21</v>
      </c>
      <c r="G3142" t="s">
        <v>15</v>
      </c>
      <c r="H3142">
        <v>7</v>
      </c>
      <c r="I3142">
        <v>7455</v>
      </c>
      <c r="J3142">
        <v>1008.42</v>
      </c>
    </row>
    <row r="3143" spans="1:10" x14ac:dyDescent="0.25">
      <c r="A3143" s="1">
        <v>45259</v>
      </c>
      <c r="B3143" t="s">
        <v>10</v>
      </c>
      <c r="C3143" t="s">
        <v>11</v>
      </c>
      <c r="D3143" t="s">
        <v>12</v>
      </c>
      <c r="E3143" t="s">
        <v>132</v>
      </c>
      <c r="F3143" t="s">
        <v>189</v>
      </c>
      <c r="G3143" t="s">
        <v>24</v>
      </c>
      <c r="H3143">
        <v>8</v>
      </c>
      <c r="I3143">
        <v>2456</v>
      </c>
      <c r="J3143">
        <v>404.35</v>
      </c>
    </row>
    <row r="3144" spans="1:10" x14ac:dyDescent="0.25">
      <c r="A3144" s="1">
        <v>44866</v>
      </c>
      <c r="B3144" t="s">
        <v>25</v>
      </c>
      <c r="C3144" t="s">
        <v>19</v>
      </c>
      <c r="D3144" t="s">
        <v>12</v>
      </c>
      <c r="E3144" t="s">
        <v>22</v>
      </c>
      <c r="F3144" t="s">
        <v>23</v>
      </c>
      <c r="G3144" t="s">
        <v>24</v>
      </c>
      <c r="H3144">
        <v>3</v>
      </c>
      <c r="I3144">
        <v>2859</v>
      </c>
      <c r="J3144">
        <v>404.56</v>
      </c>
    </row>
    <row r="3145" spans="1:10" x14ac:dyDescent="0.25">
      <c r="A3145" s="1">
        <v>45299</v>
      </c>
      <c r="B3145" t="s">
        <v>49</v>
      </c>
      <c r="C3145" t="s">
        <v>17</v>
      </c>
      <c r="D3145" t="s">
        <v>12</v>
      </c>
      <c r="E3145" t="s">
        <v>118</v>
      </c>
      <c r="F3145" t="s">
        <v>42</v>
      </c>
      <c r="G3145" t="s">
        <v>28</v>
      </c>
      <c r="H3145">
        <v>1</v>
      </c>
      <c r="I3145">
        <v>311</v>
      </c>
      <c r="J3145">
        <v>50.66</v>
      </c>
    </row>
    <row r="3146" spans="1:10" x14ac:dyDescent="0.25">
      <c r="A3146" s="1">
        <v>44862</v>
      </c>
      <c r="B3146" t="s">
        <v>10</v>
      </c>
      <c r="C3146" t="s">
        <v>11</v>
      </c>
      <c r="D3146" t="s">
        <v>12</v>
      </c>
      <c r="E3146" t="s">
        <v>177</v>
      </c>
      <c r="F3146" t="s">
        <v>42</v>
      </c>
      <c r="G3146" t="s">
        <v>28</v>
      </c>
      <c r="H3146">
        <v>9</v>
      </c>
      <c r="I3146">
        <v>1260</v>
      </c>
      <c r="J3146">
        <v>246.6</v>
      </c>
    </row>
    <row r="3147" spans="1:10" x14ac:dyDescent="0.25">
      <c r="A3147" s="1">
        <v>44579</v>
      </c>
      <c r="B3147" t="s">
        <v>49</v>
      </c>
      <c r="C3147" t="s">
        <v>17</v>
      </c>
      <c r="D3147" t="s">
        <v>12</v>
      </c>
      <c r="E3147" t="s">
        <v>182</v>
      </c>
      <c r="F3147" t="s">
        <v>183</v>
      </c>
      <c r="G3147" t="s">
        <v>15</v>
      </c>
      <c r="H3147">
        <v>1</v>
      </c>
      <c r="I3147">
        <v>466</v>
      </c>
      <c r="J3147">
        <v>102.48</v>
      </c>
    </row>
    <row r="3148" spans="1:10" x14ac:dyDescent="0.25">
      <c r="A3148" s="1">
        <v>44979</v>
      </c>
      <c r="B3148" t="s">
        <v>55</v>
      </c>
      <c r="C3148" t="s">
        <v>19</v>
      </c>
      <c r="D3148" t="s">
        <v>12</v>
      </c>
      <c r="E3148" t="s">
        <v>182</v>
      </c>
      <c r="F3148" t="s">
        <v>183</v>
      </c>
      <c r="G3148" t="s">
        <v>15</v>
      </c>
      <c r="H3148">
        <v>3</v>
      </c>
      <c r="I3148">
        <v>867</v>
      </c>
      <c r="J3148">
        <v>58.2</v>
      </c>
    </row>
    <row r="3149" spans="1:10" x14ac:dyDescent="0.25">
      <c r="A3149" s="1">
        <v>44981</v>
      </c>
      <c r="B3149" t="s">
        <v>36</v>
      </c>
      <c r="C3149" t="s">
        <v>17</v>
      </c>
      <c r="D3149" t="s">
        <v>12</v>
      </c>
      <c r="E3149" t="s">
        <v>74</v>
      </c>
      <c r="F3149" t="s">
        <v>23</v>
      </c>
      <c r="G3149" t="s">
        <v>24</v>
      </c>
      <c r="H3149">
        <v>6</v>
      </c>
      <c r="I3149">
        <v>3888</v>
      </c>
      <c r="J3149">
        <v>275.72000000000003</v>
      </c>
    </row>
    <row r="3150" spans="1:10" x14ac:dyDescent="0.25">
      <c r="A3150" s="1">
        <v>45394</v>
      </c>
      <c r="B3150" t="s">
        <v>18</v>
      </c>
      <c r="C3150" t="s">
        <v>19</v>
      </c>
      <c r="D3150" t="s">
        <v>12</v>
      </c>
      <c r="E3150" t="s">
        <v>196</v>
      </c>
      <c r="F3150" t="s">
        <v>54</v>
      </c>
      <c r="G3150" t="s">
        <v>24</v>
      </c>
      <c r="H3150">
        <v>4</v>
      </c>
      <c r="I3150">
        <v>3032</v>
      </c>
      <c r="J3150">
        <v>347.2</v>
      </c>
    </row>
    <row r="3151" spans="1:10" x14ac:dyDescent="0.25">
      <c r="A3151" s="1">
        <v>45282</v>
      </c>
      <c r="B3151" t="s">
        <v>18</v>
      </c>
      <c r="C3151" t="s">
        <v>19</v>
      </c>
      <c r="D3151" t="s">
        <v>12</v>
      </c>
      <c r="E3151" t="s">
        <v>52</v>
      </c>
      <c r="F3151" t="s">
        <v>42</v>
      </c>
      <c r="G3151" t="s">
        <v>28</v>
      </c>
      <c r="H3151">
        <v>7</v>
      </c>
      <c r="I3151">
        <v>4704</v>
      </c>
      <c r="J3151">
        <v>978.81</v>
      </c>
    </row>
    <row r="3152" spans="1:10" x14ac:dyDescent="0.25">
      <c r="A3152" s="1">
        <v>44861</v>
      </c>
      <c r="B3152" t="s">
        <v>10</v>
      </c>
      <c r="C3152" t="s">
        <v>11</v>
      </c>
      <c r="D3152" t="s">
        <v>12</v>
      </c>
      <c r="E3152" t="s">
        <v>52</v>
      </c>
      <c r="F3152" t="s">
        <v>42</v>
      </c>
      <c r="G3152" t="s">
        <v>28</v>
      </c>
      <c r="H3152">
        <v>3</v>
      </c>
      <c r="I3152">
        <v>3186</v>
      </c>
      <c r="J3152">
        <v>527.75</v>
      </c>
    </row>
    <row r="3153" spans="1:10" x14ac:dyDescent="0.25">
      <c r="A3153" s="1">
        <v>45522</v>
      </c>
      <c r="B3153" t="s">
        <v>10</v>
      </c>
      <c r="C3153" t="s">
        <v>11</v>
      </c>
      <c r="D3153" t="s">
        <v>12</v>
      </c>
      <c r="E3153" t="s">
        <v>52</v>
      </c>
      <c r="F3153" t="s">
        <v>42</v>
      </c>
      <c r="G3153" t="s">
        <v>28</v>
      </c>
      <c r="H3153">
        <v>9</v>
      </c>
      <c r="I3153">
        <v>6183</v>
      </c>
      <c r="J3153">
        <v>359.54</v>
      </c>
    </row>
    <row r="3154" spans="1:10" x14ac:dyDescent="0.25">
      <c r="A3154" s="1">
        <v>44848</v>
      </c>
      <c r="B3154" t="s">
        <v>32</v>
      </c>
      <c r="C3154" t="s">
        <v>19</v>
      </c>
      <c r="D3154" t="s">
        <v>12</v>
      </c>
      <c r="E3154" t="s">
        <v>197</v>
      </c>
      <c r="F3154" t="s">
        <v>168</v>
      </c>
      <c r="G3154" t="s">
        <v>15</v>
      </c>
      <c r="H3154">
        <v>1</v>
      </c>
      <c r="I3154">
        <v>243</v>
      </c>
      <c r="J3154">
        <v>21.75</v>
      </c>
    </row>
    <row r="3155" spans="1:10" x14ac:dyDescent="0.25">
      <c r="A3155" s="1">
        <v>45097</v>
      </c>
      <c r="B3155" t="s">
        <v>40</v>
      </c>
      <c r="C3155" t="s">
        <v>19</v>
      </c>
      <c r="D3155" t="s">
        <v>12</v>
      </c>
      <c r="E3155" t="s">
        <v>171</v>
      </c>
      <c r="F3155" t="s">
        <v>94</v>
      </c>
      <c r="G3155" t="s">
        <v>24</v>
      </c>
      <c r="H3155">
        <v>3</v>
      </c>
      <c r="I3155">
        <v>897</v>
      </c>
      <c r="J3155">
        <v>235.67</v>
      </c>
    </row>
    <row r="3156" spans="1:10" x14ac:dyDescent="0.25">
      <c r="A3156" s="1">
        <v>45279</v>
      </c>
      <c r="B3156" t="s">
        <v>29</v>
      </c>
      <c r="C3156" t="s">
        <v>17</v>
      </c>
      <c r="D3156" t="s">
        <v>12</v>
      </c>
      <c r="E3156" t="s">
        <v>198</v>
      </c>
      <c r="F3156" t="s">
        <v>23</v>
      </c>
      <c r="G3156" t="s">
        <v>24</v>
      </c>
      <c r="H3156">
        <v>9</v>
      </c>
      <c r="I3156">
        <v>4563</v>
      </c>
      <c r="J3156">
        <v>675.62</v>
      </c>
    </row>
    <row r="3157" spans="1:10" x14ac:dyDescent="0.25">
      <c r="A3157" s="1">
        <v>44822</v>
      </c>
      <c r="B3157" t="s">
        <v>55</v>
      </c>
      <c r="C3157" t="s">
        <v>19</v>
      </c>
      <c r="D3157" t="s">
        <v>12</v>
      </c>
      <c r="E3157" t="s">
        <v>132</v>
      </c>
      <c r="F3157" t="s">
        <v>100</v>
      </c>
      <c r="G3157" t="s">
        <v>35</v>
      </c>
      <c r="H3157">
        <v>4</v>
      </c>
      <c r="I3157">
        <v>628</v>
      </c>
      <c r="J3157">
        <v>156.97999999999999</v>
      </c>
    </row>
    <row r="3158" spans="1:10" x14ac:dyDescent="0.25">
      <c r="A3158" s="1">
        <v>45647</v>
      </c>
      <c r="B3158" t="s">
        <v>36</v>
      </c>
      <c r="C3158" t="s">
        <v>17</v>
      </c>
      <c r="D3158" t="s">
        <v>12</v>
      </c>
      <c r="E3158" t="s">
        <v>37</v>
      </c>
      <c r="F3158" t="s">
        <v>34</v>
      </c>
      <c r="G3158" t="s">
        <v>35</v>
      </c>
      <c r="H3158">
        <v>6</v>
      </c>
      <c r="I3158">
        <v>1050</v>
      </c>
      <c r="J3158">
        <v>172.83</v>
      </c>
    </row>
    <row r="3159" spans="1:10" x14ac:dyDescent="0.25">
      <c r="A3159" s="1">
        <v>44697</v>
      </c>
      <c r="B3159" t="s">
        <v>36</v>
      </c>
      <c r="C3159" t="s">
        <v>17</v>
      </c>
      <c r="D3159" t="s">
        <v>12</v>
      </c>
      <c r="E3159" t="s">
        <v>130</v>
      </c>
      <c r="F3159" t="s">
        <v>14</v>
      </c>
      <c r="G3159" t="s">
        <v>15</v>
      </c>
      <c r="H3159">
        <v>8</v>
      </c>
      <c r="I3159">
        <v>3032</v>
      </c>
      <c r="J3159">
        <v>278.85000000000002</v>
      </c>
    </row>
    <row r="3160" spans="1:10" x14ac:dyDescent="0.25">
      <c r="A3160" s="1">
        <v>45196</v>
      </c>
      <c r="B3160" t="s">
        <v>49</v>
      </c>
      <c r="C3160" t="s">
        <v>17</v>
      </c>
      <c r="D3160" t="s">
        <v>12</v>
      </c>
      <c r="E3160" t="s">
        <v>43</v>
      </c>
      <c r="F3160" t="s">
        <v>44</v>
      </c>
      <c r="G3160" t="s">
        <v>35</v>
      </c>
      <c r="H3160">
        <v>1</v>
      </c>
      <c r="I3160">
        <v>920</v>
      </c>
      <c r="J3160">
        <v>118.24</v>
      </c>
    </row>
    <row r="3161" spans="1:10" x14ac:dyDescent="0.25">
      <c r="A3161" s="1">
        <v>45353</v>
      </c>
      <c r="B3161" t="s">
        <v>55</v>
      </c>
      <c r="C3161" t="s">
        <v>19</v>
      </c>
      <c r="D3161" t="s">
        <v>12</v>
      </c>
      <c r="E3161" t="s">
        <v>140</v>
      </c>
      <c r="F3161" t="s">
        <v>168</v>
      </c>
      <c r="G3161" t="s">
        <v>15</v>
      </c>
      <c r="H3161">
        <v>2</v>
      </c>
      <c r="I3161">
        <v>668</v>
      </c>
      <c r="J3161">
        <v>90.67</v>
      </c>
    </row>
    <row r="3162" spans="1:10" x14ac:dyDescent="0.25">
      <c r="A3162" s="1">
        <v>45443</v>
      </c>
      <c r="B3162" t="s">
        <v>16</v>
      </c>
      <c r="C3162" t="s">
        <v>17</v>
      </c>
      <c r="D3162" t="s">
        <v>12</v>
      </c>
      <c r="E3162" t="s">
        <v>199</v>
      </c>
      <c r="F3162" t="s">
        <v>200</v>
      </c>
      <c r="G3162" t="s">
        <v>28</v>
      </c>
      <c r="H3162">
        <v>5</v>
      </c>
      <c r="I3162">
        <v>5990</v>
      </c>
      <c r="J3162">
        <v>1403.53</v>
      </c>
    </row>
    <row r="3163" spans="1:10" x14ac:dyDescent="0.25">
      <c r="A3163" s="1">
        <v>45355</v>
      </c>
      <c r="B3163" t="s">
        <v>18</v>
      </c>
      <c r="C3163" t="s">
        <v>19</v>
      </c>
      <c r="D3163" t="s">
        <v>12</v>
      </c>
      <c r="E3163" t="s">
        <v>56</v>
      </c>
      <c r="F3163" t="s">
        <v>57</v>
      </c>
      <c r="G3163" t="s">
        <v>24</v>
      </c>
      <c r="H3163">
        <v>9</v>
      </c>
      <c r="I3163">
        <v>9324</v>
      </c>
      <c r="J3163">
        <v>1223.9000000000001</v>
      </c>
    </row>
    <row r="3164" spans="1:10" x14ac:dyDescent="0.25">
      <c r="A3164" s="1">
        <v>45027</v>
      </c>
      <c r="B3164" t="s">
        <v>49</v>
      </c>
      <c r="C3164" t="s">
        <v>17</v>
      </c>
      <c r="D3164" t="s">
        <v>12</v>
      </c>
      <c r="E3164" t="s">
        <v>134</v>
      </c>
      <c r="F3164" t="s">
        <v>51</v>
      </c>
      <c r="G3164" t="s">
        <v>35</v>
      </c>
      <c r="H3164">
        <v>8</v>
      </c>
      <c r="I3164">
        <v>5768</v>
      </c>
      <c r="J3164">
        <v>368.49</v>
      </c>
    </row>
    <row r="3165" spans="1:10" x14ac:dyDescent="0.25">
      <c r="A3165" s="1">
        <v>45413</v>
      </c>
      <c r="B3165" t="s">
        <v>55</v>
      </c>
      <c r="C3165" t="s">
        <v>19</v>
      </c>
      <c r="D3165" t="s">
        <v>12</v>
      </c>
      <c r="E3165" t="s">
        <v>179</v>
      </c>
      <c r="F3165" t="s">
        <v>94</v>
      </c>
      <c r="G3165" t="s">
        <v>24</v>
      </c>
      <c r="H3165">
        <v>1</v>
      </c>
      <c r="I3165">
        <v>1123</v>
      </c>
      <c r="J3165">
        <v>318.08999999999997</v>
      </c>
    </row>
    <row r="3166" spans="1:10" x14ac:dyDescent="0.25">
      <c r="A3166" s="1">
        <v>45646</v>
      </c>
      <c r="B3166" t="s">
        <v>49</v>
      </c>
      <c r="C3166" t="s">
        <v>17</v>
      </c>
      <c r="D3166" t="s">
        <v>12</v>
      </c>
      <c r="E3166" t="s">
        <v>26</v>
      </c>
      <c r="F3166" t="s">
        <v>27</v>
      </c>
      <c r="G3166" t="s">
        <v>28</v>
      </c>
      <c r="H3166">
        <v>4</v>
      </c>
      <c r="I3166">
        <v>2336</v>
      </c>
      <c r="J3166">
        <v>453.04</v>
      </c>
    </row>
    <row r="3167" spans="1:10" x14ac:dyDescent="0.25">
      <c r="A3167" s="1">
        <v>45252</v>
      </c>
      <c r="B3167" t="s">
        <v>55</v>
      </c>
      <c r="C3167" t="s">
        <v>19</v>
      </c>
      <c r="D3167" t="s">
        <v>12</v>
      </c>
      <c r="E3167" t="s">
        <v>26</v>
      </c>
      <c r="F3167" t="s">
        <v>27</v>
      </c>
      <c r="G3167" t="s">
        <v>28</v>
      </c>
      <c r="H3167">
        <v>6</v>
      </c>
      <c r="I3167">
        <v>438</v>
      </c>
      <c r="J3167">
        <v>26.03</v>
      </c>
    </row>
    <row r="3168" spans="1:10" x14ac:dyDescent="0.25">
      <c r="A3168" s="1">
        <v>44918</v>
      </c>
      <c r="B3168" t="s">
        <v>18</v>
      </c>
      <c r="C3168" t="s">
        <v>19</v>
      </c>
      <c r="D3168" t="s">
        <v>12</v>
      </c>
      <c r="E3168" t="s">
        <v>26</v>
      </c>
      <c r="F3168" t="s">
        <v>27</v>
      </c>
      <c r="G3168" t="s">
        <v>28</v>
      </c>
      <c r="H3168">
        <v>6</v>
      </c>
      <c r="I3168">
        <v>5940</v>
      </c>
      <c r="J3168">
        <v>318.72000000000003</v>
      </c>
    </row>
    <row r="3169" spans="1:10" x14ac:dyDescent="0.25">
      <c r="A3169" s="1">
        <v>44734</v>
      </c>
      <c r="B3169" t="s">
        <v>25</v>
      </c>
      <c r="C3169" t="s">
        <v>19</v>
      </c>
      <c r="D3169" t="s">
        <v>12</v>
      </c>
      <c r="E3169" t="s">
        <v>104</v>
      </c>
      <c r="F3169" t="s">
        <v>39</v>
      </c>
      <c r="G3169" t="s">
        <v>35</v>
      </c>
      <c r="H3169">
        <v>3</v>
      </c>
      <c r="I3169">
        <v>1848</v>
      </c>
      <c r="J3169">
        <v>549.34</v>
      </c>
    </row>
    <row r="3170" spans="1:10" x14ac:dyDescent="0.25">
      <c r="A3170" s="1">
        <v>45002</v>
      </c>
      <c r="B3170" t="s">
        <v>49</v>
      </c>
      <c r="C3170" t="s">
        <v>17</v>
      </c>
      <c r="D3170" t="s">
        <v>12</v>
      </c>
      <c r="E3170" t="s">
        <v>70</v>
      </c>
      <c r="F3170" t="s">
        <v>71</v>
      </c>
      <c r="G3170" t="s">
        <v>35</v>
      </c>
      <c r="H3170">
        <v>3</v>
      </c>
      <c r="I3170">
        <v>2118</v>
      </c>
      <c r="J3170">
        <v>321.05</v>
      </c>
    </row>
    <row r="3171" spans="1:10" x14ac:dyDescent="0.25">
      <c r="A3171" s="1">
        <v>44577</v>
      </c>
      <c r="B3171" t="s">
        <v>40</v>
      </c>
      <c r="C3171" t="s">
        <v>19</v>
      </c>
      <c r="D3171" t="s">
        <v>12</v>
      </c>
      <c r="E3171" t="s">
        <v>70</v>
      </c>
      <c r="F3171" t="s">
        <v>71</v>
      </c>
      <c r="G3171" t="s">
        <v>35</v>
      </c>
      <c r="H3171">
        <v>3</v>
      </c>
      <c r="I3171">
        <v>231</v>
      </c>
      <c r="J3171">
        <v>36.729999999999997</v>
      </c>
    </row>
    <row r="3172" spans="1:10" x14ac:dyDescent="0.25">
      <c r="A3172" s="1">
        <v>45303</v>
      </c>
      <c r="B3172" t="s">
        <v>29</v>
      </c>
      <c r="C3172" t="s">
        <v>17</v>
      </c>
      <c r="D3172" t="s">
        <v>12</v>
      </c>
      <c r="E3172" t="s">
        <v>22</v>
      </c>
      <c r="F3172" t="s">
        <v>23</v>
      </c>
      <c r="G3172" t="s">
        <v>24</v>
      </c>
      <c r="H3172">
        <v>6</v>
      </c>
      <c r="I3172">
        <v>978</v>
      </c>
      <c r="J3172">
        <v>182.46</v>
      </c>
    </row>
    <row r="3173" spans="1:10" x14ac:dyDescent="0.25">
      <c r="A3173" s="1">
        <v>45068</v>
      </c>
      <c r="B3173" t="s">
        <v>36</v>
      </c>
      <c r="C3173" t="s">
        <v>17</v>
      </c>
      <c r="D3173" t="s">
        <v>12</v>
      </c>
      <c r="E3173" t="s">
        <v>201</v>
      </c>
      <c r="F3173" t="s">
        <v>23</v>
      </c>
      <c r="G3173" t="s">
        <v>24</v>
      </c>
      <c r="H3173">
        <v>5</v>
      </c>
      <c r="I3173">
        <v>4960</v>
      </c>
      <c r="J3173">
        <v>420.98</v>
      </c>
    </row>
    <row r="3174" spans="1:10" x14ac:dyDescent="0.25">
      <c r="A3174" s="1">
        <v>44629</v>
      </c>
      <c r="B3174" t="s">
        <v>25</v>
      </c>
      <c r="C3174" t="s">
        <v>19</v>
      </c>
      <c r="D3174" t="s">
        <v>12</v>
      </c>
      <c r="E3174" t="s">
        <v>202</v>
      </c>
      <c r="F3174" t="s">
        <v>23</v>
      </c>
      <c r="G3174" t="s">
        <v>24</v>
      </c>
      <c r="H3174">
        <v>3</v>
      </c>
      <c r="I3174">
        <v>1377</v>
      </c>
      <c r="J3174">
        <v>330.44</v>
      </c>
    </row>
    <row r="3175" spans="1:10" x14ac:dyDescent="0.25">
      <c r="A3175" s="1">
        <v>44966</v>
      </c>
      <c r="B3175" t="s">
        <v>25</v>
      </c>
      <c r="C3175" t="s">
        <v>19</v>
      </c>
      <c r="D3175" t="s">
        <v>12</v>
      </c>
      <c r="E3175" t="s">
        <v>74</v>
      </c>
      <c r="F3175" t="s">
        <v>23</v>
      </c>
      <c r="G3175" t="s">
        <v>24</v>
      </c>
      <c r="H3175">
        <v>2</v>
      </c>
      <c r="I3175">
        <v>1958</v>
      </c>
      <c r="J3175">
        <v>227.77</v>
      </c>
    </row>
    <row r="3176" spans="1:10" x14ac:dyDescent="0.25">
      <c r="A3176" s="1">
        <v>45089</v>
      </c>
      <c r="B3176" t="s">
        <v>16</v>
      </c>
      <c r="C3176" t="s">
        <v>17</v>
      </c>
      <c r="D3176" t="s">
        <v>12</v>
      </c>
      <c r="E3176" t="s">
        <v>93</v>
      </c>
      <c r="F3176" t="s">
        <v>94</v>
      </c>
      <c r="G3176" t="s">
        <v>24</v>
      </c>
      <c r="H3176">
        <v>7</v>
      </c>
      <c r="I3176">
        <v>5607</v>
      </c>
      <c r="J3176">
        <v>1288.04</v>
      </c>
    </row>
    <row r="3177" spans="1:10" x14ac:dyDescent="0.25">
      <c r="A3177" s="1">
        <v>44889</v>
      </c>
      <c r="B3177" t="s">
        <v>32</v>
      </c>
      <c r="C3177" t="s">
        <v>19</v>
      </c>
      <c r="D3177" t="s">
        <v>12</v>
      </c>
      <c r="E3177" t="s">
        <v>58</v>
      </c>
      <c r="F3177" t="s">
        <v>59</v>
      </c>
      <c r="G3177" t="s">
        <v>28</v>
      </c>
      <c r="H3177">
        <v>6</v>
      </c>
      <c r="I3177">
        <v>3504</v>
      </c>
      <c r="J3177">
        <v>980.7</v>
      </c>
    </row>
    <row r="3178" spans="1:10" x14ac:dyDescent="0.25">
      <c r="A3178" s="1">
        <v>45617</v>
      </c>
      <c r="B3178" t="s">
        <v>16</v>
      </c>
      <c r="C3178" t="s">
        <v>17</v>
      </c>
      <c r="D3178" t="s">
        <v>12</v>
      </c>
      <c r="E3178" t="s">
        <v>203</v>
      </c>
      <c r="F3178" t="s">
        <v>51</v>
      </c>
      <c r="G3178" t="s">
        <v>35</v>
      </c>
      <c r="H3178">
        <v>4</v>
      </c>
      <c r="I3178">
        <v>796</v>
      </c>
      <c r="J3178">
        <v>75.150000000000006</v>
      </c>
    </row>
    <row r="3179" spans="1:10" x14ac:dyDescent="0.25">
      <c r="A3179" s="1">
        <v>45518</v>
      </c>
      <c r="B3179" t="s">
        <v>36</v>
      </c>
      <c r="C3179" t="s">
        <v>17</v>
      </c>
      <c r="D3179" t="s">
        <v>12</v>
      </c>
      <c r="E3179" t="s">
        <v>164</v>
      </c>
      <c r="F3179" t="s">
        <v>94</v>
      </c>
      <c r="G3179" t="s">
        <v>24</v>
      </c>
      <c r="H3179">
        <v>1</v>
      </c>
      <c r="I3179">
        <v>342</v>
      </c>
      <c r="J3179">
        <v>37.64</v>
      </c>
    </row>
    <row r="3180" spans="1:10" x14ac:dyDescent="0.25">
      <c r="A3180" s="1">
        <v>45518</v>
      </c>
      <c r="B3180" t="s">
        <v>36</v>
      </c>
      <c r="C3180" t="s">
        <v>17</v>
      </c>
      <c r="D3180" t="s">
        <v>12</v>
      </c>
      <c r="E3180" t="s">
        <v>204</v>
      </c>
      <c r="F3180" t="s">
        <v>23</v>
      </c>
      <c r="G3180" t="s">
        <v>24</v>
      </c>
      <c r="H3180">
        <v>7</v>
      </c>
      <c r="I3180">
        <v>6769</v>
      </c>
      <c r="J3180">
        <v>1549.67</v>
      </c>
    </row>
    <row r="3181" spans="1:10" x14ac:dyDescent="0.25">
      <c r="A3181" s="1">
        <v>45167</v>
      </c>
      <c r="B3181" t="s">
        <v>29</v>
      </c>
      <c r="C3181" t="s">
        <v>17</v>
      </c>
      <c r="D3181" t="s">
        <v>12</v>
      </c>
      <c r="E3181" t="s">
        <v>204</v>
      </c>
      <c r="F3181" t="s">
        <v>23</v>
      </c>
      <c r="G3181" t="s">
        <v>24</v>
      </c>
      <c r="H3181">
        <v>9</v>
      </c>
      <c r="I3181">
        <v>10080</v>
      </c>
      <c r="J3181">
        <v>1794.73</v>
      </c>
    </row>
    <row r="3182" spans="1:10" x14ac:dyDescent="0.25">
      <c r="A3182" s="1">
        <v>45302</v>
      </c>
      <c r="B3182" t="s">
        <v>32</v>
      </c>
      <c r="C3182" t="s">
        <v>19</v>
      </c>
      <c r="D3182" t="s">
        <v>12</v>
      </c>
      <c r="E3182" t="s">
        <v>134</v>
      </c>
      <c r="F3182" t="s">
        <v>42</v>
      </c>
      <c r="G3182" t="s">
        <v>28</v>
      </c>
      <c r="H3182">
        <v>7</v>
      </c>
      <c r="I3182">
        <v>3948</v>
      </c>
      <c r="J3182">
        <v>758.36</v>
      </c>
    </row>
    <row r="3183" spans="1:10" x14ac:dyDescent="0.25">
      <c r="A3183" s="1">
        <v>45104</v>
      </c>
      <c r="B3183" t="s">
        <v>29</v>
      </c>
      <c r="C3183" t="s">
        <v>17</v>
      </c>
      <c r="D3183" t="s">
        <v>12</v>
      </c>
      <c r="E3183" t="s">
        <v>205</v>
      </c>
      <c r="F3183" t="s">
        <v>23</v>
      </c>
      <c r="G3183" t="s">
        <v>24</v>
      </c>
      <c r="H3183">
        <v>4</v>
      </c>
      <c r="I3183">
        <v>1488</v>
      </c>
      <c r="J3183">
        <v>74.52</v>
      </c>
    </row>
    <row r="3184" spans="1:10" x14ac:dyDescent="0.25">
      <c r="A3184" s="1">
        <v>45308</v>
      </c>
      <c r="B3184" t="s">
        <v>16</v>
      </c>
      <c r="C3184" t="s">
        <v>17</v>
      </c>
      <c r="D3184" t="s">
        <v>12</v>
      </c>
      <c r="E3184" t="s">
        <v>206</v>
      </c>
      <c r="F3184" t="s">
        <v>71</v>
      </c>
      <c r="G3184" t="s">
        <v>35</v>
      </c>
      <c r="H3184">
        <v>5</v>
      </c>
      <c r="I3184">
        <v>1200</v>
      </c>
      <c r="J3184">
        <v>201.8</v>
      </c>
    </row>
    <row r="3185" spans="1:10" x14ac:dyDescent="0.25">
      <c r="A3185" s="1">
        <v>44936</v>
      </c>
      <c r="B3185" t="s">
        <v>32</v>
      </c>
      <c r="C3185" t="s">
        <v>19</v>
      </c>
      <c r="D3185" t="s">
        <v>12</v>
      </c>
      <c r="E3185" t="s">
        <v>26</v>
      </c>
      <c r="F3185" t="s">
        <v>27</v>
      </c>
      <c r="G3185" t="s">
        <v>28</v>
      </c>
      <c r="H3185">
        <v>4</v>
      </c>
      <c r="I3185">
        <v>4476</v>
      </c>
      <c r="J3185">
        <v>977.6</v>
      </c>
    </row>
    <row r="3186" spans="1:10" x14ac:dyDescent="0.25">
      <c r="A3186" s="1">
        <v>45139</v>
      </c>
      <c r="B3186" t="s">
        <v>36</v>
      </c>
      <c r="C3186" t="s">
        <v>17</v>
      </c>
      <c r="D3186" t="s">
        <v>12</v>
      </c>
      <c r="E3186" t="s">
        <v>117</v>
      </c>
      <c r="F3186" t="s">
        <v>133</v>
      </c>
      <c r="G3186" t="s">
        <v>28</v>
      </c>
      <c r="H3186">
        <v>1</v>
      </c>
      <c r="I3186">
        <v>1178</v>
      </c>
      <c r="J3186">
        <v>292.14999999999998</v>
      </c>
    </row>
    <row r="3187" spans="1:10" x14ac:dyDescent="0.25">
      <c r="A3187" s="1">
        <v>45652</v>
      </c>
      <c r="B3187" t="s">
        <v>32</v>
      </c>
      <c r="C3187" t="s">
        <v>19</v>
      </c>
      <c r="D3187" t="s">
        <v>12</v>
      </c>
      <c r="E3187" t="s">
        <v>207</v>
      </c>
      <c r="F3187" t="s">
        <v>34</v>
      </c>
      <c r="G3187" t="s">
        <v>35</v>
      </c>
      <c r="H3187">
        <v>8</v>
      </c>
      <c r="I3187">
        <v>2888</v>
      </c>
      <c r="J3187">
        <v>149.91999999999999</v>
      </c>
    </row>
    <row r="3188" spans="1:10" x14ac:dyDescent="0.25">
      <c r="A3188" s="1">
        <v>45639</v>
      </c>
      <c r="B3188" t="s">
        <v>40</v>
      </c>
      <c r="C3188" t="s">
        <v>19</v>
      </c>
      <c r="D3188" t="s">
        <v>12</v>
      </c>
      <c r="E3188" t="s">
        <v>116</v>
      </c>
      <c r="F3188" t="s">
        <v>42</v>
      </c>
      <c r="G3188" t="s">
        <v>28</v>
      </c>
      <c r="H3188">
        <v>6</v>
      </c>
      <c r="I3188">
        <v>1704</v>
      </c>
      <c r="J3188">
        <v>193.18</v>
      </c>
    </row>
    <row r="3189" spans="1:10" x14ac:dyDescent="0.25">
      <c r="A3189" s="1">
        <v>44851</v>
      </c>
      <c r="B3189" t="s">
        <v>10</v>
      </c>
      <c r="C3189" t="s">
        <v>11</v>
      </c>
      <c r="D3189" t="s">
        <v>12</v>
      </c>
      <c r="E3189" t="s">
        <v>208</v>
      </c>
      <c r="F3189" t="s">
        <v>27</v>
      </c>
      <c r="G3189" t="s">
        <v>28</v>
      </c>
      <c r="H3189">
        <v>8</v>
      </c>
      <c r="I3189">
        <v>4200</v>
      </c>
      <c r="J3189">
        <v>1017.94</v>
      </c>
    </row>
    <row r="3190" spans="1:10" x14ac:dyDescent="0.25">
      <c r="A3190" s="1">
        <v>45363</v>
      </c>
      <c r="B3190" t="s">
        <v>49</v>
      </c>
      <c r="C3190" t="s">
        <v>17</v>
      </c>
      <c r="D3190" t="s">
        <v>12</v>
      </c>
      <c r="E3190" t="s">
        <v>91</v>
      </c>
      <c r="F3190" t="s">
        <v>23</v>
      </c>
      <c r="G3190" t="s">
        <v>24</v>
      </c>
      <c r="H3190">
        <v>7</v>
      </c>
      <c r="I3190">
        <v>4417</v>
      </c>
      <c r="J3190">
        <v>562.79</v>
      </c>
    </row>
    <row r="3191" spans="1:10" x14ac:dyDescent="0.25">
      <c r="A3191" s="1">
        <v>45432</v>
      </c>
      <c r="B3191" t="s">
        <v>25</v>
      </c>
      <c r="C3191" t="s">
        <v>19</v>
      </c>
      <c r="D3191" t="s">
        <v>12</v>
      </c>
      <c r="E3191" t="s">
        <v>209</v>
      </c>
      <c r="F3191" t="s">
        <v>34</v>
      </c>
      <c r="G3191" t="s">
        <v>35</v>
      </c>
      <c r="H3191">
        <v>4</v>
      </c>
      <c r="I3191">
        <v>764</v>
      </c>
      <c r="J3191">
        <v>178.83</v>
      </c>
    </row>
    <row r="3192" spans="1:10" x14ac:dyDescent="0.25">
      <c r="A3192" s="1">
        <v>45471</v>
      </c>
      <c r="B3192" t="s">
        <v>29</v>
      </c>
      <c r="C3192" t="s">
        <v>17</v>
      </c>
      <c r="D3192" t="s">
        <v>12</v>
      </c>
      <c r="E3192" t="s">
        <v>210</v>
      </c>
      <c r="F3192" t="s">
        <v>34</v>
      </c>
      <c r="G3192" t="s">
        <v>35</v>
      </c>
      <c r="H3192">
        <v>4</v>
      </c>
      <c r="I3192">
        <v>4000</v>
      </c>
      <c r="J3192">
        <v>964.43</v>
      </c>
    </row>
    <row r="3193" spans="1:10" x14ac:dyDescent="0.25">
      <c r="A3193" s="1">
        <v>45586</v>
      </c>
      <c r="B3193" t="s">
        <v>36</v>
      </c>
      <c r="C3193" t="s">
        <v>17</v>
      </c>
      <c r="D3193" t="s">
        <v>12</v>
      </c>
      <c r="E3193" t="s">
        <v>211</v>
      </c>
      <c r="F3193" t="s">
        <v>63</v>
      </c>
      <c r="G3193" t="s">
        <v>28</v>
      </c>
      <c r="H3193">
        <v>9</v>
      </c>
      <c r="I3193">
        <v>2331</v>
      </c>
      <c r="J3193">
        <v>558</v>
      </c>
    </row>
    <row r="3194" spans="1:10" x14ac:dyDescent="0.25">
      <c r="A3194" s="1">
        <v>44957</v>
      </c>
      <c r="B3194" t="s">
        <v>16</v>
      </c>
      <c r="C3194" t="s">
        <v>17</v>
      </c>
      <c r="D3194" t="s">
        <v>12</v>
      </c>
      <c r="E3194" t="s">
        <v>212</v>
      </c>
      <c r="F3194" t="s">
        <v>34</v>
      </c>
      <c r="G3194" t="s">
        <v>35</v>
      </c>
      <c r="H3194">
        <v>9</v>
      </c>
      <c r="I3194">
        <v>8172</v>
      </c>
      <c r="J3194">
        <v>1296.29</v>
      </c>
    </row>
    <row r="3195" spans="1:10" x14ac:dyDescent="0.25">
      <c r="A3195" s="1">
        <v>45646</v>
      </c>
      <c r="B3195" t="s">
        <v>55</v>
      </c>
      <c r="C3195" t="s">
        <v>19</v>
      </c>
      <c r="D3195" t="s">
        <v>12</v>
      </c>
      <c r="E3195" t="s">
        <v>213</v>
      </c>
      <c r="F3195" t="s">
        <v>34</v>
      </c>
      <c r="G3195" t="s">
        <v>35</v>
      </c>
      <c r="H3195">
        <v>1</v>
      </c>
      <c r="I3195">
        <v>761</v>
      </c>
      <c r="J3195">
        <v>61.15</v>
      </c>
    </row>
    <row r="3196" spans="1:10" x14ac:dyDescent="0.25">
      <c r="A3196" s="1">
        <v>45255</v>
      </c>
      <c r="B3196" t="s">
        <v>25</v>
      </c>
      <c r="C3196" t="s">
        <v>19</v>
      </c>
      <c r="D3196" t="s">
        <v>12</v>
      </c>
      <c r="E3196" t="s">
        <v>52</v>
      </c>
      <c r="F3196" t="s">
        <v>42</v>
      </c>
      <c r="G3196" t="s">
        <v>28</v>
      </c>
      <c r="H3196">
        <v>2</v>
      </c>
      <c r="I3196">
        <v>494</v>
      </c>
      <c r="J3196">
        <v>56.41</v>
      </c>
    </row>
    <row r="3197" spans="1:10" x14ac:dyDescent="0.25">
      <c r="A3197" s="1">
        <v>45174</v>
      </c>
      <c r="B3197" t="s">
        <v>29</v>
      </c>
      <c r="C3197" t="s">
        <v>17</v>
      </c>
      <c r="D3197" t="s">
        <v>12</v>
      </c>
      <c r="E3197" t="s">
        <v>52</v>
      </c>
      <c r="F3197" t="s">
        <v>42</v>
      </c>
      <c r="G3197" t="s">
        <v>28</v>
      </c>
      <c r="H3197">
        <v>2</v>
      </c>
      <c r="I3197">
        <v>194</v>
      </c>
      <c r="J3197">
        <v>52.16</v>
      </c>
    </row>
    <row r="3198" spans="1:10" x14ac:dyDescent="0.25">
      <c r="A3198" s="1">
        <v>45371</v>
      </c>
      <c r="B3198" t="s">
        <v>18</v>
      </c>
      <c r="C3198" t="s">
        <v>19</v>
      </c>
      <c r="D3198" t="s">
        <v>12</v>
      </c>
      <c r="E3198" t="s">
        <v>75</v>
      </c>
      <c r="F3198" t="s">
        <v>39</v>
      </c>
      <c r="G3198" t="s">
        <v>35</v>
      </c>
      <c r="H3198">
        <v>6</v>
      </c>
      <c r="I3198">
        <v>5820</v>
      </c>
      <c r="J3198">
        <v>1423.67</v>
      </c>
    </row>
    <row r="3199" spans="1:10" x14ac:dyDescent="0.25">
      <c r="A3199" s="1">
        <v>44662</v>
      </c>
      <c r="B3199" t="s">
        <v>25</v>
      </c>
      <c r="C3199" t="s">
        <v>19</v>
      </c>
      <c r="D3199" t="s">
        <v>12</v>
      </c>
      <c r="E3199" t="s">
        <v>214</v>
      </c>
      <c r="F3199" t="s">
        <v>152</v>
      </c>
      <c r="G3199" t="s">
        <v>15</v>
      </c>
      <c r="H3199">
        <v>5</v>
      </c>
      <c r="I3199">
        <v>410</v>
      </c>
      <c r="J3199">
        <v>121.77</v>
      </c>
    </row>
    <row r="3200" spans="1:10" x14ac:dyDescent="0.25">
      <c r="A3200" s="1">
        <v>45632</v>
      </c>
      <c r="B3200" t="s">
        <v>40</v>
      </c>
      <c r="C3200" t="s">
        <v>19</v>
      </c>
      <c r="D3200" t="s">
        <v>12</v>
      </c>
      <c r="E3200" t="s">
        <v>56</v>
      </c>
      <c r="F3200" t="s">
        <v>57</v>
      </c>
      <c r="G3200" t="s">
        <v>24</v>
      </c>
      <c r="H3200">
        <v>6</v>
      </c>
      <c r="I3200">
        <v>1254</v>
      </c>
      <c r="J3200">
        <v>360.87</v>
      </c>
    </row>
    <row r="3201" spans="1:10" x14ac:dyDescent="0.25">
      <c r="A3201" s="1">
        <v>44716</v>
      </c>
      <c r="B3201" t="s">
        <v>18</v>
      </c>
      <c r="C3201" t="s">
        <v>19</v>
      </c>
      <c r="D3201" t="s">
        <v>12</v>
      </c>
      <c r="E3201" t="s">
        <v>123</v>
      </c>
      <c r="F3201" t="s">
        <v>27</v>
      </c>
      <c r="G3201" t="s">
        <v>28</v>
      </c>
      <c r="H3201">
        <v>6</v>
      </c>
      <c r="I3201">
        <v>3432</v>
      </c>
      <c r="J3201">
        <v>452.4</v>
      </c>
    </row>
    <row r="3202" spans="1:10" x14ac:dyDescent="0.25">
      <c r="A3202" s="1">
        <v>45373</v>
      </c>
      <c r="B3202" t="s">
        <v>25</v>
      </c>
      <c r="C3202" t="s">
        <v>19</v>
      </c>
      <c r="D3202" t="s">
        <v>12</v>
      </c>
      <c r="E3202" t="s">
        <v>52</v>
      </c>
      <c r="F3202" t="s">
        <v>42</v>
      </c>
      <c r="G3202" t="s">
        <v>28</v>
      </c>
      <c r="H3202">
        <v>4</v>
      </c>
      <c r="I3202">
        <v>3792</v>
      </c>
      <c r="J3202">
        <v>997.99</v>
      </c>
    </row>
    <row r="3203" spans="1:10" x14ac:dyDescent="0.25">
      <c r="A3203" s="1">
        <v>45615</v>
      </c>
      <c r="B3203" t="s">
        <v>18</v>
      </c>
      <c r="C3203" t="s">
        <v>19</v>
      </c>
      <c r="D3203" t="s">
        <v>12</v>
      </c>
      <c r="E3203" t="s">
        <v>158</v>
      </c>
      <c r="F3203" t="s">
        <v>21</v>
      </c>
      <c r="G3203" t="s">
        <v>15</v>
      </c>
      <c r="H3203">
        <v>7</v>
      </c>
      <c r="I3203">
        <v>546</v>
      </c>
      <c r="J3203">
        <v>117.9</v>
      </c>
    </row>
    <row r="3204" spans="1:10" x14ac:dyDescent="0.25">
      <c r="A3204" s="1">
        <v>44616</v>
      </c>
      <c r="B3204" t="s">
        <v>32</v>
      </c>
      <c r="C3204" t="s">
        <v>19</v>
      </c>
      <c r="D3204" t="s">
        <v>12</v>
      </c>
      <c r="E3204" t="s">
        <v>56</v>
      </c>
      <c r="F3204" t="s">
        <v>57</v>
      </c>
      <c r="G3204" t="s">
        <v>24</v>
      </c>
      <c r="H3204">
        <v>3</v>
      </c>
      <c r="I3204">
        <v>1452</v>
      </c>
      <c r="J3204">
        <v>217.06</v>
      </c>
    </row>
    <row r="3205" spans="1:10" x14ac:dyDescent="0.25">
      <c r="A3205" s="1">
        <v>44879</v>
      </c>
      <c r="B3205" t="s">
        <v>49</v>
      </c>
      <c r="C3205" t="s">
        <v>17</v>
      </c>
      <c r="D3205" t="s">
        <v>12</v>
      </c>
      <c r="E3205" t="s">
        <v>159</v>
      </c>
      <c r="F3205" t="s">
        <v>23</v>
      </c>
      <c r="G3205" t="s">
        <v>24</v>
      </c>
      <c r="H3205">
        <v>8</v>
      </c>
      <c r="I3205">
        <v>9296</v>
      </c>
      <c r="J3205">
        <v>1556.05</v>
      </c>
    </row>
    <row r="3206" spans="1:10" x14ac:dyDescent="0.25">
      <c r="A3206" s="1">
        <v>45261</v>
      </c>
      <c r="B3206" t="s">
        <v>16</v>
      </c>
      <c r="C3206" t="s">
        <v>17</v>
      </c>
      <c r="D3206" t="s">
        <v>12</v>
      </c>
      <c r="E3206" t="s">
        <v>159</v>
      </c>
      <c r="F3206" t="s">
        <v>23</v>
      </c>
      <c r="G3206" t="s">
        <v>24</v>
      </c>
      <c r="H3206">
        <v>1</v>
      </c>
      <c r="I3206">
        <v>1160</v>
      </c>
      <c r="J3206">
        <v>149.81</v>
      </c>
    </row>
    <row r="3207" spans="1:10" x14ac:dyDescent="0.25">
      <c r="A3207" s="1">
        <v>45305</v>
      </c>
      <c r="B3207" t="s">
        <v>55</v>
      </c>
      <c r="C3207" t="s">
        <v>19</v>
      </c>
      <c r="D3207" t="s">
        <v>12</v>
      </c>
      <c r="E3207" t="s">
        <v>159</v>
      </c>
      <c r="F3207" t="s">
        <v>23</v>
      </c>
      <c r="G3207" t="s">
        <v>24</v>
      </c>
      <c r="H3207">
        <v>6</v>
      </c>
      <c r="I3207">
        <v>4728</v>
      </c>
      <c r="J3207">
        <v>682.01</v>
      </c>
    </row>
    <row r="3208" spans="1:10" x14ac:dyDescent="0.25">
      <c r="A3208" s="1">
        <v>44969</v>
      </c>
      <c r="B3208" t="s">
        <v>25</v>
      </c>
      <c r="C3208" t="s">
        <v>19</v>
      </c>
      <c r="D3208" t="s">
        <v>12</v>
      </c>
      <c r="E3208" t="s">
        <v>52</v>
      </c>
      <c r="F3208" t="s">
        <v>42</v>
      </c>
      <c r="G3208" t="s">
        <v>28</v>
      </c>
      <c r="H3208">
        <v>6</v>
      </c>
      <c r="I3208">
        <v>1836</v>
      </c>
      <c r="J3208">
        <v>508.81</v>
      </c>
    </row>
    <row r="3209" spans="1:10" x14ac:dyDescent="0.25">
      <c r="A3209" s="1">
        <v>45182</v>
      </c>
      <c r="B3209" t="s">
        <v>32</v>
      </c>
      <c r="C3209" t="s">
        <v>19</v>
      </c>
      <c r="D3209" t="s">
        <v>12</v>
      </c>
      <c r="E3209" t="s">
        <v>160</v>
      </c>
      <c r="F3209" t="s">
        <v>27</v>
      </c>
      <c r="G3209" t="s">
        <v>28</v>
      </c>
      <c r="H3209">
        <v>7</v>
      </c>
      <c r="I3209">
        <v>6237</v>
      </c>
      <c r="J3209">
        <v>1784.89</v>
      </c>
    </row>
    <row r="3210" spans="1:10" x14ac:dyDescent="0.25">
      <c r="A3210" s="1">
        <v>45536</v>
      </c>
      <c r="B3210" t="s">
        <v>55</v>
      </c>
      <c r="C3210" t="s">
        <v>19</v>
      </c>
      <c r="D3210" t="s">
        <v>12</v>
      </c>
      <c r="E3210" t="s">
        <v>160</v>
      </c>
      <c r="F3210" t="s">
        <v>27</v>
      </c>
      <c r="G3210" t="s">
        <v>28</v>
      </c>
      <c r="H3210">
        <v>5</v>
      </c>
      <c r="I3210">
        <v>5845</v>
      </c>
      <c r="J3210">
        <v>941.79</v>
      </c>
    </row>
    <row r="3211" spans="1:10" x14ac:dyDescent="0.25">
      <c r="A3211" s="1">
        <v>45287</v>
      </c>
      <c r="B3211" t="s">
        <v>36</v>
      </c>
      <c r="C3211" t="s">
        <v>17</v>
      </c>
      <c r="D3211" t="s">
        <v>12</v>
      </c>
      <c r="E3211" t="s">
        <v>161</v>
      </c>
      <c r="F3211" t="s">
        <v>39</v>
      </c>
      <c r="G3211" t="s">
        <v>35</v>
      </c>
      <c r="H3211">
        <v>9</v>
      </c>
      <c r="I3211">
        <v>6138</v>
      </c>
      <c r="J3211">
        <v>851.14</v>
      </c>
    </row>
    <row r="3212" spans="1:10" x14ac:dyDescent="0.25">
      <c r="A3212" s="1">
        <v>44643</v>
      </c>
      <c r="B3212" t="s">
        <v>25</v>
      </c>
      <c r="C3212" t="s">
        <v>19</v>
      </c>
      <c r="D3212" t="s">
        <v>12</v>
      </c>
      <c r="E3212" t="s">
        <v>22</v>
      </c>
      <c r="F3212" t="s">
        <v>23</v>
      </c>
      <c r="G3212" t="s">
        <v>24</v>
      </c>
      <c r="H3212">
        <v>2</v>
      </c>
      <c r="I3212">
        <v>1416</v>
      </c>
      <c r="J3212">
        <v>136.75</v>
      </c>
    </row>
    <row r="3213" spans="1:10" x14ac:dyDescent="0.25">
      <c r="A3213" s="1">
        <v>45653</v>
      </c>
      <c r="B3213" t="s">
        <v>49</v>
      </c>
      <c r="C3213" t="s">
        <v>17</v>
      </c>
      <c r="D3213" t="s">
        <v>12</v>
      </c>
      <c r="E3213" t="s">
        <v>130</v>
      </c>
      <c r="F3213" t="s">
        <v>54</v>
      </c>
      <c r="G3213" t="s">
        <v>24</v>
      </c>
      <c r="H3213">
        <v>3</v>
      </c>
      <c r="I3213">
        <v>1851</v>
      </c>
      <c r="J3213">
        <v>348.9</v>
      </c>
    </row>
    <row r="3214" spans="1:10" x14ac:dyDescent="0.25">
      <c r="A3214" s="1">
        <v>44875</v>
      </c>
      <c r="B3214" t="s">
        <v>10</v>
      </c>
      <c r="C3214" t="s">
        <v>11</v>
      </c>
      <c r="D3214" t="s">
        <v>12</v>
      </c>
      <c r="E3214" t="s">
        <v>102</v>
      </c>
      <c r="F3214" t="s">
        <v>34</v>
      </c>
      <c r="G3214" t="s">
        <v>35</v>
      </c>
      <c r="H3214">
        <v>9</v>
      </c>
      <c r="I3214">
        <v>7452</v>
      </c>
      <c r="J3214">
        <v>1259.82</v>
      </c>
    </row>
    <row r="3215" spans="1:10" x14ac:dyDescent="0.25">
      <c r="A3215" s="1">
        <v>45259</v>
      </c>
      <c r="B3215" t="s">
        <v>18</v>
      </c>
      <c r="C3215" t="s">
        <v>19</v>
      </c>
      <c r="D3215" t="s">
        <v>12</v>
      </c>
      <c r="E3215" t="s">
        <v>52</v>
      </c>
      <c r="F3215" t="s">
        <v>42</v>
      </c>
      <c r="G3215" t="s">
        <v>28</v>
      </c>
      <c r="H3215">
        <v>5</v>
      </c>
      <c r="I3215">
        <v>1630</v>
      </c>
      <c r="J3215">
        <v>190.38</v>
      </c>
    </row>
    <row r="3216" spans="1:10" x14ac:dyDescent="0.25">
      <c r="A3216" s="1">
        <v>44789</v>
      </c>
      <c r="B3216" t="s">
        <v>25</v>
      </c>
      <c r="C3216" t="s">
        <v>19</v>
      </c>
      <c r="D3216" t="s">
        <v>12</v>
      </c>
      <c r="E3216" t="s">
        <v>132</v>
      </c>
      <c r="F3216" t="s">
        <v>115</v>
      </c>
      <c r="G3216" t="s">
        <v>15</v>
      </c>
      <c r="H3216">
        <v>6</v>
      </c>
      <c r="I3216">
        <v>4800</v>
      </c>
      <c r="J3216">
        <v>930.44</v>
      </c>
    </row>
    <row r="3217" spans="1:10" x14ac:dyDescent="0.25">
      <c r="A3217" s="1">
        <v>45253</v>
      </c>
      <c r="B3217" t="s">
        <v>32</v>
      </c>
      <c r="C3217" t="s">
        <v>19</v>
      </c>
      <c r="D3217" t="s">
        <v>12</v>
      </c>
      <c r="E3217" t="s">
        <v>132</v>
      </c>
      <c r="F3217" t="s">
        <v>115</v>
      </c>
      <c r="G3217" t="s">
        <v>15</v>
      </c>
      <c r="H3217">
        <v>1</v>
      </c>
      <c r="I3217">
        <v>61</v>
      </c>
      <c r="J3217">
        <v>16.11</v>
      </c>
    </row>
    <row r="3218" spans="1:10" x14ac:dyDescent="0.25">
      <c r="A3218" s="1">
        <v>45190</v>
      </c>
      <c r="B3218" t="s">
        <v>36</v>
      </c>
      <c r="C3218" t="s">
        <v>17</v>
      </c>
      <c r="D3218" t="s">
        <v>12</v>
      </c>
      <c r="E3218" t="s">
        <v>111</v>
      </c>
      <c r="F3218" t="s">
        <v>115</v>
      </c>
      <c r="G3218" t="s">
        <v>15</v>
      </c>
      <c r="H3218">
        <v>6</v>
      </c>
      <c r="I3218">
        <v>942</v>
      </c>
      <c r="J3218">
        <v>80.27</v>
      </c>
    </row>
    <row r="3219" spans="1:10" x14ac:dyDescent="0.25">
      <c r="A3219" s="1">
        <v>45137</v>
      </c>
      <c r="B3219" t="s">
        <v>40</v>
      </c>
      <c r="C3219" t="s">
        <v>19</v>
      </c>
      <c r="D3219" t="s">
        <v>12</v>
      </c>
      <c r="E3219" t="s">
        <v>75</v>
      </c>
      <c r="F3219" t="s">
        <v>108</v>
      </c>
      <c r="G3219" t="s">
        <v>15</v>
      </c>
      <c r="H3219">
        <v>8</v>
      </c>
      <c r="I3219">
        <v>7640</v>
      </c>
      <c r="J3219">
        <v>1663.63</v>
      </c>
    </row>
    <row r="3220" spans="1:10" x14ac:dyDescent="0.25">
      <c r="A3220" s="1">
        <v>44693</v>
      </c>
      <c r="B3220" t="s">
        <v>25</v>
      </c>
      <c r="C3220" t="s">
        <v>19</v>
      </c>
      <c r="D3220" t="s">
        <v>12</v>
      </c>
      <c r="E3220" t="s">
        <v>162</v>
      </c>
      <c r="F3220" t="s">
        <v>23</v>
      </c>
      <c r="G3220" t="s">
        <v>24</v>
      </c>
      <c r="H3220">
        <v>5</v>
      </c>
      <c r="I3220">
        <v>4540</v>
      </c>
      <c r="J3220">
        <v>939.71</v>
      </c>
    </row>
    <row r="3221" spans="1:10" x14ac:dyDescent="0.25">
      <c r="A3221" s="1">
        <v>44892</v>
      </c>
      <c r="B3221" t="s">
        <v>29</v>
      </c>
      <c r="C3221" t="s">
        <v>17</v>
      </c>
      <c r="D3221" t="s">
        <v>12</v>
      </c>
      <c r="E3221" t="s">
        <v>75</v>
      </c>
      <c r="F3221" t="s">
        <v>63</v>
      </c>
      <c r="G3221" t="s">
        <v>28</v>
      </c>
      <c r="H3221">
        <v>1</v>
      </c>
      <c r="I3221">
        <v>1030</v>
      </c>
      <c r="J3221">
        <v>190.47</v>
      </c>
    </row>
    <row r="3222" spans="1:10" x14ac:dyDescent="0.25">
      <c r="A3222" s="1">
        <v>45189</v>
      </c>
      <c r="B3222" t="s">
        <v>10</v>
      </c>
      <c r="C3222" t="s">
        <v>11</v>
      </c>
      <c r="D3222" t="s">
        <v>12</v>
      </c>
      <c r="E3222" t="s">
        <v>22</v>
      </c>
      <c r="F3222" t="s">
        <v>23</v>
      </c>
      <c r="G3222" t="s">
        <v>24</v>
      </c>
      <c r="H3222">
        <v>2</v>
      </c>
      <c r="I3222">
        <v>384</v>
      </c>
      <c r="J3222">
        <v>30.84</v>
      </c>
    </row>
    <row r="3223" spans="1:10" x14ac:dyDescent="0.25">
      <c r="A3223" s="1">
        <v>45620</v>
      </c>
      <c r="B3223" t="s">
        <v>32</v>
      </c>
      <c r="C3223" t="s">
        <v>19</v>
      </c>
      <c r="D3223" t="s">
        <v>12</v>
      </c>
      <c r="E3223" t="s">
        <v>26</v>
      </c>
      <c r="F3223" t="s">
        <v>27</v>
      </c>
      <c r="G3223" t="s">
        <v>28</v>
      </c>
      <c r="H3223">
        <v>8</v>
      </c>
      <c r="I3223">
        <v>8560</v>
      </c>
      <c r="J3223">
        <v>991.94</v>
      </c>
    </row>
    <row r="3224" spans="1:10" x14ac:dyDescent="0.25">
      <c r="A3224" s="1">
        <v>44796</v>
      </c>
      <c r="B3224" t="s">
        <v>25</v>
      </c>
      <c r="C3224" t="s">
        <v>19</v>
      </c>
      <c r="D3224" t="s">
        <v>12</v>
      </c>
      <c r="E3224" t="s">
        <v>74</v>
      </c>
      <c r="F3224" t="s">
        <v>23</v>
      </c>
      <c r="G3224" t="s">
        <v>24</v>
      </c>
      <c r="H3224">
        <v>9</v>
      </c>
      <c r="I3224">
        <v>1557</v>
      </c>
      <c r="J3224">
        <v>117.36</v>
      </c>
    </row>
    <row r="3225" spans="1:10" x14ac:dyDescent="0.25">
      <c r="A3225" s="1">
        <v>45050</v>
      </c>
      <c r="B3225" t="s">
        <v>18</v>
      </c>
      <c r="C3225" t="s">
        <v>19</v>
      </c>
      <c r="D3225" t="s">
        <v>12</v>
      </c>
      <c r="E3225" t="s">
        <v>22</v>
      </c>
      <c r="F3225" t="s">
        <v>23</v>
      </c>
      <c r="G3225" t="s">
        <v>24</v>
      </c>
      <c r="H3225">
        <v>7</v>
      </c>
      <c r="I3225">
        <v>707</v>
      </c>
      <c r="J3225">
        <v>124.59</v>
      </c>
    </row>
    <row r="3226" spans="1:10" x14ac:dyDescent="0.25">
      <c r="A3226" s="1">
        <v>44778</v>
      </c>
      <c r="B3226" t="s">
        <v>16</v>
      </c>
      <c r="C3226" t="s">
        <v>17</v>
      </c>
      <c r="D3226" t="s">
        <v>12</v>
      </c>
      <c r="E3226" t="s">
        <v>52</v>
      </c>
      <c r="F3226" t="s">
        <v>42</v>
      </c>
      <c r="G3226" t="s">
        <v>28</v>
      </c>
      <c r="H3226">
        <v>5</v>
      </c>
      <c r="I3226">
        <v>3405</v>
      </c>
      <c r="J3226">
        <v>476.39</v>
      </c>
    </row>
    <row r="3227" spans="1:10" x14ac:dyDescent="0.25">
      <c r="A3227" s="1">
        <v>45611</v>
      </c>
      <c r="B3227" t="s">
        <v>18</v>
      </c>
      <c r="C3227" t="s">
        <v>19</v>
      </c>
      <c r="D3227" t="s">
        <v>12</v>
      </c>
      <c r="E3227" t="s">
        <v>163</v>
      </c>
      <c r="F3227" t="s">
        <v>44</v>
      </c>
      <c r="G3227" t="s">
        <v>35</v>
      </c>
      <c r="H3227">
        <v>6</v>
      </c>
      <c r="I3227">
        <v>4722</v>
      </c>
      <c r="J3227">
        <v>522.16</v>
      </c>
    </row>
    <row r="3228" spans="1:10" x14ac:dyDescent="0.25">
      <c r="A3228" s="1">
        <v>44565</v>
      </c>
      <c r="B3228" t="s">
        <v>29</v>
      </c>
      <c r="C3228" t="s">
        <v>17</v>
      </c>
      <c r="D3228" t="s">
        <v>12</v>
      </c>
      <c r="E3228" t="s">
        <v>74</v>
      </c>
      <c r="F3228" t="s">
        <v>23</v>
      </c>
      <c r="G3228" t="s">
        <v>24</v>
      </c>
      <c r="H3228">
        <v>2</v>
      </c>
      <c r="I3228">
        <v>2150</v>
      </c>
      <c r="J3228">
        <v>625.92999999999995</v>
      </c>
    </row>
    <row r="3229" spans="1:10" x14ac:dyDescent="0.25">
      <c r="A3229" s="1">
        <v>44869</v>
      </c>
      <c r="B3229" t="s">
        <v>36</v>
      </c>
      <c r="C3229" t="s">
        <v>17</v>
      </c>
      <c r="D3229" t="s">
        <v>12</v>
      </c>
      <c r="E3229" t="s">
        <v>102</v>
      </c>
      <c r="F3229" t="s">
        <v>34</v>
      </c>
      <c r="G3229" t="s">
        <v>35</v>
      </c>
      <c r="H3229">
        <v>7</v>
      </c>
      <c r="I3229">
        <v>3619</v>
      </c>
      <c r="J3229">
        <v>827.39</v>
      </c>
    </row>
    <row r="3230" spans="1:10" x14ac:dyDescent="0.25">
      <c r="A3230" s="1">
        <v>45147</v>
      </c>
      <c r="B3230" t="s">
        <v>32</v>
      </c>
      <c r="C3230" t="s">
        <v>19</v>
      </c>
      <c r="D3230" t="s">
        <v>12</v>
      </c>
      <c r="E3230" t="s">
        <v>22</v>
      </c>
      <c r="F3230" t="s">
        <v>23</v>
      </c>
      <c r="G3230" t="s">
        <v>24</v>
      </c>
      <c r="H3230">
        <v>4</v>
      </c>
      <c r="I3230">
        <v>3892</v>
      </c>
      <c r="J3230">
        <v>909.22</v>
      </c>
    </row>
    <row r="3231" spans="1:10" x14ac:dyDescent="0.25">
      <c r="A3231" s="1">
        <v>44775</v>
      </c>
      <c r="B3231" t="s">
        <v>25</v>
      </c>
      <c r="C3231" t="s">
        <v>19</v>
      </c>
      <c r="D3231" t="s">
        <v>12</v>
      </c>
      <c r="E3231" t="s">
        <v>164</v>
      </c>
      <c r="F3231" t="s">
        <v>94</v>
      </c>
      <c r="G3231" t="s">
        <v>24</v>
      </c>
      <c r="H3231">
        <v>1</v>
      </c>
      <c r="I3231">
        <v>54</v>
      </c>
      <c r="J3231">
        <v>13.29</v>
      </c>
    </row>
    <row r="3232" spans="1:10" x14ac:dyDescent="0.25">
      <c r="A3232" s="1">
        <v>45264</v>
      </c>
      <c r="B3232" t="s">
        <v>49</v>
      </c>
      <c r="C3232" t="s">
        <v>17</v>
      </c>
      <c r="D3232" t="s">
        <v>12</v>
      </c>
      <c r="E3232" t="s">
        <v>165</v>
      </c>
      <c r="F3232" t="s">
        <v>23</v>
      </c>
      <c r="G3232" t="s">
        <v>24</v>
      </c>
      <c r="H3232">
        <v>1</v>
      </c>
      <c r="I3232">
        <v>612</v>
      </c>
      <c r="J3232">
        <v>136.25</v>
      </c>
    </row>
    <row r="3233" spans="1:10" x14ac:dyDescent="0.25">
      <c r="A3233" s="1">
        <v>44807</v>
      </c>
      <c r="B3233" t="s">
        <v>36</v>
      </c>
      <c r="C3233" t="s">
        <v>17</v>
      </c>
      <c r="D3233" t="s">
        <v>12</v>
      </c>
      <c r="E3233" t="s">
        <v>76</v>
      </c>
      <c r="F3233" t="s">
        <v>54</v>
      </c>
      <c r="G3233" t="s">
        <v>24</v>
      </c>
      <c r="H3233">
        <v>5</v>
      </c>
      <c r="I3233">
        <v>3850</v>
      </c>
      <c r="J3233">
        <v>419.55</v>
      </c>
    </row>
    <row r="3234" spans="1:10" x14ac:dyDescent="0.25">
      <c r="A3234" s="1">
        <v>45402</v>
      </c>
      <c r="B3234" t="s">
        <v>25</v>
      </c>
      <c r="C3234" t="s">
        <v>19</v>
      </c>
      <c r="D3234" t="s">
        <v>12</v>
      </c>
      <c r="E3234" t="s">
        <v>166</v>
      </c>
      <c r="F3234" t="s">
        <v>31</v>
      </c>
      <c r="G3234" t="s">
        <v>24</v>
      </c>
      <c r="H3234">
        <v>5</v>
      </c>
      <c r="I3234">
        <v>3005</v>
      </c>
      <c r="J3234">
        <v>389.93</v>
      </c>
    </row>
    <row r="3235" spans="1:10" x14ac:dyDescent="0.25">
      <c r="A3235" s="1">
        <v>45488</v>
      </c>
      <c r="B3235" t="s">
        <v>29</v>
      </c>
      <c r="C3235" t="s">
        <v>17</v>
      </c>
      <c r="D3235" t="s">
        <v>12</v>
      </c>
      <c r="E3235" t="s">
        <v>53</v>
      </c>
      <c r="F3235" t="s">
        <v>44</v>
      </c>
      <c r="G3235" t="s">
        <v>35</v>
      </c>
      <c r="H3235">
        <v>9</v>
      </c>
      <c r="I3235">
        <v>5256</v>
      </c>
      <c r="J3235">
        <v>1296.6500000000001</v>
      </c>
    </row>
    <row r="3236" spans="1:10" x14ac:dyDescent="0.25">
      <c r="A3236" s="1">
        <v>44998</v>
      </c>
      <c r="B3236" t="s">
        <v>10</v>
      </c>
      <c r="C3236" t="s">
        <v>11</v>
      </c>
      <c r="D3236" t="s">
        <v>12</v>
      </c>
      <c r="E3236" t="s">
        <v>167</v>
      </c>
      <c r="F3236" t="s">
        <v>108</v>
      </c>
      <c r="G3236" t="s">
        <v>15</v>
      </c>
      <c r="H3236">
        <v>6</v>
      </c>
      <c r="I3236">
        <v>3576</v>
      </c>
      <c r="J3236">
        <v>1033.3</v>
      </c>
    </row>
    <row r="3237" spans="1:10" x14ac:dyDescent="0.25">
      <c r="A3237" s="1">
        <v>44873</v>
      </c>
      <c r="B3237" t="s">
        <v>18</v>
      </c>
      <c r="C3237" t="s">
        <v>19</v>
      </c>
      <c r="D3237" t="s">
        <v>12</v>
      </c>
      <c r="E3237" t="s">
        <v>167</v>
      </c>
      <c r="F3237" t="s">
        <v>108</v>
      </c>
      <c r="G3237" t="s">
        <v>15</v>
      </c>
      <c r="H3237">
        <v>5</v>
      </c>
      <c r="I3237">
        <v>3415</v>
      </c>
      <c r="J3237">
        <v>496.48</v>
      </c>
    </row>
    <row r="3238" spans="1:10" x14ac:dyDescent="0.25">
      <c r="A3238" s="1">
        <v>44939</v>
      </c>
      <c r="B3238" t="s">
        <v>25</v>
      </c>
      <c r="C3238" t="s">
        <v>19</v>
      </c>
      <c r="D3238" t="s">
        <v>12</v>
      </c>
      <c r="E3238" t="s">
        <v>53</v>
      </c>
      <c r="F3238" t="s">
        <v>44</v>
      </c>
      <c r="G3238" t="s">
        <v>35</v>
      </c>
      <c r="H3238">
        <v>3</v>
      </c>
      <c r="I3238">
        <v>1722</v>
      </c>
      <c r="J3238">
        <v>203.04</v>
      </c>
    </row>
    <row r="3239" spans="1:10" x14ac:dyDescent="0.25">
      <c r="A3239" s="1">
        <v>44665</v>
      </c>
      <c r="B3239" t="s">
        <v>16</v>
      </c>
      <c r="C3239" t="s">
        <v>17</v>
      </c>
      <c r="D3239" t="s">
        <v>12</v>
      </c>
      <c r="E3239" t="s">
        <v>53</v>
      </c>
      <c r="F3239" t="s">
        <v>44</v>
      </c>
      <c r="G3239" t="s">
        <v>35</v>
      </c>
      <c r="H3239">
        <v>8</v>
      </c>
      <c r="I3239">
        <v>4088</v>
      </c>
      <c r="J3239">
        <v>853.36</v>
      </c>
    </row>
    <row r="3240" spans="1:10" x14ac:dyDescent="0.25">
      <c r="A3240" s="1">
        <v>45331</v>
      </c>
      <c r="B3240" t="s">
        <v>29</v>
      </c>
      <c r="C3240" t="s">
        <v>17</v>
      </c>
      <c r="D3240" t="s">
        <v>12</v>
      </c>
      <c r="E3240" t="s">
        <v>75</v>
      </c>
      <c r="F3240" t="s">
        <v>63</v>
      </c>
      <c r="G3240" t="s">
        <v>28</v>
      </c>
      <c r="H3240">
        <v>5</v>
      </c>
      <c r="I3240">
        <v>5320</v>
      </c>
      <c r="J3240">
        <v>882.84</v>
      </c>
    </row>
    <row r="3241" spans="1:10" x14ac:dyDescent="0.25">
      <c r="A3241" s="1">
        <v>44892</v>
      </c>
      <c r="B3241" t="s">
        <v>16</v>
      </c>
      <c r="C3241" t="s">
        <v>17</v>
      </c>
      <c r="D3241" t="s">
        <v>12</v>
      </c>
      <c r="E3241" t="s">
        <v>26</v>
      </c>
      <c r="F3241" t="s">
        <v>27</v>
      </c>
      <c r="G3241" t="s">
        <v>28</v>
      </c>
      <c r="H3241">
        <v>6</v>
      </c>
      <c r="I3241">
        <v>3660</v>
      </c>
      <c r="J3241">
        <v>1079</v>
      </c>
    </row>
    <row r="3242" spans="1:10" x14ac:dyDescent="0.25">
      <c r="A3242" s="1">
        <v>45425</v>
      </c>
      <c r="B3242" t="s">
        <v>25</v>
      </c>
      <c r="C3242" t="s">
        <v>19</v>
      </c>
      <c r="D3242" t="s">
        <v>12</v>
      </c>
      <c r="E3242" t="s">
        <v>52</v>
      </c>
      <c r="F3242" t="s">
        <v>42</v>
      </c>
      <c r="G3242" t="s">
        <v>28</v>
      </c>
      <c r="H3242">
        <v>6</v>
      </c>
      <c r="I3242">
        <v>5250</v>
      </c>
      <c r="J3242">
        <v>1228.49</v>
      </c>
    </row>
    <row r="3243" spans="1:10" x14ac:dyDescent="0.25">
      <c r="A3243" s="1">
        <v>44668</v>
      </c>
      <c r="B3243" t="s">
        <v>55</v>
      </c>
      <c r="C3243" t="s">
        <v>19</v>
      </c>
      <c r="D3243" t="s">
        <v>12</v>
      </c>
      <c r="E3243" t="s">
        <v>93</v>
      </c>
      <c r="F3243" t="s">
        <v>94</v>
      </c>
      <c r="G3243" t="s">
        <v>24</v>
      </c>
      <c r="H3243">
        <v>4</v>
      </c>
      <c r="I3243">
        <v>328</v>
      </c>
      <c r="J3243">
        <v>90.89</v>
      </c>
    </row>
    <row r="3244" spans="1:10" x14ac:dyDescent="0.25">
      <c r="A3244" s="1">
        <v>45198</v>
      </c>
      <c r="B3244" t="s">
        <v>40</v>
      </c>
      <c r="C3244" t="s">
        <v>19</v>
      </c>
      <c r="D3244" t="s">
        <v>12</v>
      </c>
      <c r="E3244" t="s">
        <v>52</v>
      </c>
      <c r="F3244" t="s">
        <v>42</v>
      </c>
      <c r="G3244" t="s">
        <v>28</v>
      </c>
      <c r="H3244">
        <v>7</v>
      </c>
      <c r="I3244">
        <v>1596</v>
      </c>
      <c r="J3244">
        <v>359.71</v>
      </c>
    </row>
    <row r="3245" spans="1:10" x14ac:dyDescent="0.25">
      <c r="A3245" s="1">
        <v>44968</v>
      </c>
      <c r="B3245" t="s">
        <v>10</v>
      </c>
      <c r="C3245" t="s">
        <v>11</v>
      </c>
      <c r="D3245" t="s">
        <v>12</v>
      </c>
      <c r="E3245" t="s">
        <v>52</v>
      </c>
      <c r="F3245" t="s">
        <v>42</v>
      </c>
      <c r="G3245" t="s">
        <v>28</v>
      </c>
      <c r="H3245">
        <v>7</v>
      </c>
      <c r="I3245">
        <v>2443</v>
      </c>
      <c r="J3245">
        <v>661.21</v>
      </c>
    </row>
    <row r="3246" spans="1:10" x14ac:dyDescent="0.25">
      <c r="A3246" s="1">
        <v>45130</v>
      </c>
      <c r="B3246" t="s">
        <v>32</v>
      </c>
      <c r="C3246" t="s">
        <v>19</v>
      </c>
      <c r="D3246" t="s">
        <v>12</v>
      </c>
      <c r="E3246" t="s">
        <v>97</v>
      </c>
      <c r="F3246" t="s">
        <v>23</v>
      </c>
      <c r="G3246" t="s">
        <v>24</v>
      </c>
      <c r="H3246">
        <v>7</v>
      </c>
      <c r="I3246">
        <v>5432</v>
      </c>
      <c r="J3246">
        <v>870.08</v>
      </c>
    </row>
    <row r="3247" spans="1:10" x14ac:dyDescent="0.25">
      <c r="A3247" s="1">
        <v>44655</v>
      </c>
      <c r="B3247" t="s">
        <v>10</v>
      </c>
      <c r="C3247" t="s">
        <v>11</v>
      </c>
      <c r="D3247" t="s">
        <v>12</v>
      </c>
      <c r="E3247" t="s">
        <v>37</v>
      </c>
      <c r="F3247" t="s">
        <v>34</v>
      </c>
      <c r="G3247" t="s">
        <v>35</v>
      </c>
      <c r="H3247">
        <v>3</v>
      </c>
      <c r="I3247">
        <v>1254</v>
      </c>
      <c r="J3247">
        <v>221.19</v>
      </c>
    </row>
    <row r="3248" spans="1:10" x14ac:dyDescent="0.25">
      <c r="A3248" s="1">
        <v>44611</v>
      </c>
      <c r="B3248" t="s">
        <v>18</v>
      </c>
      <c r="C3248" t="s">
        <v>19</v>
      </c>
      <c r="D3248" t="s">
        <v>12</v>
      </c>
      <c r="E3248" t="s">
        <v>129</v>
      </c>
      <c r="F3248" t="s">
        <v>168</v>
      </c>
      <c r="G3248" t="s">
        <v>15</v>
      </c>
      <c r="H3248">
        <v>5</v>
      </c>
      <c r="I3248">
        <v>5495</v>
      </c>
      <c r="J3248">
        <v>1276.27</v>
      </c>
    </row>
    <row r="3249" spans="1:10" x14ac:dyDescent="0.25">
      <c r="A3249" s="1">
        <v>45267</v>
      </c>
      <c r="B3249" t="s">
        <v>29</v>
      </c>
      <c r="C3249" t="s">
        <v>17</v>
      </c>
      <c r="D3249" t="s">
        <v>12</v>
      </c>
      <c r="E3249" t="s">
        <v>96</v>
      </c>
      <c r="F3249" t="s">
        <v>34</v>
      </c>
      <c r="G3249" t="s">
        <v>35</v>
      </c>
      <c r="H3249">
        <v>4</v>
      </c>
      <c r="I3249">
        <v>596</v>
      </c>
      <c r="J3249">
        <v>72.650000000000006</v>
      </c>
    </row>
    <row r="3250" spans="1:10" x14ac:dyDescent="0.25">
      <c r="A3250" s="1">
        <v>45583</v>
      </c>
      <c r="B3250" t="s">
        <v>10</v>
      </c>
      <c r="C3250" t="s">
        <v>11</v>
      </c>
      <c r="D3250" t="s">
        <v>12</v>
      </c>
      <c r="E3250" t="s">
        <v>43</v>
      </c>
      <c r="F3250" t="s">
        <v>44</v>
      </c>
      <c r="G3250" t="s">
        <v>35</v>
      </c>
      <c r="H3250">
        <v>6</v>
      </c>
      <c r="I3250">
        <v>3696</v>
      </c>
      <c r="J3250">
        <v>597.66</v>
      </c>
    </row>
    <row r="3251" spans="1:10" x14ac:dyDescent="0.25">
      <c r="A3251" s="1">
        <v>44669</v>
      </c>
      <c r="B3251" t="s">
        <v>16</v>
      </c>
      <c r="C3251" t="s">
        <v>17</v>
      </c>
      <c r="D3251" t="s">
        <v>12</v>
      </c>
      <c r="E3251" t="s">
        <v>75</v>
      </c>
      <c r="F3251" t="s">
        <v>108</v>
      </c>
      <c r="G3251" t="s">
        <v>15</v>
      </c>
      <c r="H3251">
        <v>6</v>
      </c>
      <c r="I3251">
        <v>4488</v>
      </c>
      <c r="J3251">
        <v>939.05</v>
      </c>
    </row>
    <row r="3252" spans="1:10" x14ac:dyDescent="0.25">
      <c r="A3252" s="1">
        <v>45217</v>
      </c>
      <c r="B3252" t="s">
        <v>25</v>
      </c>
      <c r="C3252" t="s">
        <v>19</v>
      </c>
      <c r="D3252" t="s">
        <v>12</v>
      </c>
      <c r="E3252" t="s">
        <v>169</v>
      </c>
      <c r="F3252" t="s">
        <v>83</v>
      </c>
      <c r="G3252" t="s">
        <v>28</v>
      </c>
      <c r="H3252">
        <v>6</v>
      </c>
      <c r="I3252">
        <v>6846</v>
      </c>
      <c r="J3252">
        <v>932.21</v>
      </c>
    </row>
    <row r="3253" spans="1:10" x14ac:dyDescent="0.25">
      <c r="A3253" s="1">
        <v>45289</v>
      </c>
      <c r="B3253" t="s">
        <v>16</v>
      </c>
      <c r="C3253" t="s">
        <v>17</v>
      </c>
      <c r="D3253" t="s">
        <v>12</v>
      </c>
      <c r="E3253" t="s">
        <v>170</v>
      </c>
      <c r="F3253" t="s">
        <v>78</v>
      </c>
      <c r="G3253" t="s">
        <v>28</v>
      </c>
      <c r="H3253">
        <v>8</v>
      </c>
      <c r="I3253">
        <v>2960</v>
      </c>
      <c r="J3253">
        <v>607.64</v>
      </c>
    </row>
    <row r="3254" spans="1:10" x14ac:dyDescent="0.25">
      <c r="A3254" s="1">
        <v>45138</v>
      </c>
      <c r="B3254" t="s">
        <v>40</v>
      </c>
      <c r="C3254" t="s">
        <v>19</v>
      </c>
      <c r="D3254" t="s">
        <v>12</v>
      </c>
      <c r="E3254" t="s">
        <v>162</v>
      </c>
      <c r="F3254" t="s">
        <v>34</v>
      </c>
      <c r="G3254" t="s">
        <v>35</v>
      </c>
      <c r="H3254">
        <v>1</v>
      </c>
      <c r="I3254">
        <v>419</v>
      </c>
      <c r="J3254">
        <v>99.5</v>
      </c>
    </row>
    <row r="3255" spans="1:10" x14ac:dyDescent="0.25">
      <c r="A3255" s="1">
        <v>45538</v>
      </c>
      <c r="B3255" t="s">
        <v>55</v>
      </c>
      <c r="C3255" t="s">
        <v>19</v>
      </c>
      <c r="D3255" t="s">
        <v>12</v>
      </c>
      <c r="E3255" t="s">
        <v>171</v>
      </c>
      <c r="F3255" t="s">
        <v>94</v>
      </c>
      <c r="G3255" t="s">
        <v>24</v>
      </c>
      <c r="H3255">
        <v>6</v>
      </c>
      <c r="I3255">
        <v>6246</v>
      </c>
      <c r="J3255">
        <v>327.14</v>
      </c>
    </row>
    <row r="3256" spans="1:10" x14ac:dyDescent="0.25">
      <c r="A3256" s="1">
        <v>44816</v>
      </c>
      <c r="B3256" t="s">
        <v>18</v>
      </c>
      <c r="C3256" t="s">
        <v>19</v>
      </c>
      <c r="D3256" t="s">
        <v>12</v>
      </c>
      <c r="E3256" t="s">
        <v>70</v>
      </c>
      <c r="F3256" t="s">
        <v>71</v>
      </c>
      <c r="G3256" t="s">
        <v>35</v>
      </c>
      <c r="H3256">
        <v>4</v>
      </c>
      <c r="I3256">
        <v>1900</v>
      </c>
      <c r="J3256">
        <v>372.18</v>
      </c>
    </row>
    <row r="3257" spans="1:10" x14ac:dyDescent="0.25">
      <c r="A3257" s="1">
        <v>45085</v>
      </c>
      <c r="B3257" t="s">
        <v>36</v>
      </c>
      <c r="C3257" t="s">
        <v>17</v>
      </c>
      <c r="D3257" t="s">
        <v>12</v>
      </c>
      <c r="E3257" t="s">
        <v>37</v>
      </c>
      <c r="F3257" t="s">
        <v>34</v>
      </c>
      <c r="G3257" t="s">
        <v>35</v>
      </c>
      <c r="H3257">
        <v>7</v>
      </c>
      <c r="I3257">
        <v>3451</v>
      </c>
      <c r="J3257">
        <v>397.29</v>
      </c>
    </row>
    <row r="3258" spans="1:10" x14ac:dyDescent="0.25">
      <c r="A3258" s="1">
        <v>45620</v>
      </c>
      <c r="B3258" t="s">
        <v>40</v>
      </c>
      <c r="C3258" t="s">
        <v>19</v>
      </c>
      <c r="D3258" t="s">
        <v>12</v>
      </c>
      <c r="E3258" t="s">
        <v>22</v>
      </c>
      <c r="F3258" t="s">
        <v>23</v>
      </c>
      <c r="G3258" t="s">
        <v>24</v>
      </c>
      <c r="H3258">
        <v>2</v>
      </c>
      <c r="I3258">
        <v>1612</v>
      </c>
      <c r="J3258">
        <v>344.37</v>
      </c>
    </row>
    <row r="3259" spans="1:10" x14ac:dyDescent="0.25">
      <c r="A3259" s="1">
        <v>44786</v>
      </c>
      <c r="B3259" t="s">
        <v>55</v>
      </c>
      <c r="C3259" t="s">
        <v>19</v>
      </c>
      <c r="D3259" t="s">
        <v>12</v>
      </c>
      <c r="E3259" t="s">
        <v>52</v>
      </c>
      <c r="F3259" t="s">
        <v>42</v>
      </c>
      <c r="G3259" t="s">
        <v>28</v>
      </c>
      <c r="H3259">
        <v>5</v>
      </c>
      <c r="I3259">
        <v>4445</v>
      </c>
      <c r="J3259">
        <v>642.83000000000004</v>
      </c>
    </row>
    <row r="3260" spans="1:10" x14ac:dyDescent="0.25">
      <c r="A3260" s="1">
        <v>45510</v>
      </c>
      <c r="B3260" t="s">
        <v>32</v>
      </c>
      <c r="C3260" t="s">
        <v>19</v>
      </c>
      <c r="D3260" t="s">
        <v>12</v>
      </c>
      <c r="E3260" t="s">
        <v>110</v>
      </c>
      <c r="F3260" t="s">
        <v>57</v>
      </c>
      <c r="G3260" t="s">
        <v>24</v>
      </c>
      <c r="H3260">
        <v>5</v>
      </c>
      <c r="I3260">
        <v>720</v>
      </c>
      <c r="J3260">
        <v>63.84</v>
      </c>
    </row>
    <row r="3261" spans="1:10" x14ac:dyDescent="0.25">
      <c r="A3261" s="1">
        <v>45398</v>
      </c>
      <c r="B3261" t="s">
        <v>16</v>
      </c>
      <c r="C3261" t="s">
        <v>17</v>
      </c>
      <c r="D3261" t="s">
        <v>12</v>
      </c>
      <c r="E3261" t="s">
        <v>22</v>
      </c>
      <c r="F3261" t="s">
        <v>23</v>
      </c>
      <c r="G3261" t="s">
        <v>24</v>
      </c>
      <c r="H3261">
        <v>2</v>
      </c>
      <c r="I3261">
        <v>1428</v>
      </c>
      <c r="J3261">
        <v>234.49</v>
      </c>
    </row>
    <row r="3262" spans="1:10" x14ac:dyDescent="0.25">
      <c r="A3262" s="1">
        <v>45653</v>
      </c>
      <c r="B3262" t="s">
        <v>18</v>
      </c>
      <c r="C3262" t="s">
        <v>19</v>
      </c>
      <c r="D3262" t="s">
        <v>12</v>
      </c>
      <c r="E3262" t="s">
        <v>22</v>
      </c>
      <c r="F3262" t="s">
        <v>23</v>
      </c>
      <c r="G3262" t="s">
        <v>24</v>
      </c>
      <c r="H3262">
        <v>4</v>
      </c>
      <c r="I3262">
        <v>3532</v>
      </c>
      <c r="J3262">
        <v>665.2</v>
      </c>
    </row>
    <row r="3263" spans="1:10" x14ac:dyDescent="0.25">
      <c r="A3263" s="1">
        <v>45543</v>
      </c>
      <c r="B3263" t="s">
        <v>25</v>
      </c>
      <c r="C3263" t="s">
        <v>19</v>
      </c>
      <c r="D3263" t="s">
        <v>12</v>
      </c>
      <c r="E3263" t="s">
        <v>22</v>
      </c>
      <c r="F3263" t="s">
        <v>23</v>
      </c>
      <c r="G3263" t="s">
        <v>24</v>
      </c>
      <c r="H3263">
        <v>6</v>
      </c>
      <c r="I3263">
        <v>6528</v>
      </c>
      <c r="J3263">
        <v>549.62</v>
      </c>
    </row>
    <row r="3264" spans="1:10" x14ac:dyDescent="0.25">
      <c r="A3264" s="1">
        <v>45173</v>
      </c>
      <c r="B3264" t="s">
        <v>36</v>
      </c>
      <c r="C3264" t="s">
        <v>17</v>
      </c>
      <c r="D3264" t="s">
        <v>12</v>
      </c>
      <c r="E3264" t="s">
        <v>26</v>
      </c>
      <c r="F3264" t="s">
        <v>27</v>
      </c>
      <c r="G3264" t="s">
        <v>28</v>
      </c>
      <c r="H3264">
        <v>1</v>
      </c>
      <c r="I3264">
        <v>743</v>
      </c>
      <c r="J3264">
        <v>216.5</v>
      </c>
    </row>
    <row r="3265" spans="1:10" x14ac:dyDescent="0.25">
      <c r="A3265" s="1">
        <v>45212</v>
      </c>
      <c r="B3265" t="s">
        <v>32</v>
      </c>
      <c r="C3265" t="s">
        <v>19</v>
      </c>
      <c r="D3265" t="s">
        <v>12</v>
      </c>
      <c r="E3265" t="s">
        <v>172</v>
      </c>
      <c r="F3265" t="s">
        <v>173</v>
      </c>
      <c r="G3265" t="s">
        <v>24</v>
      </c>
      <c r="H3265">
        <v>6</v>
      </c>
      <c r="I3265">
        <v>1758</v>
      </c>
      <c r="J3265">
        <v>287.36</v>
      </c>
    </row>
    <row r="3266" spans="1:10" x14ac:dyDescent="0.25">
      <c r="A3266" s="1">
        <v>45259</v>
      </c>
      <c r="B3266" t="s">
        <v>29</v>
      </c>
      <c r="C3266" t="s">
        <v>17</v>
      </c>
      <c r="D3266" t="s">
        <v>12</v>
      </c>
      <c r="E3266" t="s">
        <v>164</v>
      </c>
      <c r="F3266" t="s">
        <v>94</v>
      </c>
      <c r="G3266" t="s">
        <v>24</v>
      </c>
      <c r="H3266">
        <v>8</v>
      </c>
      <c r="I3266">
        <v>1008</v>
      </c>
      <c r="J3266">
        <v>100.61</v>
      </c>
    </row>
    <row r="3267" spans="1:10" x14ac:dyDescent="0.25">
      <c r="A3267" s="1">
        <v>45586</v>
      </c>
      <c r="B3267" t="s">
        <v>40</v>
      </c>
      <c r="C3267" t="s">
        <v>19</v>
      </c>
      <c r="D3267" t="s">
        <v>12</v>
      </c>
      <c r="E3267" t="s">
        <v>174</v>
      </c>
      <c r="F3267" t="s">
        <v>27</v>
      </c>
      <c r="G3267" t="s">
        <v>28</v>
      </c>
      <c r="H3267">
        <v>1</v>
      </c>
      <c r="I3267">
        <v>995</v>
      </c>
      <c r="J3267">
        <v>149.86000000000001</v>
      </c>
    </row>
    <row r="3268" spans="1:10" x14ac:dyDescent="0.25">
      <c r="A3268" s="1">
        <v>45570</v>
      </c>
      <c r="B3268" t="s">
        <v>49</v>
      </c>
      <c r="C3268" t="s">
        <v>17</v>
      </c>
      <c r="D3268" t="s">
        <v>12</v>
      </c>
      <c r="E3268" t="s">
        <v>175</v>
      </c>
      <c r="F3268" t="s">
        <v>23</v>
      </c>
      <c r="G3268" t="s">
        <v>24</v>
      </c>
      <c r="H3268">
        <v>9</v>
      </c>
      <c r="I3268">
        <v>4032</v>
      </c>
      <c r="J3268">
        <v>876.91</v>
      </c>
    </row>
    <row r="3269" spans="1:10" x14ac:dyDescent="0.25">
      <c r="A3269" s="1">
        <v>44863</v>
      </c>
      <c r="B3269" t="s">
        <v>40</v>
      </c>
      <c r="C3269" t="s">
        <v>19</v>
      </c>
      <c r="D3269" t="s">
        <v>12</v>
      </c>
      <c r="E3269" t="s">
        <v>176</v>
      </c>
      <c r="F3269" t="s">
        <v>84</v>
      </c>
      <c r="G3269" t="s">
        <v>28</v>
      </c>
      <c r="H3269">
        <v>6</v>
      </c>
      <c r="I3269">
        <v>480</v>
      </c>
      <c r="J3269">
        <v>131.08000000000001</v>
      </c>
    </row>
    <row r="3270" spans="1:10" x14ac:dyDescent="0.25">
      <c r="A3270" s="1">
        <v>45590</v>
      </c>
      <c r="B3270" t="s">
        <v>55</v>
      </c>
      <c r="C3270" t="s">
        <v>19</v>
      </c>
      <c r="D3270" t="s">
        <v>12</v>
      </c>
      <c r="E3270" t="s">
        <v>75</v>
      </c>
      <c r="F3270" t="s">
        <v>63</v>
      </c>
      <c r="G3270" t="s">
        <v>28</v>
      </c>
      <c r="H3270">
        <v>1</v>
      </c>
      <c r="I3270">
        <v>989</v>
      </c>
      <c r="J3270">
        <v>149.99</v>
      </c>
    </row>
    <row r="3271" spans="1:10" x14ac:dyDescent="0.25">
      <c r="A3271" s="1">
        <v>44585</v>
      </c>
      <c r="B3271" t="s">
        <v>40</v>
      </c>
      <c r="C3271" t="s">
        <v>19</v>
      </c>
      <c r="D3271" t="s">
        <v>12</v>
      </c>
      <c r="E3271" t="s">
        <v>177</v>
      </c>
      <c r="F3271" t="s">
        <v>42</v>
      </c>
      <c r="G3271" t="s">
        <v>28</v>
      </c>
      <c r="H3271">
        <v>9</v>
      </c>
      <c r="I3271">
        <v>6606</v>
      </c>
      <c r="J3271">
        <v>759.55</v>
      </c>
    </row>
    <row r="3272" spans="1:10" x14ac:dyDescent="0.25">
      <c r="A3272" s="1">
        <v>45328</v>
      </c>
      <c r="B3272" t="s">
        <v>32</v>
      </c>
      <c r="C3272" t="s">
        <v>19</v>
      </c>
      <c r="D3272" t="s">
        <v>12</v>
      </c>
      <c r="E3272" t="s">
        <v>56</v>
      </c>
      <c r="F3272" t="s">
        <v>57</v>
      </c>
      <c r="G3272" t="s">
        <v>24</v>
      </c>
      <c r="H3272">
        <v>6</v>
      </c>
      <c r="I3272">
        <v>912</v>
      </c>
      <c r="J3272">
        <v>256.58</v>
      </c>
    </row>
    <row r="3273" spans="1:10" x14ac:dyDescent="0.25">
      <c r="A3273" s="1">
        <v>44763</v>
      </c>
      <c r="B3273" t="s">
        <v>16</v>
      </c>
      <c r="C3273" t="s">
        <v>17</v>
      </c>
      <c r="D3273" t="s">
        <v>12</v>
      </c>
      <c r="E3273" t="s">
        <v>52</v>
      </c>
      <c r="F3273" t="s">
        <v>42</v>
      </c>
      <c r="G3273" t="s">
        <v>28</v>
      </c>
      <c r="H3273">
        <v>4</v>
      </c>
      <c r="I3273">
        <v>2912</v>
      </c>
      <c r="J3273">
        <v>331.11</v>
      </c>
    </row>
    <row r="3274" spans="1:10" x14ac:dyDescent="0.25">
      <c r="A3274" s="1">
        <v>44960</v>
      </c>
      <c r="B3274" t="s">
        <v>25</v>
      </c>
      <c r="C3274" t="s">
        <v>19</v>
      </c>
      <c r="D3274" t="s">
        <v>12</v>
      </c>
      <c r="E3274" t="s">
        <v>22</v>
      </c>
      <c r="F3274" t="s">
        <v>23</v>
      </c>
      <c r="G3274" t="s">
        <v>24</v>
      </c>
      <c r="H3274">
        <v>5</v>
      </c>
      <c r="I3274">
        <v>845</v>
      </c>
      <c r="J3274">
        <v>69.349999999999994</v>
      </c>
    </row>
    <row r="3275" spans="1:10" x14ac:dyDescent="0.25">
      <c r="A3275" s="1">
        <v>45148</v>
      </c>
      <c r="B3275" t="s">
        <v>36</v>
      </c>
      <c r="C3275" t="s">
        <v>17</v>
      </c>
      <c r="D3275" t="s">
        <v>12</v>
      </c>
      <c r="E3275" t="s">
        <v>22</v>
      </c>
      <c r="F3275" t="s">
        <v>23</v>
      </c>
      <c r="G3275" t="s">
        <v>24</v>
      </c>
      <c r="H3275">
        <v>4</v>
      </c>
      <c r="I3275">
        <v>2804</v>
      </c>
      <c r="J3275">
        <v>382.82</v>
      </c>
    </row>
    <row r="3276" spans="1:10" x14ac:dyDescent="0.25">
      <c r="A3276" s="1">
        <v>45654</v>
      </c>
      <c r="B3276" t="s">
        <v>55</v>
      </c>
      <c r="C3276" t="s">
        <v>19</v>
      </c>
      <c r="D3276" t="s">
        <v>12</v>
      </c>
      <c r="E3276" t="s">
        <v>178</v>
      </c>
      <c r="F3276" t="s">
        <v>34</v>
      </c>
      <c r="G3276" t="s">
        <v>35</v>
      </c>
      <c r="H3276">
        <v>2</v>
      </c>
      <c r="I3276">
        <v>208</v>
      </c>
      <c r="J3276">
        <v>11.53</v>
      </c>
    </row>
    <row r="3277" spans="1:10" x14ac:dyDescent="0.25">
      <c r="A3277" s="1">
        <v>44884</v>
      </c>
      <c r="B3277" t="s">
        <v>32</v>
      </c>
      <c r="C3277" t="s">
        <v>19</v>
      </c>
      <c r="D3277" t="s">
        <v>12</v>
      </c>
      <c r="E3277" t="s">
        <v>52</v>
      </c>
      <c r="F3277" t="s">
        <v>42</v>
      </c>
      <c r="G3277" t="s">
        <v>28</v>
      </c>
      <c r="H3277">
        <v>1</v>
      </c>
      <c r="I3277">
        <v>379</v>
      </c>
      <c r="J3277">
        <v>42.24</v>
      </c>
    </row>
    <row r="3278" spans="1:10" x14ac:dyDescent="0.25">
      <c r="A3278" s="1">
        <v>45430</v>
      </c>
      <c r="B3278" t="s">
        <v>16</v>
      </c>
      <c r="C3278" t="s">
        <v>17</v>
      </c>
      <c r="D3278" t="s">
        <v>12</v>
      </c>
      <c r="E3278" t="s">
        <v>52</v>
      </c>
      <c r="F3278" t="s">
        <v>42</v>
      </c>
      <c r="G3278" t="s">
        <v>28</v>
      </c>
      <c r="H3278">
        <v>3</v>
      </c>
      <c r="I3278">
        <v>1227</v>
      </c>
      <c r="J3278">
        <v>113.38</v>
      </c>
    </row>
    <row r="3279" spans="1:10" x14ac:dyDescent="0.25">
      <c r="A3279" s="1">
        <v>45141</v>
      </c>
      <c r="B3279" t="s">
        <v>29</v>
      </c>
      <c r="C3279" t="s">
        <v>17</v>
      </c>
      <c r="D3279" t="s">
        <v>12</v>
      </c>
      <c r="E3279" t="s">
        <v>52</v>
      </c>
      <c r="F3279" t="s">
        <v>42</v>
      </c>
      <c r="G3279" t="s">
        <v>28</v>
      </c>
      <c r="H3279">
        <v>7</v>
      </c>
      <c r="I3279">
        <v>5551</v>
      </c>
      <c r="J3279">
        <v>392.37</v>
      </c>
    </row>
    <row r="3280" spans="1:10" x14ac:dyDescent="0.25">
      <c r="A3280" s="1">
        <v>44779</v>
      </c>
      <c r="B3280" t="s">
        <v>29</v>
      </c>
      <c r="C3280" t="s">
        <v>17</v>
      </c>
      <c r="D3280" t="s">
        <v>12</v>
      </c>
      <c r="E3280" t="s">
        <v>179</v>
      </c>
      <c r="F3280" t="s">
        <v>44</v>
      </c>
      <c r="G3280" t="s">
        <v>35</v>
      </c>
      <c r="H3280">
        <v>1</v>
      </c>
      <c r="I3280">
        <v>423</v>
      </c>
      <c r="J3280">
        <v>115.44</v>
      </c>
    </row>
    <row r="3281" spans="1:10" x14ac:dyDescent="0.25">
      <c r="A3281" s="1">
        <v>44587</v>
      </c>
      <c r="B3281" t="s">
        <v>29</v>
      </c>
      <c r="C3281" t="s">
        <v>17</v>
      </c>
      <c r="D3281" t="s">
        <v>12</v>
      </c>
      <c r="E3281" t="s">
        <v>75</v>
      </c>
      <c r="F3281" t="s">
        <v>63</v>
      </c>
      <c r="G3281" t="s">
        <v>28</v>
      </c>
      <c r="H3281">
        <v>6</v>
      </c>
      <c r="I3281">
        <v>5982</v>
      </c>
      <c r="J3281">
        <v>944.81</v>
      </c>
    </row>
    <row r="3282" spans="1:10" x14ac:dyDescent="0.25">
      <c r="A3282" s="1">
        <v>44902</v>
      </c>
      <c r="B3282" t="s">
        <v>40</v>
      </c>
      <c r="C3282" t="s">
        <v>19</v>
      </c>
      <c r="D3282" t="s">
        <v>12</v>
      </c>
      <c r="E3282" t="s">
        <v>52</v>
      </c>
      <c r="F3282" t="s">
        <v>42</v>
      </c>
      <c r="G3282" t="s">
        <v>28</v>
      </c>
      <c r="H3282">
        <v>4</v>
      </c>
      <c r="I3282">
        <v>3732</v>
      </c>
      <c r="J3282">
        <v>468.6</v>
      </c>
    </row>
    <row r="3283" spans="1:10" x14ac:dyDescent="0.25">
      <c r="A3283" s="1">
        <v>44987</v>
      </c>
      <c r="B3283" t="s">
        <v>10</v>
      </c>
      <c r="C3283" t="s">
        <v>11</v>
      </c>
      <c r="D3283" t="s">
        <v>12</v>
      </c>
      <c r="E3283" t="s">
        <v>180</v>
      </c>
      <c r="F3283" t="s">
        <v>34</v>
      </c>
      <c r="G3283" t="s">
        <v>35</v>
      </c>
      <c r="H3283">
        <v>9</v>
      </c>
      <c r="I3283">
        <v>5904</v>
      </c>
      <c r="J3283">
        <v>1152.23</v>
      </c>
    </row>
    <row r="3284" spans="1:10" x14ac:dyDescent="0.25">
      <c r="A3284" s="1">
        <v>45323</v>
      </c>
      <c r="B3284" t="s">
        <v>29</v>
      </c>
      <c r="C3284" t="s">
        <v>17</v>
      </c>
      <c r="D3284" t="s">
        <v>12</v>
      </c>
      <c r="E3284" t="s">
        <v>117</v>
      </c>
      <c r="F3284" t="s">
        <v>59</v>
      </c>
      <c r="G3284" t="s">
        <v>28</v>
      </c>
      <c r="H3284">
        <v>5</v>
      </c>
      <c r="I3284">
        <v>1810</v>
      </c>
      <c r="J3284">
        <v>171.47</v>
      </c>
    </row>
    <row r="3285" spans="1:10" x14ac:dyDescent="0.25">
      <c r="A3285" s="1">
        <v>44956</v>
      </c>
      <c r="B3285" t="s">
        <v>40</v>
      </c>
      <c r="C3285" t="s">
        <v>19</v>
      </c>
      <c r="D3285" t="s">
        <v>12</v>
      </c>
      <c r="E3285" t="s">
        <v>22</v>
      </c>
      <c r="F3285" t="s">
        <v>23</v>
      </c>
      <c r="G3285" t="s">
        <v>24</v>
      </c>
      <c r="H3285">
        <v>6</v>
      </c>
      <c r="I3285">
        <v>5604</v>
      </c>
      <c r="J3285">
        <v>615.07000000000005</v>
      </c>
    </row>
    <row r="3286" spans="1:10" x14ac:dyDescent="0.25">
      <c r="A3286" s="1">
        <v>44679</v>
      </c>
      <c r="B3286" t="s">
        <v>55</v>
      </c>
      <c r="C3286" t="s">
        <v>19</v>
      </c>
      <c r="D3286" t="s">
        <v>12</v>
      </c>
      <c r="E3286" t="s">
        <v>181</v>
      </c>
      <c r="F3286" t="s">
        <v>57</v>
      </c>
      <c r="G3286" t="s">
        <v>24</v>
      </c>
      <c r="H3286">
        <v>2</v>
      </c>
      <c r="I3286">
        <v>432</v>
      </c>
      <c r="J3286">
        <v>81.31</v>
      </c>
    </row>
    <row r="3287" spans="1:10" x14ac:dyDescent="0.25">
      <c r="A3287" s="1">
        <v>45623</v>
      </c>
      <c r="B3287" t="s">
        <v>49</v>
      </c>
      <c r="C3287" t="s">
        <v>17</v>
      </c>
      <c r="D3287" t="s">
        <v>12</v>
      </c>
      <c r="E3287" t="s">
        <v>182</v>
      </c>
      <c r="F3287" t="s">
        <v>183</v>
      </c>
      <c r="G3287" t="s">
        <v>15</v>
      </c>
      <c r="H3287">
        <v>2</v>
      </c>
      <c r="I3287">
        <v>416</v>
      </c>
      <c r="J3287">
        <v>68.58</v>
      </c>
    </row>
    <row r="3288" spans="1:10" x14ac:dyDescent="0.25">
      <c r="A3288" s="1">
        <v>44811</v>
      </c>
      <c r="B3288" t="s">
        <v>36</v>
      </c>
      <c r="C3288" t="s">
        <v>17</v>
      </c>
      <c r="D3288" t="s">
        <v>12</v>
      </c>
      <c r="E3288" t="s">
        <v>112</v>
      </c>
      <c r="F3288" t="s">
        <v>63</v>
      </c>
      <c r="G3288" t="s">
        <v>28</v>
      </c>
      <c r="H3288">
        <v>8</v>
      </c>
      <c r="I3288">
        <v>1224</v>
      </c>
      <c r="J3288">
        <v>281.43</v>
      </c>
    </row>
    <row r="3289" spans="1:10" x14ac:dyDescent="0.25">
      <c r="A3289" s="1">
        <v>44632</v>
      </c>
      <c r="B3289" t="s">
        <v>10</v>
      </c>
      <c r="C3289" t="s">
        <v>11</v>
      </c>
      <c r="D3289" t="s">
        <v>12</v>
      </c>
      <c r="E3289" t="s">
        <v>57</v>
      </c>
      <c r="F3289" t="s">
        <v>142</v>
      </c>
      <c r="G3289" t="s">
        <v>28</v>
      </c>
      <c r="H3289">
        <v>8</v>
      </c>
      <c r="I3289">
        <v>5168</v>
      </c>
      <c r="J3289">
        <v>672.6</v>
      </c>
    </row>
    <row r="3290" spans="1:10" x14ac:dyDescent="0.25">
      <c r="A3290" s="1">
        <v>44875</v>
      </c>
      <c r="B3290" t="s">
        <v>36</v>
      </c>
      <c r="C3290" t="s">
        <v>17</v>
      </c>
      <c r="D3290" t="s">
        <v>12</v>
      </c>
      <c r="E3290" t="s">
        <v>136</v>
      </c>
      <c r="F3290" t="s">
        <v>65</v>
      </c>
      <c r="G3290" t="s">
        <v>35</v>
      </c>
      <c r="H3290">
        <v>6</v>
      </c>
      <c r="I3290">
        <v>6522</v>
      </c>
      <c r="J3290">
        <v>502.98</v>
      </c>
    </row>
    <row r="3291" spans="1:10" x14ac:dyDescent="0.25">
      <c r="A3291" s="1">
        <v>44807</v>
      </c>
      <c r="B3291" t="s">
        <v>49</v>
      </c>
      <c r="C3291" t="s">
        <v>17</v>
      </c>
      <c r="D3291" t="s">
        <v>12</v>
      </c>
      <c r="E3291" t="s">
        <v>52</v>
      </c>
      <c r="F3291" t="s">
        <v>42</v>
      </c>
      <c r="G3291" t="s">
        <v>28</v>
      </c>
      <c r="H3291">
        <v>5</v>
      </c>
      <c r="I3291">
        <v>1090</v>
      </c>
      <c r="J3291">
        <v>140.69999999999999</v>
      </c>
    </row>
    <row r="3292" spans="1:10" x14ac:dyDescent="0.25">
      <c r="A3292" s="1">
        <v>45565</v>
      </c>
      <c r="B3292" t="s">
        <v>55</v>
      </c>
      <c r="C3292" t="s">
        <v>19</v>
      </c>
      <c r="D3292" t="s">
        <v>12</v>
      </c>
      <c r="E3292" t="s">
        <v>37</v>
      </c>
      <c r="F3292" t="s">
        <v>34</v>
      </c>
      <c r="G3292" t="s">
        <v>35</v>
      </c>
      <c r="H3292">
        <v>3</v>
      </c>
      <c r="I3292">
        <v>1737</v>
      </c>
      <c r="J3292">
        <v>353.17</v>
      </c>
    </row>
    <row r="3293" spans="1:10" x14ac:dyDescent="0.25">
      <c r="A3293" s="1">
        <v>45359</v>
      </c>
      <c r="B3293" t="s">
        <v>10</v>
      </c>
      <c r="C3293" t="s">
        <v>11</v>
      </c>
      <c r="D3293" t="s">
        <v>12</v>
      </c>
      <c r="E3293" t="s">
        <v>26</v>
      </c>
      <c r="F3293" t="s">
        <v>27</v>
      </c>
      <c r="G3293" t="s">
        <v>28</v>
      </c>
      <c r="H3293">
        <v>9</v>
      </c>
      <c r="I3293">
        <v>7281</v>
      </c>
      <c r="J3293">
        <v>1358.17</v>
      </c>
    </row>
    <row r="3294" spans="1:10" x14ac:dyDescent="0.25">
      <c r="A3294" s="1">
        <v>45370</v>
      </c>
      <c r="B3294" t="s">
        <v>32</v>
      </c>
      <c r="C3294" t="s">
        <v>19</v>
      </c>
      <c r="D3294" t="s">
        <v>12</v>
      </c>
      <c r="E3294" t="s">
        <v>74</v>
      </c>
      <c r="F3294" t="s">
        <v>23</v>
      </c>
      <c r="G3294" t="s">
        <v>24</v>
      </c>
      <c r="H3294">
        <v>9</v>
      </c>
      <c r="I3294">
        <v>5832</v>
      </c>
      <c r="J3294">
        <v>1007.54</v>
      </c>
    </row>
    <row r="3295" spans="1:10" x14ac:dyDescent="0.25">
      <c r="A3295" s="1">
        <v>45494</v>
      </c>
      <c r="B3295" t="s">
        <v>10</v>
      </c>
      <c r="C3295" t="s">
        <v>11</v>
      </c>
      <c r="D3295" t="s">
        <v>12</v>
      </c>
      <c r="E3295" t="s">
        <v>26</v>
      </c>
      <c r="F3295" t="s">
        <v>27</v>
      </c>
      <c r="G3295" t="s">
        <v>28</v>
      </c>
      <c r="H3295">
        <v>9</v>
      </c>
      <c r="I3295">
        <v>7020</v>
      </c>
      <c r="J3295">
        <v>623.97</v>
      </c>
    </row>
    <row r="3296" spans="1:10" x14ac:dyDescent="0.25">
      <c r="A3296" s="1">
        <v>45084</v>
      </c>
      <c r="B3296" t="s">
        <v>16</v>
      </c>
      <c r="C3296" t="s">
        <v>17</v>
      </c>
      <c r="D3296" t="s">
        <v>12</v>
      </c>
      <c r="E3296" t="s">
        <v>26</v>
      </c>
      <c r="F3296" t="s">
        <v>27</v>
      </c>
      <c r="G3296" t="s">
        <v>28</v>
      </c>
      <c r="H3296">
        <v>3</v>
      </c>
      <c r="I3296">
        <v>2001</v>
      </c>
      <c r="J3296">
        <v>420.08</v>
      </c>
    </row>
    <row r="3297" spans="1:10" x14ac:dyDescent="0.25">
      <c r="A3297" s="1">
        <v>45517</v>
      </c>
      <c r="B3297" t="s">
        <v>36</v>
      </c>
      <c r="C3297" t="s">
        <v>17</v>
      </c>
      <c r="D3297" t="s">
        <v>12</v>
      </c>
      <c r="E3297" t="s">
        <v>75</v>
      </c>
      <c r="F3297" t="s">
        <v>63</v>
      </c>
      <c r="G3297" t="s">
        <v>28</v>
      </c>
      <c r="H3297">
        <v>2</v>
      </c>
      <c r="I3297">
        <v>1832</v>
      </c>
      <c r="J3297">
        <v>489.21</v>
      </c>
    </row>
    <row r="3298" spans="1:10" x14ac:dyDescent="0.25">
      <c r="A3298" s="1">
        <v>45417</v>
      </c>
      <c r="B3298" t="s">
        <v>32</v>
      </c>
      <c r="C3298" t="s">
        <v>19</v>
      </c>
      <c r="D3298" t="s">
        <v>12</v>
      </c>
      <c r="E3298" t="s">
        <v>56</v>
      </c>
      <c r="F3298" t="s">
        <v>57</v>
      </c>
      <c r="G3298" t="s">
        <v>24</v>
      </c>
      <c r="H3298">
        <v>6</v>
      </c>
      <c r="I3298">
        <v>3372</v>
      </c>
      <c r="J3298">
        <v>934.42</v>
      </c>
    </row>
    <row r="3299" spans="1:10" x14ac:dyDescent="0.25">
      <c r="A3299" s="1">
        <v>45646</v>
      </c>
      <c r="B3299" t="s">
        <v>18</v>
      </c>
      <c r="C3299" t="s">
        <v>19</v>
      </c>
      <c r="D3299" t="s">
        <v>12</v>
      </c>
      <c r="E3299" t="s">
        <v>52</v>
      </c>
      <c r="F3299" t="s">
        <v>42</v>
      </c>
      <c r="G3299" t="s">
        <v>28</v>
      </c>
      <c r="H3299">
        <v>6</v>
      </c>
      <c r="I3299">
        <v>3384</v>
      </c>
      <c r="J3299">
        <v>503.86</v>
      </c>
    </row>
    <row r="3300" spans="1:10" x14ac:dyDescent="0.25">
      <c r="A3300" s="1">
        <v>45626</v>
      </c>
      <c r="B3300" t="s">
        <v>36</v>
      </c>
      <c r="C3300" t="s">
        <v>17</v>
      </c>
      <c r="D3300" t="s">
        <v>12</v>
      </c>
      <c r="E3300" t="s">
        <v>74</v>
      </c>
      <c r="F3300" t="s">
        <v>23</v>
      </c>
      <c r="G3300" t="s">
        <v>24</v>
      </c>
      <c r="H3300">
        <v>1</v>
      </c>
      <c r="I3300">
        <v>351</v>
      </c>
      <c r="J3300">
        <v>31.95</v>
      </c>
    </row>
    <row r="3301" spans="1:10" x14ac:dyDescent="0.25">
      <c r="A3301" s="1">
        <v>45642</v>
      </c>
      <c r="B3301" t="s">
        <v>25</v>
      </c>
      <c r="C3301" t="s">
        <v>19</v>
      </c>
      <c r="D3301" t="s">
        <v>12</v>
      </c>
      <c r="E3301" t="s">
        <v>43</v>
      </c>
      <c r="F3301" t="s">
        <v>44</v>
      </c>
      <c r="G3301" t="s">
        <v>35</v>
      </c>
      <c r="H3301">
        <v>2</v>
      </c>
      <c r="I3301">
        <v>2092</v>
      </c>
      <c r="J3301">
        <v>549.41999999999996</v>
      </c>
    </row>
    <row r="3302" spans="1:10" x14ac:dyDescent="0.25">
      <c r="A3302" s="1">
        <v>45004</v>
      </c>
      <c r="B3302" t="s">
        <v>36</v>
      </c>
      <c r="C3302" t="s">
        <v>17</v>
      </c>
      <c r="D3302" t="s">
        <v>12</v>
      </c>
      <c r="E3302" t="s">
        <v>74</v>
      </c>
      <c r="F3302" t="s">
        <v>23</v>
      </c>
      <c r="G3302" t="s">
        <v>24</v>
      </c>
      <c r="H3302">
        <v>7</v>
      </c>
      <c r="I3302">
        <v>1309</v>
      </c>
      <c r="J3302">
        <v>138.46</v>
      </c>
    </row>
    <row r="3303" spans="1:10" x14ac:dyDescent="0.25">
      <c r="A3303" s="1">
        <v>45410</v>
      </c>
      <c r="B3303" t="s">
        <v>49</v>
      </c>
      <c r="C3303" t="s">
        <v>17</v>
      </c>
      <c r="D3303" t="s">
        <v>12</v>
      </c>
      <c r="E3303" t="s">
        <v>52</v>
      </c>
      <c r="F3303" t="s">
        <v>42</v>
      </c>
      <c r="G3303" t="s">
        <v>28</v>
      </c>
      <c r="H3303">
        <v>9</v>
      </c>
      <c r="I3303">
        <v>6696</v>
      </c>
      <c r="J3303">
        <v>407.36</v>
      </c>
    </row>
    <row r="3304" spans="1:10" x14ac:dyDescent="0.25">
      <c r="A3304" s="1">
        <v>44833</v>
      </c>
      <c r="B3304" t="s">
        <v>49</v>
      </c>
      <c r="C3304" t="s">
        <v>17</v>
      </c>
      <c r="D3304" t="s">
        <v>12</v>
      </c>
      <c r="E3304" t="s">
        <v>52</v>
      </c>
      <c r="F3304" t="s">
        <v>42</v>
      </c>
      <c r="G3304" t="s">
        <v>28</v>
      </c>
      <c r="H3304">
        <v>5</v>
      </c>
      <c r="I3304">
        <v>1020</v>
      </c>
      <c r="J3304">
        <v>162.36000000000001</v>
      </c>
    </row>
    <row r="3305" spans="1:10" x14ac:dyDescent="0.25">
      <c r="A3305" s="1">
        <v>44711</v>
      </c>
      <c r="B3305" t="s">
        <v>49</v>
      </c>
      <c r="C3305" t="s">
        <v>17</v>
      </c>
      <c r="D3305" t="s">
        <v>12</v>
      </c>
      <c r="E3305" t="s">
        <v>43</v>
      </c>
      <c r="F3305" t="s">
        <v>44</v>
      </c>
      <c r="G3305" t="s">
        <v>35</v>
      </c>
      <c r="H3305">
        <v>8</v>
      </c>
      <c r="I3305">
        <v>8240</v>
      </c>
      <c r="J3305">
        <v>2006.72</v>
      </c>
    </row>
    <row r="3306" spans="1:10" x14ac:dyDescent="0.25">
      <c r="A3306" s="1">
        <v>44841</v>
      </c>
      <c r="B3306" t="s">
        <v>29</v>
      </c>
      <c r="C3306" t="s">
        <v>17</v>
      </c>
      <c r="D3306" t="s">
        <v>12</v>
      </c>
      <c r="E3306" t="s">
        <v>69</v>
      </c>
      <c r="F3306" t="s">
        <v>63</v>
      </c>
      <c r="G3306" t="s">
        <v>28</v>
      </c>
      <c r="H3306">
        <v>9</v>
      </c>
      <c r="I3306">
        <v>9810</v>
      </c>
      <c r="J3306">
        <v>1008.6</v>
      </c>
    </row>
    <row r="3307" spans="1:10" x14ac:dyDescent="0.25">
      <c r="A3307" s="1">
        <v>44939</v>
      </c>
      <c r="B3307" t="s">
        <v>18</v>
      </c>
      <c r="C3307" t="s">
        <v>19</v>
      </c>
      <c r="D3307" t="s">
        <v>12</v>
      </c>
      <c r="E3307" t="s">
        <v>26</v>
      </c>
      <c r="F3307" t="s">
        <v>27</v>
      </c>
      <c r="G3307" t="s">
        <v>28</v>
      </c>
      <c r="H3307">
        <v>1</v>
      </c>
      <c r="I3307">
        <v>853</v>
      </c>
      <c r="J3307">
        <v>97.5</v>
      </c>
    </row>
    <row r="3308" spans="1:10" x14ac:dyDescent="0.25">
      <c r="A3308" s="1">
        <v>44932</v>
      </c>
      <c r="B3308" t="s">
        <v>25</v>
      </c>
      <c r="C3308" t="s">
        <v>19</v>
      </c>
      <c r="D3308" t="s">
        <v>12</v>
      </c>
      <c r="E3308" t="s">
        <v>66</v>
      </c>
      <c r="F3308" t="s">
        <v>34</v>
      </c>
      <c r="G3308" t="s">
        <v>35</v>
      </c>
      <c r="H3308">
        <v>4</v>
      </c>
      <c r="I3308">
        <v>4416</v>
      </c>
      <c r="J3308">
        <v>1081.53</v>
      </c>
    </row>
    <row r="3309" spans="1:10" x14ac:dyDescent="0.25">
      <c r="A3309" s="1">
        <v>44937</v>
      </c>
      <c r="B3309" t="s">
        <v>29</v>
      </c>
      <c r="C3309" t="s">
        <v>17</v>
      </c>
      <c r="D3309" t="s">
        <v>12</v>
      </c>
      <c r="E3309" t="s">
        <v>184</v>
      </c>
      <c r="F3309" t="s">
        <v>23</v>
      </c>
      <c r="G3309" t="s">
        <v>24</v>
      </c>
      <c r="H3309">
        <v>8</v>
      </c>
      <c r="I3309">
        <v>3832</v>
      </c>
      <c r="J3309">
        <v>741.44</v>
      </c>
    </row>
    <row r="3310" spans="1:10" x14ac:dyDescent="0.25">
      <c r="A3310" s="1">
        <v>45642</v>
      </c>
      <c r="B3310" t="s">
        <v>36</v>
      </c>
      <c r="C3310" t="s">
        <v>17</v>
      </c>
      <c r="D3310" t="s">
        <v>12</v>
      </c>
      <c r="E3310" t="s">
        <v>105</v>
      </c>
      <c r="F3310" t="s">
        <v>23</v>
      </c>
      <c r="G3310" t="s">
        <v>24</v>
      </c>
      <c r="H3310">
        <v>4</v>
      </c>
      <c r="I3310">
        <v>1876</v>
      </c>
      <c r="J3310">
        <v>221.18</v>
      </c>
    </row>
    <row r="3311" spans="1:10" x14ac:dyDescent="0.25">
      <c r="A3311" s="1">
        <v>45365</v>
      </c>
      <c r="B3311" t="s">
        <v>55</v>
      </c>
      <c r="C3311" t="s">
        <v>19</v>
      </c>
      <c r="D3311" t="s">
        <v>12</v>
      </c>
      <c r="E3311" t="s">
        <v>105</v>
      </c>
      <c r="F3311" t="s">
        <v>23</v>
      </c>
      <c r="G3311" t="s">
        <v>24</v>
      </c>
      <c r="H3311">
        <v>3</v>
      </c>
      <c r="I3311">
        <v>2634</v>
      </c>
      <c r="J3311">
        <v>392.21</v>
      </c>
    </row>
    <row r="3312" spans="1:10" x14ac:dyDescent="0.25">
      <c r="A3312" s="1">
        <v>45164</v>
      </c>
      <c r="B3312" t="s">
        <v>55</v>
      </c>
      <c r="C3312" t="s">
        <v>19</v>
      </c>
      <c r="D3312" t="s">
        <v>12</v>
      </c>
      <c r="E3312" t="s">
        <v>185</v>
      </c>
      <c r="F3312" t="s">
        <v>115</v>
      </c>
      <c r="G3312" t="s">
        <v>15</v>
      </c>
      <c r="H3312">
        <v>1</v>
      </c>
      <c r="I3312">
        <v>1027</v>
      </c>
      <c r="J3312">
        <v>259.92</v>
      </c>
    </row>
    <row r="3313" spans="1:10" x14ac:dyDescent="0.25">
      <c r="A3313" s="1">
        <v>45117</v>
      </c>
      <c r="B3313" t="s">
        <v>10</v>
      </c>
      <c r="C3313" t="s">
        <v>11</v>
      </c>
      <c r="D3313" t="s">
        <v>12</v>
      </c>
      <c r="E3313" t="s">
        <v>186</v>
      </c>
      <c r="F3313" t="s">
        <v>65</v>
      </c>
      <c r="G3313" t="s">
        <v>35</v>
      </c>
      <c r="H3313">
        <v>5</v>
      </c>
      <c r="I3313">
        <v>3100</v>
      </c>
      <c r="J3313">
        <v>911.86</v>
      </c>
    </row>
    <row r="3314" spans="1:10" x14ac:dyDescent="0.25">
      <c r="A3314" s="1">
        <v>44638</v>
      </c>
      <c r="B3314" t="s">
        <v>16</v>
      </c>
      <c r="C3314" t="s">
        <v>17</v>
      </c>
      <c r="D3314" t="s">
        <v>12</v>
      </c>
      <c r="E3314" t="s">
        <v>187</v>
      </c>
      <c r="F3314" t="s">
        <v>23</v>
      </c>
      <c r="G3314" t="s">
        <v>24</v>
      </c>
      <c r="H3314">
        <v>1</v>
      </c>
      <c r="I3314">
        <v>104</v>
      </c>
      <c r="J3314">
        <v>29.67</v>
      </c>
    </row>
    <row r="3315" spans="1:10" x14ac:dyDescent="0.25">
      <c r="A3315" s="1">
        <v>45461</v>
      </c>
      <c r="B3315" t="s">
        <v>16</v>
      </c>
      <c r="C3315" t="s">
        <v>17</v>
      </c>
      <c r="D3315" t="s">
        <v>12</v>
      </c>
      <c r="E3315" t="s">
        <v>140</v>
      </c>
      <c r="F3315" t="s">
        <v>57</v>
      </c>
      <c r="G3315" t="s">
        <v>24</v>
      </c>
      <c r="H3315">
        <v>2</v>
      </c>
      <c r="I3315">
        <v>1590</v>
      </c>
      <c r="J3315">
        <v>147.19999999999999</v>
      </c>
    </row>
    <row r="3316" spans="1:10" x14ac:dyDescent="0.25">
      <c r="A3316" s="1">
        <v>45524</v>
      </c>
      <c r="B3316" t="s">
        <v>25</v>
      </c>
      <c r="C3316" t="s">
        <v>19</v>
      </c>
      <c r="D3316" t="s">
        <v>12</v>
      </c>
      <c r="E3316" t="s">
        <v>43</v>
      </c>
      <c r="F3316" t="s">
        <v>44</v>
      </c>
      <c r="G3316" t="s">
        <v>35</v>
      </c>
      <c r="H3316">
        <v>4</v>
      </c>
      <c r="I3316">
        <v>1104</v>
      </c>
      <c r="J3316">
        <v>63.57</v>
      </c>
    </row>
    <row r="3317" spans="1:10" x14ac:dyDescent="0.25">
      <c r="A3317" s="1">
        <v>45553</v>
      </c>
      <c r="B3317" t="s">
        <v>40</v>
      </c>
      <c r="C3317" t="s">
        <v>19</v>
      </c>
      <c r="D3317" t="s">
        <v>12</v>
      </c>
      <c r="E3317" t="s">
        <v>154</v>
      </c>
      <c r="F3317" t="s">
        <v>115</v>
      </c>
      <c r="G3317" t="s">
        <v>15</v>
      </c>
      <c r="H3317">
        <v>3</v>
      </c>
      <c r="I3317">
        <v>1851</v>
      </c>
      <c r="J3317">
        <v>198.71</v>
      </c>
    </row>
    <row r="3318" spans="1:10" x14ac:dyDescent="0.25">
      <c r="A3318" s="1">
        <v>45602</v>
      </c>
      <c r="B3318" t="s">
        <v>40</v>
      </c>
      <c r="C3318" t="s">
        <v>19</v>
      </c>
      <c r="D3318" t="s">
        <v>12</v>
      </c>
      <c r="E3318" t="s">
        <v>62</v>
      </c>
      <c r="F3318" t="s">
        <v>63</v>
      </c>
      <c r="G3318" t="s">
        <v>28</v>
      </c>
      <c r="H3318">
        <v>2</v>
      </c>
      <c r="I3318">
        <v>1408</v>
      </c>
      <c r="J3318">
        <v>193.09</v>
      </c>
    </row>
    <row r="3319" spans="1:10" x14ac:dyDescent="0.25">
      <c r="A3319" s="1">
        <v>44705</v>
      </c>
      <c r="B3319" t="s">
        <v>55</v>
      </c>
      <c r="C3319" t="s">
        <v>19</v>
      </c>
      <c r="D3319" t="s">
        <v>12</v>
      </c>
      <c r="E3319" t="s">
        <v>62</v>
      </c>
      <c r="F3319" t="s">
        <v>63</v>
      </c>
      <c r="G3319" t="s">
        <v>28</v>
      </c>
      <c r="H3319">
        <v>7</v>
      </c>
      <c r="I3319">
        <v>4641</v>
      </c>
      <c r="J3319">
        <v>1341.98</v>
      </c>
    </row>
    <row r="3320" spans="1:10" x14ac:dyDescent="0.25">
      <c r="A3320" s="1">
        <v>44835</v>
      </c>
      <c r="B3320" t="s">
        <v>18</v>
      </c>
      <c r="C3320" t="s">
        <v>19</v>
      </c>
      <c r="D3320" t="s">
        <v>12</v>
      </c>
      <c r="E3320" t="s">
        <v>22</v>
      </c>
      <c r="F3320" t="s">
        <v>23</v>
      </c>
      <c r="G3320" t="s">
        <v>24</v>
      </c>
      <c r="H3320">
        <v>7</v>
      </c>
      <c r="I3320">
        <v>2611</v>
      </c>
      <c r="J3320">
        <v>539.37</v>
      </c>
    </row>
    <row r="3321" spans="1:10" x14ac:dyDescent="0.25">
      <c r="A3321" s="1">
        <v>45265</v>
      </c>
      <c r="B3321" t="s">
        <v>55</v>
      </c>
      <c r="C3321" t="s">
        <v>19</v>
      </c>
      <c r="D3321" t="s">
        <v>12</v>
      </c>
      <c r="E3321" t="s">
        <v>43</v>
      </c>
      <c r="F3321" t="s">
        <v>44</v>
      </c>
      <c r="G3321" t="s">
        <v>35</v>
      </c>
      <c r="H3321">
        <v>4</v>
      </c>
      <c r="I3321">
        <v>3824</v>
      </c>
      <c r="J3321">
        <v>711.92</v>
      </c>
    </row>
    <row r="3322" spans="1:10" x14ac:dyDescent="0.25">
      <c r="A3322" s="1">
        <v>44993</v>
      </c>
      <c r="B3322" t="s">
        <v>40</v>
      </c>
      <c r="C3322" t="s">
        <v>19</v>
      </c>
      <c r="D3322" t="s">
        <v>12</v>
      </c>
      <c r="E3322" t="s">
        <v>43</v>
      </c>
      <c r="F3322" t="s">
        <v>44</v>
      </c>
      <c r="G3322" t="s">
        <v>35</v>
      </c>
      <c r="H3322">
        <v>2</v>
      </c>
      <c r="I3322">
        <v>2042</v>
      </c>
      <c r="J3322">
        <v>501.34</v>
      </c>
    </row>
    <row r="3323" spans="1:10" x14ac:dyDescent="0.25">
      <c r="A3323" s="1">
        <v>45137</v>
      </c>
      <c r="B3323" t="s">
        <v>18</v>
      </c>
      <c r="C3323" t="s">
        <v>19</v>
      </c>
      <c r="D3323" t="s">
        <v>12</v>
      </c>
      <c r="E3323" t="s">
        <v>188</v>
      </c>
      <c r="F3323" t="s">
        <v>189</v>
      </c>
      <c r="G3323" t="s">
        <v>24</v>
      </c>
      <c r="H3323">
        <v>6</v>
      </c>
      <c r="I3323">
        <v>6378</v>
      </c>
      <c r="J3323">
        <v>1408.28</v>
      </c>
    </row>
    <row r="3324" spans="1:10" x14ac:dyDescent="0.25">
      <c r="A3324" s="1">
        <v>44999</v>
      </c>
      <c r="B3324" t="s">
        <v>25</v>
      </c>
      <c r="C3324" t="s">
        <v>19</v>
      </c>
      <c r="D3324" t="s">
        <v>12</v>
      </c>
      <c r="E3324" t="s">
        <v>188</v>
      </c>
      <c r="F3324" t="s">
        <v>189</v>
      </c>
      <c r="G3324" t="s">
        <v>24</v>
      </c>
      <c r="H3324">
        <v>4</v>
      </c>
      <c r="I3324">
        <v>4692</v>
      </c>
      <c r="J3324">
        <v>409.07</v>
      </c>
    </row>
    <row r="3325" spans="1:10" x14ac:dyDescent="0.25">
      <c r="A3325" s="1">
        <v>45473</v>
      </c>
      <c r="B3325" t="s">
        <v>55</v>
      </c>
      <c r="C3325" t="s">
        <v>19</v>
      </c>
      <c r="D3325" t="s">
        <v>12</v>
      </c>
      <c r="E3325" t="s">
        <v>190</v>
      </c>
      <c r="F3325" t="s">
        <v>191</v>
      </c>
      <c r="G3325" t="s">
        <v>35</v>
      </c>
      <c r="H3325">
        <v>6</v>
      </c>
      <c r="I3325">
        <v>6234</v>
      </c>
      <c r="J3325">
        <v>1829.07</v>
      </c>
    </row>
    <row r="3326" spans="1:10" x14ac:dyDescent="0.25">
      <c r="A3326" s="1">
        <v>45560</v>
      </c>
      <c r="B3326" t="s">
        <v>40</v>
      </c>
      <c r="C3326" t="s">
        <v>19</v>
      </c>
      <c r="D3326" t="s">
        <v>12</v>
      </c>
      <c r="E3326" t="s">
        <v>148</v>
      </c>
      <c r="F3326" t="s">
        <v>149</v>
      </c>
      <c r="G3326" t="s">
        <v>15</v>
      </c>
      <c r="H3326">
        <v>4</v>
      </c>
      <c r="I3326">
        <v>1852</v>
      </c>
      <c r="J3326">
        <v>535.07000000000005</v>
      </c>
    </row>
    <row r="3327" spans="1:10" x14ac:dyDescent="0.25">
      <c r="A3327" s="1">
        <v>44597</v>
      </c>
      <c r="B3327" t="s">
        <v>36</v>
      </c>
      <c r="C3327" t="s">
        <v>17</v>
      </c>
      <c r="D3327" t="s">
        <v>12</v>
      </c>
      <c r="E3327" t="s">
        <v>192</v>
      </c>
      <c r="F3327" t="s">
        <v>149</v>
      </c>
      <c r="G3327" t="s">
        <v>15</v>
      </c>
      <c r="H3327">
        <v>3</v>
      </c>
      <c r="I3327">
        <v>3075</v>
      </c>
      <c r="J3327">
        <v>804.06</v>
      </c>
    </row>
    <row r="3328" spans="1:10" x14ac:dyDescent="0.25">
      <c r="A3328" s="1">
        <v>45223</v>
      </c>
      <c r="B3328" t="s">
        <v>10</v>
      </c>
      <c r="C3328" t="s">
        <v>11</v>
      </c>
      <c r="D3328" t="s">
        <v>12</v>
      </c>
      <c r="E3328" t="s">
        <v>193</v>
      </c>
      <c r="F3328" t="s">
        <v>14</v>
      </c>
      <c r="G3328" t="s">
        <v>15</v>
      </c>
      <c r="H3328">
        <v>5</v>
      </c>
      <c r="I3328">
        <v>370</v>
      </c>
      <c r="J3328">
        <v>92.45</v>
      </c>
    </row>
    <row r="3329" spans="1:10" x14ac:dyDescent="0.25">
      <c r="A3329" s="1">
        <v>45637</v>
      </c>
      <c r="B3329" t="s">
        <v>49</v>
      </c>
      <c r="C3329" t="s">
        <v>17</v>
      </c>
      <c r="D3329" t="s">
        <v>12</v>
      </c>
      <c r="E3329" t="s">
        <v>66</v>
      </c>
      <c r="F3329" t="s">
        <v>34</v>
      </c>
      <c r="G3329" t="s">
        <v>35</v>
      </c>
      <c r="H3329">
        <v>6</v>
      </c>
      <c r="I3329">
        <v>624</v>
      </c>
      <c r="J3329">
        <v>66.989999999999995</v>
      </c>
    </row>
    <row r="3330" spans="1:10" x14ac:dyDescent="0.25">
      <c r="A3330" s="1">
        <v>45120</v>
      </c>
      <c r="B3330" t="s">
        <v>32</v>
      </c>
      <c r="C3330" t="s">
        <v>19</v>
      </c>
      <c r="D3330" t="s">
        <v>12</v>
      </c>
      <c r="E3330" t="s">
        <v>57</v>
      </c>
      <c r="F3330" t="s">
        <v>142</v>
      </c>
      <c r="G3330" t="s">
        <v>28</v>
      </c>
      <c r="H3330">
        <v>2</v>
      </c>
      <c r="I3330">
        <v>1734</v>
      </c>
      <c r="J3330">
        <v>310.76</v>
      </c>
    </row>
    <row r="3331" spans="1:10" x14ac:dyDescent="0.25">
      <c r="A3331" s="1">
        <v>45051</v>
      </c>
      <c r="B3331" t="s">
        <v>10</v>
      </c>
      <c r="C3331" t="s">
        <v>11</v>
      </c>
      <c r="D3331" t="s">
        <v>12</v>
      </c>
      <c r="E3331" t="s">
        <v>22</v>
      </c>
      <c r="F3331" t="s">
        <v>23</v>
      </c>
      <c r="G3331" t="s">
        <v>24</v>
      </c>
      <c r="H3331">
        <v>9</v>
      </c>
      <c r="I3331">
        <v>2268</v>
      </c>
      <c r="J3331">
        <v>361.62</v>
      </c>
    </row>
    <row r="3332" spans="1:10" x14ac:dyDescent="0.25">
      <c r="A3332" s="1">
        <v>44804</v>
      </c>
      <c r="B3332" t="s">
        <v>25</v>
      </c>
      <c r="C3332" t="s">
        <v>19</v>
      </c>
      <c r="D3332" t="s">
        <v>12</v>
      </c>
      <c r="E3332" t="s">
        <v>52</v>
      </c>
      <c r="F3332" t="s">
        <v>42</v>
      </c>
      <c r="G3332" t="s">
        <v>28</v>
      </c>
      <c r="H3332">
        <v>5</v>
      </c>
      <c r="I3332">
        <v>3670</v>
      </c>
      <c r="J3332">
        <v>924.95</v>
      </c>
    </row>
    <row r="3333" spans="1:10" x14ac:dyDescent="0.25">
      <c r="A3333" s="1">
        <v>45520</v>
      </c>
      <c r="B3333" t="s">
        <v>32</v>
      </c>
      <c r="C3333" t="s">
        <v>19</v>
      </c>
      <c r="D3333" t="s">
        <v>12</v>
      </c>
      <c r="E3333" t="s">
        <v>53</v>
      </c>
      <c r="F3333" t="s">
        <v>54</v>
      </c>
      <c r="G3333" t="s">
        <v>24</v>
      </c>
      <c r="H3333">
        <v>7</v>
      </c>
      <c r="I3333">
        <v>4634</v>
      </c>
      <c r="J3333">
        <v>1358.44</v>
      </c>
    </row>
    <row r="3334" spans="1:10" x14ac:dyDescent="0.25">
      <c r="A3334" s="1">
        <v>45311</v>
      </c>
      <c r="B3334" t="s">
        <v>29</v>
      </c>
      <c r="C3334" t="s">
        <v>17</v>
      </c>
      <c r="D3334" t="s">
        <v>12</v>
      </c>
      <c r="E3334" t="s">
        <v>53</v>
      </c>
      <c r="F3334" t="s">
        <v>54</v>
      </c>
      <c r="G3334" t="s">
        <v>24</v>
      </c>
      <c r="H3334">
        <v>9</v>
      </c>
      <c r="I3334">
        <v>1440</v>
      </c>
      <c r="J3334">
        <v>94.41</v>
      </c>
    </row>
    <row r="3335" spans="1:10" x14ac:dyDescent="0.25">
      <c r="A3335" s="1">
        <v>45027</v>
      </c>
      <c r="B3335" t="s">
        <v>55</v>
      </c>
      <c r="C3335" t="s">
        <v>19</v>
      </c>
      <c r="D3335" t="s">
        <v>12</v>
      </c>
      <c r="E3335" t="s">
        <v>13</v>
      </c>
      <c r="F3335" t="s">
        <v>173</v>
      </c>
      <c r="G3335" t="s">
        <v>24</v>
      </c>
      <c r="H3335">
        <v>6</v>
      </c>
      <c r="I3335">
        <v>5136</v>
      </c>
      <c r="J3335">
        <v>1225.4000000000001</v>
      </c>
    </row>
    <row r="3336" spans="1:10" x14ac:dyDescent="0.25">
      <c r="A3336" s="1">
        <v>45555</v>
      </c>
      <c r="B3336" t="s">
        <v>40</v>
      </c>
      <c r="C3336" t="s">
        <v>19</v>
      </c>
      <c r="D3336" t="s">
        <v>12</v>
      </c>
      <c r="E3336" t="s">
        <v>74</v>
      </c>
      <c r="F3336" t="s">
        <v>23</v>
      </c>
      <c r="G3336" t="s">
        <v>24</v>
      </c>
      <c r="H3336">
        <v>1</v>
      </c>
      <c r="I3336">
        <v>166</v>
      </c>
      <c r="J3336">
        <v>31.72</v>
      </c>
    </row>
    <row r="3337" spans="1:10" x14ac:dyDescent="0.25">
      <c r="A3337" s="1">
        <v>44595</v>
      </c>
      <c r="B3337" t="s">
        <v>49</v>
      </c>
      <c r="C3337" t="s">
        <v>17</v>
      </c>
      <c r="D3337" t="s">
        <v>12</v>
      </c>
      <c r="E3337" t="s">
        <v>74</v>
      </c>
      <c r="F3337" t="s">
        <v>23</v>
      </c>
      <c r="G3337" t="s">
        <v>24</v>
      </c>
      <c r="H3337">
        <v>3</v>
      </c>
      <c r="I3337">
        <v>1422</v>
      </c>
      <c r="J3337">
        <v>328.98</v>
      </c>
    </row>
    <row r="3338" spans="1:10" x14ac:dyDescent="0.25">
      <c r="A3338" s="1">
        <v>45180</v>
      </c>
      <c r="B3338" t="s">
        <v>29</v>
      </c>
      <c r="C3338" t="s">
        <v>17</v>
      </c>
      <c r="D3338" t="s">
        <v>12</v>
      </c>
      <c r="E3338" t="s">
        <v>194</v>
      </c>
      <c r="F3338" t="s">
        <v>57</v>
      </c>
      <c r="G3338" t="s">
        <v>24</v>
      </c>
      <c r="H3338">
        <v>8</v>
      </c>
      <c r="I3338">
        <v>1832</v>
      </c>
      <c r="J3338">
        <v>532.97</v>
      </c>
    </row>
    <row r="3339" spans="1:10" x14ac:dyDescent="0.25">
      <c r="A3339" s="1">
        <v>44863</v>
      </c>
      <c r="B3339" t="s">
        <v>10</v>
      </c>
      <c r="C3339" t="s">
        <v>11</v>
      </c>
      <c r="D3339" t="s">
        <v>12</v>
      </c>
      <c r="E3339" t="s">
        <v>116</v>
      </c>
      <c r="F3339" t="s">
        <v>42</v>
      </c>
      <c r="G3339" t="s">
        <v>28</v>
      </c>
      <c r="H3339">
        <v>1</v>
      </c>
      <c r="I3339">
        <v>668</v>
      </c>
      <c r="J3339">
        <v>94.08</v>
      </c>
    </row>
    <row r="3340" spans="1:10" x14ac:dyDescent="0.25">
      <c r="A3340" s="1">
        <v>45648</v>
      </c>
      <c r="B3340" t="s">
        <v>25</v>
      </c>
      <c r="C3340" t="s">
        <v>19</v>
      </c>
      <c r="D3340" t="s">
        <v>12</v>
      </c>
      <c r="E3340" t="s">
        <v>22</v>
      </c>
      <c r="F3340" t="s">
        <v>23</v>
      </c>
      <c r="G3340" t="s">
        <v>24</v>
      </c>
      <c r="H3340">
        <v>6</v>
      </c>
      <c r="I3340">
        <v>1272</v>
      </c>
      <c r="J3340">
        <v>336.3</v>
      </c>
    </row>
    <row r="3341" spans="1:10" x14ac:dyDescent="0.25">
      <c r="A3341" s="1">
        <v>45103</v>
      </c>
      <c r="B3341" t="s">
        <v>49</v>
      </c>
      <c r="C3341" t="s">
        <v>17</v>
      </c>
      <c r="D3341" t="s">
        <v>12</v>
      </c>
      <c r="E3341" t="s">
        <v>52</v>
      </c>
      <c r="F3341" t="s">
        <v>42</v>
      </c>
      <c r="G3341" t="s">
        <v>28</v>
      </c>
      <c r="H3341">
        <v>8</v>
      </c>
      <c r="I3341">
        <v>984</v>
      </c>
      <c r="J3341">
        <v>72.540000000000006</v>
      </c>
    </row>
    <row r="3342" spans="1:10" x14ac:dyDescent="0.25">
      <c r="A3342" s="1">
        <v>45498</v>
      </c>
      <c r="B3342" t="s">
        <v>10</v>
      </c>
      <c r="C3342" t="s">
        <v>11</v>
      </c>
      <c r="D3342" t="s">
        <v>12</v>
      </c>
      <c r="E3342" t="s">
        <v>74</v>
      </c>
      <c r="F3342" t="s">
        <v>23</v>
      </c>
      <c r="G3342" t="s">
        <v>24</v>
      </c>
      <c r="H3342">
        <v>7</v>
      </c>
      <c r="I3342">
        <v>7896</v>
      </c>
      <c r="J3342">
        <v>484.76</v>
      </c>
    </row>
    <row r="3343" spans="1:10" x14ac:dyDescent="0.25">
      <c r="A3343" s="1">
        <v>44877</v>
      </c>
      <c r="B3343" t="s">
        <v>40</v>
      </c>
      <c r="C3343" t="s">
        <v>19</v>
      </c>
      <c r="D3343" t="s">
        <v>12</v>
      </c>
      <c r="E3343" t="s">
        <v>195</v>
      </c>
      <c r="F3343" t="s">
        <v>63</v>
      </c>
      <c r="G3343" t="s">
        <v>28</v>
      </c>
      <c r="H3343">
        <v>1</v>
      </c>
      <c r="I3343">
        <v>636</v>
      </c>
      <c r="J3343">
        <v>42.4</v>
      </c>
    </row>
    <row r="3344" spans="1:10" x14ac:dyDescent="0.25">
      <c r="A3344" s="1">
        <v>45143</v>
      </c>
      <c r="B3344" t="s">
        <v>55</v>
      </c>
      <c r="C3344" t="s">
        <v>19</v>
      </c>
      <c r="D3344" t="s">
        <v>12</v>
      </c>
      <c r="E3344" t="s">
        <v>146</v>
      </c>
      <c r="F3344" t="s">
        <v>21</v>
      </c>
      <c r="G3344" t="s">
        <v>15</v>
      </c>
      <c r="H3344">
        <v>3</v>
      </c>
      <c r="I3344">
        <v>2031</v>
      </c>
      <c r="J3344">
        <v>450.23</v>
      </c>
    </row>
    <row r="3345" spans="1:10" x14ac:dyDescent="0.25">
      <c r="A3345" s="1">
        <v>44615</v>
      </c>
      <c r="B3345" t="s">
        <v>16</v>
      </c>
      <c r="C3345" t="s">
        <v>17</v>
      </c>
      <c r="D3345" t="s">
        <v>12</v>
      </c>
      <c r="E3345" t="s">
        <v>132</v>
      </c>
      <c r="F3345" t="s">
        <v>189</v>
      </c>
      <c r="G3345" t="s">
        <v>24</v>
      </c>
      <c r="H3345">
        <v>9</v>
      </c>
      <c r="I3345">
        <v>3186</v>
      </c>
      <c r="J3345">
        <v>483.22</v>
      </c>
    </row>
    <row r="3346" spans="1:10" x14ac:dyDescent="0.25">
      <c r="A3346" s="1">
        <v>44687</v>
      </c>
      <c r="B3346" t="s">
        <v>29</v>
      </c>
      <c r="C3346" t="s">
        <v>17</v>
      </c>
      <c r="D3346" t="s">
        <v>12</v>
      </c>
      <c r="E3346" t="s">
        <v>22</v>
      </c>
      <c r="F3346" t="s">
        <v>23</v>
      </c>
      <c r="G3346" t="s">
        <v>24</v>
      </c>
      <c r="H3346">
        <v>1</v>
      </c>
      <c r="I3346">
        <v>134</v>
      </c>
      <c r="J3346">
        <v>33.119999999999997</v>
      </c>
    </row>
    <row r="3347" spans="1:10" x14ac:dyDescent="0.25">
      <c r="A3347" s="1">
        <v>45409</v>
      </c>
      <c r="B3347" t="s">
        <v>18</v>
      </c>
      <c r="C3347" t="s">
        <v>19</v>
      </c>
      <c r="D3347" t="s">
        <v>12</v>
      </c>
      <c r="E3347" t="s">
        <v>118</v>
      </c>
      <c r="F3347" t="s">
        <v>42</v>
      </c>
      <c r="G3347" t="s">
        <v>28</v>
      </c>
      <c r="H3347">
        <v>5</v>
      </c>
      <c r="I3347">
        <v>1765</v>
      </c>
      <c r="J3347">
        <v>347.42</v>
      </c>
    </row>
    <row r="3348" spans="1:10" x14ac:dyDescent="0.25">
      <c r="A3348" s="1">
        <v>45135</v>
      </c>
      <c r="B3348" t="s">
        <v>49</v>
      </c>
      <c r="C3348" t="s">
        <v>17</v>
      </c>
      <c r="D3348" t="s">
        <v>12</v>
      </c>
      <c r="E3348" t="s">
        <v>177</v>
      </c>
      <c r="F3348" t="s">
        <v>42</v>
      </c>
      <c r="G3348" t="s">
        <v>28</v>
      </c>
      <c r="H3348">
        <v>4</v>
      </c>
      <c r="I3348">
        <v>3628</v>
      </c>
      <c r="J3348">
        <v>717.81</v>
      </c>
    </row>
    <row r="3349" spans="1:10" x14ac:dyDescent="0.25">
      <c r="A3349" s="1">
        <v>45632</v>
      </c>
      <c r="B3349" t="s">
        <v>36</v>
      </c>
      <c r="C3349" t="s">
        <v>17</v>
      </c>
      <c r="D3349" t="s">
        <v>12</v>
      </c>
      <c r="E3349" t="s">
        <v>182</v>
      </c>
      <c r="F3349" t="s">
        <v>183</v>
      </c>
      <c r="G3349" t="s">
        <v>15</v>
      </c>
      <c r="H3349">
        <v>4</v>
      </c>
      <c r="I3349">
        <v>1000</v>
      </c>
      <c r="J3349">
        <v>198.92</v>
      </c>
    </row>
    <row r="3350" spans="1:10" x14ac:dyDescent="0.25">
      <c r="A3350" s="1">
        <v>44993</v>
      </c>
      <c r="B3350" t="s">
        <v>25</v>
      </c>
      <c r="C3350" t="s">
        <v>19</v>
      </c>
      <c r="D3350" t="s">
        <v>12</v>
      </c>
      <c r="E3350" t="s">
        <v>182</v>
      </c>
      <c r="F3350" t="s">
        <v>183</v>
      </c>
      <c r="G3350" t="s">
        <v>15</v>
      </c>
      <c r="H3350">
        <v>2</v>
      </c>
      <c r="I3350">
        <v>2134</v>
      </c>
      <c r="J3350">
        <v>119.89</v>
      </c>
    </row>
    <row r="3351" spans="1:10" x14ac:dyDescent="0.25">
      <c r="A3351" s="1">
        <v>45071</v>
      </c>
      <c r="B3351" t="s">
        <v>32</v>
      </c>
      <c r="C3351" t="s">
        <v>19</v>
      </c>
      <c r="D3351" t="s">
        <v>12</v>
      </c>
      <c r="E3351" t="s">
        <v>74</v>
      </c>
      <c r="F3351" t="s">
        <v>23</v>
      </c>
      <c r="G3351" t="s">
        <v>24</v>
      </c>
      <c r="H3351">
        <v>7</v>
      </c>
      <c r="I3351">
        <v>6706</v>
      </c>
      <c r="J3351">
        <v>1687.22</v>
      </c>
    </row>
    <row r="3352" spans="1:10" x14ac:dyDescent="0.25">
      <c r="A3352" s="1">
        <v>45599</v>
      </c>
      <c r="B3352" t="s">
        <v>55</v>
      </c>
      <c r="C3352" t="s">
        <v>19</v>
      </c>
      <c r="D3352" t="s">
        <v>12</v>
      </c>
      <c r="E3352" t="s">
        <v>196</v>
      </c>
      <c r="F3352" t="s">
        <v>54</v>
      </c>
      <c r="G3352" t="s">
        <v>24</v>
      </c>
      <c r="H3352">
        <v>3</v>
      </c>
      <c r="I3352">
        <v>321</v>
      </c>
      <c r="J3352">
        <v>72.13</v>
      </c>
    </row>
    <row r="3353" spans="1:10" x14ac:dyDescent="0.25">
      <c r="A3353" s="1">
        <v>44976</v>
      </c>
      <c r="B3353" t="s">
        <v>25</v>
      </c>
      <c r="C3353" t="s">
        <v>19</v>
      </c>
      <c r="D3353" t="s">
        <v>12</v>
      </c>
      <c r="E3353" t="s">
        <v>52</v>
      </c>
      <c r="F3353" t="s">
        <v>42</v>
      </c>
      <c r="G3353" t="s">
        <v>28</v>
      </c>
      <c r="H3353">
        <v>3</v>
      </c>
      <c r="I3353">
        <v>3126</v>
      </c>
      <c r="J3353">
        <v>710.14</v>
      </c>
    </row>
    <row r="3354" spans="1:10" x14ac:dyDescent="0.25">
      <c r="A3354" s="1">
        <v>45235</v>
      </c>
      <c r="B3354" t="s">
        <v>36</v>
      </c>
      <c r="C3354" t="s">
        <v>17</v>
      </c>
      <c r="D3354" t="s">
        <v>12</v>
      </c>
      <c r="E3354" t="s">
        <v>52</v>
      </c>
      <c r="F3354" t="s">
        <v>42</v>
      </c>
      <c r="G3354" t="s">
        <v>28</v>
      </c>
      <c r="H3354">
        <v>7</v>
      </c>
      <c r="I3354">
        <v>5446</v>
      </c>
      <c r="J3354">
        <v>697.21</v>
      </c>
    </row>
    <row r="3355" spans="1:10" x14ac:dyDescent="0.25">
      <c r="A3355" s="1">
        <v>45048</v>
      </c>
      <c r="B3355" t="s">
        <v>18</v>
      </c>
      <c r="C3355" t="s">
        <v>19</v>
      </c>
      <c r="D3355" t="s">
        <v>12</v>
      </c>
      <c r="E3355" t="s">
        <v>52</v>
      </c>
      <c r="F3355" t="s">
        <v>42</v>
      </c>
      <c r="G3355" t="s">
        <v>28</v>
      </c>
      <c r="H3355">
        <v>1</v>
      </c>
      <c r="I3355">
        <v>1131</v>
      </c>
      <c r="J3355">
        <v>140.55000000000001</v>
      </c>
    </row>
    <row r="3356" spans="1:10" x14ac:dyDescent="0.25">
      <c r="A3356" s="1">
        <v>45131</v>
      </c>
      <c r="B3356" t="s">
        <v>10</v>
      </c>
      <c r="C3356" t="s">
        <v>11</v>
      </c>
      <c r="D3356" t="s">
        <v>12</v>
      </c>
      <c r="E3356" t="s">
        <v>197</v>
      </c>
      <c r="F3356" t="s">
        <v>168</v>
      </c>
      <c r="G3356" t="s">
        <v>15</v>
      </c>
      <c r="H3356">
        <v>2</v>
      </c>
      <c r="I3356">
        <v>1946</v>
      </c>
      <c r="J3356">
        <v>141.75</v>
      </c>
    </row>
    <row r="3357" spans="1:10" x14ac:dyDescent="0.25">
      <c r="A3357" s="1">
        <v>45185</v>
      </c>
      <c r="B3357" t="s">
        <v>55</v>
      </c>
      <c r="C3357" t="s">
        <v>19</v>
      </c>
      <c r="D3357" t="s">
        <v>12</v>
      </c>
      <c r="E3357" t="s">
        <v>171</v>
      </c>
      <c r="F3357" t="s">
        <v>94</v>
      </c>
      <c r="G3357" t="s">
        <v>24</v>
      </c>
      <c r="H3357">
        <v>7</v>
      </c>
      <c r="I3357">
        <v>6818</v>
      </c>
      <c r="J3357">
        <v>1348.26</v>
      </c>
    </row>
    <row r="3358" spans="1:10" x14ac:dyDescent="0.25">
      <c r="A3358" s="1">
        <v>45014</v>
      </c>
      <c r="B3358" t="s">
        <v>40</v>
      </c>
      <c r="C3358" t="s">
        <v>19</v>
      </c>
      <c r="D3358" t="s">
        <v>12</v>
      </c>
      <c r="E3358" t="s">
        <v>198</v>
      </c>
      <c r="F3358" t="s">
        <v>23</v>
      </c>
      <c r="G3358" t="s">
        <v>24</v>
      </c>
      <c r="H3358">
        <v>7</v>
      </c>
      <c r="I3358">
        <v>2317</v>
      </c>
      <c r="J3358">
        <v>677.61</v>
      </c>
    </row>
    <row r="3359" spans="1:10" x14ac:dyDescent="0.25">
      <c r="A3359" s="1">
        <v>44953</v>
      </c>
      <c r="B3359" t="s">
        <v>32</v>
      </c>
      <c r="C3359" t="s">
        <v>19</v>
      </c>
      <c r="D3359" t="s">
        <v>12</v>
      </c>
      <c r="E3359" t="s">
        <v>132</v>
      </c>
      <c r="F3359" t="s">
        <v>100</v>
      </c>
      <c r="G3359" t="s">
        <v>35</v>
      </c>
      <c r="H3359">
        <v>6</v>
      </c>
      <c r="I3359">
        <v>396</v>
      </c>
      <c r="J3359">
        <v>89.51</v>
      </c>
    </row>
    <row r="3360" spans="1:10" x14ac:dyDescent="0.25">
      <c r="A3360" s="1">
        <v>45246</v>
      </c>
      <c r="B3360" t="s">
        <v>40</v>
      </c>
      <c r="C3360" t="s">
        <v>19</v>
      </c>
      <c r="D3360" t="s">
        <v>12</v>
      </c>
      <c r="E3360" t="s">
        <v>37</v>
      </c>
      <c r="F3360" t="s">
        <v>34</v>
      </c>
      <c r="G3360" t="s">
        <v>35</v>
      </c>
      <c r="H3360">
        <v>1</v>
      </c>
      <c r="I3360">
        <v>558</v>
      </c>
      <c r="J3360">
        <v>49.81</v>
      </c>
    </row>
    <row r="3361" spans="1:10" x14ac:dyDescent="0.25">
      <c r="A3361" s="1">
        <v>45006</v>
      </c>
      <c r="B3361" t="s">
        <v>40</v>
      </c>
      <c r="C3361" t="s">
        <v>19</v>
      </c>
      <c r="D3361" t="s">
        <v>12</v>
      </c>
      <c r="E3361" t="s">
        <v>130</v>
      </c>
      <c r="F3361" t="s">
        <v>14</v>
      </c>
      <c r="G3361" t="s">
        <v>15</v>
      </c>
      <c r="H3361">
        <v>9</v>
      </c>
      <c r="I3361">
        <v>2034</v>
      </c>
      <c r="J3361">
        <v>593.13</v>
      </c>
    </row>
    <row r="3362" spans="1:10" x14ac:dyDescent="0.25">
      <c r="A3362" s="1">
        <v>44713</v>
      </c>
      <c r="B3362" t="s">
        <v>16</v>
      </c>
      <c r="C3362" t="s">
        <v>17</v>
      </c>
      <c r="D3362" t="s">
        <v>12</v>
      </c>
      <c r="E3362" t="s">
        <v>43</v>
      </c>
      <c r="F3362" t="s">
        <v>44</v>
      </c>
      <c r="G3362" t="s">
        <v>35</v>
      </c>
      <c r="H3362">
        <v>8</v>
      </c>
      <c r="I3362">
        <v>6080</v>
      </c>
      <c r="J3362">
        <v>1171.93</v>
      </c>
    </row>
    <row r="3363" spans="1:10" x14ac:dyDescent="0.25">
      <c r="A3363" s="1">
        <v>44961</v>
      </c>
      <c r="B3363" t="s">
        <v>32</v>
      </c>
      <c r="C3363" t="s">
        <v>19</v>
      </c>
      <c r="D3363" t="s">
        <v>12</v>
      </c>
      <c r="E3363" t="s">
        <v>140</v>
      </c>
      <c r="F3363" t="s">
        <v>168</v>
      </c>
      <c r="G3363" t="s">
        <v>15</v>
      </c>
      <c r="H3363">
        <v>2</v>
      </c>
      <c r="I3363">
        <v>1378</v>
      </c>
      <c r="J3363">
        <v>183.1</v>
      </c>
    </row>
    <row r="3364" spans="1:10" x14ac:dyDescent="0.25">
      <c r="A3364" s="1">
        <v>45355</v>
      </c>
      <c r="B3364" t="s">
        <v>36</v>
      </c>
      <c r="C3364" t="s">
        <v>17</v>
      </c>
      <c r="D3364" t="s">
        <v>12</v>
      </c>
      <c r="E3364" t="s">
        <v>199</v>
      </c>
      <c r="F3364" t="s">
        <v>200</v>
      </c>
      <c r="G3364" t="s">
        <v>28</v>
      </c>
      <c r="H3364">
        <v>3</v>
      </c>
      <c r="I3364">
        <v>483</v>
      </c>
      <c r="J3364">
        <v>120.11</v>
      </c>
    </row>
    <row r="3365" spans="1:10" x14ac:dyDescent="0.25">
      <c r="A3365" s="1">
        <v>44853</v>
      </c>
      <c r="B3365" t="s">
        <v>49</v>
      </c>
      <c r="C3365" t="s">
        <v>17</v>
      </c>
      <c r="D3365" t="s">
        <v>12</v>
      </c>
      <c r="E3365" t="s">
        <v>56</v>
      </c>
      <c r="F3365" t="s">
        <v>57</v>
      </c>
      <c r="G3365" t="s">
        <v>24</v>
      </c>
      <c r="H3365">
        <v>8</v>
      </c>
      <c r="I3365">
        <v>7864</v>
      </c>
      <c r="J3365">
        <v>1615.58</v>
      </c>
    </row>
    <row r="3366" spans="1:10" x14ac:dyDescent="0.25">
      <c r="A3366" s="1">
        <v>44588</v>
      </c>
      <c r="B3366" t="s">
        <v>10</v>
      </c>
      <c r="C3366" t="s">
        <v>11</v>
      </c>
      <c r="D3366" t="s">
        <v>12</v>
      </c>
      <c r="E3366" t="s">
        <v>134</v>
      </c>
      <c r="F3366" t="s">
        <v>51</v>
      </c>
      <c r="G3366" t="s">
        <v>35</v>
      </c>
      <c r="H3366">
        <v>2</v>
      </c>
      <c r="I3366">
        <v>1268</v>
      </c>
      <c r="J3366">
        <v>141.76</v>
      </c>
    </row>
    <row r="3367" spans="1:10" x14ac:dyDescent="0.25">
      <c r="A3367" s="1">
        <v>44840</v>
      </c>
      <c r="B3367" t="s">
        <v>10</v>
      </c>
      <c r="C3367" t="s">
        <v>11</v>
      </c>
      <c r="D3367" t="s">
        <v>12</v>
      </c>
      <c r="E3367" t="s">
        <v>179</v>
      </c>
      <c r="F3367" t="s">
        <v>94</v>
      </c>
      <c r="G3367" t="s">
        <v>24</v>
      </c>
      <c r="H3367">
        <v>6</v>
      </c>
      <c r="I3367">
        <v>3774</v>
      </c>
      <c r="J3367">
        <v>606.94000000000005</v>
      </c>
    </row>
    <row r="3368" spans="1:10" x14ac:dyDescent="0.25">
      <c r="A3368" s="1">
        <v>45185</v>
      </c>
      <c r="B3368" t="s">
        <v>32</v>
      </c>
      <c r="C3368" t="s">
        <v>19</v>
      </c>
      <c r="D3368" t="s">
        <v>12</v>
      </c>
      <c r="E3368" t="s">
        <v>26</v>
      </c>
      <c r="F3368" t="s">
        <v>27</v>
      </c>
      <c r="G3368" t="s">
        <v>28</v>
      </c>
      <c r="H3368">
        <v>9</v>
      </c>
      <c r="I3368">
        <v>9090</v>
      </c>
      <c r="J3368">
        <v>727.64</v>
      </c>
    </row>
    <row r="3369" spans="1:10" x14ac:dyDescent="0.25">
      <c r="A3369" s="1">
        <v>45301</v>
      </c>
      <c r="B3369" t="s">
        <v>25</v>
      </c>
      <c r="C3369" t="s">
        <v>19</v>
      </c>
      <c r="D3369" t="s">
        <v>12</v>
      </c>
      <c r="E3369" t="s">
        <v>26</v>
      </c>
      <c r="F3369" t="s">
        <v>27</v>
      </c>
      <c r="G3369" t="s">
        <v>28</v>
      </c>
      <c r="H3369">
        <v>5</v>
      </c>
      <c r="I3369">
        <v>3720</v>
      </c>
      <c r="J3369">
        <v>1077.21</v>
      </c>
    </row>
    <row r="3370" spans="1:10" x14ac:dyDescent="0.25">
      <c r="A3370" s="1">
        <v>44744</v>
      </c>
      <c r="B3370" t="s">
        <v>40</v>
      </c>
      <c r="C3370" t="s">
        <v>19</v>
      </c>
      <c r="D3370" t="s">
        <v>12</v>
      </c>
      <c r="E3370" t="s">
        <v>26</v>
      </c>
      <c r="F3370" t="s">
        <v>27</v>
      </c>
      <c r="G3370" t="s">
        <v>28</v>
      </c>
      <c r="H3370">
        <v>8</v>
      </c>
      <c r="I3370">
        <v>8896</v>
      </c>
      <c r="J3370">
        <v>1825.26</v>
      </c>
    </row>
    <row r="3371" spans="1:10" x14ac:dyDescent="0.25">
      <c r="A3371" s="1">
        <v>45566</v>
      </c>
      <c r="B3371" t="s">
        <v>16</v>
      </c>
      <c r="C3371" t="s">
        <v>17</v>
      </c>
      <c r="D3371" t="s">
        <v>12</v>
      </c>
      <c r="E3371" t="s">
        <v>104</v>
      </c>
      <c r="F3371" t="s">
        <v>39</v>
      </c>
      <c r="G3371" t="s">
        <v>35</v>
      </c>
      <c r="H3371">
        <v>4</v>
      </c>
      <c r="I3371">
        <v>3264</v>
      </c>
      <c r="J3371">
        <v>639.79999999999995</v>
      </c>
    </row>
    <row r="3372" spans="1:10" x14ac:dyDescent="0.25">
      <c r="A3372" s="1">
        <v>44989</v>
      </c>
      <c r="B3372" t="s">
        <v>10</v>
      </c>
      <c r="C3372" t="s">
        <v>11</v>
      </c>
      <c r="D3372" t="s">
        <v>12</v>
      </c>
      <c r="E3372" t="s">
        <v>70</v>
      </c>
      <c r="F3372" t="s">
        <v>71</v>
      </c>
      <c r="G3372" t="s">
        <v>35</v>
      </c>
      <c r="H3372">
        <v>2</v>
      </c>
      <c r="I3372">
        <v>146</v>
      </c>
      <c r="J3372">
        <v>15.48</v>
      </c>
    </row>
    <row r="3373" spans="1:10" x14ac:dyDescent="0.25">
      <c r="A3373" s="1">
        <v>45438</v>
      </c>
      <c r="B3373" t="s">
        <v>29</v>
      </c>
      <c r="C3373" t="s">
        <v>17</v>
      </c>
      <c r="D3373" t="s">
        <v>12</v>
      </c>
      <c r="E3373" t="s">
        <v>70</v>
      </c>
      <c r="F3373" t="s">
        <v>71</v>
      </c>
      <c r="G3373" t="s">
        <v>35</v>
      </c>
      <c r="H3373">
        <v>3</v>
      </c>
      <c r="I3373">
        <v>1683</v>
      </c>
      <c r="J3373">
        <v>129.63999999999999</v>
      </c>
    </row>
    <row r="3374" spans="1:10" x14ac:dyDescent="0.25">
      <c r="A3374" s="1">
        <v>44571</v>
      </c>
      <c r="B3374" t="s">
        <v>25</v>
      </c>
      <c r="C3374" t="s">
        <v>19</v>
      </c>
      <c r="D3374" t="s">
        <v>12</v>
      </c>
      <c r="E3374" t="s">
        <v>22</v>
      </c>
      <c r="F3374" t="s">
        <v>23</v>
      </c>
      <c r="G3374" t="s">
        <v>24</v>
      </c>
      <c r="H3374">
        <v>7</v>
      </c>
      <c r="I3374">
        <v>6076</v>
      </c>
      <c r="J3374">
        <v>788.14</v>
      </c>
    </row>
    <row r="3375" spans="1:10" x14ac:dyDescent="0.25">
      <c r="A3375" s="1">
        <v>45126</v>
      </c>
      <c r="B3375" t="s">
        <v>32</v>
      </c>
      <c r="C3375" t="s">
        <v>19</v>
      </c>
      <c r="D3375" t="s">
        <v>12</v>
      </c>
      <c r="E3375" t="s">
        <v>201</v>
      </c>
      <c r="F3375" t="s">
        <v>23</v>
      </c>
      <c r="G3375" t="s">
        <v>24</v>
      </c>
      <c r="H3375">
        <v>2</v>
      </c>
      <c r="I3375">
        <v>2388</v>
      </c>
      <c r="J3375">
        <v>492.54</v>
      </c>
    </row>
    <row r="3376" spans="1:10" x14ac:dyDescent="0.25">
      <c r="A3376" s="1">
        <v>45118</v>
      </c>
      <c r="B3376" t="s">
        <v>40</v>
      </c>
      <c r="C3376" t="s">
        <v>19</v>
      </c>
      <c r="D3376" t="s">
        <v>12</v>
      </c>
      <c r="E3376" t="s">
        <v>202</v>
      </c>
      <c r="F3376" t="s">
        <v>23</v>
      </c>
      <c r="G3376" t="s">
        <v>24</v>
      </c>
      <c r="H3376">
        <v>6</v>
      </c>
      <c r="I3376">
        <v>882</v>
      </c>
      <c r="J3376">
        <v>180.63</v>
      </c>
    </row>
    <row r="3377" spans="1:10" x14ac:dyDescent="0.25">
      <c r="A3377" s="1">
        <v>44717</v>
      </c>
      <c r="B3377" t="s">
        <v>55</v>
      </c>
      <c r="C3377" t="s">
        <v>19</v>
      </c>
      <c r="D3377" t="s">
        <v>12</v>
      </c>
      <c r="E3377" t="s">
        <v>74</v>
      </c>
      <c r="F3377" t="s">
        <v>23</v>
      </c>
      <c r="G3377" t="s">
        <v>24</v>
      </c>
      <c r="H3377">
        <v>3</v>
      </c>
      <c r="I3377">
        <v>3561</v>
      </c>
      <c r="J3377">
        <v>206.87</v>
      </c>
    </row>
    <row r="3378" spans="1:10" x14ac:dyDescent="0.25">
      <c r="A3378" s="1">
        <v>45585</v>
      </c>
      <c r="B3378" t="s">
        <v>18</v>
      </c>
      <c r="C3378" t="s">
        <v>19</v>
      </c>
      <c r="D3378" t="s">
        <v>12</v>
      </c>
      <c r="E3378" t="s">
        <v>93</v>
      </c>
      <c r="F3378" t="s">
        <v>94</v>
      </c>
      <c r="G3378" t="s">
        <v>24</v>
      </c>
      <c r="H3378">
        <v>7</v>
      </c>
      <c r="I3378">
        <v>3395</v>
      </c>
      <c r="J3378">
        <v>350.26</v>
      </c>
    </row>
    <row r="3379" spans="1:10" x14ac:dyDescent="0.25">
      <c r="A3379" s="1">
        <v>44592</v>
      </c>
      <c r="B3379" t="s">
        <v>40</v>
      </c>
      <c r="C3379" t="s">
        <v>19</v>
      </c>
      <c r="D3379" t="s">
        <v>12</v>
      </c>
      <c r="E3379" t="s">
        <v>58</v>
      </c>
      <c r="F3379" t="s">
        <v>59</v>
      </c>
      <c r="G3379" t="s">
        <v>28</v>
      </c>
      <c r="H3379">
        <v>6</v>
      </c>
      <c r="I3379">
        <v>3366</v>
      </c>
      <c r="J3379">
        <v>460.75</v>
      </c>
    </row>
    <row r="3380" spans="1:10" x14ac:dyDescent="0.25">
      <c r="A3380" s="1">
        <v>44895</v>
      </c>
      <c r="B3380" t="s">
        <v>16</v>
      </c>
      <c r="C3380" t="s">
        <v>17</v>
      </c>
      <c r="D3380" t="s">
        <v>12</v>
      </c>
      <c r="E3380" t="s">
        <v>203</v>
      </c>
      <c r="F3380" t="s">
        <v>51</v>
      </c>
      <c r="G3380" t="s">
        <v>35</v>
      </c>
      <c r="H3380">
        <v>2</v>
      </c>
      <c r="I3380">
        <v>630</v>
      </c>
      <c r="J3380">
        <v>144.13999999999999</v>
      </c>
    </row>
    <row r="3381" spans="1:10" x14ac:dyDescent="0.25">
      <c r="A3381" s="1">
        <v>45121</v>
      </c>
      <c r="B3381" t="s">
        <v>25</v>
      </c>
      <c r="C3381" t="s">
        <v>19</v>
      </c>
      <c r="D3381" t="s">
        <v>12</v>
      </c>
      <c r="E3381" t="s">
        <v>164</v>
      </c>
      <c r="F3381" t="s">
        <v>94</v>
      </c>
      <c r="G3381" t="s">
        <v>24</v>
      </c>
      <c r="H3381">
        <v>1</v>
      </c>
      <c r="I3381">
        <v>440</v>
      </c>
      <c r="J3381">
        <v>34.74</v>
      </c>
    </row>
    <row r="3382" spans="1:10" x14ac:dyDescent="0.25">
      <c r="A3382" s="1">
        <v>45557</v>
      </c>
      <c r="B3382" t="s">
        <v>32</v>
      </c>
      <c r="C3382" t="s">
        <v>19</v>
      </c>
      <c r="D3382" t="s">
        <v>12</v>
      </c>
      <c r="E3382" t="s">
        <v>204</v>
      </c>
      <c r="F3382" t="s">
        <v>23</v>
      </c>
      <c r="G3382" t="s">
        <v>24</v>
      </c>
      <c r="H3382">
        <v>6</v>
      </c>
      <c r="I3382">
        <v>6462</v>
      </c>
      <c r="J3382">
        <v>1466.15</v>
      </c>
    </row>
    <row r="3383" spans="1:10" x14ac:dyDescent="0.25">
      <c r="A3383" s="1">
        <v>45655</v>
      </c>
      <c r="B3383" t="s">
        <v>36</v>
      </c>
      <c r="C3383" t="s">
        <v>17</v>
      </c>
      <c r="D3383" t="s">
        <v>12</v>
      </c>
      <c r="E3383" t="s">
        <v>204</v>
      </c>
      <c r="F3383" t="s">
        <v>23</v>
      </c>
      <c r="G3383" t="s">
        <v>24</v>
      </c>
      <c r="H3383">
        <v>6</v>
      </c>
      <c r="I3383">
        <v>5004</v>
      </c>
      <c r="J3383">
        <v>1197.3599999999999</v>
      </c>
    </row>
    <row r="3384" spans="1:10" x14ac:dyDescent="0.25">
      <c r="A3384" s="1">
        <v>44608</v>
      </c>
      <c r="B3384" t="s">
        <v>55</v>
      </c>
      <c r="C3384" t="s">
        <v>19</v>
      </c>
      <c r="D3384" t="s">
        <v>12</v>
      </c>
      <c r="E3384" t="s">
        <v>134</v>
      </c>
      <c r="F3384" t="s">
        <v>42</v>
      </c>
      <c r="G3384" t="s">
        <v>28</v>
      </c>
      <c r="H3384">
        <v>8</v>
      </c>
      <c r="I3384">
        <v>1840</v>
      </c>
      <c r="J3384">
        <v>461.21</v>
      </c>
    </row>
    <row r="3385" spans="1:10" x14ac:dyDescent="0.25">
      <c r="A3385" s="1">
        <v>44871</v>
      </c>
      <c r="B3385" t="s">
        <v>18</v>
      </c>
      <c r="C3385" t="s">
        <v>19</v>
      </c>
      <c r="D3385" t="s">
        <v>12</v>
      </c>
      <c r="E3385" t="s">
        <v>205</v>
      </c>
      <c r="F3385" t="s">
        <v>23</v>
      </c>
      <c r="G3385" t="s">
        <v>24</v>
      </c>
      <c r="H3385">
        <v>7</v>
      </c>
      <c r="I3385">
        <v>4466</v>
      </c>
      <c r="J3385">
        <v>763.14</v>
      </c>
    </row>
    <row r="3386" spans="1:10" x14ac:dyDescent="0.25">
      <c r="A3386" s="1">
        <v>44922</v>
      </c>
      <c r="B3386" t="s">
        <v>18</v>
      </c>
      <c r="C3386" t="s">
        <v>19</v>
      </c>
      <c r="D3386" t="s">
        <v>12</v>
      </c>
      <c r="E3386" t="s">
        <v>206</v>
      </c>
      <c r="F3386" t="s">
        <v>71</v>
      </c>
      <c r="G3386" t="s">
        <v>35</v>
      </c>
      <c r="H3386">
        <v>6</v>
      </c>
      <c r="I3386">
        <v>3048</v>
      </c>
      <c r="J3386">
        <v>823.36</v>
      </c>
    </row>
    <row r="3387" spans="1:10" x14ac:dyDescent="0.25">
      <c r="A3387" s="1">
        <v>45446</v>
      </c>
      <c r="B3387" t="s">
        <v>16</v>
      </c>
      <c r="C3387" t="s">
        <v>17</v>
      </c>
      <c r="D3387" t="s">
        <v>12</v>
      </c>
      <c r="E3387" t="s">
        <v>26</v>
      </c>
      <c r="F3387" t="s">
        <v>27</v>
      </c>
      <c r="G3387" t="s">
        <v>28</v>
      </c>
      <c r="H3387">
        <v>7</v>
      </c>
      <c r="I3387">
        <v>4977</v>
      </c>
      <c r="J3387">
        <v>516.70000000000005</v>
      </c>
    </row>
    <row r="3388" spans="1:10" x14ac:dyDescent="0.25">
      <c r="A3388" s="1">
        <v>44743</v>
      </c>
      <c r="B3388" t="s">
        <v>49</v>
      </c>
      <c r="C3388" t="s">
        <v>17</v>
      </c>
      <c r="D3388" t="s">
        <v>12</v>
      </c>
      <c r="E3388" t="s">
        <v>117</v>
      </c>
      <c r="F3388" t="s">
        <v>133</v>
      </c>
      <c r="G3388" t="s">
        <v>28</v>
      </c>
      <c r="H3388">
        <v>3</v>
      </c>
      <c r="I3388">
        <v>2010</v>
      </c>
      <c r="J3388">
        <v>387.31</v>
      </c>
    </row>
    <row r="3389" spans="1:10" x14ac:dyDescent="0.25">
      <c r="A3389" s="1">
        <v>44591</v>
      </c>
      <c r="B3389" t="s">
        <v>25</v>
      </c>
      <c r="C3389" t="s">
        <v>19</v>
      </c>
      <c r="D3389" t="s">
        <v>12</v>
      </c>
      <c r="E3389" t="s">
        <v>207</v>
      </c>
      <c r="F3389" t="s">
        <v>34</v>
      </c>
      <c r="G3389" t="s">
        <v>35</v>
      </c>
      <c r="H3389">
        <v>8</v>
      </c>
      <c r="I3389">
        <v>5352</v>
      </c>
      <c r="J3389">
        <v>1133.57</v>
      </c>
    </row>
    <row r="3390" spans="1:10" x14ac:dyDescent="0.25">
      <c r="A3390" s="1">
        <v>45298</v>
      </c>
      <c r="B3390" t="s">
        <v>25</v>
      </c>
      <c r="C3390" t="s">
        <v>19</v>
      </c>
      <c r="D3390" t="s">
        <v>12</v>
      </c>
      <c r="E3390" t="s">
        <v>116</v>
      </c>
      <c r="F3390" t="s">
        <v>42</v>
      </c>
      <c r="G3390" t="s">
        <v>28</v>
      </c>
      <c r="H3390">
        <v>4</v>
      </c>
      <c r="I3390">
        <v>4136</v>
      </c>
      <c r="J3390">
        <v>294.20999999999998</v>
      </c>
    </row>
    <row r="3391" spans="1:10" x14ac:dyDescent="0.25">
      <c r="A3391" s="1">
        <v>44681</v>
      </c>
      <c r="B3391" t="s">
        <v>25</v>
      </c>
      <c r="C3391" t="s">
        <v>19</v>
      </c>
      <c r="D3391" t="s">
        <v>12</v>
      </c>
      <c r="E3391" t="s">
        <v>208</v>
      </c>
      <c r="F3391" t="s">
        <v>27</v>
      </c>
      <c r="G3391" t="s">
        <v>28</v>
      </c>
      <c r="H3391">
        <v>8</v>
      </c>
      <c r="I3391">
        <v>6336</v>
      </c>
      <c r="J3391">
        <v>439.42</v>
      </c>
    </row>
    <row r="3392" spans="1:10" x14ac:dyDescent="0.25">
      <c r="A3392" s="1">
        <v>45258</v>
      </c>
      <c r="B3392" t="s">
        <v>55</v>
      </c>
      <c r="C3392" t="s">
        <v>19</v>
      </c>
      <c r="D3392" t="s">
        <v>12</v>
      </c>
      <c r="E3392" t="s">
        <v>91</v>
      </c>
      <c r="F3392" t="s">
        <v>23</v>
      </c>
      <c r="G3392" t="s">
        <v>24</v>
      </c>
      <c r="H3392">
        <v>9</v>
      </c>
      <c r="I3392">
        <v>5481</v>
      </c>
      <c r="J3392">
        <v>1540.75</v>
      </c>
    </row>
    <row r="3393" spans="1:10" x14ac:dyDescent="0.25">
      <c r="A3393" s="1">
        <v>45580</v>
      </c>
      <c r="B3393" t="s">
        <v>25</v>
      </c>
      <c r="C3393" t="s">
        <v>19</v>
      </c>
      <c r="D3393" t="s">
        <v>12</v>
      </c>
      <c r="E3393" t="s">
        <v>209</v>
      </c>
      <c r="F3393" t="s">
        <v>34</v>
      </c>
      <c r="G3393" t="s">
        <v>35</v>
      </c>
      <c r="H3393">
        <v>6</v>
      </c>
      <c r="I3393">
        <v>6366</v>
      </c>
      <c r="J3393">
        <v>318.97000000000003</v>
      </c>
    </row>
    <row r="3394" spans="1:10" x14ac:dyDescent="0.25">
      <c r="A3394" s="1">
        <v>45189</v>
      </c>
      <c r="B3394" t="s">
        <v>10</v>
      </c>
      <c r="C3394" t="s">
        <v>11</v>
      </c>
      <c r="D3394" t="s">
        <v>12</v>
      </c>
      <c r="E3394" t="s">
        <v>210</v>
      </c>
      <c r="F3394" t="s">
        <v>34</v>
      </c>
      <c r="G3394" t="s">
        <v>35</v>
      </c>
      <c r="H3394">
        <v>1</v>
      </c>
      <c r="I3394">
        <v>623</v>
      </c>
      <c r="J3394">
        <v>81.239999999999995</v>
      </c>
    </row>
    <row r="3395" spans="1:10" x14ac:dyDescent="0.25">
      <c r="A3395" s="1">
        <v>45646</v>
      </c>
      <c r="B3395" t="s">
        <v>16</v>
      </c>
      <c r="C3395" t="s">
        <v>17</v>
      </c>
      <c r="D3395" t="s">
        <v>12</v>
      </c>
      <c r="E3395" t="s">
        <v>211</v>
      </c>
      <c r="F3395" t="s">
        <v>63</v>
      </c>
      <c r="G3395" t="s">
        <v>28</v>
      </c>
      <c r="H3395">
        <v>3</v>
      </c>
      <c r="I3395">
        <v>237</v>
      </c>
      <c r="J3395">
        <v>49.94</v>
      </c>
    </row>
    <row r="3396" spans="1:10" x14ac:dyDescent="0.25">
      <c r="A3396" s="1">
        <v>44638</v>
      </c>
      <c r="B3396" t="s">
        <v>49</v>
      </c>
      <c r="C3396" t="s">
        <v>17</v>
      </c>
      <c r="D3396" t="s">
        <v>12</v>
      </c>
      <c r="E3396" t="s">
        <v>212</v>
      </c>
      <c r="F3396" t="s">
        <v>34</v>
      </c>
      <c r="G3396" t="s">
        <v>35</v>
      </c>
      <c r="H3396">
        <v>9</v>
      </c>
      <c r="I3396">
        <v>8370</v>
      </c>
      <c r="J3396">
        <v>1525.8</v>
      </c>
    </row>
    <row r="3397" spans="1:10" x14ac:dyDescent="0.25">
      <c r="A3397" s="1">
        <v>45027</v>
      </c>
      <c r="B3397" t="s">
        <v>29</v>
      </c>
      <c r="C3397" t="s">
        <v>17</v>
      </c>
      <c r="D3397" t="s">
        <v>12</v>
      </c>
      <c r="E3397" t="s">
        <v>213</v>
      </c>
      <c r="F3397" t="s">
        <v>34</v>
      </c>
      <c r="G3397" t="s">
        <v>35</v>
      </c>
      <c r="H3397">
        <v>5</v>
      </c>
      <c r="I3397">
        <v>4965</v>
      </c>
      <c r="J3397">
        <v>774.74</v>
      </c>
    </row>
    <row r="3398" spans="1:10" x14ac:dyDescent="0.25">
      <c r="A3398" s="1">
        <v>45508</v>
      </c>
      <c r="B3398" t="s">
        <v>25</v>
      </c>
      <c r="C3398" t="s">
        <v>19</v>
      </c>
      <c r="D3398" t="s">
        <v>12</v>
      </c>
      <c r="E3398" t="s">
        <v>52</v>
      </c>
      <c r="F3398" t="s">
        <v>42</v>
      </c>
      <c r="G3398" t="s">
        <v>28</v>
      </c>
      <c r="H3398">
        <v>7</v>
      </c>
      <c r="I3398">
        <v>7791</v>
      </c>
      <c r="J3398">
        <v>1844.69</v>
      </c>
    </row>
    <row r="3399" spans="1:10" x14ac:dyDescent="0.25">
      <c r="A3399" s="1">
        <v>45564</v>
      </c>
      <c r="B3399" t="s">
        <v>40</v>
      </c>
      <c r="C3399" t="s">
        <v>19</v>
      </c>
      <c r="D3399" t="s">
        <v>12</v>
      </c>
      <c r="E3399" t="s">
        <v>52</v>
      </c>
      <c r="F3399" t="s">
        <v>42</v>
      </c>
      <c r="G3399" t="s">
        <v>28</v>
      </c>
      <c r="H3399">
        <v>1</v>
      </c>
      <c r="I3399">
        <v>158</v>
      </c>
      <c r="J3399">
        <v>32.89</v>
      </c>
    </row>
    <row r="3400" spans="1:10" x14ac:dyDescent="0.25">
      <c r="A3400" s="1">
        <v>44996</v>
      </c>
      <c r="B3400" t="s">
        <v>49</v>
      </c>
      <c r="C3400" t="s">
        <v>17</v>
      </c>
      <c r="D3400" t="s">
        <v>12</v>
      </c>
      <c r="E3400" t="s">
        <v>75</v>
      </c>
      <c r="F3400" t="s">
        <v>39</v>
      </c>
      <c r="G3400" t="s">
        <v>35</v>
      </c>
      <c r="H3400">
        <v>7</v>
      </c>
      <c r="I3400">
        <v>4347</v>
      </c>
      <c r="J3400">
        <v>712.79</v>
      </c>
    </row>
    <row r="3401" spans="1:10" x14ac:dyDescent="0.25">
      <c r="A3401" s="1">
        <v>44817</v>
      </c>
      <c r="B3401" t="s">
        <v>40</v>
      </c>
      <c r="C3401" t="s">
        <v>19</v>
      </c>
      <c r="D3401" t="s">
        <v>12</v>
      </c>
      <c r="E3401" t="s">
        <v>214</v>
      </c>
      <c r="F3401" t="s">
        <v>152</v>
      </c>
      <c r="G3401" t="s">
        <v>15</v>
      </c>
      <c r="H3401">
        <v>4</v>
      </c>
      <c r="I3401">
        <v>3364</v>
      </c>
      <c r="J3401">
        <v>527.28</v>
      </c>
    </row>
    <row r="3402" spans="1:10" x14ac:dyDescent="0.25">
      <c r="A3402" s="1">
        <v>45136</v>
      </c>
      <c r="B3402" t="s">
        <v>25</v>
      </c>
      <c r="C3402" t="s">
        <v>19</v>
      </c>
      <c r="D3402" t="s">
        <v>12</v>
      </c>
      <c r="E3402" t="s">
        <v>56</v>
      </c>
      <c r="F3402" t="s">
        <v>57</v>
      </c>
      <c r="G3402" t="s">
        <v>24</v>
      </c>
      <c r="H3402">
        <v>3</v>
      </c>
      <c r="I3402">
        <v>1098</v>
      </c>
      <c r="J3402">
        <v>77.81</v>
      </c>
    </row>
    <row r="3403" spans="1:10" x14ac:dyDescent="0.25">
      <c r="A3403" s="1">
        <v>44695</v>
      </c>
      <c r="B3403" t="s">
        <v>29</v>
      </c>
      <c r="C3403" t="s">
        <v>17</v>
      </c>
      <c r="D3403" t="s">
        <v>12</v>
      </c>
      <c r="E3403" t="s">
        <v>123</v>
      </c>
      <c r="F3403" t="s">
        <v>27</v>
      </c>
      <c r="G3403" t="s">
        <v>28</v>
      </c>
      <c r="H3403">
        <v>3</v>
      </c>
      <c r="I3403">
        <v>1083</v>
      </c>
      <c r="J3403">
        <v>257.44</v>
      </c>
    </row>
    <row r="3404" spans="1:10" x14ac:dyDescent="0.25">
      <c r="A3404" s="1">
        <v>44813</v>
      </c>
      <c r="B3404" t="s">
        <v>55</v>
      </c>
      <c r="C3404" t="s">
        <v>19</v>
      </c>
      <c r="D3404" t="s">
        <v>12</v>
      </c>
      <c r="E3404" t="s">
        <v>52</v>
      </c>
      <c r="F3404" t="s">
        <v>42</v>
      </c>
      <c r="G3404" t="s">
        <v>28</v>
      </c>
      <c r="H3404">
        <v>4</v>
      </c>
      <c r="I3404">
        <v>1628</v>
      </c>
      <c r="J3404">
        <v>314.95999999999998</v>
      </c>
    </row>
    <row r="3405" spans="1:10" x14ac:dyDescent="0.25">
      <c r="A3405" s="1">
        <v>45615</v>
      </c>
      <c r="B3405" t="s">
        <v>49</v>
      </c>
      <c r="C3405" t="s">
        <v>17</v>
      </c>
      <c r="D3405" t="s">
        <v>12</v>
      </c>
      <c r="E3405" t="s">
        <v>91</v>
      </c>
      <c r="F3405" t="s">
        <v>23</v>
      </c>
      <c r="G3405" t="s">
        <v>24</v>
      </c>
      <c r="H3405">
        <v>4</v>
      </c>
      <c r="I3405">
        <v>1472</v>
      </c>
      <c r="J3405">
        <v>387.27</v>
      </c>
    </row>
    <row r="3406" spans="1:10" x14ac:dyDescent="0.25">
      <c r="A3406" s="1">
        <v>45554</v>
      </c>
      <c r="B3406" t="s">
        <v>10</v>
      </c>
      <c r="C3406" t="s">
        <v>11</v>
      </c>
      <c r="D3406" t="s">
        <v>12</v>
      </c>
      <c r="E3406" t="s">
        <v>331</v>
      </c>
      <c r="F3406" t="s">
        <v>23</v>
      </c>
      <c r="G3406" t="s">
        <v>24</v>
      </c>
      <c r="H3406">
        <v>9</v>
      </c>
      <c r="I3406">
        <v>3753</v>
      </c>
      <c r="J3406">
        <v>1114.8699999999999</v>
      </c>
    </row>
    <row r="3407" spans="1:10" x14ac:dyDescent="0.25">
      <c r="A3407" s="1">
        <v>45110</v>
      </c>
      <c r="B3407" t="s">
        <v>36</v>
      </c>
      <c r="C3407" t="s">
        <v>17</v>
      </c>
      <c r="D3407" t="s">
        <v>12</v>
      </c>
      <c r="E3407" t="s">
        <v>331</v>
      </c>
      <c r="F3407" t="s">
        <v>23</v>
      </c>
      <c r="G3407" t="s">
        <v>24</v>
      </c>
      <c r="H3407">
        <v>6</v>
      </c>
      <c r="I3407">
        <v>6402</v>
      </c>
      <c r="J3407">
        <v>1602.79</v>
      </c>
    </row>
    <row r="3408" spans="1:10" x14ac:dyDescent="0.25">
      <c r="A3408" s="1">
        <v>45399</v>
      </c>
      <c r="B3408" t="s">
        <v>36</v>
      </c>
      <c r="C3408" t="s">
        <v>17</v>
      </c>
      <c r="D3408" t="s">
        <v>12</v>
      </c>
      <c r="E3408" t="s">
        <v>192</v>
      </c>
      <c r="F3408" t="s">
        <v>149</v>
      </c>
      <c r="G3408" t="s">
        <v>15</v>
      </c>
      <c r="H3408">
        <v>3</v>
      </c>
      <c r="I3408">
        <v>2565</v>
      </c>
      <c r="J3408">
        <v>510.73</v>
      </c>
    </row>
    <row r="3409" spans="1:10" x14ac:dyDescent="0.25">
      <c r="A3409" s="1">
        <v>45583</v>
      </c>
      <c r="B3409" t="s">
        <v>16</v>
      </c>
      <c r="C3409" t="s">
        <v>17</v>
      </c>
      <c r="D3409" t="s">
        <v>12</v>
      </c>
      <c r="E3409" t="s">
        <v>62</v>
      </c>
      <c r="F3409" t="s">
        <v>63</v>
      </c>
      <c r="G3409" t="s">
        <v>28</v>
      </c>
      <c r="H3409">
        <v>3</v>
      </c>
      <c r="I3409">
        <v>2214</v>
      </c>
      <c r="J3409">
        <v>127.34</v>
      </c>
    </row>
    <row r="3410" spans="1:10" x14ac:dyDescent="0.25">
      <c r="A3410" s="1">
        <v>45459</v>
      </c>
      <c r="B3410" t="s">
        <v>36</v>
      </c>
      <c r="C3410" t="s">
        <v>17</v>
      </c>
      <c r="D3410" t="s">
        <v>12</v>
      </c>
      <c r="E3410" t="s">
        <v>62</v>
      </c>
      <c r="F3410" t="s">
        <v>63</v>
      </c>
      <c r="G3410" t="s">
        <v>28</v>
      </c>
      <c r="H3410">
        <v>3</v>
      </c>
      <c r="I3410">
        <v>975</v>
      </c>
      <c r="J3410">
        <v>291.81</v>
      </c>
    </row>
    <row r="3411" spans="1:10" x14ac:dyDescent="0.25">
      <c r="A3411" s="1">
        <v>45213</v>
      </c>
      <c r="B3411" t="s">
        <v>10</v>
      </c>
      <c r="C3411" t="s">
        <v>11</v>
      </c>
      <c r="D3411" t="s">
        <v>12</v>
      </c>
      <c r="E3411" t="s">
        <v>13</v>
      </c>
      <c r="F3411" t="s">
        <v>173</v>
      </c>
      <c r="G3411" t="s">
        <v>24</v>
      </c>
      <c r="H3411">
        <v>8</v>
      </c>
      <c r="I3411">
        <v>3312</v>
      </c>
      <c r="J3411">
        <v>854.12</v>
      </c>
    </row>
    <row r="3412" spans="1:10" x14ac:dyDescent="0.25">
      <c r="A3412" s="1">
        <v>45211</v>
      </c>
      <c r="B3412" t="s">
        <v>10</v>
      </c>
      <c r="C3412" t="s">
        <v>11</v>
      </c>
      <c r="D3412" t="s">
        <v>12</v>
      </c>
      <c r="E3412" t="s">
        <v>56</v>
      </c>
      <c r="F3412" t="s">
        <v>57</v>
      </c>
      <c r="G3412" t="s">
        <v>24</v>
      </c>
      <c r="H3412">
        <v>1</v>
      </c>
      <c r="I3412">
        <v>267</v>
      </c>
      <c r="J3412">
        <v>41.85</v>
      </c>
    </row>
    <row r="3413" spans="1:10" x14ac:dyDescent="0.25">
      <c r="A3413" s="1">
        <v>44662</v>
      </c>
      <c r="B3413" t="s">
        <v>40</v>
      </c>
      <c r="C3413" t="s">
        <v>19</v>
      </c>
      <c r="D3413" t="s">
        <v>12</v>
      </c>
      <c r="E3413" t="s">
        <v>52</v>
      </c>
      <c r="F3413" t="s">
        <v>42</v>
      </c>
      <c r="G3413" t="s">
        <v>28</v>
      </c>
      <c r="H3413">
        <v>9</v>
      </c>
      <c r="I3413">
        <v>8145</v>
      </c>
      <c r="J3413">
        <v>2384.42</v>
      </c>
    </row>
    <row r="3414" spans="1:10" x14ac:dyDescent="0.25">
      <c r="A3414" s="1">
        <v>44567</v>
      </c>
      <c r="B3414" t="s">
        <v>10</v>
      </c>
      <c r="C3414" t="s">
        <v>11</v>
      </c>
      <c r="D3414" t="s">
        <v>12</v>
      </c>
      <c r="E3414" t="s">
        <v>62</v>
      </c>
      <c r="F3414" t="s">
        <v>59</v>
      </c>
      <c r="G3414" t="s">
        <v>28</v>
      </c>
      <c r="H3414">
        <v>1</v>
      </c>
      <c r="I3414">
        <v>232</v>
      </c>
      <c r="J3414">
        <v>34.26</v>
      </c>
    </row>
    <row r="3415" spans="1:10" x14ac:dyDescent="0.25">
      <c r="A3415" s="1">
        <v>45571</v>
      </c>
      <c r="B3415" t="s">
        <v>40</v>
      </c>
      <c r="C3415" t="s">
        <v>19</v>
      </c>
      <c r="D3415" t="s">
        <v>12</v>
      </c>
      <c r="E3415" t="s">
        <v>104</v>
      </c>
      <c r="F3415" t="s">
        <v>39</v>
      </c>
      <c r="G3415" t="s">
        <v>35</v>
      </c>
      <c r="H3415">
        <v>3</v>
      </c>
      <c r="I3415">
        <v>300</v>
      </c>
      <c r="J3415">
        <v>38.44</v>
      </c>
    </row>
    <row r="3416" spans="1:10" x14ac:dyDescent="0.25">
      <c r="A3416" s="1">
        <v>45349</v>
      </c>
      <c r="B3416" t="s">
        <v>36</v>
      </c>
      <c r="C3416" t="s">
        <v>17</v>
      </c>
      <c r="D3416" t="s">
        <v>12</v>
      </c>
      <c r="E3416" t="s">
        <v>104</v>
      </c>
      <c r="F3416" t="s">
        <v>39</v>
      </c>
      <c r="G3416" t="s">
        <v>35</v>
      </c>
      <c r="H3416">
        <v>2</v>
      </c>
      <c r="I3416">
        <v>2248</v>
      </c>
      <c r="J3416">
        <v>473.21</v>
      </c>
    </row>
    <row r="3417" spans="1:10" x14ac:dyDescent="0.25">
      <c r="A3417" s="1">
        <v>45209</v>
      </c>
      <c r="B3417" t="s">
        <v>36</v>
      </c>
      <c r="C3417" t="s">
        <v>17</v>
      </c>
      <c r="D3417" t="s">
        <v>12</v>
      </c>
      <c r="E3417" t="s">
        <v>104</v>
      </c>
      <c r="F3417" t="s">
        <v>39</v>
      </c>
      <c r="G3417" t="s">
        <v>35</v>
      </c>
      <c r="H3417">
        <v>6</v>
      </c>
      <c r="I3417">
        <v>1614</v>
      </c>
      <c r="J3417">
        <v>166.62</v>
      </c>
    </row>
    <row r="3418" spans="1:10" x14ac:dyDescent="0.25">
      <c r="A3418" s="1">
        <v>44684</v>
      </c>
      <c r="B3418" t="s">
        <v>36</v>
      </c>
      <c r="C3418" t="s">
        <v>17</v>
      </c>
      <c r="D3418" t="s">
        <v>12</v>
      </c>
      <c r="E3418" t="s">
        <v>146</v>
      </c>
      <c r="F3418" t="s">
        <v>21</v>
      </c>
      <c r="G3418" t="s">
        <v>15</v>
      </c>
      <c r="H3418">
        <v>2</v>
      </c>
      <c r="I3418">
        <v>1476</v>
      </c>
      <c r="J3418">
        <v>195.74</v>
      </c>
    </row>
    <row r="3419" spans="1:10" x14ac:dyDescent="0.25">
      <c r="A3419" s="1">
        <v>45601</v>
      </c>
      <c r="B3419" t="s">
        <v>10</v>
      </c>
      <c r="C3419" t="s">
        <v>11</v>
      </c>
      <c r="D3419" t="s">
        <v>12</v>
      </c>
      <c r="E3419" t="s">
        <v>390</v>
      </c>
      <c r="F3419" t="s">
        <v>100</v>
      </c>
      <c r="G3419" t="s">
        <v>35</v>
      </c>
      <c r="H3419">
        <v>5</v>
      </c>
      <c r="I3419">
        <v>4375</v>
      </c>
      <c r="J3419">
        <v>347.43</v>
      </c>
    </row>
    <row r="3420" spans="1:10" x14ac:dyDescent="0.25">
      <c r="A3420" s="1">
        <v>45538</v>
      </c>
      <c r="B3420" t="s">
        <v>32</v>
      </c>
      <c r="C3420" t="s">
        <v>19</v>
      </c>
      <c r="D3420" t="s">
        <v>12</v>
      </c>
      <c r="E3420" t="s">
        <v>377</v>
      </c>
      <c r="F3420" t="s">
        <v>115</v>
      </c>
      <c r="G3420" t="s">
        <v>15</v>
      </c>
      <c r="H3420">
        <v>4</v>
      </c>
      <c r="I3420">
        <v>1064</v>
      </c>
      <c r="J3420">
        <v>263.48</v>
      </c>
    </row>
    <row r="3421" spans="1:10" x14ac:dyDescent="0.25">
      <c r="A3421" s="1">
        <v>44838</v>
      </c>
      <c r="B3421" t="s">
        <v>29</v>
      </c>
      <c r="C3421" t="s">
        <v>17</v>
      </c>
      <c r="D3421" t="s">
        <v>12</v>
      </c>
      <c r="E3421" t="s">
        <v>26</v>
      </c>
      <c r="F3421" t="s">
        <v>27</v>
      </c>
      <c r="G3421" t="s">
        <v>28</v>
      </c>
      <c r="H3421">
        <v>6</v>
      </c>
      <c r="I3421">
        <v>1068</v>
      </c>
      <c r="J3421">
        <v>190.77</v>
      </c>
    </row>
    <row r="3422" spans="1:10" x14ac:dyDescent="0.25">
      <c r="A3422" s="1">
        <v>45277</v>
      </c>
      <c r="B3422" t="s">
        <v>49</v>
      </c>
      <c r="C3422" t="s">
        <v>17</v>
      </c>
      <c r="D3422" t="s">
        <v>12</v>
      </c>
      <c r="E3422" t="s">
        <v>391</v>
      </c>
      <c r="F3422" t="s">
        <v>168</v>
      </c>
      <c r="G3422" t="s">
        <v>15</v>
      </c>
      <c r="H3422">
        <v>1</v>
      </c>
      <c r="I3422">
        <v>190</v>
      </c>
      <c r="J3422">
        <v>27.43</v>
      </c>
    </row>
    <row r="3423" spans="1:10" x14ac:dyDescent="0.25">
      <c r="A3423" s="1">
        <v>44739</v>
      </c>
      <c r="B3423" t="s">
        <v>10</v>
      </c>
      <c r="C3423" t="s">
        <v>11</v>
      </c>
      <c r="D3423" t="s">
        <v>12</v>
      </c>
      <c r="E3423" t="s">
        <v>138</v>
      </c>
      <c r="F3423" t="s">
        <v>94</v>
      </c>
      <c r="G3423" t="s">
        <v>24</v>
      </c>
      <c r="H3423">
        <v>7</v>
      </c>
      <c r="I3423">
        <v>7868</v>
      </c>
      <c r="J3423">
        <v>862.38</v>
      </c>
    </row>
    <row r="3424" spans="1:10" x14ac:dyDescent="0.25">
      <c r="A3424" s="1">
        <v>45629</v>
      </c>
      <c r="B3424" t="s">
        <v>49</v>
      </c>
      <c r="C3424" t="s">
        <v>17</v>
      </c>
      <c r="D3424" t="s">
        <v>12</v>
      </c>
      <c r="E3424" t="s">
        <v>75</v>
      </c>
      <c r="F3424" t="s">
        <v>108</v>
      </c>
      <c r="G3424" t="s">
        <v>15</v>
      </c>
      <c r="H3424">
        <v>3</v>
      </c>
      <c r="I3424">
        <v>1239</v>
      </c>
      <c r="J3424">
        <v>143.35</v>
      </c>
    </row>
    <row r="3425" spans="1:10" x14ac:dyDescent="0.25">
      <c r="A3425" s="1">
        <v>45179</v>
      </c>
      <c r="B3425" t="s">
        <v>36</v>
      </c>
      <c r="C3425" t="s">
        <v>17</v>
      </c>
      <c r="D3425" t="s">
        <v>12</v>
      </c>
      <c r="E3425" t="s">
        <v>74</v>
      </c>
      <c r="F3425" t="s">
        <v>23</v>
      </c>
      <c r="G3425" t="s">
        <v>24</v>
      </c>
      <c r="H3425">
        <v>2</v>
      </c>
      <c r="I3425">
        <v>1394</v>
      </c>
      <c r="J3425">
        <v>408.32</v>
      </c>
    </row>
    <row r="3426" spans="1:10" x14ac:dyDescent="0.25">
      <c r="A3426" s="1">
        <v>45329</v>
      </c>
      <c r="B3426" t="s">
        <v>40</v>
      </c>
      <c r="C3426" t="s">
        <v>19</v>
      </c>
      <c r="D3426" t="s">
        <v>12</v>
      </c>
      <c r="E3426" t="s">
        <v>74</v>
      </c>
      <c r="F3426" t="s">
        <v>23</v>
      </c>
      <c r="G3426" t="s">
        <v>24</v>
      </c>
      <c r="H3426">
        <v>5</v>
      </c>
      <c r="I3426">
        <v>2060</v>
      </c>
      <c r="J3426">
        <v>403.19</v>
      </c>
    </row>
    <row r="3427" spans="1:10" x14ac:dyDescent="0.25">
      <c r="A3427" s="1">
        <v>45086</v>
      </c>
      <c r="B3427" t="s">
        <v>55</v>
      </c>
      <c r="C3427" t="s">
        <v>19</v>
      </c>
      <c r="D3427" t="s">
        <v>12</v>
      </c>
      <c r="E3427" t="s">
        <v>52</v>
      </c>
      <c r="F3427" t="s">
        <v>42</v>
      </c>
      <c r="G3427" t="s">
        <v>28</v>
      </c>
      <c r="H3427">
        <v>1</v>
      </c>
      <c r="I3427">
        <v>1060</v>
      </c>
      <c r="J3427">
        <v>57.26</v>
      </c>
    </row>
    <row r="3428" spans="1:10" x14ac:dyDescent="0.25">
      <c r="A3428" s="1">
        <v>44911</v>
      </c>
      <c r="B3428" t="s">
        <v>36</v>
      </c>
      <c r="C3428" t="s">
        <v>17</v>
      </c>
      <c r="D3428" t="s">
        <v>12</v>
      </c>
      <c r="E3428" t="s">
        <v>307</v>
      </c>
      <c r="F3428" t="s">
        <v>156</v>
      </c>
      <c r="G3428" t="s">
        <v>28</v>
      </c>
      <c r="H3428">
        <v>7</v>
      </c>
      <c r="I3428">
        <v>7812</v>
      </c>
      <c r="J3428">
        <v>1478.43</v>
      </c>
    </row>
    <row r="3429" spans="1:10" x14ac:dyDescent="0.25">
      <c r="A3429" s="1">
        <v>45460</v>
      </c>
      <c r="B3429" t="s">
        <v>25</v>
      </c>
      <c r="C3429" t="s">
        <v>19</v>
      </c>
      <c r="D3429" t="s">
        <v>12</v>
      </c>
      <c r="E3429" t="s">
        <v>37</v>
      </c>
      <c r="F3429" t="s">
        <v>34</v>
      </c>
      <c r="G3429" t="s">
        <v>35</v>
      </c>
      <c r="H3429">
        <v>7</v>
      </c>
      <c r="I3429">
        <v>7077</v>
      </c>
      <c r="J3429">
        <v>804.15</v>
      </c>
    </row>
    <row r="3430" spans="1:10" x14ac:dyDescent="0.25">
      <c r="A3430" s="1">
        <v>45087</v>
      </c>
      <c r="B3430" t="s">
        <v>40</v>
      </c>
      <c r="C3430" t="s">
        <v>19</v>
      </c>
      <c r="D3430" t="s">
        <v>12</v>
      </c>
      <c r="E3430" t="s">
        <v>37</v>
      </c>
      <c r="F3430" t="s">
        <v>34</v>
      </c>
      <c r="G3430" t="s">
        <v>35</v>
      </c>
      <c r="H3430">
        <v>7</v>
      </c>
      <c r="I3430">
        <v>5712</v>
      </c>
      <c r="J3430">
        <v>929.42</v>
      </c>
    </row>
    <row r="3431" spans="1:10" x14ac:dyDescent="0.25">
      <c r="A3431" s="1">
        <v>44948</v>
      </c>
      <c r="B3431" t="s">
        <v>10</v>
      </c>
      <c r="C3431" t="s">
        <v>11</v>
      </c>
      <c r="D3431" t="s">
        <v>12</v>
      </c>
      <c r="E3431" t="s">
        <v>105</v>
      </c>
      <c r="F3431" t="s">
        <v>23</v>
      </c>
      <c r="G3431" t="s">
        <v>24</v>
      </c>
      <c r="H3431">
        <v>6</v>
      </c>
      <c r="I3431">
        <v>4146</v>
      </c>
      <c r="J3431">
        <v>966.79</v>
      </c>
    </row>
    <row r="3432" spans="1:10" x14ac:dyDescent="0.25">
      <c r="A3432" s="1">
        <v>45461</v>
      </c>
      <c r="B3432" t="s">
        <v>18</v>
      </c>
      <c r="C3432" t="s">
        <v>19</v>
      </c>
      <c r="D3432" t="s">
        <v>12</v>
      </c>
      <c r="E3432" t="s">
        <v>56</v>
      </c>
      <c r="F3432" t="s">
        <v>57</v>
      </c>
      <c r="G3432" t="s">
        <v>24</v>
      </c>
      <c r="H3432">
        <v>2</v>
      </c>
      <c r="I3432">
        <v>992</v>
      </c>
      <c r="J3432">
        <v>238.18</v>
      </c>
    </row>
    <row r="3433" spans="1:10" x14ac:dyDescent="0.25">
      <c r="A3433" s="1">
        <v>44664</v>
      </c>
      <c r="B3433" t="s">
        <v>32</v>
      </c>
      <c r="C3433" t="s">
        <v>19</v>
      </c>
      <c r="D3433" t="s">
        <v>12</v>
      </c>
      <c r="E3433" t="s">
        <v>20</v>
      </c>
      <c r="F3433" t="s">
        <v>21</v>
      </c>
      <c r="G3433" t="s">
        <v>15</v>
      </c>
      <c r="H3433">
        <v>2</v>
      </c>
      <c r="I3433">
        <v>1756</v>
      </c>
      <c r="J3433">
        <v>165.6</v>
      </c>
    </row>
    <row r="3434" spans="1:10" x14ac:dyDescent="0.25">
      <c r="A3434" s="1">
        <v>45025</v>
      </c>
      <c r="B3434" t="s">
        <v>36</v>
      </c>
      <c r="C3434" t="s">
        <v>17</v>
      </c>
      <c r="D3434" t="s">
        <v>12</v>
      </c>
      <c r="E3434" t="s">
        <v>134</v>
      </c>
      <c r="F3434" t="s">
        <v>42</v>
      </c>
      <c r="G3434" t="s">
        <v>28</v>
      </c>
      <c r="H3434">
        <v>4</v>
      </c>
      <c r="I3434">
        <v>3632</v>
      </c>
      <c r="J3434">
        <v>566.80999999999995</v>
      </c>
    </row>
    <row r="3435" spans="1:10" x14ac:dyDescent="0.25">
      <c r="A3435" s="1">
        <v>45368</v>
      </c>
      <c r="B3435" t="s">
        <v>29</v>
      </c>
      <c r="C3435" t="s">
        <v>17</v>
      </c>
      <c r="D3435" t="s">
        <v>12</v>
      </c>
      <c r="E3435" t="s">
        <v>390</v>
      </c>
      <c r="F3435" t="s">
        <v>44</v>
      </c>
      <c r="G3435" t="s">
        <v>35</v>
      </c>
      <c r="H3435">
        <v>4</v>
      </c>
      <c r="I3435">
        <v>3912</v>
      </c>
      <c r="J3435">
        <v>550.09</v>
      </c>
    </row>
    <row r="3436" spans="1:10" x14ac:dyDescent="0.25">
      <c r="A3436" s="1">
        <v>45065</v>
      </c>
      <c r="B3436" t="s">
        <v>10</v>
      </c>
      <c r="C3436" t="s">
        <v>11</v>
      </c>
      <c r="D3436" t="s">
        <v>12</v>
      </c>
      <c r="E3436" t="s">
        <v>74</v>
      </c>
      <c r="F3436" t="s">
        <v>23</v>
      </c>
      <c r="G3436" t="s">
        <v>24</v>
      </c>
      <c r="H3436">
        <v>9</v>
      </c>
      <c r="I3436">
        <v>3123</v>
      </c>
      <c r="J3436">
        <v>741.23</v>
      </c>
    </row>
    <row r="3437" spans="1:10" x14ac:dyDescent="0.25">
      <c r="A3437" s="1">
        <v>44824</v>
      </c>
      <c r="B3437" t="s">
        <v>10</v>
      </c>
      <c r="C3437" t="s">
        <v>11</v>
      </c>
      <c r="D3437" t="s">
        <v>12</v>
      </c>
      <c r="E3437" t="s">
        <v>74</v>
      </c>
      <c r="F3437" t="s">
        <v>23</v>
      </c>
      <c r="G3437" t="s">
        <v>24</v>
      </c>
      <c r="H3437">
        <v>4</v>
      </c>
      <c r="I3437">
        <v>700</v>
      </c>
      <c r="J3437">
        <v>120.19</v>
      </c>
    </row>
    <row r="3438" spans="1:10" x14ac:dyDescent="0.25">
      <c r="A3438" s="1">
        <v>44867</v>
      </c>
      <c r="B3438" t="s">
        <v>18</v>
      </c>
      <c r="C3438" t="s">
        <v>19</v>
      </c>
      <c r="D3438" t="s">
        <v>12</v>
      </c>
      <c r="E3438" t="s">
        <v>52</v>
      </c>
      <c r="F3438" t="s">
        <v>42</v>
      </c>
      <c r="G3438" t="s">
        <v>28</v>
      </c>
      <c r="H3438">
        <v>8</v>
      </c>
      <c r="I3438">
        <v>408</v>
      </c>
      <c r="J3438">
        <v>83.16</v>
      </c>
    </row>
    <row r="3439" spans="1:10" x14ac:dyDescent="0.25">
      <c r="A3439" s="1">
        <v>44913</v>
      </c>
      <c r="B3439" t="s">
        <v>40</v>
      </c>
      <c r="C3439" t="s">
        <v>19</v>
      </c>
      <c r="D3439" t="s">
        <v>12</v>
      </c>
      <c r="E3439" t="s">
        <v>187</v>
      </c>
      <c r="F3439" t="s">
        <v>23</v>
      </c>
      <c r="G3439" t="s">
        <v>24</v>
      </c>
      <c r="H3439">
        <v>4</v>
      </c>
      <c r="I3439">
        <v>4056</v>
      </c>
      <c r="J3439">
        <v>768.81</v>
      </c>
    </row>
    <row r="3440" spans="1:10" x14ac:dyDescent="0.25">
      <c r="A3440" s="1">
        <v>45419</v>
      </c>
      <c r="B3440" t="s">
        <v>55</v>
      </c>
      <c r="C3440" t="s">
        <v>19</v>
      </c>
      <c r="D3440" t="s">
        <v>12</v>
      </c>
      <c r="E3440" t="s">
        <v>162</v>
      </c>
      <c r="F3440" t="s">
        <v>23</v>
      </c>
      <c r="G3440" t="s">
        <v>24</v>
      </c>
      <c r="H3440">
        <v>1</v>
      </c>
      <c r="I3440">
        <v>770</v>
      </c>
      <c r="J3440">
        <v>121.75</v>
      </c>
    </row>
    <row r="3441" spans="1:10" x14ac:dyDescent="0.25">
      <c r="A3441" s="1">
        <v>44599</v>
      </c>
      <c r="B3441" t="s">
        <v>32</v>
      </c>
      <c r="C3441" t="s">
        <v>19</v>
      </c>
      <c r="D3441" t="s">
        <v>12</v>
      </c>
      <c r="E3441" t="s">
        <v>162</v>
      </c>
      <c r="F3441" t="s">
        <v>23</v>
      </c>
      <c r="G3441" t="s">
        <v>24</v>
      </c>
      <c r="H3441">
        <v>3</v>
      </c>
      <c r="I3441">
        <v>531</v>
      </c>
      <c r="J3441">
        <v>73.349999999999994</v>
      </c>
    </row>
    <row r="3442" spans="1:10" x14ac:dyDescent="0.25">
      <c r="A3442" s="1">
        <v>45080</v>
      </c>
      <c r="B3442" t="s">
        <v>36</v>
      </c>
      <c r="C3442" t="s">
        <v>17</v>
      </c>
      <c r="D3442" t="s">
        <v>12</v>
      </c>
      <c r="E3442" t="s">
        <v>26</v>
      </c>
      <c r="F3442" t="s">
        <v>27</v>
      </c>
      <c r="G3442" t="s">
        <v>28</v>
      </c>
      <c r="H3442">
        <v>5</v>
      </c>
      <c r="I3442">
        <v>280</v>
      </c>
      <c r="J3442">
        <v>79.77</v>
      </c>
    </row>
    <row r="3443" spans="1:10" x14ac:dyDescent="0.25">
      <c r="A3443" s="1">
        <v>45383</v>
      </c>
      <c r="B3443" t="s">
        <v>55</v>
      </c>
      <c r="C3443" t="s">
        <v>19</v>
      </c>
      <c r="D3443" t="s">
        <v>12</v>
      </c>
      <c r="E3443" t="s">
        <v>75</v>
      </c>
      <c r="F3443" t="s">
        <v>63</v>
      </c>
      <c r="G3443" t="s">
        <v>28</v>
      </c>
      <c r="H3443">
        <v>7</v>
      </c>
      <c r="I3443">
        <v>4550</v>
      </c>
      <c r="J3443">
        <v>892.73</v>
      </c>
    </row>
    <row r="3444" spans="1:10" x14ac:dyDescent="0.25">
      <c r="A3444" s="1">
        <v>45023</v>
      </c>
      <c r="B3444" t="s">
        <v>32</v>
      </c>
      <c r="C3444" t="s">
        <v>19</v>
      </c>
      <c r="D3444" t="s">
        <v>12</v>
      </c>
      <c r="E3444" t="s">
        <v>392</v>
      </c>
      <c r="F3444" t="s">
        <v>65</v>
      </c>
      <c r="G3444" t="s">
        <v>35</v>
      </c>
      <c r="H3444">
        <v>5</v>
      </c>
      <c r="I3444">
        <v>2480</v>
      </c>
      <c r="J3444">
        <v>601.66</v>
      </c>
    </row>
    <row r="3445" spans="1:10" x14ac:dyDescent="0.25">
      <c r="A3445" s="1">
        <v>44699</v>
      </c>
      <c r="B3445" t="s">
        <v>10</v>
      </c>
      <c r="C3445" t="s">
        <v>11</v>
      </c>
      <c r="D3445" t="s">
        <v>12</v>
      </c>
      <c r="E3445" t="s">
        <v>37</v>
      </c>
      <c r="F3445" t="s">
        <v>34</v>
      </c>
      <c r="G3445" t="s">
        <v>35</v>
      </c>
      <c r="H3445">
        <v>6</v>
      </c>
      <c r="I3445">
        <v>2604</v>
      </c>
      <c r="J3445">
        <v>305.73</v>
      </c>
    </row>
    <row r="3446" spans="1:10" x14ac:dyDescent="0.25">
      <c r="A3446" s="1">
        <v>44617</v>
      </c>
      <c r="B3446" t="s">
        <v>49</v>
      </c>
      <c r="C3446" t="s">
        <v>17</v>
      </c>
      <c r="D3446" t="s">
        <v>12</v>
      </c>
      <c r="E3446" t="s">
        <v>91</v>
      </c>
      <c r="F3446" t="s">
        <v>149</v>
      </c>
      <c r="G3446" t="s">
        <v>15</v>
      </c>
      <c r="H3446">
        <v>7</v>
      </c>
      <c r="I3446">
        <v>1351</v>
      </c>
      <c r="J3446">
        <v>310.02999999999997</v>
      </c>
    </row>
    <row r="3447" spans="1:10" x14ac:dyDescent="0.25">
      <c r="A3447" s="1">
        <v>45172</v>
      </c>
      <c r="B3447" t="s">
        <v>36</v>
      </c>
      <c r="C3447" t="s">
        <v>17</v>
      </c>
      <c r="D3447" t="s">
        <v>12</v>
      </c>
      <c r="E3447" t="s">
        <v>187</v>
      </c>
      <c r="F3447" t="s">
        <v>23</v>
      </c>
      <c r="G3447" t="s">
        <v>24</v>
      </c>
      <c r="H3447">
        <v>5</v>
      </c>
      <c r="I3447">
        <v>4615</v>
      </c>
      <c r="J3447">
        <v>251</v>
      </c>
    </row>
    <row r="3448" spans="1:10" x14ac:dyDescent="0.25">
      <c r="A3448" s="1">
        <v>45373</v>
      </c>
      <c r="B3448" t="s">
        <v>16</v>
      </c>
      <c r="C3448" t="s">
        <v>17</v>
      </c>
      <c r="D3448" t="s">
        <v>12</v>
      </c>
      <c r="E3448" t="s">
        <v>393</v>
      </c>
      <c r="F3448" t="s">
        <v>394</v>
      </c>
      <c r="G3448" t="s">
        <v>24</v>
      </c>
      <c r="H3448">
        <v>1</v>
      </c>
      <c r="I3448">
        <v>829</v>
      </c>
      <c r="J3448">
        <v>165.05</v>
      </c>
    </row>
    <row r="3449" spans="1:10" x14ac:dyDescent="0.25">
      <c r="A3449" s="1">
        <v>45366</v>
      </c>
      <c r="B3449" t="s">
        <v>25</v>
      </c>
      <c r="C3449" t="s">
        <v>19</v>
      </c>
      <c r="D3449" t="s">
        <v>12</v>
      </c>
      <c r="E3449" t="s">
        <v>112</v>
      </c>
      <c r="F3449" t="s">
        <v>63</v>
      </c>
      <c r="G3449" t="s">
        <v>28</v>
      </c>
      <c r="H3449">
        <v>3</v>
      </c>
      <c r="I3449">
        <v>177</v>
      </c>
      <c r="J3449">
        <v>43.41</v>
      </c>
    </row>
    <row r="3450" spans="1:10" x14ac:dyDescent="0.25">
      <c r="A3450" s="1">
        <v>44918</v>
      </c>
      <c r="B3450" t="s">
        <v>29</v>
      </c>
      <c r="C3450" t="s">
        <v>17</v>
      </c>
      <c r="D3450" t="s">
        <v>12</v>
      </c>
      <c r="E3450" t="s">
        <v>269</v>
      </c>
      <c r="F3450" t="s">
        <v>21</v>
      </c>
      <c r="G3450" t="s">
        <v>15</v>
      </c>
      <c r="H3450">
        <v>1</v>
      </c>
      <c r="I3450">
        <v>1086</v>
      </c>
      <c r="J3450">
        <v>161.05000000000001</v>
      </c>
    </row>
    <row r="3451" spans="1:10" x14ac:dyDescent="0.25">
      <c r="A3451" s="1">
        <v>45042</v>
      </c>
      <c r="B3451" t="s">
        <v>55</v>
      </c>
      <c r="C3451" t="s">
        <v>19</v>
      </c>
      <c r="D3451" t="s">
        <v>12</v>
      </c>
      <c r="E3451" t="s">
        <v>43</v>
      </c>
      <c r="F3451" t="s">
        <v>44</v>
      </c>
      <c r="G3451" t="s">
        <v>35</v>
      </c>
      <c r="H3451">
        <v>5</v>
      </c>
      <c r="I3451">
        <v>275</v>
      </c>
      <c r="J3451">
        <v>64.900000000000006</v>
      </c>
    </row>
    <row r="3452" spans="1:10" x14ac:dyDescent="0.25">
      <c r="A3452" s="1">
        <v>44910</v>
      </c>
      <c r="B3452" t="s">
        <v>16</v>
      </c>
      <c r="C3452" t="s">
        <v>17</v>
      </c>
      <c r="D3452" t="s">
        <v>12</v>
      </c>
      <c r="E3452" t="s">
        <v>270</v>
      </c>
      <c r="F3452" t="s">
        <v>54</v>
      </c>
      <c r="G3452" t="s">
        <v>24</v>
      </c>
      <c r="H3452">
        <v>1</v>
      </c>
      <c r="I3452">
        <v>564</v>
      </c>
      <c r="J3452">
        <v>164.5</v>
      </c>
    </row>
    <row r="3453" spans="1:10" x14ac:dyDescent="0.25">
      <c r="A3453" s="1">
        <v>45517</v>
      </c>
      <c r="B3453" t="s">
        <v>49</v>
      </c>
      <c r="C3453" t="s">
        <v>17</v>
      </c>
      <c r="D3453" t="s">
        <v>12</v>
      </c>
      <c r="E3453" t="s">
        <v>52</v>
      </c>
      <c r="F3453" t="s">
        <v>42</v>
      </c>
      <c r="G3453" t="s">
        <v>28</v>
      </c>
      <c r="H3453">
        <v>2</v>
      </c>
      <c r="I3453">
        <v>684</v>
      </c>
      <c r="J3453">
        <v>71.39</v>
      </c>
    </row>
    <row r="3454" spans="1:10" x14ac:dyDescent="0.25">
      <c r="A3454" s="1">
        <v>45219</v>
      </c>
      <c r="B3454" t="s">
        <v>55</v>
      </c>
      <c r="C3454" t="s">
        <v>19</v>
      </c>
      <c r="D3454" t="s">
        <v>12</v>
      </c>
      <c r="E3454" t="s">
        <v>52</v>
      </c>
      <c r="F3454" t="s">
        <v>42</v>
      </c>
      <c r="G3454" t="s">
        <v>28</v>
      </c>
      <c r="H3454">
        <v>4</v>
      </c>
      <c r="I3454">
        <v>2656</v>
      </c>
      <c r="J3454">
        <v>687.63</v>
      </c>
    </row>
    <row r="3455" spans="1:10" x14ac:dyDescent="0.25">
      <c r="A3455" s="1">
        <v>45485</v>
      </c>
      <c r="B3455" t="s">
        <v>55</v>
      </c>
      <c r="C3455" t="s">
        <v>19</v>
      </c>
      <c r="D3455" t="s">
        <v>12</v>
      </c>
      <c r="E3455" t="s">
        <v>90</v>
      </c>
      <c r="F3455" t="s">
        <v>63</v>
      </c>
      <c r="G3455" t="s">
        <v>28</v>
      </c>
      <c r="H3455">
        <v>5</v>
      </c>
      <c r="I3455">
        <v>1190</v>
      </c>
      <c r="J3455">
        <v>346.79</v>
      </c>
    </row>
    <row r="3456" spans="1:10" x14ac:dyDescent="0.25">
      <c r="A3456" s="1">
        <v>45627</v>
      </c>
      <c r="B3456" t="s">
        <v>10</v>
      </c>
      <c r="C3456" t="s">
        <v>11</v>
      </c>
      <c r="D3456" t="s">
        <v>12</v>
      </c>
      <c r="E3456" t="s">
        <v>105</v>
      </c>
      <c r="F3456" t="s">
        <v>23</v>
      </c>
      <c r="G3456" t="s">
        <v>24</v>
      </c>
      <c r="H3456">
        <v>6</v>
      </c>
      <c r="I3456">
        <v>4854</v>
      </c>
      <c r="J3456">
        <v>510.88</v>
      </c>
    </row>
    <row r="3457" spans="1:10" x14ac:dyDescent="0.25">
      <c r="A3457" s="1">
        <v>45336</v>
      </c>
      <c r="B3457" t="s">
        <v>10</v>
      </c>
      <c r="C3457" t="s">
        <v>11</v>
      </c>
      <c r="D3457" t="s">
        <v>12</v>
      </c>
      <c r="E3457" t="s">
        <v>105</v>
      </c>
      <c r="F3457" t="s">
        <v>23</v>
      </c>
      <c r="G3457" t="s">
        <v>24</v>
      </c>
      <c r="H3457">
        <v>5</v>
      </c>
      <c r="I3457">
        <v>1060</v>
      </c>
      <c r="J3457">
        <v>217.96</v>
      </c>
    </row>
    <row r="3458" spans="1:10" x14ac:dyDescent="0.25">
      <c r="A3458" s="1">
        <v>45535</v>
      </c>
      <c r="B3458" t="s">
        <v>55</v>
      </c>
      <c r="C3458" t="s">
        <v>19</v>
      </c>
      <c r="D3458" t="s">
        <v>12</v>
      </c>
      <c r="E3458" t="s">
        <v>52</v>
      </c>
      <c r="F3458" t="s">
        <v>42</v>
      </c>
      <c r="G3458" t="s">
        <v>28</v>
      </c>
      <c r="H3458">
        <v>3</v>
      </c>
      <c r="I3458">
        <v>1527</v>
      </c>
      <c r="J3458">
        <v>364.05</v>
      </c>
    </row>
    <row r="3459" spans="1:10" x14ac:dyDescent="0.25">
      <c r="A3459" s="1">
        <v>45218</v>
      </c>
      <c r="B3459" t="s">
        <v>16</v>
      </c>
      <c r="C3459" t="s">
        <v>17</v>
      </c>
      <c r="D3459" t="s">
        <v>12</v>
      </c>
      <c r="E3459" t="s">
        <v>195</v>
      </c>
      <c r="F3459" t="s">
        <v>83</v>
      </c>
      <c r="G3459" t="s">
        <v>28</v>
      </c>
      <c r="H3459">
        <v>4</v>
      </c>
      <c r="I3459">
        <v>1168</v>
      </c>
      <c r="J3459">
        <v>177.54</v>
      </c>
    </row>
    <row r="3460" spans="1:10" x14ac:dyDescent="0.25">
      <c r="A3460" s="1">
        <v>45032</v>
      </c>
      <c r="B3460" t="s">
        <v>18</v>
      </c>
      <c r="C3460" t="s">
        <v>19</v>
      </c>
      <c r="D3460" t="s">
        <v>12</v>
      </c>
      <c r="E3460" t="s">
        <v>37</v>
      </c>
      <c r="F3460" t="s">
        <v>34</v>
      </c>
      <c r="G3460" t="s">
        <v>35</v>
      </c>
      <c r="H3460">
        <v>8</v>
      </c>
      <c r="I3460">
        <v>6328</v>
      </c>
      <c r="J3460">
        <v>1257.81</v>
      </c>
    </row>
    <row r="3461" spans="1:10" x14ac:dyDescent="0.25">
      <c r="A3461" s="1">
        <v>45460</v>
      </c>
      <c r="B3461" t="s">
        <v>40</v>
      </c>
      <c r="C3461" t="s">
        <v>19</v>
      </c>
      <c r="D3461" t="s">
        <v>12</v>
      </c>
      <c r="E3461" t="s">
        <v>37</v>
      </c>
      <c r="F3461" t="s">
        <v>34</v>
      </c>
      <c r="G3461" t="s">
        <v>35</v>
      </c>
      <c r="H3461">
        <v>3</v>
      </c>
      <c r="I3461">
        <v>2193</v>
      </c>
      <c r="J3461">
        <v>477.95</v>
      </c>
    </row>
    <row r="3462" spans="1:10" x14ac:dyDescent="0.25">
      <c r="A3462" s="1">
        <v>45044</v>
      </c>
      <c r="B3462" t="s">
        <v>32</v>
      </c>
      <c r="C3462" t="s">
        <v>19</v>
      </c>
      <c r="D3462" t="s">
        <v>12</v>
      </c>
      <c r="E3462" t="s">
        <v>207</v>
      </c>
      <c r="F3462" t="s">
        <v>34</v>
      </c>
      <c r="G3462" t="s">
        <v>35</v>
      </c>
      <c r="H3462">
        <v>8</v>
      </c>
      <c r="I3462">
        <v>7600</v>
      </c>
      <c r="J3462">
        <v>1099.8800000000001</v>
      </c>
    </row>
    <row r="3463" spans="1:10" x14ac:dyDescent="0.25">
      <c r="A3463" s="1">
        <v>45000</v>
      </c>
      <c r="B3463" t="s">
        <v>10</v>
      </c>
      <c r="C3463" t="s">
        <v>11</v>
      </c>
      <c r="D3463" t="s">
        <v>12</v>
      </c>
      <c r="E3463" t="s">
        <v>56</v>
      </c>
      <c r="F3463" t="s">
        <v>57</v>
      </c>
      <c r="G3463" t="s">
        <v>24</v>
      </c>
      <c r="H3463">
        <v>9</v>
      </c>
      <c r="I3463">
        <v>1764</v>
      </c>
      <c r="J3463">
        <v>322.11</v>
      </c>
    </row>
    <row r="3464" spans="1:10" x14ac:dyDescent="0.25">
      <c r="A3464" s="1">
        <v>44701</v>
      </c>
      <c r="B3464" t="s">
        <v>49</v>
      </c>
      <c r="C3464" t="s">
        <v>17</v>
      </c>
      <c r="D3464" t="s">
        <v>12</v>
      </c>
      <c r="E3464" t="s">
        <v>26</v>
      </c>
      <c r="F3464" t="s">
        <v>27</v>
      </c>
      <c r="G3464" t="s">
        <v>28</v>
      </c>
      <c r="H3464">
        <v>2</v>
      </c>
      <c r="I3464">
        <v>1270</v>
      </c>
      <c r="J3464">
        <v>84.29</v>
      </c>
    </row>
    <row r="3465" spans="1:10" x14ac:dyDescent="0.25">
      <c r="A3465" s="1">
        <v>44947</v>
      </c>
      <c r="B3465" t="s">
        <v>18</v>
      </c>
      <c r="C3465" t="s">
        <v>19</v>
      </c>
      <c r="D3465" t="s">
        <v>12</v>
      </c>
      <c r="E3465" t="s">
        <v>64</v>
      </c>
      <c r="F3465" t="s">
        <v>46</v>
      </c>
      <c r="G3465" t="s">
        <v>15</v>
      </c>
      <c r="H3465">
        <v>1</v>
      </c>
      <c r="I3465">
        <v>607</v>
      </c>
      <c r="J3465">
        <v>33.770000000000003</v>
      </c>
    </row>
    <row r="3466" spans="1:10" x14ac:dyDescent="0.25">
      <c r="A3466" s="1">
        <v>45008</v>
      </c>
      <c r="B3466" t="s">
        <v>16</v>
      </c>
      <c r="C3466" t="s">
        <v>17</v>
      </c>
      <c r="D3466" t="s">
        <v>12</v>
      </c>
      <c r="E3466" t="s">
        <v>22</v>
      </c>
      <c r="F3466" t="s">
        <v>23</v>
      </c>
      <c r="G3466" t="s">
        <v>24</v>
      </c>
      <c r="H3466">
        <v>2</v>
      </c>
      <c r="I3466">
        <v>1672</v>
      </c>
      <c r="J3466">
        <v>469.64</v>
      </c>
    </row>
    <row r="3467" spans="1:10" x14ac:dyDescent="0.25">
      <c r="A3467" s="1">
        <v>45105</v>
      </c>
      <c r="B3467" t="s">
        <v>49</v>
      </c>
      <c r="C3467" t="s">
        <v>17</v>
      </c>
      <c r="D3467" t="s">
        <v>12</v>
      </c>
      <c r="E3467" t="s">
        <v>52</v>
      </c>
      <c r="F3467" t="s">
        <v>42</v>
      </c>
      <c r="G3467" t="s">
        <v>28</v>
      </c>
      <c r="H3467">
        <v>6</v>
      </c>
      <c r="I3467">
        <v>5718</v>
      </c>
      <c r="J3467">
        <v>1358.26</v>
      </c>
    </row>
    <row r="3468" spans="1:10" x14ac:dyDescent="0.25">
      <c r="A3468" s="1">
        <v>44681</v>
      </c>
      <c r="B3468" t="s">
        <v>29</v>
      </c>
      <c r="C3468" t="s">
        <v>17</v>
      </c>
      <c r="D3468" t="s">
        <v>12</v>
      </c>
      <c r="E3468" t="s">
        <v>105</v>
      </c>
      <c r="F3468" t="s">
        <v>23</v>
      </c>
      <c r="G3468" t="s">
        <v>24</v>
      </c>
      <c r="H3468">
        <v>8</v>
      </c>
      <c r="I3468">
        <v>584</v>
      </c>
      <c r="J3468">
        <v>107.27</v>
      </c>
    </row>
    <row r="3469" spans="1:10" x14ac:dyDescent="0.25">
      <c r="A3469" s="1">
        <v>45009</v>
      </c>
      <c r="B3469" t="s">
        <v>25</v>
      </c>
      <c r="C3469" t="s">
        <v>19</v>
      </c>
      <c r="D3469" t="s">
        <v>12</v>
      </c>
      <c r="E3469" t="s">
        <v>26</v>
      </c>
      <c r="F3469" t="s">
        <v>27</v>
      </c>
      <c r="G3469" t="s">
        <v>28</v>
      </c>
      <c r="H3469">
        <v>7</v>
      </c>
      <c r="I3469">
        <v>7455</v>
      </c>
      <c r="J3469">
        <v>966.64</v>
      </c>
    </row>
    <row r="3470" spans="1:10" x14ac:dyDescent="0.25">
      <c r="A3470" s="1">
        <v>44645</v>
      </c>
      <c r="B3470" t="s">
        <v>49</v>
      </c>
      <c r="C3470" t="s">
        <v>17</v>
      </c>
      <c r="D3470" t="s">
        <v>12</v>
      </c>
      <c r="E3470" t="s">
        <v>271</v>
      </c>
      <c r="F3470" t="s">
        <v>88</v>
      </c>
      <c r="G3470" t="s">
        <v>15</v>
      </c>
      <c r="H3470">
        <v>7</v>
      </c>
      <c r="I3470">
        <v>7679</v>
      </c>
      <c r="J3470">
        <v>2270.08</v>
      </c>
    </row>
    <row r="3471" spans="1:10" x14ac:dyDescent="0.25">
      <c r="A3471" s="1">
        <v>44714</v>
      </c>
      <c r="B3471" t="s">
        <v>18</v>
      </c>
      <c r="C3471" t="s">
        <v>19</v>
      </c>
      <c r="D3471" t="s">
        <v>12</v>
      </c>
      <c r="E3471" t="s">
        <v>105</v>
      </c>
      <c r="F3471" t="s">
        <v>23</v>
      </c>
      <c r="G3471" t="s">
        <v>24</v>
      </c>
      <c r="H3471">
        <v>7</v>
      </c>
      <c r="I3471">
        <v>847</v>
      </c>
      <c r="J3471">
        <v>154.05000000000001</v>
      </c>
    </row>
    <row r="3472" spans="1:10" x14ac:dyDescent="0.25">
      <c r="A3472" s="1">
        <v>44773</v>
      </c>
      <c r="B3472" t="s">
        <v>16</v>
      </c>
      <c r="C3472" t="s">
        <v>17</v>
      </c>
      <c r="D3472" t="s">
        <v>12</v>
      </c>
      <c r="E3472" t="s">
        <v>118</v>
      </c>
      <c r="F3472" t="s">
        <v>42</v>
      </c>
      <c r="G3472" t="s">
        <v>28</v>
      </c>
      <c r="H3472">
        <v>3</v>
      </c>
      <c r="I3472">
        <v>1278</v>
      </c>
      <c r="J3472">
        <v>178.78</v>
      </c>
    </row>
    <row r="3473" spans="1:10" x14ac:dyDescent="0.25">
      <c r="A3473" s="1">
        <v>45312</v>
      </c>
      <c r="B3473" t="s">
        <v>49</v>
      </c>
      <c r="C3473" t="s">
        <v>17</v>
      </c>
      <c r="D3473" t="s">
        <v>12</v>
      </c>
      <c r="E3473" t="s">
        <v>139</v>
      </c>
      <c r="F3473" t="s">
        <v>34</v>
      </c>
      <c r="G3473" t="s">
        <v>35</v>
      </c>
      <c r="H3473">
        <v>8</v>
      </c>
      <c r="I3473">
        <v>6592</v>
      </c>
      <c r="J3473">
        <v>1024.82</v>
      </c>
    </row>
    <row r="3474" spans="1:10" x14ac:dyDescent="0.25">
      <c r="A3474" s="1">
        <v>45182</v>
      </c>
      <c r="B3474" t="s">
        <v>36</v>
      </c>
      <c r="C3474" t="s">
        <v>17</v>
      </c>
      <c r="D3474" t="s">
        <v>12</v>
      </c>
      <c r="E3474" t="s">
        <v>47</v>
      </c>
      <c r="F3474" t="s">
        <v>46</v>
      </c>
      <c r="G3474" t="s">
        <v>15</v>
      </c>
      <c r="H3474">
        <v>8</v>
      </c>
      <c r="I3474">
        <v>3544</v>
      </c>
      <c r="J3474">
        <v>454.14</v>
      </c>
    </row>
    <row r="3475" spans="1:10" x14ac:dyDescent="0.25">
      <c r="A3475" s="1">
        <v>45279</v>
      </c>
      <c r="B3475" t="s">
        <v>25</v>
      </c>
      <c r="C3475" t="s">
        <v>19</v>
      </c>
      <c r="D3475" t="s">
        <v>12</v>
      </c>
      <c r="E3475" t="s">
        <v>52</v>
      </c>
      <c r="F3475" t="s">
        <v>42</v>
      </c>
      <c r="G3475" t="s">
        <v>28</v>
      </c>
      <c r="H3475">
        <v>3</v>
      </c>
      <c r="I3475">
        <v>1959</v>
      </c>
      <c r="J3475">
        <v>274.27</v>
      </c>
    </row>
    <row r="3476" spans="1:10" x14ac:dyDescent="0.25">
      <c r="A3476" s="1">
        <v>44775</v>
      </c>
      <c r="B3476" t="s">
        <v>16</v>
      </c>
      <c r="C3476" t="s">
        <v>17</v>
      </c>
      <c r="D3476" t="s">
        <v>12</v>
      </c>
      <c r="E3476" t="s">
        <v>43</v>
      </c>
      <c r="F3476" t="s">
        <v>44</v>
      </c>
      <c r="G3476" t="s">
        <v>35</v>
      </c>
      <c r="H3476">
        <v>6</v>
      </c>
      <c r="I3476">
        <v>3384</v>
      </c>
      <c r="J3476">
        <v>924.03</v>
      </c>
    </row>
    <row r="3477" spans="1:10" x14ac:dyDescent="0.25">
      <c r="A3477" s="1">
        <v>45255</v>
      </c>
      <c r="B3477" t="s">
        <v>40</v>
      </c>
      <c r="C3477" t="s">
        <v>19</v>
      </c>
      <c r="D3477" t="s">
        <v>12</v>
      </c>
      <c r="E3477" t="s">
        <v>184</v>
      </c>
      <c r="F3477" t="s">
        <v>23</v>
      </c>
      <c r="G3477" t="s">
        <v>24</v>
      </c>
      <c r="H3477">
        <v>1</v>
      </c>
      <c r="I3477">
        <v>307</v>
      </c>
      <c r="J3477">
        <v>50.2</v>
      </c>
    </row>
    <row r="3478" spans="1:10" x14ac:dyDescent="0.25">
      <c r="A3478" s="1">
        <v>44771</v>
      </c>
      <c r="B3478" t="s">
        <v>25</v>
      </c>
      <c r="C3478" t="s">
        <v>19</v>
      </c>
      <c r="D3478" t="s">
        <v>12</v>
      </c>
      <c r="E3478" t="s">
        <v>184</v>
      </c>
      <c r="F3478" t="s">
        <v>23</v>
      </c>
      <c r="G3478" t="s">
        <v>24</v>
      </c>
      <c r="H3478">
        <v>9</v>
      </c>
      <c r="I3478">
        <v>10017</v>
      </c>
      <c r="J3478">
        <v>1468.72</v>
      </c>
    </row>
    <row r="3479" spans="1:10" x14ac:dyDescent="0.25">
      <c r="A3479" s="1">
        <v>45600</v>
      </c>
      <c r="B3479" t="s">
        <v>18</v>
      </c>
      <c r="C3479" t="s">
        <v>19</v>
      </c>
      <c r="D3479" t="s">
        <v>12</v>
      </c>
      <c r="E3479" t="s">
        <v>272</v>
      </c>
      <c r="F3479" t="s">
        <v>84</v>
      </c>
      <c r="G3479" t="s">
        <v>28</v>
      </c>
      <c r="H3479">
        <v>7</v>
      </c>
      <c r="I3479">
        <v>7931</v>
      </c>
      <c r="J3479">
        <v>504.39</v>
      </c>
    </row>
    <row r="3480" spans="1:10" x14ac:dyDescent="0.25">
      <c r="A3480" s="1">
        <v>45585</v>
      </c>
      <c r="B3480" t="s">
        <v>55</v>
      </c>
      <c r="C3480" t="s">
        <v>19</v>
      </c>
      <c r="D3480" t="s">
        <v>12</v>
      </c>
      <c r="E3480" t="s">
        <v>105</v>
      </c>
      <c r="F3480" t="s">
        <v>23</v>
      </c>
      <c r="G3480" t="s">
        <v>24</v>
      </c>
      <c r="H3480">
        <v>2</v>
      </c>
      <c r="I3480">
        <v>1168</v>
      </c>
      <c r="J3480">
        <v>198.4</v>
      </c>
    </row>
    <row r="3481" spans="1:10" x14ac:dyDescent="0.25">
      <c r="A3481" s="1">
        <v>45370</v>
      </c>
      <c r="B3481" t="s">
        <v>40</v>
      </c>
      <c r="C3481" t="s">
        <v>19</v>
      </c>
      <c r="D3481" t="s">
        <v>12</v>
      </c>
      <c r="E3481" t="s">
        <v>273</v>
      </c>
      <c r="F3481" t="s">
        <v>83</v>
      </c>
      <c r="G3481" t="s">
        <v>28</v>
      </c>
      <c r="H3481">
        <v>9</v>
      </c>
      <c r="I3481">
        <v>9765</v>
      </c>
      <c r="J3481">
        <v>909.99</v>
      </c>
    </row>
    <row r="3482" spans="1:10" x14ac:dyDescent="0.25">
      <c r="A3482" s="1">
        <v>45190</v>
      </c>
      <c r="B3482" t="s">
        <v>18</v>
      </c>
      <c r="C3482" t="s">
        <v>19</v>
      </c>
      <c r="D3482" t="s">
        <v>12</v>
      </c>
      <c r="E3482" t="s">
        <v>52</v>
      </c>
      <c r="F3482" t="s">
        <v>42</v>
      </c>
      <c r="G3482" t="s">
        <v>28</v>
      </c>
      <c r="H3482">
        <v>8</v>
      </c>
      <c r="I3482">
        <v>1456</v>
      </c>
      <c r="J3482">
        <v>271.26</v>
      </c>
    </row>
    <row r="3483" spans="1:10" x14ac:dyDescent="0.25">
      <c r="A3483" s="1">
        <v>44906</v>
      </c>
      <c r="B3483" t="s">
        <v>40</v>
      </c>
      <c r="C3483" t="s">
        <v>19</v>
      </c>
      <c r="D3483" t="s">
        <v>12</v>
      </c>
      <c r="E3483" t="s">
        <v>37</v>
      </c>
      <c r="F3483" t="s">
        <v>34</v>
      </c>
      <c r="G3483" t="s">
        <v>35</v>
      </c>
      <c r="H3483">
        <v>5</v>
      </c>
      <c r="I3483">
        <v>950</v>
      </c>
      <c r="J3483">
        <v>61.9</v>
      </c>
    </row>
    <row r="3484" spans="1:10" x14ac:dyDescent="0.25">
      <c r="A3484" s="1">
        <v>44736</v>
      </c>
      <c r="B3484" t="s">
        <v>32</v>
      </c>
      <c r="C3484" t="s">
        <v>19</v>
      </c>
      <c r="D3484" t="s">
        <v>12</v>
      </c>
      <c r="E3484" t="s">
        <v>274</v>
      </c>
      <c r="F3484" t="s">
        <v>23</v>
      </c>
      <c r="G3484" t="s">
        <v>24</v>
      </c>
      <c r="H3484">
        <v>2</v>
      </c>
      <c r="I3484">
        <v>2314</v>
      </c>
      <c r="J3484">
        <v>600.76</v>
      </c>
    </row>
    <row r="3485" spans="1:10" x14ac:dyDescent="0.25">
      <c r="A3485" s="1">
        <v>45205</v>
      </c>
      <c r="B3485" t="s">
        <v>32</v>
      </c>
      <c r="C3485" t="s">
        <v>19</v>
      </c>
      <c r="D3485" t="s">
        <v>12</v>
      </c>
      <c r="E3485" t="s">
        <v>275</v>
      </c>
      <c r="F3485" t="s">
        <v>173</v>
      </c>
      <c r="G3485" t="s">
        <v>24</v>
      </c>
      <c r="H3485">
        <v>1</v>
      </c>
      <c r="I3485">
        <v>915</v>
      </c>
      <c r="J3485">
        <v>264.3</v>
      </c>
    </row>
    <row r="3486" spans="1:10" x14ac:dyDescent="0.25">
      <c r="A3486" s="1">
        <v>44901</v>
      </c>
      <c r="B3486" t="s">
        <v>55</v>
      </c>
      <c r="C3486" t="s">
        <v>19</v>
      </c>
      <c r="D3486" t="s">
        <v>12</v>
      </c>
      <c r="E3486" t="s">
        <v>276</v>
      </c>
      <c r="F3486" t="s">
        <v>42</v>
      </c>
      <c r="G3486" t="s">
        <v>28</v>
      </c>
      <c r="H3486">
        <v>1</v>
      </c>
      <c r="I3486">
        <v>290</v>
      </c>
      <c r="J3486">
        <v>61.14</v>
      </c>
    </row>
    <row r="3487" spans="1:10" x14ac:dyDescent="0.25">
      <c r="A3487" s="1">
        <v>44576</v>
      </c>
      <c r="B3487" t="s">
        <v>18</v>
      </c>
      <c r="C3487" t="s">
        <v>19</v>
      </c>
      <c r="D3487" t="s">
        <v>12</v>
      </c>
      <c r="E3487" t="s">
        <v>276</v>
      </c>
      <c r="F3487" t="s">
        <v>42</v>
      </c>
      <c r="G3487" t="s">
        <v>28</v>
      </c>
      <c r="H3487">
        <v>7</v>
      </c>
      <c r="I3487">
        <v>3584</v>
      </c>
      <c r="J3487">
        <v>940.88</v>
      </c>
    </row>
    <row r="3488" spans="1:10" x14ac:dyDescent="0.25">
      <c r="A3488" s="1">
        <v>45355</v>
      </c>
      <c r="B3488" t="s">
        <v>16</v>
      </c>
      <c r="C3488" t="s">
        <v>17</v>
      </c>
      <c r="D3488" t="s">
        <v>12</v>
      </c>
      <c r="E3488" t="s">
        <v>276</v>
      </c>
      <c r="F3488" t="s">
        <v>42</v>
      </c>
      <c r="G3488" t="s">
        <v>28</v>
      </c>
      <c r="H3488">
        <v>6</v>
      </c>
      <c r="I3488">
        <v>1254</v>
      </c>
      <c r="J3488">
        <v>205.57</v>
      </c>
    </row>
    <row r="3489" spans="1:10" x14ac:dyDescent="0.25">
      <c r="A3489" s="1">
        <v>44950</v>
      </c>
      <c r="B3489" t="s">
        <v>55</v>
      </c>
      <c r="C3489" t="s">
        <v>19</v>
      </c>
      <c r="D3489" t="s">
        <v>12</v>
      </c>
      <c r="E3489" t="s">
        <v>26</v>
      </c>
      <c r="F3489" t="s">
        <v>27</v>
      </c>
      <c r="G3489" t="s">
        <v>28</v>
      </c>
      <c r="H3489">
        <v>5</v>
      </c>
      <c r="I3489">
        <v>2410</v>
      </c>
      <c r="J3489">
        <v>636.83000000000004</v>
      </c>
    </row>
    <row r="3490" spans="1:10" x14ac:dyDescent="0.25">
      <c r="A3490" s="1">
        <v>45200</v>
      </c>
      <c r="B3490" t="s">
        <v>10</v>
      </c>
      <c r="C3490" t="s">
        <v>11</v>
      </c>
      <c r="D3490" t="s">
        <v>12</v>
      </c>
      <c r="E3490" t="s">
        <v>52</v>
      </c>
      <c r="F3490" t="s">
        <v>42</v>
      </c>
      <c r="G3490" t="s">
        <v>28</v>
      </c>
      <c r="H3490">
        <v>2</v>
      </c>
      <c r="I3490">
        <v>800</v>
      </c>
      <c r="J3490">
        <v>118.68</v>
      </c>
    </row>
    <row r="3491" spans="1:10" x14ac:dyDescent="0.25">
      <c r="A3491" s="1">
        <v>44740</v>
      </c>
      <c r="B3491" t="s">
        <v>32</v>
      </c>
      <c r="C3491" t="s">
        <v>19</v>
      </c>
      <c r="D3491" t="s">
        <v>12</v>
      </c>
      <c r="E3491" t="s">
        <v>192</v>
      </c>
      <c r="F3491" t="s">
        <v>149</v>
      </c>
      <c r="G3491" t="s">
        <v>15</v>
      </c>
      <c r="H3491">
        <v>5</v>
      </c>
      <c r="I3491">
        <v>990</v>
      </c>
      <c r="J3491">
        <v>87.61</v>
      </c>
    </row>
    <row r="3492" spans="1:10" x14ac:dyDescent="0.25">
      <c r="A3492" s="1">
        <v>45060</v>
      </c>
      <c r="B3492" t="s">
        <v>55</v>
      </c>
      <c r="C3492" t="s">
        <v>19</v>
      </c>
      <c r="D3492" t="s">
        <v>12</v>
      </c>
      <c r="E3492" t="s">
        <v>277</v>
      </c>
      <c r="F3492" t="s">
        <v>44</v>
      </c>
      <c r="G3492" t="s">
        <v>35</v>
      </c>
      <c r="H3492">
        <v>9</v>
      </c>
      <c r="I3492">
        <v>9702</v>
      </c>
      <c r="J3492">
        <v>2771.49</v>
      </c>
    </row>
    <row r="3493" spans="1:10" x14ac:dyDescent="0.25">
      <c r="A3493" s="1">
        <v>45173</v>
      </c>
      <c r="B3493" t="s">
        <v>49</v>
      </c>
      <c r="C3493" t="s">
        <v>17</v>
      </c>
      <c r="D3493" t="s">
        <v>12</v>
      </c>
      <c r="E3493" t="s">
        <v>37</v>
      </c>
      <c r="F3493" t="s">
        <v>34</v>
      </c>
      <c r="G3493" t="s">
        <v>35</v>
      </c>
      <c r="H3493">
        <v>8</v>
      </c>
      <c r="I3493">
        <v>5888</v>
      </c>
      <c r="J3493">
        <v>354.27</v>
      </c>
    </row>
    <row r="3494" spans="1:10" x14ac:dyDescent="0.25">
      <c r="A3494" s="1">
        <v>45189</v>
      </c>
      <c r="B3494" t="s">
        <v>18</v>
      </c>
      <c r="C3494" t="s">
        <v>19</v>
      </c>
      <c r="D3494" t="s">
        <v>12</v>
      </c>
      <c r="E3494" t="s">
        <v>75</v>
      </c>
      <c r="F3494" t="s">
        <v>63</v>
      </c>
      <c r="G3494" t="s">
        <v>28</v>
      </c>
      <c r="H3494">
        <v>4</v>
      </c>
      <c r="I3494">
        <v>1768</v>
      </c>
      <c r="J3494">
        <v>345.33</v>
      </c>
    </row>
    <row r="3495" spans="1:10" x14ac:dyDescent="0.25">
      <c r="A3495" s="1">
        <v>44713</v>
      </c>
      <c r="B3495" t="s">
        <v>29</v>
      </c>
      <c r="C3495" t="s">
        <v>17</v>
      </c>
      <c r="D3495" t="s">
        <v>12</v>
      </c>
      <c r="E3495" t="s">
        <v>75</v>
      </c>
      <c r="F3495" t="s">
        <v>63</v>
      </c>
      <c r="G3495" t="s">
        <v>28</v>
      </c>
      <c r="H3495">
        <v>2</v>
      </c>
      <c r="I3495">
        <v>1022</v>
      </c>
      <c r="J3495">
        <v>76.040000000000006</v>
      </c>
    </row>
    <row r="3496" spans="1:10" x14ac:dyDescent="0.25">
      <c r="A3496" s="1">
        <v>45263</v>
      </c>
      <c r="B3496" t="s">
        <v>18</v>
      </c>
      <c r="C3496" t="s">
        <v>19</v>
      </c>
      <c r="D3496" t="s">
        <v>12</v>
      </c>
      <c r="E3496" t="s">
        <v>75</v>
      </c>
      <c r="F3496" t="s">
        <v>63</v>
      </c>
      <c r="G3496" t="s">
        <v>28</v>
      </c>
      <c r="H3496">
        <v>3</v>
      </c>
      <c r="I3496">
        <v>2883</v>
      </c>
      <c r="J3496">
        <v>671.91</v>
      </c>
    </row>
    <row r="3497" spans="1:10" x14ac:dyDescent="0.25">
      <c r="A3497" s="1">
        <v>44972</v>
      </c>
      <c r="B3497" t="s">
        <v>36</v>
      </c>
      <c r="C3497" t="s">
        <v>17</v>
      </c>
      <c r="D3497" t="s">
        <v>12</v>
      </c>
      <c r="E3497" t="s">
        <v>52</v>
      </c>
      <c r="F3497" t="s">
        <v>42</v>
      </c>
      <c r="G3497" t="s">
        <v>28</v>
      </c>
      <c r="H3497">
        <v>4</v>
      </c>
      <c r="I3497">
        <v>4064</v>
      </c>
      <c r="J3497">
        <v>771.16</v>
      </c>
    </row>
    <row r="3498" spans="1:10" x14ac:dyDescent="0.25">
      <c r="A3498" s="1">
        <v>44822</v>
      </c>
      <c r="B3498" t="s">
        <v>36</v>
      </c>
      <c r="C3498" t="s">
        <v>17</v>
      </c>
      <c r="D3498" t="s">
        <v>12</v>
      </c>
      <c r="E3498" t="s">
        <v>278</v>
      </c>
      <c r="F3498" t="s">
        <v>122</v>
      </c>
      <c r="G3498" t="s">
        <v>35</v>
      </c>
      <c r="H3498">
        <v>1</v>
      </c>
      <c r="I3498">
        <v>1117</v>
      </c>
      <c r="J3498">
        <v>119.89</v>
      </c>
    </row>
    <row r="3499" spans="1:10" x14ac:dyDescent="0.25">
      <c r="A3499" s="1">
        <v>44663</v>
      </c>
      <c r="B3499" t="s">
        <v>55</v>
      </c>
      <c r="C3499" t="s">
        <v>19</v>
      </c>
      <c r="D3499" t="s">
        <v>12</v>
      </c>
      <c r="E3499" t="s">
        <v>123</v>
      </c>
      <c r="F3499" t="s">
        <v>63</v>
      </c>
      <c r="G3499" t="s">
        <v>28</v>
      </c>
      <c r="H3499">
        <v>4</v>
      </c>
      <c r="I3499">
        <v>260</v>
      </c>
      <c r="J3499">
        <v>66.02</v>
      </c>
    </row>
    <row r="3500" spans="1:10" x14ac:dyDescent="0.25">
      <c r="A3500" s="1">
        <v>44579</v>
      </c>
      <c r="B3500" t="s">
        <v>10</v>
      </c>
      <c r="C3500" t="s">
        <v>11</v>
      </c>
      <c r="D3500" t="s">
        <v>12</v>
      </c>
      <c r="E3500" t="s">
        <v>279</v>
      </c>
      <c r="F3500" t="s">
        <v>23</v>
      </c>
      <c r="G3500" t="s">
        <v>24</v>
      </c>
      <c r="H3500">
        <v>3</v>
      </c>
      <c r="I3500">
        <v>222</v>
      </c>
      <c r="J3500">
        <v>50.28</v>
      </c>
    </row>
    <row r="3501" spans="1:10" x14ac:dyDescent="0.25">
      <c r="A3501" s="1">
        <v>45597</v>
      </c>
      <c r="B3501" t="s">
        <v>32</v>
      </c>
      <c r="C3501" t="s">
        <v>19</v>
      </c>
      <c r="D3501" t="s">
        <v>12</v>
      </c>
      <c r="E3501" t="s">
        <v>43</v>
      </c>
      <c r="F3501" t="s">
        <v>44</v>
      </c>
      <c r="G3501" t="s">
        <v>35</v>
      </c>
      <c r="H3501">
        <v>9</v>
      </c>
      <c r="I3501">
        <v>10530</v>
      </c>
      <c r="J3501">
        <v>1777.32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4:N82"/>
  <sheetViews>
    <sheetView workbookViewId="0">
      <selection activeCell="I7" sqref="I7"/>
    </sheetView>
  </sheetViews>
  <sheetFormatPr defaultRowHeight="15" x14ac:dyDescent="0.25"/>
  <cols>
    <col min="1" max="1" width="11.28515625" bestFit="1" customWidth="1"/>
    <col min="2" max="2" width="18.7109375" bestFit="1" customWidth="1"/>
    <col min="3" max="3" width="12.140625" bestFit="1" customWidth="1"/>
    <col min="4" max="4" width="15.42578125" bestFit="1" customWidth="1"/>
    <col min="5" max="5" width="12.5703125" bestFit="1" customWidth="1"/>
    <col min="9" max="9" width="13.140625" bestFit="1" customWidth="1"/>
    <col min="10" max="10" width="12.140625" bestFit="1" customWidth="1"/>
    <col min="11" max="11" width="11.85546875" customWidth="1"/>
    <col min="12" max="12" width="11.85546875" bestFit="1" customWidth="1"/>
    <col min="13" max="13" width="9.42578125" bestFit="1" customWidth="1"/>
  </cols>
  <sheetData>
    <row r="4" spans="2:14" x14ac:dyDescent="0.25">
      <c r="B4" t="s">
        <v>446</v>
      </c>
      <c r="C4" t="s">
        <v>447</v>
      </c>
      <c r="D4" t="s">
        <v>448</v>
      </c>
      <c r="I4" s="11" t="s">
        <v>466</v>
      </c>
      <c r="J4" s="11"/>
      <c r="K4" s="11"/>
      <c r="L4" s="11"/>
      <c r="M4" s="11"/>
    </row>
    <row r="5" spans="2:14" x14ac:dyDescent="0.25">
      <c r="B5" s="12">
        <v>10667881</v>
      </c>
      <c r="C5" s="12">
        <v>17261</v>
      </c>
      <c r="D5" s="12">
        <v>1844665.2099999993</v>
      </c>
      <c r="J5" t="s">
        <v>470</v>
      </c>
      <c r="K5" t="s">
        <v>471</v>
      </c>
      <c r="L5" t="s">
        <v>472</v>
      </c>
      <c r="M5" t="s">
        <v>473</v>
      </c>
    </row>
    <row r="6" spans="2:14" x14ac:dyDescent="0.25">
      <c r="I6" s="6" t="s">
        <v>467</v>
      </c>
      <c r="J6" s="5">
        <f>GETPIVOTDATA("Sum of Sales",$B$4)</f>
        <v>10667881</v>
      </c>
      <c r="K6" s="5">
        <f>GETPIVOTDATA("Sum of Sales",$B$8,"Years",2024)</f>
        <v>3625319</v>
      </c>
      <c r="L6" s="5">
        <f>GETPIVOTDATA("Sum of Sales",$B$8,"Years",2023)</f>
        <v>3786592</v>
      </c>
      <c r="M6" s="8">
        <f>(K6-L6)/L6</f>
        <v>-4.2590540517700351E-2</v>
      </c>
      <c r="N6" t="str">
        <f>IF(M6&gt;0,"▲","▼")&amp;TEXT(ABS(M6),"0.0%")&amp;" YoY"</f>
        <v>▼4.3% YoY</v>
      </c>
    </row>
    <row r="7" spans="2:14" x14ac:dyDescent="0.25">
      <c r="I7" s="6" t="s">
        <v>468</v>
      </c>
      <c r="J7" s="7">
        <f>GETPIVOTDATA("Sum of Quantity",$B$4)</f>
        <v>17261</v>
      </c>
      <c r="K7" s="7">
        <f>GETPIVOTDATA("Sum of Quantity",$B$8,"Years",2024)</f>
        <v>5949</v>
      </c>
      <c r="L7" s="7">
        <f>GETPIVOTDATA("Sum of Quantity",$B$8,"Years",2023)</f>
        <v>5925</v>
      </c>
      <c r="M7" s="8">
        <f t="shared" ref="M7:M8" si="0">(K7-L7)/L7</f>
        <v>4.0506329113924053E-3</v>
      </c>
      <c r="N7" t="str">
        <f t="shared" ref="N7:N8" si="1">IF(M7&gt;0,"▲","▼")&amp;TEXT(ABS(M7),"0.0%")&amp;" YoY"</f>
        <v>▲0.4% YoY</v>
      </c>
    </row>
    <row r="8" spans="2:14" x14ac:dyDescent="0.25">
      <c r="B8" s="2" t="s">
        <v>449</v>
      </c>
      <c r="C8" t="s">
        <v>446</v>
      </c>
      <c r="D8" t="s">
        <v>447</v>
      </c>
      <c r="E8" t="s">
        <v>448</v>
      </c>
      <c r="I8" s="6" t="s">
        <v>469</v>
      </c>
      <c r="J8" s="5">
        <f>GETPIVOTDATA("Sum of Profit",$B$4)</f>
        <v>1844665.2099999993</v>
      </c>
      <c r="K8" s="5">
        <f>GETPIVOTDATA("Sum of Profit",$B$8,"Years",2024)</f>
        <v>604941.80999999994</v>
      </c>
      <c r="L8" s="5">
        <f>GETPIVOTDATA("Sum of Profit",$B$8,"Years",2023)</f>
        <v>666866.42000000039</v>
      </c>
      <c r="M8" s="8">
        <f t="shared" si="0"/>
        <v>-9.2859091630375409E-2</v>
      </c>
      <c r="N8" t="str">
        <f t="shared" si="1"/>
        <v>▼9.3% YoY</v>
      </c>
    </row>
    <row r="9" spans="2:14" x14ac:dyDescent="0.25">
      <c r="B9" s="4" t="s">
        <v>451</v>
      </c>
      <c r="C9" s="5">
        <v>3255970</v>
      </c>
      <c r="D9" s="7">
        <v>5387</v>
      </c>
      <c r="E9" s="5">
        <v>572856.98000000045</v>
      </c>
    </row>
    <row r="10" spans="2:14" x14ac:dyDescent="0.25">
      <c r="B10" s="4" t="s">
        <v>464</v>
      </c>
      <c r="C10" s="5">
        <v>3786592</v>
      </c>
      <c r="D10" s="7">
        <v>5925</v>
      </c>
      <c r="E10" s="5">
        <v>666866.42000000039</v>
      </c>
    </row>
    <row r="11" spans="2:14" x14ac:dyDescent="0.25">
      <c r="B11" s="4" t="s">
        <v>465</v>
      </c>
      <c r="C11" s="5">
        <v>3625319</v>
      </c>
      <c r="D11" s="7">
        <v>5949</v>
      </c>
      <c r="E11" s="5">
        <v>604941.80999999994</v>
      </c>
    </row>
    <row r="12" spans="2:14" x14ac:dyDescent="0.25">
      <c r="B12" s="4" t="s">
        <v>450</v>
      </c>
      <c r="C12" s="5">
        <v>10667881</v>
      </c>
      <c r="D12" s="7">
        <v>17261</v>
      </c>
      <c r="E12" s="5">
        <v>1844665.2100000009</v>
      </c>
    </row>
    <row r="14" spans="2:14" x14ac:dyDescent="0.25">
      <c r="B14" s="4" t="s">
        <v>474</v>
      </c>
      <c r="I14" t="s">
        <v>475</v>
      </c>
    </row>
    <row r="15" spans="2:14" x14ac:dyDescent="0.25">
      <c r="B15" t="str">
        <f>"Peak Sales Month: " &amp; INDEX(B17:B28, MATCH(MAX(C17:C28), C17:C28, 0)) &amp; " with " &amp; TEXT(MAX(C17:C28), "$#,##0") &amp; " in Sales"</f>
        <v>Peak Sales Month: May with $1,034,687 in Sales</v>
      </c>
      <c r="I15" t="str">
        <f>"Top Selling City: " &amp; INDEX(I17:I21, MATCH(MAX(J17:J21), J17:J21, 0)) &amp; " (" &amp; TEXT(MAX(J17:J21), "#,##0") &amp; ")"</f>
        <v>Top Selling City: New York City (1,004,712)</v>
      </c>
    </row>
    <row r="16" spans="2:14" x14ac:dyDescent="0.25">
      <c r="B16" s="2" t="s">
        <v>449</v>
      </c>
      <c r="C16" t="s">
        <v>446</v>
      </c>
      <c r="I16" s="2" t="s">
        <v>449</v>
      </c>
      <c r="J16" t="s">
        <v>446</v>
      </c>
      <c r="M16">
        <f>MAX(L17:L21)*1.2</f>
        <v>1205654.3999999999</v>
      </c>
    </row>
    <row r="17" spans="2:13" x14ac:dyDescent="0.25">
      <c r="B17" s="3" t="s">
        <v>452</v>
      </c>
      <c r="C17" s="5">
        <v>967614</v>
      </c>
      <c r="I17" s="4" t="s">
        <v>22</v>
      </c>
      <c r="J17" s="5">
        <v>753214</v>
      </c>
      <c r="K17" s="4" t="s">
        <v>22</v>
      </c>
      <c r="L17" s="5">
        <v>753214</v>
      </c>
      <c r="M17" s="5">
        <f>$M$16-L17</f>
        <v>452440.39999999991</v>
      </c>
    </row>
    <row r="18" spans="2:13" x14ac:dyDescent="0.25">
      <c r="B18" s="3" t="s">
        <v>453</v>
      </c>
      <c r="C18" s="5">
        <v>702414</v>
      </c>
      <c r="I18" s="4" t="s">
        <v>52</v>
      </c>
      <c r="J18" s="5">
        <v>1004712</v>
      </c>
      <c r="K18" s="4" t="s">
        <v>52</v>
      </c>
      <c r="L18" s="5">
        <v>1004712</v>
      </c>
      <c r="M18" s="5">
        <f t="shared" ref="M18:M21" si="2">$M$16-L18</f>
        <v>200942.39999999991</v>
      </c>
    </row>
    <row r="19" spans="2:13" x14ac:dyDescent="0.25">
      <c r="B19" s="3" t="s">
        <v>454</v>
      </c>
      <c r="C19" s="5">
        <v>939614</v>
      </c>
      <c r="I19" s="4" t="s">
        <v>26</v>
      </c>
      <c r="J19" s="5">
        <v>557526</v>
      </c>
      <c r="K19" s="4" t="s">
        <v>26</v>
      </c>
      <c r="L19" s="5">
        <v>557526</v>
      </c>
      <c r="M19" s="5">
        <f t="shared" si="2"/>
        <v>648128.39999999991</v>
      </c>
    </row>
    <row r="20" spans="2:13" x14ac:dyDescent="0.25">
      <c r="B20" s="3" t="s">
        <v>455</v>
      </c>
      <c r="C20" s="5">
        <v>821876</v>
      </c>
      <c r="I20" s="4" t="s">
        <v>74</v>
      </c>
      <c r="J20" s="5">
        <v>512276</v>
      </c>
      <c r="K20" s="4" t="s">
        <v>74</v>
      </c>
      <c r="L20" s="5">
        <v>512276</v>
      </c>
      <c r="M20" s="5">
        <f t="shared" si="2"/>
        <v>693378.39999999991</v>
      </c>
    </row>
    <row r="21" spans="2:13" x14ac:dyDescent="0.25">
      <c r="B21" s="3" t="s">
        <v>456</v>
      </c>
      <c r="C21" s="5">
        <v>1034687</v>
      </c>
      <c r="I21" s="4" t="s">
        <v>56</v>
      </c>
      <c r="J21" s="5">
        <v>472121</v>
      </c>
      <c r="K21" s="4" t="s">
        <v>56</v>
      </c>
      <c r="L21" s="5">
        <v>472121</v>
      </c>
      <c r="M21" s="5">
        <f t="shared" si="2"/>
        <v>733533.39999999991</v>
      </c>
    </row>
    <row r="22" spans="2:13" x14ac:dyDescent="0.25">
      <c r="B22" s="3" t="s">
        <v>457</v>
      </c>
      <c r="C22" s="5">
        <v>839805</v>
      </c>
      <c r="I22" s="4" t="s">
        <v>450</v>
      </c>
      <c r="J22" s="5">
        <v>3299849</v>
      </c>
      <c r="M22" s="9"/>
    </row>
    <row r="23" spans="2:13" x14ac:dyDescent="0.25">
      <c r="B23" s="3" t="s">
        <v>458</v>
      </c>
      <c r="C23" s="5">
        <v>844940</v>
      </c>
    </row>
    <row r="24" spans="2:13" x14ac:dyDescent="0.25">
      <c r="B24" s="3" t="s">
        <v>459</v>
      </c>
      <c r="C24" s="5">
        <v>924939</v>
      </c>
      <c r="I24" s="4" t="s">
        <v>478</v>
      </c>
    </row>
    <row r="25" spans="2:13" x14ac:dyDescent="0.25">
      <c r="B25" s="3" t="s">
        <v>460</v>
      </c>
      <c r="C25" s="5">
        <v>885546</v>
      </c>
      <c r="I25" t="str">
        <f>"Highest Sales from Category: "&amp;INDEX(I27:I29,MATCH(MAX(J27:J29),J27:J29,0))&amp;" ("&amp;TEXT(MAX(J27:J29),"$#,##0")&amp;")"</f>
        <v>Highest Sales from Category: Electronics ($5,326,074)</v>
      </c>
    </row>
    <row r="26" spans="2:13" x14ac:dyDescent="0.25">
      <c r="B26" s="3" t="s">
        <v>461</v>
      </c>
      <c r="C26" s="5">
        <v>892269</v>
      </c>
      <c r="I26" s="2" t="s">
        <v>449</v>
      </c>
      <c r="J26" t="s">
        <v>446</v>
      </c>
      <c r="M26">
        <f>MAX(L27:L29)*1.2</f>
        <v>6391288.7999999998</v>
      </c>
    </row>
    <row r="27" spans="2:13" x14ac:dyDescent="0.25">
      <c r="B27" s="3" t="s">
        <v>462</v>
      </c>
      <c r="C27" s="5">
        <v>855075</v>
      </c>
      <c r="I27" s="4" t="s">
        <v>17</v>
      </c>
      <c r="J27" s="5">
        <v>4247591</v>
      </c>
      <c r="K27" s="4" t="s">
        <v>17</v>
      </c>
      <c r="L27" s="5">
        <v>4247591</v>
      </c>
      <c r="M27" s="5">
        <f>$M$26-L27</f>
        <v>2143697.7999999998</v>
      </c>
    </row>
    <row r="28" spans="2:13" x14ac:dyDescent="0.25">
      <c r="B28" s="3" t="s">
        <v>463</v>
      </c>
      <c r="C28" s="5">
        <v>959102</v>
      </c>
      <c r="I28" s="4" t="s">
        <v>19</v>
      </c>
      <c r="J28" s="5">
        <v>5326074</v>
      </c>
      <c r="K28" s="4" t="s">
        <v>19</v>
      </c>
      <c r="L28" s="5">
        <v>5326074</v>
      </c>
      <c r="M28" s="5">
        <f t="shared" ref="M28:M29" si="3">$M$26-L28</f>
        <v>1065214.7999999998</v>
      </c>
    </row>
    <row r="29" spans="2:13" x14ac:dyDescent="0.25">
      <c r="B29" s="3" t="s">
        <v>450</v>
      </c>
      <c r="C29" s="5">
        <v>10667881</v>
      </c>
      <c r="I29" s="4" t="s">
        <v>11</v>
      </c>
      <c r="J29" s="5">
        <v>1094216</v>
      </c>
      <c r="K29" s="4" t="s">
        <v>11</v>
      </c>
      <c r="L29" s="5">
        <v>1094216</v>
      </c>
      <c r="M29" s="5">
        <f t="shared" si="3"/>
        <v>5297072.8</v>
      </c>
    </row>
    <row r="30" spans="2:13" x14ac:dyDescent="0.25">
      <c r="I30" s="4" t="s">
        <v>450</v>
      </c>
      <c r="J30" s="5">
        <v>10667881</v>
      </c>
      <c r="M30" s="9"/>
    </row>
    <row r="31" spans="2:13" x14ac:dyDescent="0.25">
      <c r="B31" s="3" t="s">
        <v>476</v>
      </c>
    </row>
    <row r="32" spans="2:13" x14ac:dyDescent="0.25">
      <c r="I32" s="4" t="s">
        <v>479</v>
      </c>
    </row>
    <row r="33" spans="2:10" x14ac:dyDescent="0.25">
      <c r="B33" s="2" t="s">
        <v>449</v>
      </c>
      <c r="C33" t="s">
        <v>446</v>
      </c>
      <c r="D33" t="s">
        <v>477</v>
      </c>
      <c r="E33" t="s">
        <v>467</v>
      </c>
      <c r="I33" t="str">
        <f>"Top Product: " &amp; INDEX(I35:I39, MATCH(MAX(J35:J39), J35:J39, 0)) &amp; " (" &amp; TEXT(MAX(J35:J39), "#,##0") &amp; ")"</f>
        <v>Top Product: Camera (1,177,381)</v>
      </c>
    </row>
    <row r="34" spans="2:10" x14ac:dyDescent="0.25">
      <c r="B34" s="4" t="s">
        <v>168</v>
      </c>
      <c r="C34" s="5">
        <v>48694</v>
      </c>
      <c r="D34" s="4" t="s">
        <v>168</v>
      </c>
      <c r="E34" s="5">
        <v>48694</v>
      </c>
      <c r="I34" s="2" t="s">
        <v>449</v>
      </c>
      <c r="J34" t="s">
        <v>446</v>
      </c>
    </row>
    <row r="35" spans="2:10" x14ac:dyDescent="0.25">
      <c r="B35" s="4" t="s">
        <v>94</v>
      </c>
      <c r="C35" s="5">
        <v>278521</v>
      </c>
      <c r="D35" s="4" t="s">
        <v>94</v>
      </c>
      <c r="E35" s="5">
        <v>278521</v>
      </c>
      <c r="I35" s="4" t="s">
        <v>25</v>
      </c>
      <c r="J35" s="10">
        <v>1177381</v>
      </c>
    </row>
    <row r="36" spans="2:10" x14ac:dyDescent="0.25">
      <c r="B36" s="4" t="s">
        <v>152</v>
      </c>
      <c r="C36" s="5">
        <v>32617</v>
      </c>
      <c r="D36" s="4" t="s">
        <v>152</v>
      </c>
      <c r="E36" s="5">
        <v>32617</v>
      </c>
      <c r="I36" s="4" t="s">
        <v>36</v>
      </c>
      <c r="J36" s="10">
        <v>1160048</v>
      </c>
    </row>
    <row r="37" spans="2:10" x14ac:dyDescent="0.25">
      <c r="B37" s="4" t="s">
        <v>23</v>
      </c>
      <c r="C37" s="5">
        <v>2137246</v>
      </c>
      <c r="D37" s="4" t="s">
        <v>23</v>
      </c>
      <c r="E37" s="5">
        <v>2137246</v>
      </c>
      <c r="I37" s="4" t="s">
        <v>16</v>
      </c>
      <c r="J37" s="10">
        <v>1074398</v>
      </c>
    </row>
    <row r="38" spans="2:10" x14ac:dyDescent="0.25">
      <c r="B38" s="4" t="s">
        <v>54</v>
      </c>
      <c r="C38" s="5">
        <v>259894</v>
      </c>
      <c r="D38" s="4" t="s">
        <v>54</v>
      </c>
      <c r="E38" s="5">
        <v>259894</v>
      </c>
      <c r="I38" s="4" t="s">
        <v>10</v>
      </c>
      <c r="J38" s="10">
        <v>1094216</v>
      </c>
    </row>
    <row r="39" spans="2:10" x14ac:dyDescent="0.25">
      <c r="B39" s="4" t="s">
        <v>83</v>
      </c>
      <c r="C39" s="5">
        <v>66987</v>
      </c>
      <c r="D39" s="4" t="s">
        <v>83</v>
      </c>
      <c r="E39" s="5">
        <v>66987</v>
      </c>
      <c r="I39" s="4" t="s">
        <v>40</v>
      </c>
      <c r="J39" s="10">
        <v>1069681</v>
      </c>
    </row>
    <row r="40" spans="2:10" x14ac:dyDescent="0.25">
      <c r="B40" s="4" t="s">
        <v>59</v>
      </c>
      <c r="C40" s="5">
        <v>98220</v>
      </c>
      <c r="D40" s="4" t="s">
        <v>59</v>
      </c>
      <c r="E40" s="5">
        <v>98220</v>
      </c>
      <c r="I40" s="4" t="s">
        <v>450</v>
      </c>
      <c r="J40" s="10">
        <v>5575724</v>
      </c>
    </row>
    <row r="41" spans="2:10" x14ac:dyDescent="0.25">
      <c r="B41" s="4" t="s">
        <v>142</v>
      </c>
      <c r="C41" s="5">
        <v>37427</v>
      </c>
      <c r="D41" s="4" t="s">
        <v>142</v>
      </c>
      <c r="E41" s="5">
        <v>37427</v>
      </c>
    </row>
    <row r="42" spans="2:10" x14ac:dyDescent="0.25">
      <c r="B42" s="4" t="s">
        <v>21</v>
      </c>
      <c r="C42" s="5">
        <v>378231</v>
      </c>
      <c r="D42" s="4" t="s">
        <v>21</v>
      </c>
      <c r="E42" s="5">
        <v>378231</v>
      </c>
      <c r="I42" s="4" t="s">
        <v>480</v>
      </c>
    </row>
    <row r="43" spans="2:10" x14ac:dyDescent="0.25">
      <c r="B43" s="4" t="s">
        <v>108</v>
      </c>
      <c r="C43" s="5">
        <v>157041</v>
      </c>
      <c r="D43" s="4" t="s">
        <v>108</v>
      </c>
      <c r="E43" s="5">
        <v>157041</v>
      </c>
      <c r="I43" t="str">
        <f>"Top Region: " &amp; INDEX(I45:I48, MATCH(MAX(J45:J48), J45:J48, 0)) &amp; " (" &amp; TEXT(MAX(J45:J48), "#,##0") &amp; ")"</f>
        <v>Top Region: West (3,463,500)</v>
      </c>
    </row>
    <row r="44" spans="2:10" x14ac:dyDescent="0.25">
      <c r="B44" s="4" t="s">
        <v>267</v>
      </c>
      <c r="C44" s="5">
        <v>25231</v>
      </c>
      <c r="D44" s="4" t="s">
        <v>267</v>
      </c>
      <c r="E44" s="5">
        <v>25231</v>
      </c>
      <c r="I44" s="2" t="s">
        <v>449</v>
      </c>
      <c r="J44" t="s">
        <v>446</v>
      </c>
    </row>
    <row r="45" spans="2:10" x14ac:dyDescent="0.25">
      <c r="B45" s="4" t="s">
        <v>44</v>
      </c>
      <c r="C45" s="5">
        <v>692884</v>
      </c>
      <c r="D45" s="4" t="s">
        <v>44</v>
      </c>
      <c r="E45" s="5">
        <v>692884</v>
      </c>
      <c r="I45" s="4" t="s">
        <v>35</v>
      </c>
      <c r="J45" s="10">
        <v>2524508</v>
      </c>
    </row>
    <row r="46" spans="2:10" x14ac:dyDescent="0.25">
      <c r="B46" s="4" t="s">
        <v>39</v>
      </c>
      <c r="C46" s="5">
        <v>119067</v>
      </c>
      <c r="D46" s="4" t="s">
        <v>39</v>
      </c>
      <c r="E46" s="5">
        <v>119067</v>
      </c>
      <c r="I46" s="4" t="s">
        <v>28</v>
      </c>
      <c r="J46" s="10">
        <v>3138435</v>
      </c>
    </row>
    <row r="47" spans="2:10" x14ac:dyDescent="0.25">
      <c r="B47" s="4" t="s">
        <v>122</v>
      </c>
      <c r="C47" s="5">
        <v>17068</v>
      </c>
      <c r="D47" s="4" t="s">
        <v>122</v>
      </c>
      <c r="E47" s="5">
        <v>17068</v>
      </c>
      <c r="I47" s="4" t="s">
        <v>15</v>
      </c>
      <c r="J47" s="10">
        <v>1541438</v>
      </c>
    </row>
    <row r="48" spans="2:10" x14ac:dyDescent="0.25">
      <c r="B48" s="4" t="s">
        <v>343</v>
      </c>
      <c r="C48" s="5">
        <v>12606</v>
      </c>
      <c r="D48" s="4" t="s">
        <v>343</v>
      </c>
      <c r="E48" s="5">
        <v>12606</v>
      </c>
      <c r="I48" s="4" t="s">
        <v>24</v>
      </c>
      <c r="J48" s="10">
        <v>3463500</v>
      </c>
    </row>
    <row r="49" spans="2:10" x14ac:dyDescent="0.25">
      <c r="B49" s="4" t="s">
        <v>14</v>
      </c>
      <c r="C49" s="5">
        <v>137764</v>
      </c>
      <c r="D49" s="4" t="s">
        <v>14</v>
      </c>
      <c r="E49" s="5">
        <v>137764</v>
      </c>
      <c r="I49" s="4" t="s">
        <v>450</v>
      </c>
      <c r="J49" s="10">
        <v>10667881</v>
      </c>
    </row>
    <row r="50" spans="2:10" x14ac:dyDescent="0.25">
      <c r="B50" s="4" t="s">
        <v>183</v>
      </c>
      <c r="C50" s="5">
        <v>69604</v>
      </c>
      <c r="D50" s="4" t="s">
        <v>183</v>
      </c>
      <c r="E50" s="5">
        <v>69604</v>
      </c>
    </row>
    <row r="51" spans="2:10" x14ac:dyDescent="0.25">
      <c r="B51" s="4" t="s">
        <v>218</v>
      </c>
      <c r="C51" s="5">
        <v>702</v>
      </c>
      <c r="D51" s="4" t="s">
        <v>218</v>
      </c>
      <c r="E51" s="5">
        <v>702</v>
      </c>
    </row>
    <row r="52" spans="2:10" x14ac:dyDescent="0.25">
      <c r="B52" s="4" t="s">
        <v>156</v>
      </c>
      <c r="C52" s="5">
        <v>128965</v>
      </c>
      <c r="D52" s="4" t="s">
        <v>156</v>
      </c>
      <c r="E52" s="5">
        <v>128965</v>
      </c>
    </row>
    <row r="53" spans="2:10" x14ac:dyDescent="0.25">
      <c r="B53" s="4" t="s">
        <v>84</v>
      </c>
      <c r="C53" s="5">
        <v>207513</v>
      </c>
      <c r="D53" s="4" t="s">
        <v>84</v>
      </c>
      <c r="E53" s="5">
        <v>207513</v>
      </c>
    </row>
    <row r="54" spans="2:10" x14ac:dyDescent="0.25">
      <c r="B54" s="4" t="s">
        <v>71</v>
      </c>
      <c r="C54" s="5">
        <v>206814</v>
      </c>
      <c r="D54" s="4" t="s">
        <v>71</v>
      </c>
      <c r="E54" s="5">
        <v>206814</v>
      </c>
    </row>
    <row r="55" spans="2:10" x14ac:dyDescent="0.25">
      <c r="B55" s="4" t="s">
        <v>51</v>
      </c>
      <c r="C55" s="5">
        <v>60020</v>
      </c>
      <c r="D55" s="4" t="s">
        <v>51</v>
      </c>
      <c r="E55" s="5">
        <v>60020</v>
      </c>
    </row>
    <row r="56" spans="2:10" x14ac:dyDescent="0.25">
      <c r="B56" s="4" t="s">
        <v>88</v>
      </c>
      <c r="C56" s="5">
        <v>27376</v>
      </c>
      <c r="D56" s="4" t="s">
        <v>88</v>
      </c>
      <c r="E56" s="5">
        <v>27376</v>
      </c>
    </row>
    <row r="57" spans="2:10" x14ac:dyDescent="0.25">
      <c r="B57" s="4" t="s">
        <v>100</v>
      </c>
      <c r="C57" s="5">
        <v>77773</v>
      </c>
      <c r="D57" s="4" t="s">
        <v>100</v>
      </c>
      <c r="E57" s="5">
        <v>77773</v>
      </c>
    </row>
    <row r="58" spans="2:10" x14ac:dyDescent="0.25">
      <c r="B58" s="4" t="s">
        <v>394</v>
      </c>
      <c r="C58" s="5">
        <v>4251</v>
      </c>
      <c r="D58" s="4" t="s">
        <v>394</v>
      </c>
      <c r="E58" s="5">
        <v>4251</v>
      </c>
    </row>
    <row r="59" spans="2:10" x14ac:dyDescent="0.25">
      <c r="B59" s="4" t="s">
        <v>126</v>
      </c>
      <c r="C59" s="5">
        <v>26435</v>
      </c>
      <c r="D59" s="4" t="s">
        <v>126</v>
      </c>
      <c r="E59" s="5">
        <v>26435</v>
      </c>
    </row>
    <row r="60" spans="2:10" x14ac:dyDescent="0.25">
      <c r="B60" s="4" t="s">
        <v>173</v>
      </c>
      <c r="C60" s="5">
        <v>43630</v>
      </c>
      <c r="D60" s="4" t="s">
        <v>173</v>
      </c>
      <c r="E60" s="5">
        <v>43630</v>
      </c>
    </row>
    <row r="61" spans="2:10" x14ac:dyDescent="0.25">
      <c r="B61" s="4" t="s">
        <v>133</v>
      </c>
      <c r="C61" s="5">
        <v>25188</v>
      </c>
      <c r="D61" s="4" t="s">
        <v>133</v>
      </c>
      <c r="E61" s="5">
        <v>25188</v>
      </c>
    </row>
    <row r="62" spans="2:10" x14ac:dyDescent="0.25">
      <c r="B62" s="4" t="s">
        <v>78</v>
      </c>
      <c r="C62" s="5">
        <v>127287</v>
      </c>
      <c r="D62" s="4" t="s">
        <v>78</v>
      </c>
      <c r="E62" s="5">
        <v>127287</v>
      </c>
    </row>
    <row r="63" spans="2:10" x14ac:dyDescent="0.25">
      <c r="B63" s="4" t="s">
        <v>227</v>
      </c>
      <c r="C63" s="5">
        <v>4530</v>
      </c>
      <c r="D63" s="4" t="s">
        <v>227</v>
      </c>
      <c r="E63" s="5">
        <v>4530</v>
      </c>
    </row>
    <row r="64" spans="2:10" x14ac:dyDescent="0.25">
      <c r="B64" s="4" t="s">
        <v>42</v>
      </c>
      <c r="C64" s="5">
        <v>1234383</v>
      </c>
      <c r="D64" s="4" t="s">
        <v>42</v>
      </c>
      <c r="E64" s="5">
        <v>1234383</v>
      </c>
    </row>
    <row r="65" spans="2:5" x14ac:dyDescent="0.25">
      <c r="B65" s="4" t="s">
        <v>149</v>
      </c>
      <c r="C65" s="5">
        <v>205391</v>
      </c>
      <c r="D65" s="4" t="s">
        <v>149</v>
      </c>
      <c r="E65" s="5">
        <v>205391</v>
      </c>
    </row>
    <row r="66" spans="2:5" x14ac:dyDescent="0.25">
      <c r="B66" s="4" t="s">
        <v>63</v>
      </c>
      <c r="C66" s="5">
        <v>473264</v>
      </c>
      <c r="D66" s="4" t="s">
        <v>63</v>
      </c>
      <c r="E66" s="5">
        <v>473264</v>
      </c>
    </row>
    <row r="67" spans="2:5" x14ac:dyDescent="0.25">
      <c r="B67" s="4" t="s">
        <v>191</v>
      </c>
      <c r="C67" s="5">
        <v>68333</v>
      </c>
      <c r="D67" s="4" t="s">
        <v>191</v>
      </c>
      <c r="E67" s="5">
        <v>68333</v>
      </c>
    </row>
    <row r="68" spans="2:5" x14ac:dyDescent="0.25">
      <c r="B68" s="4" t="s">
        <v>189</v>
      </c>
      <c r="C68" s="5">
        <v>115533</v>
      </c>
      <c r="D68" s="4" t="s">
        <v>189</v>
      </c>
      <c r="E68" s="5">
        <v>115533</v>
      </c>
    </row>
    <row r="69" spans="2:5" x14ac:dyDescent="0.25">
      <c r="B69" s="4" t="s">
        <v>27</v>
      </c>
      <c r="C69" s="5">
        <v>653408</v>
      </c>
      <c r="D69" s="4" t="s">
        <v>27</v>
      </c>
      <c r="E69" s="5">
        <v>653408</v>
      </c>
    </row>
    <row r="70" spans="2:5" x14ac:dyDescent="0.25">
      <c r="B70" s="4" t="s">
        <v>200</v>
      </c>
      <c r="C70" s="5">
        <v>61467</v>
      </c>
      <c r="D70" s="4" t="s">
        <v>200</v>
      </c>
      <c r="E70" s="5">
        <v>61467</v>
      </c>
    </row>
    <row r="71" spans="2:5" x14ac:dyDescent="0.25">
      <c r="B71" s="4" t="s">
        <v>48</v>
      </c>
      <c r="C71" s="5">
        <v>17913</v>
      </c>
      <c r="D71" s="4" t="s">
        <v>48</v>
      </c>
      <c r="E71" s="5">
        <v>17913</v>
      </c>
    </row>
    <row r="72" spans="2:5" x14ac:dyDescent="0.25">
      <c r="B72" s="4" t="s">
        <v>222</v>
      </c>
      <c r="C72" s="5">
        <v>14249</v>
      </c>
      <c r="D72" s="4" t="s">
        <v>222</v>
      </c>
      <c r="E72" s="5">
        <v>14249</v>
      </c>
    </row>
    <row r="73" spans="2:5" x14ac:dyDescent="0.25">
      <c r="B73" s="4" t="s">
        <v>46</v>
      </c>
      <c r="C73" s="5">
        <v>208775</v>
      </c>
      <c r="D73" s="4" t="s">
        <v>46</v>
      </c>
      <c r="E73" s="5">
        <v>208775</v>
      </c>
    </row>
    <row r="74" spans="2:5" x14ac:dyDescent="0.25">
      <c r="B74" s="4" t="s">
        <v>34</v>
      </c>
      <c r="C74" s="5">
        <v>1080031</v>
      </c>
      <c r="D74" s="4" t="s">
        <v>34</v>
      </c>
      <c r="E74" s="5">
        <v>1080031</v>
      </c>
    </row>
    <row r="75" spans="2:5" x14ac:dyDescent="0.25">
      <c r="B75" s="4" t="s">
        <v>31</v>
      </c>
      <c r="C75" s="5">
        <v>33396</v>
      </c>
      <c r="D75" s="4" t="s">
        <v>31</v>
      </c>
      <c r="E75" s="5">
        <v>33396</v>
      </c>
    </row>
    <row r="76" spans="2:5" x14ac:dyDescent="0.25">
      <c r="B76" s="4" t="s">
        <v>339</v>
      </c>
      <c r="C76" s="5">
        <v>22192</v>
      </c>
      <c r="D76" s="4" t="s">
        <v>339</v>
      </c>
      <c r="E76" s="5">
        <v>22192</v>
      </c>
    </row>
    <row r="77" spans="2:5" x14ac:dyDescent="0.25">
      <c r="B77" s="4" t="s">
        <v>115</v>
      </c>
      <c r="C77" s="5">
        <v>258032</v>
      </c>
      <c r="D77" s="4" t="s">
        <v>115</v>
      </c>
      <c r="E77" s="5">
        <v>258032</v>
      </c>
    </row>
    <row r="78" spans="2:5" x14ac:dyDescent="0.25">
      <c r="B78" s="4" t="s">
        <v>57</v>
      </c>
      <c r="C78" s="5">
        <v>561002</v>
      </c>
      <c r="D78" s="4" t="s">
        <v>57</v>
      </c>
      <c r="E78" s="5">
        <v>561002</v>
      </c>
    </row>
    <row r="79" spans="2:5" x14ac:dyDescent="0.25">
      <c r="B79" s="4" t="s">
        <v>438</v>
      </c>
      <c r="C79" s="5">
        <v>1432</v>
      </c>
      <c r="D79" s="4" t="s">
        <v>438</v>
      </c>
      <c r="E79" s="5">
        <v>1432</v>
      </c>
    </row>
    <row r="80" spans="2:5" x14ac:dyDescent="0.25">
      <c r="B80" s="4" t="s">
        <v>65</v>
      </c>
      <c r="C80" s="5">
        <v>149228</v>
      </c>
      <c r="D80" s="4" t="s">
        <v>65</v>
      </c>
      <c r="E80" s="5">
        <v>149228</v>
      </c>
    </row>
    <row r="81" spans="2:5" x14ac:dyDescent="0.25">
      <c r="B81" s="4" t="s">
        <v>360</v>
      </c>
      <c r="C81" s="5">
        <v>266</v>
      </c>
      <c r="D81" s="4" t="s">
        <v>360</v>
      </c>
      <c r="E81" s="5">
        <v>266</v>
      </c>
    </row>
    <row r="82" spans="2:5" x14ac:dyDescent="0.25">
      <c r="B82" s="4" t="s">
        <v>450</v>
      </c>
      <c r="C82" s="5">
        <v>10667881</v>
      </c>
    </row>
  </sheetData>
  <mergeCells count="1">
    <mergeCell ref="I4:M4"/>
  </mergeCells>
  <pageMargins left="0.7" right="0.7" top="0.75" bottom="0.75" header="0.3" footer="0.3"/>
  <pageSetup orientation="portrait" verticalDpi="0" r:id="rId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showGridLines="0" showRowColHeaders="0" tabSelected="1" topLeftCell="A4" zoomScale="65" zoomScaleNormal="65" workbookViewId="0">
      <selection activeCell="B23" sqref="B23"/>
    </sheetView>
  </sheetViews>
  <sheetFormatPr defaultRowHeight="15"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15A978A-410D-4798-8A55-5C561616F41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17</vt:i4>
      </vt:variant>
    </vt:vector>
  </HeadingPairs>
  <TitlesOfParts>
    <vt:vector size="20" baseType="lpstr">
      <vt:lpstr>dataset</vt:lpstr>
      <vt:lpstr>calculation</vt:lpstr>
      <vt:lpstr>dashboard</vt:lpstr>
      <vt:lpstr>cy_profit_</vt:lpstr>
      <vt:lpstr>cy_quantity_</vt:lpstr>
      <vt:lpstr>cy_sales_</vt:lpstr>
      <vt:lpstr>profit_</vt:lpstr>
      <vt:lpstr>py_profit_</vt:lpstr>
      <vt:lpstr>py_quantity_</vt:lpstr>
      <vt:lpstr>py_sales_</vt:lpstr>
      <vt:lpstr>quantity_</vt:lpstr>
      <vt:lpstr>sales_</vt:lpstr>
      <vt:lpstr>sales_by_category</vt:lpstr>
      <vt:lpstr>sales_trend</vt:lpstr>
      <vt:lpstr>top_product</vt:lpstr>
      <vt:lpstr>top_region</vt:lpstr>
      <vt:lpstr>top_selling_cities</vt:lpstr>
      <vt:lpstr>yoy_profit_</vt:lpstr>
      <vt:lpstr>yoy_quantity_</vt:lpstr>
      <vt:lpstr>yoy_sales_</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Emeka Anyanwu</cp:lastModifiedBy>
  <dcterms:created xsi:type="dcterms:W3CDTF">2026-03-20T09:15:30Z</dcterms:created>
  <dcterms:modified xsi:type="dcterms:W3CDTF">2026-04-06T15:54:01Z</dcterms:modified>
</cp:coreProperties>
</file>