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P\Desktop\Portfolio_Projects\e-commerce_project\"/>
    </mc:Choice>
  </mc:AlternateContent>
  <xr:revisionPtr revIDLastSave="0" documentId="13_ncr:1_{7D74E355-2763-4BFE-BBF7-F317D6307CE6}" xr6:coauthVersionLast="47" xr6:coauthVersionMax="47" xr10:uidLastSave="{00000000-0000-0000-0000-000000000000}"/>
  <bookViews>
    <workbookView xWindow="-120" yWindow="-120" windowWidth="20730" windowHeight="11160" activeTab="2" xr2:uid="{00000000-000D-0000-FFFF-FFFF00000000}"/>
  </bookViews>
  <sheets>
    <sheet name="dataset" sheetId="2" r:id="rId1"/>
    <sheet name="calculation" sheetId="3" r:id="rId2"/>
    <sheet name="dashboard" sheetId="4" r:id="rId3"/>
  </sheets>
  <definedNames>
    <definedName name="_xlchart.v5.0" hidden="1">calculation!$D$33</definedName>
    <definedName name="_xlchart.v5.1" hidden="1">calculation!$D$34:$D$81</definedName>
    <definedName name="_xlchart.v5.2" hidden="1">calculation!$E$33</definedName>
    <definedName name="_xlchart.v5.3" hidden="1">calculation!$E$34:$E$81</definedName>
    <definedName name="cy_profit_">calculation!$K$8</definedName>
    <definedName name="cy_quantity_">calculation!$K$7</definedName>
    <definedName name="cy_sales_">calculation!$K$6</definedName>
    <definedName name="ExternalData_1" localSheetId="0" hidden="1">dataset!$A$1:$J$3501</definedName>
    <definedName name="profit_">calculation!$J$8</definedName>
    <definedName name="py_profit_">calculation!$L$8</definedName>
    <definedName name="py_quantity_">calculation!$L$7</definedName>
    <definedName name="py_sales_">calculation!$L$6</definedName>
    <definedName name="quantity_">calculation!$J$7</definedName>
    <definedName name="sales_">calculation!$J$6</definedName>
    <definedName name="sales_by_category">calculation!$I$25</definedName>
    <definedName name="sales_trend">calculation!$B$15</definedName>
    <definedName name="Slicer_Category">#N/A</definedName>
    <definedName name="Slicer_Region">#N/A</definedName>
    <definedName name="top_product">calculation!$I$33</definedName>
    <definedName name="top_region">calculation!$I$43</definedName>
    <definedName name="top_selling_cities">calculation!$I$15</definedName>
    <definedName name="yoy_profit_">calculation!$N$8</definedName>
    <definedName name="yoy_quantity_">calculation!$N$7</definedName>
    <definedName name="yoy_sales_">calculation!$N$6</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3" i="3" l="1"/>
  <c r="I33" i="3"/>
  <c r="K6" i="3" l="1"/>
  <c r="M26" i="3"/>
  <c r="M16" i="3"/>
  <c r="I25" i="3"/>
  <c r="I15" i="3"/>
  <c r="B15" i="3"/>
  <c r="L8" i="3"/>
  <c r="L7" i="3"/>
  <c r="L6" i="3"/>
  <c r="M6" i="3" s="1"/>
  <c r="N6" i="3" s="1"/>
  <c r="K8" i="3"/>
  <c r="M8" i="3" s="1"/>
  <c r="N8" i="3" s="1"/>
  <c r="K7" i="3"/>
  <c r="M7" i="3" s="1"/>
  <c r="N7" i="3" s="1"/>
  <c r="J8" i="3"/>
  <c r="J7" i="3"/>
  <c r="J6" i="3"/>
  <c r="M18" i="3" l="1"/>
  <c r="M19" i="3"/>
  <c r="M20" i="3"/>
  <c r="M21" i="3"/>
  <c r="M17" i="3"/>
  <c r="M28" i="3"/>
  <c r="M29" i="3"/>
  <c r="M2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ecommerce_sales_data (2)" description="Connection to the 'ecommerce_sales_data (2)' query in the workbook." type="5" refreshedVersion="6" background="1" saveData="1">
    <dbPr connection="Provider=Microsoft.Mashup.OleDb.1;Data Source=$Workbook$;Location=ecommerce_sales_data (2);Extended Properties=&quot;&quot;" command="SELECT * FROM [ecommerce_sales_data (2)]"/>
  </connection>
</connections>
</file>

<file path=xl/sharedStrings.xml><?xml version="1.0" encoding="utf-8"?>
<sst xmlns="http://schemas.openxmlformats.org/spreadsheetml/2006/main" count="21188" uniqueCount="481">
  <si>
    <t>Order Date</t>
  </si>
  <si>
    <t>Product Name</t>
  </si>
  <si>
    <t>Category</t>
  </si>
  <si>
    <t>Country</t>
  </si>
  <si>
    <t>City</t>
  </si>
  <si>
    <t>State</t>
  </si>
  <si>
    <t>Region</t>
  </si>
  <si>
    <t>Quantity</t>
  </si>
  <si>
    <t>Sales</t>
  </si>
  <si>
    <t>Profit</t>
  </si>
  <si>
    <t>Printer</t>
  </si>
  <si>
    <t>Office</t>
  </si>
  <si>
    <t>United States</t>
  </si>
  <si>
    <t>Henderson</t>
  </si>
  <si>
    <t>Kentucky</t>
  </si>
  <si>
    <t>South</t>
  </si>
  <si>
    <t>Mouse</t>
  </si>
  <si>
    <t>Accessories</t>
  </si>
  <si>
    <t>Tablet</t>
  </si>
  <si>
    <t>Electronics</t>
  </si>
  <si>
    <t>Fort Lauderdale</t>
  </si>
  <si>
    <t>Florida</t>
  </si>
  <si>
    <t>Los Angeles</t>
  </si>
  <si>
    <t>California</t>
  </si>
  <si>
    <t>West</t>
  </si>
  <si>
    <t>Camera</t>
  </si>
  <si>
    <t>Philadelphia</t>
  </si>
  <si>
    <t>Pennsylvania</t>
  </si>
  <si>
    <t>East</t>
  </si>
  <si>
    <t>Headphones</t>
  </si>
  <si>
    <t>Orem</t>
  </si>
  <si>
    <t>Utah</t>
  </si>
  <si>
    <t>Smartwatch</t>
  </si>
  <si>
    <t>Richardson</t>
  </si>
  <si>
    <t>Texas</t>
  </si>
  <si>
    <t>Central</t>
  </si>
  <si>
    <t>Monitor</t>
  </si>
  <si>
    <t>Houston</t>
  </si>
  <si>
    <t>New Albany</t>
  </si>
  <si>
    <t>Indiana</t>
  </si>
  <si>
    <t>Smartphone</t>
  </si>
  <si>
    <t>Troy</t>
  </si>
  <si>
    <t>New York</t>
  </si>
  <si>
    <t>Chicago</t>
  </si>
  <si>
    <t>Illinois</t>
  </si>
  <si>
    <t>Memphis</t>
  </si>
  <si>
    <t>Tennessee</t>
  </si>
  <si>
    <t>Columbia</t>
  </si>
  <si>
    <t>South Carolina</t>
  </si>
  <si>
    <t>Keyboard</t>
  </si>
  <si>
    <t>Minneapolis</t>
  </si>
  <si>
    <t>Minnesota</t>
  </si>
  <si>
    <t>New York City</t>
  </si>
  <si>
    <t>Aurora</t>
  </si>
  <si>
    <t>Colorado</t>
  </si>
  <si>
    <t>Laptop</t>
  </si>
  <si>
    <t>Seattle</t>
  </si>
  <si>
    <t>Washington</t>
  </si>
  <si>
    <t>Wilmington</t>
  </si>
  <si>
    <t>Delaware</t>
  </si>
  <si>
    <t>Bloomington</t>
  </si>
  <si>
    <t>Roseville</t>
  </si>
  <si>
    <t>Newark</t>
  </si>
  <si>
    <t>Ohio</t>
  </si>
  <si>
    <t>Franklin</t>
  </si>
  <si>
    <t>Wisconsin</t>
  </si>
  <si>
    <t>San Antonio</t>
  </si>
  <si>
    <t>Denver</t>
  </si>
  <si>
    <t>Medina</t>
  </si>
  <si>
    <t>Dublin</t>
  </si>
  <si>
    <t>Detroit</t>
  </si>
  <si>
    <t>Michigan</t>
  </si>
  <si>
    <t>Tampa</t>
  </si>
  <si>
    <t>Lakeville</t>
  </si>
  <si>
    <t>San Francisco</t>
  </si>
  <si>
    <t>Columbus</t>
  </si>
  <si>
    <t>Colorado Springs</t>
  </si>
  <si>
    <t>Belleville</t>
  </si>
  <si>
    <t>New Jersey</t>
  </si>
  <si>
    <t>Arvada</t>
  </si>
  <si>
    <t>Hackensack</t>
  </si>
  <si>
    <t>Murfreesboro</t>
  </si>
  <si>
    <t>Manchester</t>
  </si>
  <si>
    <t>Connecticut</t>
  </si>
  <si>
    <t>Massachusetts</t>
  </si>
  <si>
    <t>Pembroke Pines</t>
  </si>
  <si>
    <t>Lawrence</t>
  </si>
  <si>
    <t>Jackson</t>
  </si>
  <si>
    <t>Mississippi</t>
  </si>
  <si>
    <t>Canton</t>
  </si>
  <si>
    <t>Akron</t>
  </si>
  <si>
    <t>Concord</t>
  </si>
  <si>
    <t>Decatur</t>
  </si>
  <si>
    <t>Phoenix</t>
  </si>
  <si>
    <t>Arizona</t>
  </si>
  <si>
    <t>Park Ridge</t>
  </si>
  <si>
    <t>Amarillo</t>
  </si>
  <si>
    <t>Costa Mesa</t>
  </si>
  <si>
    <t>Parker</t>
  </si>
  <si>
    <t>Gladstone</t>
  </si>
  <si>
    <t>Missouri</t>
  </si>
  <si>
    <t>Lakeland</t>
  </si>
  <si>
    <t>Fort Worth</t>
  </si>
  <si>
    <t>Jacksonville</t>
  </si>
  <si>
    <t>Richmond</t>
  </si>
  <si>
    <t>San Diego</t>
  </si>
  <si>
    <t>Dearborn</t>
  </si>
  <si>
    <t>Warner Robins</t>
  </si>
  <si>
    <t>Georgia</t>
  </si>
  <si>
    <t>Vallejo</t>
  </si>
  <si>
    <t>Vancouver</t>
  </si>
  <si>
    <t>Arlington</t>
  </si>
  <si>
    <t>Cleveland</t>
  </si>
  <si>
    <t>Tyler</t>
  </si>
  <si>
    <t>Waynesboro</t>
  </si>
  <si>
    <t>Virginia</t>
  </si>
  <si>
    <t>Long Beach</t>
  </si>
  <si>
    <t>Dover</t>
  </si>
  <si>
    <t>Oceanside</t>
  </si>
  <si>
    <t>Trenton</t>
  </si>
  <si>
    <t>Saint Petersburg</t>
  </si>
  <si>
    <t>Des Moines</t>
  </si>
  <si>
    <t>Iowa</t>
  </si>
  <si>
    <t>Lancaster</t>
  </si>
  <si>
    <t>Lake Elsinore</t>
  </si>
  <si>
    <t>Omaha</t>
  </si>
  <si>
    <t>Nebraska</t>
  </si>
  <si>
    <t>Edmonds</t>
  </si>
  <si>
    <t>Santa Ana</t>
  </si>
  <si>
    <t>Florence</t>
  </si>
  <si>
    <t>Louisville</t>
  </si>
  <si>
    <t>Lorain</t>
  </si>
  <si>
    <t>Springfield</t>
  </si>
  <si>
    <t>New Hampshire</t>
  </si>
  <si>
    <t>Rochester</t>
  </si>
  <si>
    <t>Norwich</t>
  </si>
  <si>
    <t>Milwaukee</t>
  </si>
  <si>
    <t>Torrance</t>
  </si>
  <si>
    <t>Mesa</t>
  </si>
  <si>
    <t>Round Rock</t>
  </si>
  <si>
    <t>Auburn</t>
  </si>
  <si>
    <t>Olympia</t>
  </si>
  <si>
    <t>District of Columbia</t>
  </si>
  <si>
    <t>Jefferson City</t>
  </si>
  <si>
    <t>Saint Peters</t>
  </si>
  <si>
    <t>Rockford</t>
  </si>
  <si>
    <t>Miami</t>
  </si>
  <si>
    <t>Yonkers</t>
  </si>
  <si>
    <t>Monroe</t>
  </si>
  <si>
    <t>North Carolina</t>
  </si>
  <si>
    <t>Encinitas</t>
  </si>
  <si>
    <t>Jonesboro</t>
  </si>
  <si>
    <t>Arkansas</t>
  </si>
  <si>
    <t>Cuyahoga Falls</t>
  </si>
  <si>
    <t>Harrisonburg</t>
  </si>
  <si>
    <t>Rockville</t>
  </si>
  <si>
    <t>Maryland</t>
  </si>
  <si>
    <t>Coral Springs</t>
  </si>
  <si>
    <t>Boynton Beach</t>
  </si>
  <si>
    <t>Fresno</t>
  </si>
  <si>
    <t>Chester</t>
  </si>
  <si>
    <t>La Porte</t>
  </si>
  <si>
    <t>Pasadena</t>
  </si>
  <si>
    <t>Evanston</t>
  </si>
  <si>
    <t>Tucson</t>
  </si>
  <si>
    <t>Pico Rivera</t>
  </si>
  <si>
    <t>Provo</t>
  </si>
  <si>
    <t>Smyrna</t>
  </si>
  <si>
    <t>Alabama</t>
  </si>
  <si>
    <t>Middletown</t>
  </si>
  <si>
    <t>Vineland</t>
  </si>
  <si>
    <t>Glendale</t>
  </si>
  <si>
    <t>North Las Vegas</t>
  </si>
  <si>
    <t>Nevada</t>
  </si>
  <si>
    <t>Allentown</t>
  </si>
  <si>
    <t>Laguna Niguel</t>
  </si>
  <si>
    <t>Everett</t>
  </si>
  <si>
    <t>Watertown</t>
  </si>
  <si>
    <t>El Paso</t>
  </si>
  <si>
    <t>Peoria</t>
  </si>
  <si>
    <t>Carrollton</t>
  </si>
  <si>
    <t>Kent</t>
  </si>
  <si>
    <t>Lafayette</t>
  </si>
  <si>
    <t>Louisiana</t>
  </si>
  <si>
    <t>Oakland</t>
  </si>
  <si>
    <t>Suffolk</t>
  </si>
  <si>
    <t>Madison</t>
  </si>
  <si>
    <t>San Jose</t>
  </si>
  <si>
    <t>Redmond</t>
  </si>
  <si>
    <t>Oregon</t>
  </si>
  <si>
    <t>Muskogee</t>
  </si>
  <si>
    <t>Oklahoma</t>
  </si>
  <si>
    <t>Charlotte</t>
  </si>
  <si>
    <t>Bowling Green</t>
  </si>
  <si>
    <t>Spokane</t>
  </si>
  <si>
    <t>Fairfield</t>
  </si>
  <si>
    <t>Broomfield</t>
  </si>
  <si>
    <t>Montgomery</t>
  </si>
  <si>
    <t>Brentwood</t>
  </si>
  <si>
    <t>Providence</t>
  </si>
  <si>
    <t>Rhode Island</t>
  </si>
  <si>
    <t>Pomona</t>
  </si>
  <si>
    <t>Ontario</t>
  </si>
  <si>
    <t>Moorhead</t>
  </si>
  <si>
    <t>Redlands</t>
  </si>
  <si>
    <t>Sunnyvale</t>
  </si>
  <si>
    <t>Lansing</t>
  </si>
  <si>
    <t>Grand Prairie</t>
  </si>
  <si>
    <t>York</t>
  </si>
  <si>
    <t>College Station</t>
  </si>
  <si>
    <t>Dallas</t>
  </si>
  <si>
    <t>Cincinnati</t>
  </si>
  <si>
    <t>Laredo</t>
  </si>
  <si>
    <t>San Angelo</t>
  </si>
  <si>
    <t>Little Rock</t>
  </si>
  <si>
    <t>Marion</t>
  </si>
  <si>
    <t>Littleton</t>
  </si>
  <si>
    <t>Bangor</t>
  </si>
  <si>
    <t>Maine</t>
  </si>
  <si>
    <t>Southaven</t>
  </si>
  <si>
    <t>Roswell</t>
  </si>
  <si>
    <t>Sioux Falls</t>
  </si>
  <si>
    <t>South Dakota</t>
  </si>
  <si>
    <t>Sacramento</t>
  </si>
  <si>
    <t>Huntsville</t>
  </si>
  <si>
    <t>Holyoke</t>
  </si>
  <si>
    <t>Farmington</t>
  </si>
  <si>
    <t>New Mexico</t>
  </si>
  <si>
    <t>Passaic</t>
  </si>
  <si>
    <t>Fayetteville</t>
  </si>
  <si>
    <t>Mishawaka</t>
  </si>
  <si>
    <t>Westfield</t>
  </si>
  <si>
    <t>Scottsdale</t>
  </si>
  <si>
    <t>Malden</t>
  </si>
  <si>
    <t>Bellingham</t>
  </si>
  <si>
    <t>Alexandria</t>
  </si>
  <si>
    <t>Wheeling</t>
  </si>
  <si>
    <t>Raleigh</t>
  </si>
  <si>
    <t>Tulsa</t>
  </si>
  <si>
    <t>Hesperia</t>
  </si>
  <si>
    <t>Gilbert</t>
  </si>
  <si>
    <t>Lowell</t>
  </si>
  <si>
    <t>Hialeah</t>
  </si>
  <si>
    <t>Lakewood</t>
  </si>
  <si>
    <t>Bakersfield</t>
  </si>
  <si>
    <t>Pompano Beach</t>
  </si>
  <si>
    <t>Corpus Christi</t>
  </si>
  <si>
    <t>Redondo Beach</t>
  </si>
  <si>
    <t>Las Cruces</t>
  </si>
  <si>
    <t>Chesapeake</t>
  </si>
  <si>
    <t>Woodstock</t>
  </si>
  <si>
    <t>Atlanta</t>
  </si>
  <si>
    <t>Tempe</t>
  </si>
  <si>
    <t>Lake Charles</t>
  </si>
  <si>
    <t>Highland Park</t>
  </si>
  <si>
    <t>Saginaw</t>
  </si>
  <si>
    <t>Skokie</t>
  </si>
  <si>
    <t>Allen</t>
  </si>
  <si>
    <t>Mount Pleasant</t>
  </si>
  <si>
    <t>Murray</t>
  </si>
  <si>
    <t>Pharr</t>
  </si>
  <si>
    <t>West Jordan</t>
  </si>
  <si>
    <t>Brownsville</t>
  </si>
  <si>
    <t>Lincoln Park</t>
  </si>
  <si>
    <t>Gresham</t>
  </si>
  <si>
    <t>Chattanooga</t>
  </si>
  <si>
    <t>Meridian</t>
  </si>
  <si>
    <t>Idaho</t>
  </si>
  <si>
    <t>Austin</t>
  </si>
  <si>
    <t>Tallahassee</t>
  </si>
  <si>
    <t>Fort Collins</t>
  </si>
  <si>
    <t>Gulfport</t>
  </si>
  <si>
    <t>Quincy</t>
  </si>
  <si>
    <t>Bristol</t>
  </si>
  <si>
    <t>Mission Viejo</t>
  </si>
  <si>
    <t>Las Vegas</t>
  </si>
  <si>
    <t>Hempstead</t>
  </si>
  <si>
    <t>Tinley Park</t>
  </si>
  <si>
    <t>Dubuque</t>
  </si>
  <si>
    <t>Inglewood</t>
  </si>
  <si>
    <t>Revere</t>
  </si>
  <si>
    <t>Dearborn Heights</t>
  </si>
  <si>
    <t>Mobile</t>
  </si>
  <si>
    <t>Carol Stream</t>
  </si>
  <si>
    <t>Saint Cloud</t>
  </si>
  <si>
    <t>Plano</t>
  </si>
  <si>
    <t>Macon</t>
  </si>
  <si>
    <t>Plantation</t>
  </si>
  <si>
    <t>Clinton</t>
  </si>
  <si>
    <t>Toledo</t>
  </si>
  <si>
    <t>Mesquite</t>
  </si>
  <si>
    <t>Odessa</t>
  </si>
  <si>
    <t>West Allis</t>
  </si>
  <si>
    <t>Chula Vista</t>
  </si>
  <si>
    <t>Greensboro</t>
  </si>
  <si>
    <t>Champaign</t>
  </si>
  <si>
    <t>Harlingen</t>
  </si>
  <si>
    <t>Greenwood</t>
  </si>
  <si>
    <t>Nashville</t>
  </si>
  <si>
    <t>Woonsocket</t>
  </si>
  <si>
    <t>Kenosha</t>
  </si>
  <si>
    <t>Port Saint Lucie</t>
  </si>
  <si>
    <t>Miramar</t>
  </si>
  <si>
    <t>Fremont</t>
  </si>
  <si>
    <t>Freeport</t>
  </si>
  <si>
    <t>Boise</t>
  </si>
  <si>
    <t>Cranston</t>
  </si>
  <si>
    <t>Baltimore</t>
  </si>
  <si>
    <t>Port Arthur</t>
  </si>
  <si>
    <t>Citrus Heights</t>
  </si>
  <si>
    <t>Bullhead City</t>
  </si>
  <si>
    <t>New Rochelle</t>
  </si>
  <si>
    <t>San Gabriel</t>
  </si>
  <si>
    <t>Hamilton</t>
  </si>
  <si>
    <t>Sandy Springs</t>
  </si>
  <si>
    <t>Mentor</t>
  </si>
  <si>
    <t>Lawton</t>
  </si>
  <si>
    <t>Hampton</t>
  </si>
  <si>
    <t>Rome</t>
  </si>
  <si>
    <t>Manteca</t>
  </si>
  <si>
    <t>Danville</t>
  </si>
  <si>
    <t>Waterbury</t>
  </si>
  <si>
    <t>Buffalo</t>
  </si>
  <si>
    <t>Pasco</t>
  </si>
  <si>
    <t>Marietta</t>
  </si>
  <si>
    <t>Parma</t>
  </si>
  <si>
    <t>League City</t>
  </si>
  <si>
    <t>Gaithersburg</t>
  </si>
  <si>
    <t>Oklahoma City</t>
  </si>
  <si>
    <t>Burlington</t>
  </si>
  <si>
    <t>Deltona</t>
  </si>
  <si>
    <t>Anaheim</t>
  </si>
  <si>
    <t>Chandler</t>
  </si>
  <si>
    <t>Kirkwood</t>
  </si>
  <si>
    <t>Taylor</t>
  </si>
  <si>
    <t>Midland</t>
  </si>
  <si>
    <t>Waco</t>
  </si>
  <si>
    <t>Texarkana</t>
  </si>
  <si>
    <t>Bethlehem</t>
  </si>
  <si>
    <t>Vermont</t>
  </si>
  <si>
    <t>Garland</t>
  </si>
  <si>
    <t>Knoxville</t>
  </si>
  <si>
    <t>Wichita</t>
  </si>
  <si>
    <t>Kansas</t>
  </si>
  <si>
    <t>Oak Park</t>
  </si>
  <si>
    <t>Palm Coast</t>
  </si>
  <si>
    <t>Olathe</t>
  </si>
  <si>
    <t>Draper</t>
  </si>
  <si>
    <t>La Crosse</t>
  </si>
  <si>
    <t>Morristown</t>
  </si>
  <si>
    <t>Apple Valley</t>
  </si>
  <si>
    <t>Salem</t>
  </si>
  <si>
    <t>Pocatello</t>
  </si>
  <si>
    <t>Apopka</t>
  </si>
  <si>
    <t>Milford</t>
  </si>
  <si>
    <t>Buffalo Grove</t>
  </si>
  <si>
    <t>Lake Forest</t>
  </si>
  <si>
    <t>Conway</t>
  </si>
  <si>
    <t>Meriden</t>
  </si>
  <si>
    <t>Cheyenne</t>
  </si>
  <si>
    <t>Wyoming</t>
  </si>
  <si>
    <t>Reading</t>
  </si>
  <si>
    <t>Hattiesburg</t>
  </si>
  <si>
    <t>Caldwell</t>
  </si>
  <si>
    <t>Nashua</t>
  </si>
  <si>
    <t>Georgetown</t>
  </si>
  <si>
    <t>Sierra Vista</t>
  </si>
  <si>
    <t>Lubbock</t>
  </si>
  <si>
    <t>Portland</t>
  </si>
  <si>
    <t>Hendersonville</t>
  </si>
  <si>
    <t>Chico</t>
  </si>
  <si>
    <t>Eugene</t>
  </si>
  <si>
    <t>Oxnard</t>
  </si>
  <si>
    <t>Westland</t>
  </si>
  <si>
    <t>Orlando</t>
  </si>
  <si>
    <t>Elmhurst</t>
  </si>
  <si>
    <t>Texas City</t>
  </si>
  <si>
    <t>Virginia Beach</t>
  </si>
  <si>
    <t>Charlottesville</t>
  </si>
  <si>
    <t>Wilson</t>
  </si>
  <si>
    <t>Rio Rancho</t>
  </si>
  <si>
    <t>Hot Springs</t>
  </si>
  <si>
    <t>Paterson</t>
  </si>
  <si>
    <t>Thousand Oaks</t>
  </si>
  <si>
    <t>El Cajon</t>
  </si>
  <si>
    <t>Naperville</t>
  </si>
  <si>
    <t>North Charleston</t>
  </si>
  <si>
    <t>Longview</t>
  </si>
  <si>
    <t>Normal</t>
  </si>
  <si>
    <t>Salinas</t>
  </si>
  <si>
    <t>Saint Charles</t>
  </si>
  <si>
    <t>Tuscaloosa</t>
  </si>
  <si>
    <t>Superior</t>
  </si>
  <si>
    <t>Helena</t>
  </si>
  <si>
    <t>Montana</t>
  </si>
  <si>
    <t>Bellevue</t>
  </si>
  <si>
    <t>Des Plaines</t>
  </si>
  <si>
    <t>Burbank</t>
  </si>
  <si>
    <t>Camarillo</t>
  </si>
  <si>
    <t>Tigard</t>
  </si>
  <si>
    <t>Covington</t>
  </si>
  <si>
    <t>Westminster</t>
  </si>
  <si>
    <t>Longmont</t>
  </si>
  <si>
    <t>Greenville</t>
  </si>
  <si>
    <t>Newport News</t>
  </si>
  <si>
    <t>Bossier City</t>
  </si>
  <si>
    <t>Thornton</t>
  </si>
  <si>
    <t>Morgan Hill</t>
  </si>
  <si>
    <t>Clifton</t>
  </si>
  <si>
    <t>Cambridge</t>
  </si>
  <si>
    <t>East Point</t>
  </si>
  <si>
    <t>Modesto</t>
  </si>
  <si>
    <t>Rapid City</t>
  </si>
  <si>
    <t>Durham</t>
  </si>
  <si>
    <t>Daytona Beach</t>
  </si>
  <si>
    <t>Andover</t>
  </si>
  <si>
    <t>Athens</t>
  </si>
  <si>
    <t>Danbury</t>
  </si>
  <si>
    <t>Noblesville</t>
  </si>
  <si>
    <t>Clarksville</t>
  </si>
  <si>
    <t>Frisco</t>
  </si>
  <si>
    <t>Sanford</t>
  </si>
  <si>
    <t>San Marcos</t>
  </si>
  <si>
    <t>Greeley</t>
  </si>
  <si>
    <t>Mansfield</t>
  </si>
  <si>
    <t>Hillsboro</t>
  </si>
  <si>
    <t>Twin Falls</t>
  </si>
  <si>
    <t>Utica</t>
  </si>
  <si>
    <t>Stockton</t>
  </si>
  <si>
    <t>Coral Gables</t>
  </si>
  <si>
    <t>Green Bay</t>
  </si>
  <si>
    <t>Marlborough</t>
  </si>
  <si>
    <t>Hollywood</t>
  </si>
  <si>
    <t>Laurel</t>
  </si>
  <si>
    <t>Eau Claire</t>
  </si>
  <si>
    <t>Perth Amboy</t>
  </si>
  <si>
    <t>Mcallen</t>
  </si>
  <si>
    <t>Moreno Valley</t>
  </si>
  <si>
    <t>West Virginia</t>
  </si>
  <si>
    <t>Broken Arrow</t>
  </si>
  <si>
    <t>Beaumont</t>
  </si>
  <si>
    <t>Mason</t>
  </si>
  <si>
    <t>Santa Barbara</t>
  </si>
  <si>
    <t>Bryan</t>
  </si>
  <si>
    <t>San Bernardino</t>
  </si>
  <si>
    <t>Indianapolis</t>
  </si>
  <si>
    <t>Sum of Sales</t>
  </si>
  <si>
    <t>Sum of Quantity</t>
  </si>
  <si>
    <t>Sum of Profit</t>
  </si>
  <si>
    <t>Row Labels</t>
  </si>
  <si>
    <t>Grand Total</t>
  </si>
  <si>
    <t>2022</t>
  </si>
  <si>
    <t>Jan</t>
  </si>
  <si>
    <t>Feb</t>
  </si>
  <si>
    <t>Mar</t>
  </si>
  <si>
    <t>Apr</t>
  </si>
  <si>
    <t>May</t>
  </si>
  <si>
    <t>Jun</t>
  </si>
  <si>
    <t>Jul</t>
  </si>
  <si>
    <t>Aug</t>
  </si>
  <si>
    <t>Sep</t>
  </si>
  <si>
    <t>Oct</t>
  </si>
  <si>
    <t>Nov</t>
  </si>
  <si>
    <t>Dec</t>
  </si>
  <si>
    <t>2023</t>
  </si>
  <si>
    <t>2024</t>
  </si>
  <si>
    <t>Key Performance Indicators</t>
  </si>
  <si>
    <t>SALES</t>
  </si>
  <si>
    <t>QUANTITY</t>
  </si>
  <si>
    <t>PROFIT</t>
  </si>
  <si>
    <t>Totals</t>
  </si>
  <si>
    <t>CY</t>
  </si>
  <si>
    <t>PY</t>
  </si>
  <si>
    <t>YoY</t>
  </si>
  <si>
    <t>Sales trend</t>
  </si>
  <si>
    <t>Top Selling Cities</t>
  </si>
  <si>
    <t>Sales by State</t>
  </si>
  <si>
    <t>STATE</t>
  </si>
  <si>
    <t>Sales by Category</t>
  </si>
  <si>
    <t>Top Selling Product</t>
  </si>
  <si>
    <t>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</si>
</sst>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t;=1000000]\$0.0,,&quot;M&quot;;[&gt;=1000]\$0.0,&quot;K&quot;;0"/>
    <numFmt numFmtId="165" formatCode="[&gt;=1000000]0.0,,&quot;M&quot;;[&gt;=1000]0.0,&quot;K&quot;;0"/>
    <numFmt numFmtId="166" formatCode="0.0%"/>
    <numFmt numFmtId="167" formatCode="0.0"/>
    <numFmt numFmtId="168" formatCode="[&gt;=1000000]\$0.00,,&quot;M&quot;;[&gt;=1000]\$0.00,&quot;K&quot;;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64" fontId="0" fillId="0" borderId="0" xfId="0" applyNumberFormat="1"/>
    <xf numFmtId="0" fontId="2" fillId="0" borderId="0" xfId="0" applyFont="1" applyAlignment="1">
      <alignment horizontal="left"/>
    </xf>
    <xf numFmtId="165" fontId="0" fillId="0" borderId="0" xfId="0" applyNumberFormat="1"/>
    <xf numFmtId="166" fontId="0" fillId="0" borderId="0" xfId="1" applyNumberFormat="1" applyFont="1"/>
    <xf numFmtId="167" fontId="0" fillId="0" borderId="0" xfId="0" applyNumberFormat="1"/>
    <xf numFmtId="168" fontId="0" fillId="0" borderId="0" xfId="0" applyNumberFormat="1"/>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484">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font>
        <sz val="10"/>
      </font>
      <fill>
        <patternFill>
          <bgColor rgb="FFDEEBF7"/>
        </patternFill>
      </fill>
      <border diagonalUp="0" diagonalDown="0">
        <left/>
        <right/>
        <top/>
        <bottom/>
        <vertical/>
        <horizontal/>
      </border>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8" formatCode="[&gt;=1000000]\$0.00,,&quot;M&quot;;[&gt;=1000]\$0.00,&quot;K&quot;;0.0"/>
    </dxf>
    <dxf>
      <numFmt numFmtId="164" formatCode="[&gt;=1000000]\$0.0,,&quot;M&quot;;[&gt;=1000]\$0.0,&quot;K&quot;;0"/>
    </dxf>
    <dxf>
      <numFmt numFmtId="168" formatCode="[&gt;=1000000]\$0.00,,&quot;M&quot;;[&gt;=1000]\$0.00,&quot;K&quot;;0.0"/>
    </dxf>
    <dxf>
      <numFmt numFmtId="164" formatCode="[&gt;=1000000]\$0.0,,&quot;M&quot;;[&gt;=1000]\$0.0,&quot;K&quot;;0"/>
    </dxf>
    <dxf>
      <numFmt numFmtId="164" formatCode="[&gt;=1000000]\$0.0,,&quot;M&quot;;[&gt;=1000]\$0.0,&quot;K&quot;;0"/>
    </dxf>
    <dxf>
      <numFmt numFmtId="164" formatCode="[&gt;=1000000]\$0.0,,&quot;M&quot;;[&gt;=1000]\$0.0,&quot;K&quot;;0"/>
    </dxf>
    <dxf>
      <numFmt numFmtId="35" formatCode="_(* #,##0.00_);_(* \(#,##0.00\);_(* &quot;-&quot;??_);_(@_)"/>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9" formatCode="m/d/yyyy"/>
    </dxf>
  </dxfs>
  <tableStyles count="1" defaultTableStyle="TableStyleMedium2" defaultPivotStyle="PivotStyleLight16">
    <tableStyle name="Slicer Style 1" pivot="0" table="0" count="6" xr9:uid="{85D96A3A-E8A9-45C2-B446-8EE954F59C4E}">
      <tableStyleElement type="wholeTable" dxfId="72"/>
    </tableStyle>
  </tableStyles>
  <colors>
    <mruColors>
      <color rgb="FFBDD7EE"/>
      <color rgb="FFDEEBF7"/>
      <color rgb="FF222A35"/>
      <color rgb="FF000000"/>
      <color rgb="FFF8F9FA"/>
      <color rgb="FFF5F9FD"/>
    </mruColors>
  </colors>
  <extLst>
    <ext xmlns:x14="http://schemas.microsoft.com/office/spreadsheetml/2009/9/main" uri="{46F421CA-312F-682f-3DD2-61675219B42D}">
      <x14:dxfs count="19">
        <dxf>
          <font>
            <sz val="14"/>
          </font>
          <fill>
            <patternFill>
              <bgColor theme="2" tint="-9.9948118533890809E-2"/>
            </patternFill>
          </fill>
          <border diagonalUp="0" diagonalDown="0">
            <left/>
            <right/>
            <top/>
            <bottom/>
            <vertical/>
            <horizontal/>
          </border>
        </dxf>
        <dxf>
          <border diagonalUp="0" diagonalDown="0">
            <left/>
            <right/>
            <top/>
            <bottom/>
            <vertical/>
            <horizontal/>
          </border>
        </dxf>
        <dxf>
          <font>
            <b val="0"/>
            <i val="0"/>
            <sz val="14"/>
          </font>
          <fill>
            <patternFill>
              <bgColor rgb="FFBDD7EE"/>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font>
            <sz val="14"/>
          </font>
          <fill>
            <patternFill>
              <bgColor theme="2" tint="-9.9948118533890809E-2"/>
            </patternFill>
          </fill>
          <border diagonalUp="0" diagonalDown="0">
            <left/>
            <right/>
            <top/>
            <bottom/>
            <vertical/>
            <horizontal/>
          </border>
        </dxf>
        <dxf>
          <border diagonalUp="0" diagonalDown="0">
            <left/>
            <right/>
            <top/>
            <bottom/>
            <vertical/>
            <horizontal/>
          </border>
        </dxf>
        <dxf>
          <font>
            <b val="0"/>
            <i val="0"/>
            <sz val="12"/>
          </font>
          <fill>
            <patternFill>
              <bgColor rgb="FFDEEBF7"/>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ont>
            <sz val="14"/>
          </font>
          <fill>
            <patternFill>
              <bgColor theme="2" tint="-9.9948118533890809E-2"/>
            </patternFill>
          </fill>
          <border diagonalUp="0" diagonalDown="0">
            <left/>
            <right/>
            <top/>
            <bottom/>
            <vertical/>
            <horizontal/>
          </border>
        </dxf>
        <dxf>
          <font>
            <b val="0"/>
            <i val="0"/>
            <sz val="11"/>
          </font>
          <fill>
            <patternFill>
              <bgColor rgb="FFDEEBF7"/>
            </patternFill>
          </fill>
          <border diagonalUp="0" diagonalDown="0">
            <left/>
            <right/>
            <top/>
            <bottom/>
            <vertical/>
            <horizontal/>
          </border>
        </dxf>
        <dxf>
          <border diagonalUp="0" diagonalDown="0">
            <left/>
            <right/>
            <top/>
            <bottom/>
            <vertical/>
            <horizontal/>
          </border>
        </dxf>
        <dxf>
          <font>
            <sz val="14"/>
          </font>
          <fill>
            <patternFill>
              <bgColor theme="2" tint="-9.9948118533890809E-2"/>
            </patternFill>
          </fill>
          <border diagonalUp="0" diagonalDown="0">
            <left/>
            <right/>
            <top/>
            <bottom/>
            <vertical/>
            <horizontal/>
          </border>
        </dxf>
        <dxf>
          <font>
            <b val="0"/>
            <i val="0"/>
            <sz val="11"/>
          </font>
          <fill>
            <patternFill>
              <bgColor rgb="FFDEEBF7"/>
            </patternFill>
          </fill>
          <border diagonalUp="0" diagonalDown="0">
            <left/>
            <right/>
            <top/>
            <bottom/>
            <vertical/>
            <horizontal/>
          </border>
        </dxf>
        <dxf>
          <font>
            <b val="0"/>
            <i val="0"/>
            <sz val="11"/>
          </font>
          <fill>
            <patternFill>
              <bgColor rgb="FFDEEBF7"/>
            </patternFill>
          </fill>
          <border diagonalUp="0" diagonalDown="0">
            <left/>
            <right/>
            <top/>
            <bottom/>
            <vertical/>
            <horizontal/>
          </border>
        </dxf>
        <dxf>
          <font>
            <b/>
            <i val="0"/>
            <sz val="12"/>
          </font>
          <fill>
            <patternFill>
              <bgColor theme="5"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[ecommerce_sales_transformed.xlsx]calculation!PivotTable3</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34925" cap="rnd">
            <a:solidFill>
              <a:schemeClr val="accent1"/>
            </a:solidFill>
            <a:prstDash val="sysDot"/>
            <a:round/>
          </a:ln>
          <a:effectLst/>
        </c:spPr>
        <c:marker>
          <c:symbol val="none"/>
        </c:marker>
      </c:pivotFmt>
      <c:pivotFmt>
        <c:idx val="2"/>
        <c:spPr>
          <a:solidFill>
            <a:schemeClr val="accent1"/>
          </a:solidFill>
          <a:ln w="34925" cap="rnd">
            <a:solidFill>
              <a:schemeClr val="accent1"/>
            </a:solidFill>
            <a:prstDash val="sysDot"/>
            <a:round/>
          </a:ln>
          <a:effectLst/>
        </c:spPr>
        <c:marker>
          <c:symbol val="none"/>
        </c:marker>
      </c:pivotFmt>
      <c:pivotFmt>
        <c:idx val="3"/>
        <c:spPr>
          <a:solidFill>
            <a:schemeClr val="accent1"/>
          </a:solidFill>
          <a:ln w="34925" cap="rnd">
            <a:solidFill>
              <a:schemeClr val="accent1"/>
            </a:solidFill>
            <a:prstDash val="sysDot"/>
            <a:round/>
          </a:ln>
          <a:effectLst/>
        </c:spPr>
        <c:marker>
          <c:symbol val="circle"/>
          <c:size val="8"/>
          <c:spPr>
            <a:solidFill>
              <a:schemeClr val="accent1"/>
            </a:solidFill>
            <a:ln w="9525">
              <a:solidFill>
                <a:schemeClr val="accent1"/>
              </a:solidFill>
            </a:ln>
            <a:effectLst/>
          </c:spPr>
        </c:marker>
      </c:pivotFmt>
      <c:pivotFmt>
        <c:idx val="4"/>
        <c:spPr>
          <a:ln w="34925" cap="rnd">
            <a:solidFill>
              <a:schemeClr val="accent1">
                <a:lumMod val="75000"/>
              </a:schemeClr>
            </a:solidFill>
            <a:prstDash val="sysDot"/>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8560221914767E-2"/>
          <c:y val="7.407407407407407E-2"/>
          <c:w val="0.94892548513926966"/>
          <c:h val="0.8416746864975212"/>
        </c:manualLayout>
      </c:layout>
      <c:lineChart>
        <c:grouping val="standard"/>
        <c:varyColors val="0"/>
        <c:ser>
          <c:idx val="0"/>
          <c:order val="0"/>
          <c:tx>
            <c:strRef>
              <c:f>calculation!$C$16</c:f>
              <c:strCache>
                <c:ptCount val="1"/>
                <c:pt idx="0">
                  <c:v>Total</c:v>
                </c:pt>
              </c:strCache>
            </c:strRef>
          </c:tx>
          <c:spPr>
            <a:ln w="34925" cap="rnd">
              <a:solidFill>
                <a:schemeClr val="accent1">
                  <a:lumMod val="75000"/>
                </a:schemeClr>
              </a:solidFill>
              <a:prstDash val="sysDot"/>
              <a:round/>
            </a:ln>
            <a:effectLst/>
          </c:spPr>
          <c:marker>
            <c:symbol val="circle"/>
            <c:size val="8"/>
            <c:spPr>
              <a:solidFill>
                <a:schemeClr val="accent1"/>
              </a:solidFill>
              <a:ln w="9525">
                <a:solidFill>
                  <a:schemeClr val="accent1"/>
                </a:solidFill>
              </a:ln>
              <a:effectLst/>
            </c:spPr>
          </c:marker>
          <c:cat>
            <c:strRef>
              <c:f>calculation!$B$17:$B$29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calculation!$C$17:$C$29</c:f>
              <c:numCache>
                <c:formatCode>[&gt;=1000000]\$0.0,,"M";[&gt;=1000]\$0.0,"K";0</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smooth val="1"/>
          <c:extLst>
            <c:ext xmlns:c16="http://schemas.microsoft.com/office/drawing/2014/chart" uri="{C3380CC4-5D6E-409C-BE32-E72D297353CC}">
              <c16:uniqueId val="{00000000-A5FA-45B5-8582-109248A46D66}"/>
            </c:ext>
          </c:extLst>
        </c:ser>
        <c:dLbls>
          <c:showLegendKey val="0"/>
          <c:showVal val="0"/>
          <c:showCatName val="0"/>
          <c:showSerName val="0"/>
          <c:showPercent val="0"/>
          <c:showBubbleSize val="0"/>
        </c:dLbls>
        <c:marker val="1"/>
        <c:smooth val="0"/>
        <c:axId val="2045736383"/>
        <c:axId val="2045743039"/>
      </c:lineChart>
      <c:catAx>
        <c:axId val="20457363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2045743039"/>
        <c:crosses val="autoZero"/>
        <c:auto val="1"/>
        <c:lblAlgn val="ctr"/>
        <c:lblOffset val="100"/>
        <c:noMultiLvlLbl val="0"/>
      </c:catAx>
      <c:valAx>
        <c:axId val="2045743039"/>
        <c:scaling>
          <c:orientation val="minMax"/>
        </c:scaling>
        <c:delete val="1"/>
        <c:axPos val="l"/>
        <c:numFmt formatCode="[&gt;=1000000]\$0.0,,&quot;M&quot;;[&gt;=1000]\$0.0,&quot;K&quot;;0" sourceLinked="1"/>
        <c:majorTickMark val="out"/>
        <c:minorTickMark val="none"/>
        <c:tickLblPos val="nextTo"/>
        <c:crossAx val="20457363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[ecommerce_sales_transformed.xlsx]calculation!PivotTable7</c:name>
    <c:fmtId val="2"/>
  </c:pivotSource>
  <c:chart>
    <c:autoTitleDeleted val="1"/>
    <c:pivotFmts>
      <c:pivotFmt>
        <c:idx val="0"/>
        <c:spPr>
          <a:solidFill>
            <a:schemeClr val="accent1"/>
          </a:solidFill>
          <a:ln w="28575" cap="rnd">
            <a:noFill/>
            <a:round/>
          </a:ln>
          <a:effectLst/>
        </c:spPr>
        <c:marker>
          <c:symbol val="circle"/>
          <c:size val="9"/>
          <c:spPr>
            <a:solidFill>
              <a:schemeClr val="accent1"/>
            </a:solidFill>
            <a:ln w="9525">
              <a:solidFill>
                <a:schemeClr val="accent1"/>
              </a:solidFill>
            </a:ln>
            <a:effectLst/>
          </c:spPr>
        </c:marker>
      </c:pivotFmt>
      <c:pivotFmt>
        <c:idx val="1"/>
        <c:spPr>
          <a:solidFill>
            <a:schemeClr val="accent1"/>
          </a:solidFill>
          <a:ln w="28575" cap="rnd">
            <a:noFill/>
            <a:round/>
          </a:ln>
          <a:effectLst/>
        </c:spPr>
        <c:marker>
          <c:symbol val="circle"/>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circle"/>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66666666666668E-2"/>
          <c:y val="9.4420600858369105E-2"/>
          <c:w val="0.92666666666666664"/>
          <c:h val="0.70645263762630528"/>
        </c:manualLayout>
      </c:layout>
      <c:lineChart>
        <c:grouping val="standard"/>
        <c:varyColors val="0"/>
        <c:ser>
          <c:idx val="0"/>
          <c:order val="0"/>
          <c:tx>
            <c:strRef>
              <c:f>calculation!$J$34</c:f>
              <c:strCache>
                <c:ptCount val="1"/>
                <c:pt idx="0">
                  <c:v>Total</c:v>
                </c:pt>
              </c:strCache>
            </c:strRef>
          </c:tx>
          <c:spPr>
            <a:ln w="28575" cap="rnd">
              <a:noFill/>
              <a:round/>
            </a:ln>
            <a:effectLst/>
          </c:spPr>
          <c:marker>
            <c:symbol val="circle"/>
            <c:size val="9"/>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calculation!$I$35:$I$40</c:f>
              <c:strCache>
                <c:ptCount val="5"/>
                <c:pt idx="0">
                  <c:v>Camera</c:v>
                </c:pt>
                <c:pt idx="1">
                  <c:v>Monitor</c:v>
                </c:pt>
                <c:pt idx="2">
                  <c:v>Mouse</c:v>
                </c:pt>
                <c:pt idx="3">
                  <c:v>Printer</c:v>
                </c:pt>
                <c:pt idx="4">
                  <c:v>Smartphone</c:v>
                </c:pt>
              </c:strCache>
            </c:strRef>
          </c:cat>
          <c:val>
            <c:numRef>
              <c:f>calculation!$J$35:$J$40</c:f>
              <c:numCache>
                <c:formatCode>[&gt;=1000000]\$0.00,,"M";[&gt;=1000]\$0.00,"K";0.0</c:formatCode>
                <c:ptCount val="5"/>
                <c:pt idx="0">
                  <c:v>1177381</c:v>
                </c:pt>
                <c:pt idx="1">
                  <c:v>1160048</c:v>
                </c:pt>
                <c:pt idx="2">
                  <c:v>1074398</c:v>
                </c:pt>
                <c:pt idx="3">
                  <c:v>1094216</c:v>
                </c:pt>
                <c:pt idx="4">
                  <c:v>1069681</c:v>
                </c:pt>
              </c:numCache>
            </c:numRef>
          </c:val>
          <c:smooth val="0"/>
          <c:extLst>
            <c:ext xmlns:c16="http://schemas.microsoft.com/office/drawing/2014/chart" uri="{C3380CC4-5D6E-409C-BE32-E72D297353CC}">
              <c16:uniqueId val="{00000000-EEFB-4D6E-9A83-54419C4DD11F}"/>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prstDash val="sysDot"/>
              <a:round/>
            </a:ln>
            <a:effectLst/>
          </c:spPr>
        </c:dropLines>
        <c:marker val="1"/>
        <c:smooth val="0"/>
        <c:axId val="896387391"/>
        <c:axId val="896379071"/>
      </c:lineChart>
      <c:catAx>
        <c:axId val="8963873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96379071"/>
        <c:crosses val="autoZero"/>
        <c:auto val="1"/>
        <c:lblAlgn val="ctr"/>
        <c:lblOffset val="100"/>
        <c:noMultiLvlLbl val="0"/>
      </c:catAx>
      <c:valAx>
        <c:axId val="896379071"/>
        <c:scaling>
          <c:orientation val="minMax"/>
        </c:scaling>
        <c:delete val="1"/>
        <c:axPos val="l"/>
        <c:numFmt formatCode="[&gt;=1000000]\$0.00,,&quot;M&quot;;[&gt;=1000]\$0.00,&quot;K&quot;;0.0" sourceLinked="1"/>
        <c:majorTickMark val="none"/>
        <c:minorTickMark val="none"/>
        <c:tickLblPos val="nextTo"/>
        <c:crossAx val="8963873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68828142049131"/>
          <c:y val="7.2527497630006973E-2"/>
          <c:w val="0.76271713836978638"/>
          <c:h val="0.81548298001211383"/>
        </c:manualLayout>
      </c:layout>
      <c:barChart>
        <c:barDir val="bar"/>
        <c:grouping val="stacked"/>
        <c:varyColors val="0"/>
        <c:ser>
          <c:idx val="0"/>
          <c:order val="0"/>
          <c:spPr>
            <a:solidFill>
              <a:schemeClr val="accent1">
                <a:lumMod val="40000"/>
                <a:lumOff val="60000"/>
              </a:schemeClr>
            </a:solidFill>
            <a:ln>
              <a:noFill/>
            </a:ln>
            <a:effectLst/>
          </c:spPr>
          <c:invertIfNegative val="0"/>
          <c:cat>
            <c:strRef>
              <c:f>calculation!$K$17:$K$21</c:f>
              <c:strCache>
                <c:ptCount val="5"/>
                <c:pt idx="0">
                  <c:v>Los Angeles</c:v>
                </c:pt>
                <c:pt idx="1">
                  <c:v>New York City</c:v>
                </c:pt>
                <c:pt idx="2">
                  <c:v>Philadelphia</c:v>
                </c:pt>
                <c:pt idx="3">
                  <c:v>San Francisco</c:v>
                </c:pt>
                <c:pt idx="4">
                  <c:v>Seattle</c:v>
                </c:pt>
              </c:strCache>
            </c:strRef>
          </c:cat>
          <c:val>
            <c:numRef>
              <c:f>calculation!$L$17:$L$21</c:f>
              <c:numCache>
                <c:formatCode>[&gt;=1000000]\$0.0,,"M";[&gt;=1000]\$0.0,"K";0</c:formatCode>
                <c:ptCount val="5"/>
                <c:pt idx="0">
                  <c:v>753214</c:v>
                </c:pt>
                <c:pt idx="1">
                  <c:v>1004712</c:v>
                </c:pt>
                <c:pt idx="2">
                  <c:v>557526</c:v>
                </c:pt>
                <c:pt idx="3">
                  <c:v>512276</c:v>
                </c:pt>
                <c:pt idx="4">
                  <c:v>472121</c:v>
                </c:pt>
              </c:numCache>
            </c:numRef>
          </c:val>
          <c:extLst>
            <c:ext xmlns:c16="http://schemas.microsoft.com/office/drawing/2014/chart" uri="{C3380CC4-5D6E-409C-BE32-E72D297353CC}">
              <c16:uniqueId val="{00000000-53C4-4D13-B3B6-DD6EFDFE0001}"/>
            </c:ext>
          </c:extLst>
        </c:ser>
        <c:ser>
          <c:idx val="1"/>
          <c:order val="1"/>
          <c:spPr>
            <a:solidFill>
              <a:schemeClr val="accent1">
                <a:lumMod val="20000"/>
                <a:lumOff val="80000"/>
                <a:alpha val="75000"/>
              </a:schemeClr>
            </a:solidFill>
            <a:ln>
              <a:noFill/>
            </a:ln>
            <a:effectLst/>
          </c:spPr>
          <c:invertIfNegative val="0"/>
          <c:dLbls>
            <c:dLbl>
              <c:idx val="0"/>
              <c:tx>
                <c:rich>
                  <a:bodyPr/>
                  <a:lstStyle/>
                  <a:p>
                    <a:fld id="{1A5CE69A-797E-42BC-92B1-11C695FDEED1}"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C4-4D13-B3B6-DD6EFDFE0001}"/>
                </c:ext>
              </c:extLst>
            </c:dLbl>
            <c:dLbl>
              <c:idx val="1"/>
              <c:tx>
                <c:rich>
                  <a:bodyPr/>
                  <a:lstStyle/>
                  <a:p>
                    <a:fld id="{1638FCA5-79E7-491A-A049-D56143D93CE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C4-4D13-B3B6-DD6EFDFE0001}"/>
                </c:ext>
              </c:extLst>
            </c:dLbl>
            <c:dLbl>
              <c:idx val="2"/>
              <c:tx>
                <c:rich>
                  <a:bodyPr/>
                  <a:lstStyle/>
                  <a:p>
                    <a:fld id="{F34040D8-1536-4723-8FCE-18C5F357049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C4-4D13-B3B6-DD6EFDFE0001}"/>
                </c:ext>
              </c:extLst>
            </c:dLbl>
            <c:dLbl>
              <c:idx val="3"/>
              <c:tx>
                <c:rich>
                  <a:bodyPr/>
                  <a:lstStyle/>
                  <a:p>
                    <a:fld id="{3E276AC4-A785-4753-A0ED-FF17B8D03E6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C4-4D13-B3B6-DD6EFDFE0001}"/>
                </c:ext>
              </c:extLst>
            </c:dLbl>
            <c:dLbl>
              <c:idx val="4"/>
              <c:tx>
                <c:rich>
                  <a:bodyPr/>
                  <a:lstStyle/>
                  <a:p>
                    <a:fld id="{0C5C74A5-0EE2-47E3-9628-D82C47E2FCF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C4-4D13-B3B6-DD6EFDFE00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calculation!$K$17:$K$21</c:f>
              <c:strCache>
                <c:ptCount val="5"/>
                <c:pt idx="0">
                  <c:v>Los Angeles</c:v>
                </c:pt>
                <c:pt idx="1">
                  <c:v>New York City</c:v>
                </c:pt>
                <c:pt idx="2">
                  <c:v>Philadelphia</c:v>
                </c:pt>
                <c:pt idx="3">
                  <c:v>San Francisco</c:v>
                </c:pt>
                <c:pt idx="4">
                  <c:v>Seattle</c:v>
                </c:pt>
              </c:strCache>
            </c:strRef>
          </c:cat>
          <c:val>
            <c:numRef>
              <c:f>calculation!$M$17:$M$21</c:f>
              <c:numCache>
                <c:formatCode>[&gt;=1000000]\$0.0,,"M";[&gt;=1000]\$0.0,"K";0</c:formatCode>
                <c:ptCount val="5"/>
                <c:pt idx="0">
                  <c:v>452440.39999999991</c:v>
                </c:pt>
                <c:pt idx="1">
                  <c:v>200942.39999999991</c:v>
                </c:pt>
                <c:pt idx="2">
                  <c:v>648128.39999999991</c:v>
                </c:pt>
                <c:pt idx="3">
                  <c:v>693378.39999999991</c:v>
                </c:pt>
                <c:pt idx="4">
                  <c:v>733533.39999999991</c:v>
                </c:pt>
              </c:numCache>
            </c:numRef>
          </c:val>
          <c:extLst>
            <c:ext xmlns:c15="http://schemas.microsoft.com/office/drawing/2012/chart" uri="{02D57815-91ED-43cb-92C2-25804820EDAC}">
              <c15:datalabelsRange>
                <c15:f>calculation!$L$17:$L$21</c15:f>
                <c15:dlblRangeCache>
                  <c:ptCount val="5"/>
                  <c:pt idx="0">
                    <c:v>$753.2K</c:v>
                  </c:pt>
                  <c:pt idx="1">
                    <c:v>$1.0M</c:v>
                  </c:pt>
                  <c:pt idx="2">
                    <c:v>$557.5K</c:v>
                  </c:pt>
                  <c:pt idx="3">
                    <c:v>$512.3K</c:v>
                  </c:pt>
                  <c:pt idx="4">
                    <c:v>$472.1K</c:v>
                  </c:pt>
                </c15:dlblRangeCache>
              </c15:datalabelsRange>
            </c:ext>
            <c:ext xmlns:c16="http://schemas.microsoft.com/office/drawing/2014/chart" uri="{C3380CC4-5D6E-409C-BE32-E72D297353CC}">
              <c16:uniqueId val="{00000006-53C4-4D13-B3B6-DD6EFDFE0001}"/>
            </c:ext>
          </c:extLst>
        </c:ser>
        <c:dLbls>
          <c:showLegendKey val="0"/>
          <c:showVal val="0"/>
          <c:showCatName val="0"/>
          <c:showSerName val="0"/>
          <c:showPercent val="0"/>
          <c:showBubbleSize val="0"/>
        </c:dLbls>
        <c:gapWidth val="150"/>
        <c:overlap val="100"/>
        <c:axId val="896344959"/>
        <c:axId val="896357855"/>
      </c:barChart>
      <c:catAx>
        <c:axId val="8963449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96357855"/>
        <c:crosses val="autoZero"/>
        <c:auto val="1"/>
        <c:lblAlgn val="ctr"/>
        <c:lblOffset val="100"/>
        <c:noMultiLvlLbl val="0"/>
      </c:catAx>
      <c:valAx>
        <c:axId val="896357855"/>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963449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[ecommerce_sales_transformed.xlsx]calculation!region</c:name>
    <c:fmtId val="5"/>
  </c:pivotSource>
  <c:chart>
    <c:autoTitleDeleted val="1"/>
    <c:pivotFmts>
      <c:pivotFmt>
        <c:idx val="0"/>
        <c:spPr>
          <a:solidFill>
            <a:schemeClr val="accent1"/>
          </a:solidFill>
          <a:ln w="28575" cap="rnd">
            <a:noFill/>
            <a:round/>
          </a:ln>
          <a:effectLst/>
        </c:spPr>
        <c:marker>
          <c:symbol val="circle"/>
          <c:size val="8"/>
          <c:spPr>
            <a:solidFill>
              <a:schemeClr val="accent1">
                <a:lumMod val="75000"/>
              </a:schemeClr>
            </a:solidFill>
            <a:ln w="9525">
              <a:solidFill>
                <a:schemeClr val="accent1"/>
              </a:solidFill>
            </a:ln>
            <a:effectLst/>
          </c:spPr>
        </c:marker>
      </c:pivotFmt>
      <c:pivotFmt>
        <c:idx val="1"/>
        <c:spPr>
          <a:solidFill>
            <a:schemeClr val="accent1"/>
          </a:solidFill>
          <a:ln w="28575" cap="rnd">
            <a:noFill/>
            <a:round/>
          </a:ln>
          <a:effectLst/>
        </c:spPr>
        <c:marker>
          <c:symbol val="circle"/>
          <c:size val="8"/>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8"/>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circle"/>
          <c:size val="9"/>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076245034175072E-2"/>
          <c:y val="9.4963985741126952E-2"/>
          <c:w val="0.94721408112184347"/>
          <c:h val="0.70476329019960793"/>
        </c:manualLayout>
      </c:layout>
      <c:lineChart>
        <c:grouping val="standard"/>
        <c:varyColors val="0"/>
        <c:ser>
          <c:idx val="0"/>
          <c:order val="0"/>
          <c:tx>
            <c:strRef>
              <c:f>calculation!$J$44</c:f>
              <c:strCache>
                <c:ptCount val="1"/>
                <c:pt idx="0">
                  <c:v>Total</c:v>
                </c:pt>
              </c:strCache>
            </c:strRef>
          </c:tx>
          <c:spPr>
            <a:ln w="28575" cap="rnd">
              <a:noFill/>
              <a:round/>
            </a:ln>
            <a:effectLst/>
          </c:spPr>
          <c:marker>
            <c:symbol val="circle"/>
            <c:size val="9"/>
            <c:spPr>
              <a:solidFill>
                <a:schemeClr val="accent1">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calculation!$I$45:$I$49</c:f>
              <c:strCache>
                <c:ptCount val="4"/>
                <c:pt idx="0">
                  <c:v>Central</c:v>
                </c:pt>
                <c:pt idx="1">
                  <c:v>East</c:v>
                </c:pt>
                <c:pt idx="2">
                  <c:v>South</c:v>
                </c:pt>
                <c:pt idx="3">
                  <c:v>West</c:v>
                </c:pt>
              </c:strCache>
            </c:strRef>
          </c:cat>
          <c:val>
            <c:numRef>
              <c:f>calculation!$J$45:$J$49</c:f>
              <c:numCache>
                <c:formatCode>[&gt;=1000000]\$0.00,,"M";[&gt;=1000]\$0.00,"K";0.0</c:formatCode>
                <c:ptCount val="4"/>
                <c:pt idx="0">
                  <c:v>2524508</c:v>
                </c:pt>
                <c:pt idx="1">
                  <c:v>3138435</c:v>
                </c:pt>
                <c:pt idx="2">
                  <c:v>1541438</c:v>
                </c:pt>
                <c:pt idx="3">
                  <c:v>3463500</c:v>
                </c:pt>
              </c:numCache>
            </c:numRef>
          </c:val>
          <c:smooth val="0"/>
          <c:extLst>
            <c:ext xmlns:c16="http://schemas.microsoft.com/office/drawing/2014/chart" uri="{C3380CC4-5D6E-409C-BE32-E72D297353CC}">
              <c16:uniqueId val="{00000000-D0F3-4574-A69C-688098D81A73}"/>
            </c:ext>
          </c:extLst>
        </c:ser>
        <c:dLbls>
          <c:showLegendKey val="0"/>
          <c:showVal val="0"/>
          <c:showCatName val="0"/>
          <c:showSerName val="0"/>
          <c:showPercent val="0"/>
          <c:showBubbleSize val="0"/>
        </c:dLbls>
        <c:dropLines>
          <c:spPr>
            <a:ln w="9525" cap="flat" cmpd="sng" algn="ctr">
              <a:solidFill>
                <a:schemeClr val="tx1">
                  <a:lumMod val="35000"/>
                  <a:lumOff val="65000"/>
                </a:schemeClr>
              </a:solidFill>
              <a:prstDash val="sysDot"/>
              <a:round/>
            </a:ln>
            <a:effectLst/>
          </c:spPr>
        </c:dropLines>
        <c:marker val="1"/>
        <c:smooth val="0"/>
        <c:axId val="895503535"/>
        <c:axId val="895504367"/>
      </c:lineChart>
      <c:catAx>
        <c:axId val="8955035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504367"/>
        <c:crosses val="autoZero"/>
        <c:auto val="1"/>
        <c:lblAlgn val="ctr"/>
        <c:lblOffset val="100"/>
        <c:noMultiLvlLbl val="0"/>
      </c:catAx>
      <c:valAx>
        <c:axId val="895504367"/>
        <c:scaling>
          <c:orientation val="minMax"/>
        </c:scaling>
        <c:delete val="1"/>
        <c:axPos val="l"/>
        <c:numFmt formatCode="[&gt;=1000000]\$0.00,,&quot;M&quot;;[&gt;=1000]\$0.00,&quot;K&quot;;0.0" sourceLinked="1"/>
        <c:majorTickMark val="none"/>
        <c:minorTickMark val="none"/>
        <c:tickLblPos val="nextTo"/>
        <c:crossAx val="8955035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[ecommerce_sales_transformed.xlsx]calculation!category</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dLbl>
          <c:idx val="0"/>
          <c:layout>
            <c:manualLayout>
              <c:x val="0.10619469026548672"/>
              <c:y val="0.212928011649964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75000"/>
            </a:schemeClr>
          </a:solidFill>
          <a:ln w="19050">
            <a:solidFill>
              <a:schemeClr val="lt1"/>
            </a:solidFill>
          </a:ln>
          <a:effectLst/>
        </c:spPr>
        <c:dLbl>
          <c:idx val="0"/>
          <c:layout>
            <c:manualLayout>
              <c:x val="-0.1337266470009833"/>
              <c:y val="3.0418287378566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lumMod val="40000"/>
              <a:lumOff val="60000"/>
            </a:schemeClr>
          </a:solidFill>
          <a:ln w="19050">
            <a:solidFill>
              <a:schemeClr val="lt1"/>
            </a:solidFill>
          </a:ln>
          <a:effectLst/>
        </c:spPr>
        <c:dLbl>
          <c:idx val="0"/>
          <c:layout>
            <c:manualLayout>
              <c:x val="-0.17305801376597837"/>
              <c:y val="-1.01394291261887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dLbl>
          <c:idx val="0"/>
          <c:layout>
            <c:manualLayout>
              <c:x val="0.10619469026548672"/>
              <c:y val="0.212928011649964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dLbl>
          <c:idx val="0"/>
          <c:layout>
            <c:manualLayout>
              <c:x val="-0.1337266470009833"/>
              <c:y val="3.0418287378566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dLbl>
          <c:idx val="0"/>
          <c:layout>
            <c:manualLayout>
              <c:x val="-0.17305801376597837"/>
              <c:y val="-1.01394291261887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dLbl>
          <c:idx val="0"/>
          <c:layout>
            <c:manualLayout>
              <c:x val="0.10619469026548672"/>
              <c:y val="0.2129280116499645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w="19050">
            <a:solidFill>
              <a:schemeClr val="lt1"/>
            </a:solidFill>
          </a:ln>
          <a:effectLst/>
        </c:spPr>
        <c:dLbl>
          <c:idx val="0"/>
          <c:layout>
            <c:manualLayout>
              <c:x val="-0.17502966960566729"/>
              <c:y val="5.327514060742407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40000"/>
              <a:lumOff val="60000"/>
            </a:schemeClr>
          </a:solidFill>
          <a:ln w="19050">
            <a:solidFill>
              <a:schemeClr val="lt1"/>
            </a:solidFill>
          </a:ln>
          <a:effectLst/>
        </c:spPr>
        <c:dLbl>
          <c:idx val="0"/>
          <c:layout>
            <c:manualLayout>
              <c:x val="-0.25247987494183294"/>
              <c:y val="0.1430431196100487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195101796954044"/>
          <c:y val="3.5520951858070112E-3"/>
          <c:w val="0.41888675002902037"/>
          <c:h val="0.99644790481419299"/>
        </c:manualLayout>
      </c:layout>
      <c:doughnutChart>
        <c:varyColors val="1"/>
        <c:ser>
          <c:idx val="0"/>
          <c:order val="0"/>
          <c:tx>
            <c:strRef>
              <c:f>calculation!$J$26</c:f>
              <c:strCache>
                <c:ptCount val="1"/>
                <c:pt idx="0">
                  <c:v>Total</c:v>
                </c:pt>
              </c:strCache>
            </c:strRef>
          </c:tx>
          <c:spPr>
            <a:ln w="19050"/>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0DCA-407B-B513-9D1688E8ECC4}"/>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0DCA-407B-B513-9D1688E8ECC4}"/>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0DCA-407B-B513-9D1688E8ECC4}"/>
              </c:ext>
            </c:extLst>
          </c:dPt>
          <c:dLbls>
            <c:dLbl>
              <c:idx val="0"/>
              <c:layout>
                <c:manualLayout>
                  <c:x val="0.10619469026548672"/>
                  <c:y val="0.2129280116499645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CA-407B-B513-9D1688E8ECC4}"/>
                </c:ext>
              </c:extLst>
            </c:dLbl>
            <c:dLbl>
              <c:idx val="1"/>
              <c:layout>
                <c:manualLayout>
                  <c:x val="-0.17502966960566729"/>
                  <c:y val="5.32751406074240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CA-407B-B513-9D1688E8ECC4}"/>
                </c:ext>
              </c:extLst>
            </c:dLbl>
            <c:dLbl>
              <c:idx val="2"/>
              <c:layout>
                <c:manualLayout>
                  <c:x val="-0.25247987494183294"/>
                  <c:y val="0.1430431196100487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CA-407B-B513-9D1688E8ECC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19050"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calculation!$I$27:$I$30</c:f>
              <c:strCache>
                <c:ptCount val="3"/>
                <c:pt idx="0">
                  <c:v>Accessories</c:v>
                </c:pt>
                <c:pt idx="1">
                  <c:v>Electronics</c:v>
                </c:pt>
                <c:pt idx="2">
                  <c:v>Office</c:v>
                </c:pt>
              </c:strCache>
            </c:strRef>
          </c:cat>
          <c:val>
            <c:numRef>
              <c:f>calculation!$J$27:$J$30</c:f>
              <c:numCache>
                <c:formatCode>[&gt;=1000000]\$0.0,,"M";[&gt;=1000]\$0.0,"K";0</c:formatCode>
                <c:ptCount val="3"/>
                <c:pt idx="0">
                  <c:v>4247591</c:v>
                </c:pt>
                <c:pt idx="1">
                  <c:v>5326074</c:v>
                </c:pt>
                <c:pt idx="2">
                  <c:v>1094216</c:v>
                </c:pt>
              </c:numCache>
            </c:numRef>
          </c:val>
          <c:extLst>
            <c:ext xmlns:c16="http://schemas.microsoft.com/office/drawing/2014/chart" uri="{C3380CC4-5D6E-409C-BE32-E72D297353CC}">
              <c16:uniqueId val="{00000006-0DCA-407B-B513-9D1688E8ECC4}"/>
            </c:ext>
          </c:extLst>
        </c:ser>
        <c:dLbls>
          <c:showLegendKey val="0"/>
          <c:showVal val="1"/>
          <c:showCatName val="0"/>
          <c:showSerName val="0"/>
          <c:showPercent val="0"/>
          <c:showBubbleSize val="0"/>
          <c:showLeaderLines val="1"/>
        </c:dLbls>
        <c:firstSliceAng val="0"/>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E1E81880-BD3F-4E9D-A2C3-EED6E5302CDE}">
          <cx:tx>
            <cx:txData>
              <cx:f>_xlchart.v5.2</cx:f>
              <cx:v>SALES</cx:v>
            </cx:txData>
          </cx:tx>
          <cx:spPr>
            <a:solidFill>
              <a:schemeClr val="bg2">
                <a:lumMod val="75000"/>
              </a:schemeClr>
            </a:solidFill>
          </cx:spPr>
          <cx:dataId val="0"/>
          <cx:layoutPr>
            <cx:geography cultureLanguage="en-US" cultureRegion="US" attribution="Powered by Bing">
              <cx:geoCache provider="{E9337A44-BEBE-4D9F-B70C-5C5E7DAFC167}">
                <cx:binary>1H1rT9xI1+1fifL5mHHdXY/eeaVxX4AQSAJJZpIvVgcY312+3379WaabBJyewKPhHKkZaVqhu9q7
atW+rb2r+J/r/j/Xye2mfNWnSVb957r//XVQ1/l/fvutug5u0011lIbXpanM3/XRtUl/M3//HV7f
/nZTbrow83+jNuG/XQebsr7tX//v/+Db/Fvz1lxv6tBkH5rbcri8rZqkrn7x3t63Xm1u0jBbhlVd
htc1+f3159syNVn9+tVtVof18HHIb39//ehDr1/9Nv+qnx77KoFkdXODsZwf2UpQ/Mdev0pM5u9+
byl6JCWVWjpM3/2I+4debFIMfIYkd3Jsbm7K26rCTO5eHwx8JDZ+//H1q2vTZPW0Wj4W7vfXn7Kw
vr15dVVv6tvq9auwMovtBxZmkv3T1d1kf3u83v/7P7NfYPqz3zyAZL5WT731EyKf6k1wvzL/Hg6m
jxhlSkkq7Lsf+hgVQsiRVA6lVMr7p27xeEqO/WBsR82Q+HSYSFzcdq/Ob/vw2tyvzAvgwY84JUwR
Lrd4zLSE2PKI2FAR2yH3T93i8Txp9qPycOwMm4vzg9SSP5LNt026uV+iFwCGHikpORRBPdYQRx45
3GaM2nRrt/T9Q7e4PEOS/aB8HzhD5I+3B4nIwmTZ7XUdXjcv6U3IkVCCCMZ25gtKMXMqijnUIXTm
TZ4pzX5kHg2eobM4TFv252Dg+P37rfvv9YXTI6iDpJTx/Y7FVkdCEM4B3FZv7p+9VZtnCLQfnO8D
Z8D8+eUg1ebPsLo2WRVm98vzAtDwI4kYSzC5W3lYrIdK4+gjxagWQrPvPmgb/u2geY5I/wDOj6Fz
eE4PEp4/ynA02Uv6GX5ENaMwWXyrFjN3cxeQSS60FNsIYRYGPEOg/dB8HzgD5o+vBwnMx1u4m6q6
vX05vWECnh5O3nacvSYNkQDjjEqi6Pb9GTTPEmk/OA+GzuD5eHGQ8FwGyKhenVbJJrt5OYQ4khXq
wHQ5u1DMeWzZFMIFAvQm/bn7QXT90LI9V6r9ID0ePcPp8jDt25QZvLktq9vhfqVewP/YRwQJDBwQ
2atHCv5JOQIkxw5Ffv/sH5nO0zLtx+jhfGYIXbw5SE26uG03Ny/pgMAICIm4jO2ig5kOESKPpBDM
UTszOLNyT8vzT8hs5zFH5fNBovJHGW+yagMS6aWIM8aPYNUcm5Gd7ZrhoukRZ5oIIXbeaZbxPEei
/cj8GDnD5o/Lg8TmyjR18GqxKU0Svmjoxo60zTT4m51dm3E3jg0EOYgbsjNsM0bt+XLtx2k+fobW
1eIg0TrNbsLNi8KkjzQA4M69osxhkkeIvpVGFL51TzNFeoZA+/H5PnAGzOlhhnCLTRL+bcosfEnn
o46o4FICoO8h9MPUFJpzNMXX4Ed3OnRvYLehwfNk2g/Pw7EzhBZ/HKTqLG+TTbcpXzIF0ke27aBa
wHZOaEYdKHHEpSM5I7sIfKY7z5FoPzo/Rs6wWa4OEpuFSUy5uXnJ0oEDxs0RwuY/0s9HumOLI8GV
wyQM3sOs5zmi7Aflx8gZKIt3BwnKn5sqAAtam5dk29QRJ4QJ5cClTD9zQofaIEIld2y+DRtm8fTz
ZNqPz8OxM4T+PEyTdh5WlWnK8H4H//tslDlHTCrEArvlt2cV0CmuVgoVObrzODOT9hyJ9qPzY+QM
m/PD1J77toFX5u9XsAxN+u1FQwOYNxvmizDQAQ/tmlJHNpFUS7bzOTO64L8Vaz9Y+79lBtzyMEPs
802YvWCQwAV4UNRKxX2QMLN4Uh9RIgm31Y7ingH2pDj7EdoNm0FyfpjhwenNJnjB2ABdN9AOW9H7
sHlGHhACzg31HuXYM/P2pCD7wdgNm4FxujzIsGCNUC18SY6NOkcC9TUowTYk0LMw2oHPcRTj1Nlf
gXuGQPth+T5wBsz6MHsKjm9N6b+ok0ETGke/ANc7CgfB2ENf47AjzjlTYHG2+ekslH6GQPuB+T5w
BszxYYZppwmoNRNWLxemcRQNYL2Qveycxlxl9BHhjmTC+ZGZPkxyniPRfmh+jJxhc3qYSnNqus0L
4kLRz8mlUHzX5wGNeKgxmh1NrTmS2Lv3Z6TnU9L8AyZ3c5jjcZi68h6V6mpI2s2LMmnQF0eDSNvZ
KdueWTJEzQ5zHK3UjzLPQ315rlT78Xk8eobT+8PE6XxTDi9brkbqqQVVCJMf64ySR8omaAPRO1s3
8zLPkWQ/Lj9GzjA5P8zI7K1pwuqFywP2kXbg/eX34OwxOJpAsQg6op2d4syyl2eJtB+dB0Nn8Lw9
TJU5e+kaqIO4mCs6Wa27n5lR0+ByHJugSLoLApB5PjRqT8uzH5j7cTNUzq4OMp35HCJoflFnw9DL
SaijQaRtE5pZeqmco8kTCWSg2/dnBu05Eu1H5sfIGTafD1NjzjdVtbkOmuq2rqv7zfvvSU5046Jq
xuDrf3j7h1EaGqOkLdDF7sw05tny7IdnNnyG0flhYnQGk9Jcx8PLwTPpD1XUkWJ3hmCmP45ASVqB
hSY7PmBG0jxHov0A/Rg5w+bsy0HatvPwOgj9zUvWb9B3o7jSYJ732jZgo9AqBcO2e3+W4DxHov3Y
/Bg5w+b89ECxmVpyTb15OcXhU8utJmh82uU584CAHxENEg0N1fcP3TYKnIfPkOWfYPk+dI7LYTZy
vIsTkM0velgKlWaHcdAC2zBtnnxq2DscYrNttYsHkAA9jNOeI9F+cH6MnGHz7uxAdaaqUPIM8zy8
X6J/Hw0wnGWjaOP4TpVh+R9GAzgAgtMFFI0Eu06Cn0zas4Taj9BU9fw+oxlI54cZUJ/jhPSLtqhx
lDRxpI1oEM13P4iXHwJEbCDEEXLLqRj6UHOeIco/wHI/hzkkHw9Sb94F4UuWz2z0cKBeox+QZQ/x
QL0G7zBUbHZ56Sy/eUqa/ZBsR83weHdykHhc3H4rN1X8kq4fZznQBzidXd/qyLxvQx+BxlE4gLhz
QjMj9hyJ9uPyY+QMm4vDrDX/eVvVr34k0ltz8gJeBkk/p+h7ApN59zNrA0A7tAR8OAnyo136oSl7
tlj7UZoNn0H15+cDVaPu1ckmzdGm9pJtnZwdSUeA8LzXlZm/mc5NTXdEgD34rmsPoZpO1TxLrP1Q
zYbPoLo4VIvXvfpiyvjeP/97hZqOVDNN+XTXwL6oAM23CNps4LgrG/xk8Z6W6J8B2s5ljs2Xw1Qj
U/6/OQGCvIchDvh+dmpm8hSK1A6OTkm581lzhJ4t1z/gNBs/R2txkGi9K2/9F+3IxTkdYIBmAbl1
TLP0h9x15CJ4QLf0vfZuWYOnJdmPy/24GR7vDvn81HITvyyVg5tvGEwXHM3ecAFBwhFlNtgeOct5
tueenpZnPzaPR88QuloepMZ8vO1f9OghwakO5nCcXNs6njnLhiOjcEqoyv2grx+GB0+Ksx+Z3bAZ
JB//OghIrn95s9jDGPvRJ//L29RwfReqNmi+QWlnX0igcV5n6pn63kkwU53ZhWf/LNZ+hGbDH83k
/9Ntav9809r3W+iWm3qzuru+7sFla79+9266uFNvNnRHtWxDuUezvfcTpze/v6Ycq/z9UrzpKx5R
NLNF267593G3m6r+/bUl5ZFWjKGvCuiB4LYRKXTI035/jTreVGzFLRSI1nFWzkGtKJv8/u+vEaYz
+CzAvbvxqJpOumII+kwYBX2hCTJmjeNz3y8NfG+SAc71+2rs/v0qa9L3Jszq6vfXDMlAvv3YJOX0
RHhIjdyNKglHSiFAfr25xMEZfJr8n4REZUa6WNw6xKsbvaI5z61kYedtOH4WosnjDbdKUa2zYqgG
vqxpL4J+YRnP/uZnJc+shaF9rN7oQAzNMtZWVpx0Ok2q80SkuTW4Ju5F/k3EddSbJdYqidjCV4qT
W9WboblMgl4lG8cRuXfNUlbIC1+GRc7clIQVROG5KNN3AbHrLlv6iSjj3DWdSNO3RA0FRPbTlAxn
NGVZ9LdVtQZjHkC6Z5EQKDxaI2RKlGsc65l6sLBc2BEP10iRNGwCGTi3XmeyqDipU57wk4S3ValO
xsqvw24xhjlOWCa2F1Jv/evHE5Afj58/HVlhyBVwVRx67/T0/gOMxog5lbRleBORmMXhojZMsMDV
mlpFtC77zi/rZRnUPg9ci1tjnr3vOBsquiB8lB17U8sgq2LXmIKV5AI3bhR479dCYgs/lFGB4mRo
2UTXABKWaVs+lrEPQosGJbNupFW2Nl36o/JVsU4cXjPbzcpayq+xsL369NfPnWEzPZdrdJHgykOK
4tD8uXkzGGUs5tz4A/acdFs7T6q/Au7RzHe7KGzCd5mH6zprNwgMLkZ0f/14RJezaSt4UnQZay7Q
RqSmZXkAjS/a0LL7gN1YKlEFW4jOlmIDRbLqUzOGKrkILWLIOYuLobmKK9seAxeEQIJF+W8lQQ1A
okqDVqbp4Lr9WJJABV4SDXZ5w2UHlVsPRI4kXouyayq+Ch2Py69lgyUo3EqCH/hq7KEt9aoNjZ13
T6CCEvbjZREUrde4vWAqPeB20NluqGVoR0OcedeeHjNRHpsiT71hZXlppYfjwSl7bJFfz5/MLJma
OlJwY8+kqDgegdahxwvg6zESOq+tb6BbVGqd9HUwKUTamwBXgzZdxEe+CNNqoLnba8qwECK0g+Yq
zWU0LDKLlNmVToO0zJaFMCW9TNswq779WszJnj6wtwqnB21014Lvx1V30JaZLWk6zyntYuy/9WVd
YhPYTWwDH7vvmLDcvmStdZXTuJiUpu7M9BLmfvMEPj8tFi7+QKMvs9HJwxmHaXu8WE5Bq3qopPmW
JcKCDY9gvcbObQe7HsQZ8wTsfuU3uBgjjUQGi1rmaUnEiWNFVhu7RQBrO1n+IcCoLByT9oz3cW7S
J8wKmSsYDomjEYlO15YCYSln/qlnXZbrbGTfKo9KK11FdZUnzftirMM8W3TFUEA4S6Ut3jNDkZph
6cTjYF11ee6dVrpMIn+RjqM9nKVBkdWem2lbevWiEbaVXMpU+2O6oEz3MInUigaSvbFHneBb49Dr
iuIJNSUIrx9tAFwphV5eLW0cI8UpHTGzGNiZWdFmbf5VCSMischt3J5TuJ7XaF0uyKgsmHZv2FrP
pOF4r7kzJznxHLzVdzWTxbrp2NM6xOdWHDUoBCNCE0KRVP+0LeI+rlIvMPnXvIQWFStWxQ4/pyRg
wxmrmgHLob02GT+nQT8Mym2CsiuCBQx+Jy/9YvSskzLl0fi5tJpKXjihnAKEnrdpoo/jRkzwmIpp
bKGhVaK9zMsoHj+PiYy72LWTZHJaIVYfAJlMB/glG3Br22cn7Xtgx0Q04KUabb92lrmoWLWWqpmw
i3s/RIBR3D1eO741dK5j+ghfYRA8QPLQyqbYoM5FGm/6SmZFvtZtSdorzsxYvy3L2CvdJElLmi4s
30v7E5/DuX7JnMzjn1u7JdhkyvERZ7RFZhCi/No2zK0mVl+hio4YnyuJC5VmW4N5Q+YTnSdfR5JW
pe/21FZ55XYmMskpa4oOhuLXT5xbIzp1+lMCv407avVPT6xKuwq6lHVf2NhMm7Fr+GT+aKViOG/Z
FkJ+9SI2YhN2tKkr/1zBsGCf/lqM6QLPR0rBcB0rVfAVuCiKckTJj83RyNqmsLRMP6c8S2vm1qYR
1q0pggLWKIirjKxKT5nwfVs5PixOHgjjr3ynpq1x0WzVJa1bU784SzxHXvWsTJzBrToi28vasexw
UYixN2fYRHbgRjb3wtzlniSTsgc29qFpA0QXp14U15PmtzgP+W66PjYfXBaXrG+Pfz3juV1z0J1n
T/cw07sz/MgJHs84ll6QdUWlPrVNZiOIFWVJEcS247RvOYIsfhKQrse27WPN8OLXd5GtJfNpS7Mm
6qh35fVy2tK0CMe0PAlzyiYTWYyVTdZF0uZVeDyKIYbWeV06xdRkcFJopyIF1OjXU6Izy+YgAnLg
NmHVgCDYhZmpLliWjibK6CenDhh0q879SYDaYs2kund6DMp7gGxe0E8qDls5mZQyL+BorIAgjCe9
mH5lihgFyERHip+EXTKtQzF0Rl54RY9PhQGbpjj4qazWsaVKts6dsmXVYoC/wHSfmNosysTUNI4q
UxwbR+MrR7z3GK26j4lKGjN8Yn47Waq6LLC1xmQMzXVtOzHN3KE2xfhZ0Wzyj6llCADpZZr4w2pM
Jan9tWZW031ClFpiOToVMew+1o6wJlloaWwx3iX5ZN0amM2TkOYdzFqNiAQPDGvPxr+QYxEsRepz
LEVdq8CqFyJpIqhEoGmEf23XZzKFU/32e2L7fhujPEwVZzrqIFxAdKWocJB22j+FuqQbuRxkYX1s
U2VgHbbhLQ2cvo0XyCwDP3vKLMzc0fRIjioWteGWcM/fPPGyI4OoNe/Vx6oh2CH1gD7b8Bi+H+vD
o5wbsfI6y/SVKxM2YMGT1ssQssDoYZW6sk/q90pWjhetvZo7MAZQyPayRDsAPEBqQfHrPoOj2sHm
F12GpewTJ4OuQIsmOPy4n4CwopDgRQ+Rbi9tkxpIIuIYvimW9ZSn/nq1uWaPbSImPzkBGAmc50UU
NM9sEA5Wlm/3w8cgGGTiuXUTs3zhdbYXXUg68nJYFUEpc8fVlOoocMuyCIs3dtKwXrg5oh3rrPRT
i597aaDYouhM71/bYWKfdF7D5TJWmUlueJSM5WVqZIq/VzCSpHvHW2L349KJMi3yRYH4sWrWXSec
9qIsAq83rkztlLxldkn0MstKTRZRXzel55reKcbIDbK25P3C7+MWytCOZTckbm+JiEdrTUnDr2RS
D9xf2D1puuY4111APMRvnl+f1oFCZLZQY9KNI9JabMX8tI8Hr3GLKo/kutXKZ0uRWv34sZOGhp8b
nvjekvGaksWA/NQMrvTrSi91SLt44YvEP0FHdb0sjN2NZ57ObPuYdCSga9+qnMBe5bFJ+adBtH5s
fdLG7vuPfd2z+tyq6sy6hMdQzY0opSw/jar1M+PmxpCg+qD7MYmPvRDsxno03EmNq2PDaLBQ5VgV
zjeSRk52E9DctP0SW2UobnVTd529iJOuItFJ7WWFcJbIA0Qij73UiuWFJsqK4+NW5rRKgtvAyViN
Ve4Jc0p+PjLTYkuPpKzy4ANuBq6lvcoynufqtNFeGCRvM9HHhb+KWr/u2red8PwwXHs87Rpx6WWU
Facy4oHvrLFXJIvdvB1tuPWkcsJOu77FZVEvA68co+G08ysrCI+7MIW3WcS64zCwbR424i9jNVJU
p9gcneUtOoawhVw0OaIu7dYDc3r5LqFK4aXe/tIKwwTvof+G43GjqXjxbWwKTds3kSxzn56Q3rKU
WgyRiBt13GcRSRNX8Hbyi7awQkzHZwJOZdN7Ay5FXkQi0MJ/N3R5l6v3kWdFXbJWMbNofho3g3ba
dzJiItRuofXESaiyFkH8WfmeZ41nnCcVVsoaCpjsc1jtIhBnFvNKlbwlYRGS5H0UdZHjrboIhsBf
mRAXYpYLmKxJpKG1EpuubD8YwmJp53FUOsusti2R/UV9muF5aZRo/anxnaJYlEi9sbLUaUJ4kAWR
wfQlkB8hi1sUeorpeVBh9os8IBmT6yjophVjSR3jxVRBbV1lqZpMPm9r31EL3dUGG2DMEG8c17pM
8bl8O9WgFiOWr4jQj67gSyoPT0sCgiQzI+EED8l5QMWfJOmndc64jsAlWY1VAgori52A3xYFEppi
XYYhIq1F55BBFYvQCURjAUHeFM3nOsqaMMN6WcFojoNm5KQ/dyI1iRwC6Xy8kthZeALDW8U3z+qn
DSZLa0JeDBZ+l+h0Wpq2JfgoXKxTdJChxXXamONuPmXJWPENhFuA34k+N/IqFtzTbME7DQLIzVVA
sBa73eONlcZXqsiaJufVw91iNNg15WIX42oxiulfrBLxObPD0rraLbW1/fj9Im8/B6aAxueK5ikE
IJkVtN/iUOZheRxmbMCkCzriz8S4PmV+aF8hAfeNdsUWKDO2NbYaMu+m9E8zogdPuCQO2kG+02lj
sEotTRN8hObg2MoFaA6v1W5sD1PQ66c4cQAdVb5dfNPbFTQ5NAh2bTungIbI0Ra5yWRHTobGmbJz
ewvtdntIL06wPpKHGLESKpkm38shwD71STk9JuCBxC8HU9gq+DRaIW/qN5gpm5Z3u5HGZmggJSY5
fQsJywrjUNlg2F1VHUyibxfUGrsR/zAJM1ytLFtkcXQ6os+oz499GySSverCxkCndeRPzEfVAd+w
VbT4RqSfYftUAhErJl+2CHbfVeCypy+k7fTCW9/BS5LZkzqko5jkzxrpB92nJvETP1xnvoPvDQpG
fHYSV4Mi9Rnb7pUwqnStjndLrqO2hDh9yGJ8CTyAwcOjPIzh51tSjNL+hMgtctplXlh1Fi7syvfw
cBEFuFdvWSc5uM0EhAEoG8AUNKfK+JM6N/Cv+F08NDJy1jGCxX54w3SV9Oak5sZO00WieZK2rlf5
oA2JJg0+H9RFhRcEjSK5SIsG/x/SDrydsDsCqqgAl59ctHHtgRToyghPJ4Fv2s8y83pkAd4wTnu/
0zDl0bpnBYWFccogaZxVksLFpqveyjxdnQoNV9V/sWUfwd74iTFxfLKjk6M6Ccpo3QQJ8t3rgVdo
aDnJowDLcczudKYwToIFq7wu9sbPLHBMV38qWBd08qTeTr3XfoUlYnk/xphR7HeVWMnRJrBydcmn
5SN9Pu0a8FXTFt/yp04Vd1gB0tBpvnUYUryU2OD4fBGCfbTcMBnBK+MWzzjTLiiLQabnLCclPiEH
MuWwrWgq7KstyTISkZTeusmK0qOnvleM+I5xS715SMvBGhaCx6AoPRIj9U1T5E7Zok5ATIizNJaT
PtW8C0HC+7FTw1Qy6Q3wedUASxOtkdlOi9eEbKIKaOPE4OKjJPMxHAeSMcsvHcIzz3rTeVVZhhea
RRNJaRq4u3MVe0zWHzhorMFb9V5kDcFadrlIqiWoC9TSXQUSSH7lPiNIyeEMNcAfLT5iVjJLJ7eR
Cm/abiUtCTbfdiWj2oCJZqEdsvZNN4rUUx/isemsqxLBNFiFMS+0/Ap7i/1ldfmIFYi4Pc3ByzML
xh/p5cRSJSHiVUTWOjVd/lXqISjIN94nMrmQssgHb82pqWrr7y4kUe+t4NFYItwqAf9tLZyEqPIz
GMkurj/afhH5/sITAwv6y04htiludBu2Bf1SeQ6oieMybtpULyw6VvHnkTeUG7eBd+iR7BNiEFMq
JXRDGuzyNNJ00eKXlmpd1aEy1S93M9liWeQRCOIFLkMepmndmZskaSf7pwd/siaI/iflDat0+kR2
x957EZ1+J4ht4RODP0wf9BjYiXSFzH2qbYSJl0OVfUSL3sVYDyRfRVDUSSt1Or2z27KIKWGJNFom
8NaWgp/MqeUvyn4omXIJLW3nfRMovzNuZ2cg7PkwepqedkU2ablvjRMdWKFOhBeOsKw+LUYb+5vb
qD9cgLecJI9DVBq/7h4kSg2XVmCrWFfbjC0Lo1HFbpTlDf8Qbw1WvCUaC/TRYDdYSTGRkFUpS86X
qZ8WxnODQjbWVROKHHOuO1Tx2jch9acwLuA9nqHaZBKruVM4y8TwI64nmknJczqVGZdZ1097Unkj
jUNXBFWWpqsgSqCN6+2CgAeejF6Mdh98L6+IFZ0FlCXKeYL4miX04HJgH7CDKYybJD/RykGNGgL4
anoVGCMhtfL9HtrQGZjZwuKTBiUtiJfAbcNikv2J7O5xbjc9Hndq4UTN9uKgOf1eNr2xukqBqtqa
xggcMKRAHgBN+vWjZgQ6tMlGOwGeBcoK/5dTWv+gQtU5ceF4CCXv94gd98Ysitzj/B0Oyk27W8tg
ArUJIyBseMkB2c44/lqWxxQCWrexfxz8gR9HohyOfU4fy+K1jIK+jfwrnJWAGQsFmeLxqsL1SavR
IHR+ap1/fiCaWEAcSEdTkIt6xivGQWmTJLW9y6LP4Cj8GB7/VA0xzNxOs389QTLRdj/KO9MMp2MD
AhcMOhS3pMyJzD6JuJ/VibzcWYwuGCfSfpBsEGLd88pp11HujeWHpmNDtEybbLLnrIRpsKqRwx89
IdHjnQ6JkEpNdxwwpQUugp+XxQZtW50aWHGZbJWqQ1wHHe+b2INdD502BAQBbwZopmZwDggtrGAS
JMpZ0YyLtkBmvxYpM8J2e5iWYQFTX+Dj0A+PXIQDQz656Lb1rHxrZn89iTmMAA5/lcvGHXSgZAmu
rH28b+B3i5r2VnsRVPFkmca7QCivRNZ8GCyn4bjc5/lUl0ABBAdycD/hXRfO1N/5+HmqRzSCKyOa
i53b6/2giFzbwLIat6xwZvW/ex4o/+kvWUAxcIyO3/XEPdRR1nlgotswuti6JQTJExoqTqAXWVVM
DuPXD5zKew+2KTYEyk/TTZjoR+FgNGd8ZjeMfViOIj5RmVXGYqHSVLGvsoTCPKWCPz8K0Dmo4OHP
rSDJnJu61KPp0PjSP9mGIq0AO4J9RIsUL7+e1a4V48HEwBXiUXe3feNeLwd9oY+Rs23UZVQYVMfl
SO2gWlHRT90IDY7HNebvasxQQ1+Yyge3qt3UG5EturXwa5KewVujBcdfmDgH8/OWcnAP9vvUE75v
TgbEBsJceH0Yk35YeBQlpy9VUaRIg8qI8qxYpUkz0nphG1tW6dIpBai2t6wnhsn3elvPiyWSEfbO
y1JS9OexH7QaLTNNK0MCTiRCq8YJEg0VpsvEinJAsQtQlIVhgRtvwwpE6A6chbwzY9tUI+5smO4u
SClMN1LDKQzoWmohoDXUQZ6Q0QYfQIglG3XBqmQK5qxtbJOjOAptt3OHjKEbV3VKRjerSp2FS5mr
JGrce8qjgNsM3F0gcxdBobLWYX3HwpmcuCpaMEvILWJJV7lj8Mg0RlbRvrFRrQj9RdKnOFB4DD4/
iZJPDGGvZhdyqDXPTyNpWxMZULUleNZhm4fpbqhYsQziJgXtCgZGocrgRkHtGG9hNcbv7NQtcDeS
oO91oXPVrfwCyl18FINuR/MR9YapooUY0KbywtQViggfwxxss79EExLaCdZBWRASLVKCoPPvAaln
5bwRsu/oVyL6oXYuQJt5+YdM6yimqyirLBuZMC6d6esFWrlQS19lZgC2y66nYzm4tgVmol0gNCPC
WQx88Lq3sa7qanRRju5CZNPaKVEXDQO7OuZ2UnffpJ3GQ7D0OALuzE1VlpZ/ZWBerMZ1tiW3nS0q
UA/35Vsnhd2O1lmQSNogir6Ls0B8T3HikNWT09lujeQuGsxUEiNlKzU6YnK3LW2ZElgy3yiIQeOY
ul1stfojjLhxrvJMW8k6DYUv3MD3uysxhCJaDmHnHYe8ZSehzcbTtOzbEzAZ5lKVki56LYILFdaJ
Dc64LT962NQn3BemcqF9wbeozJO/fDs0y14TD7lowupjJLuglGgmzpzc/mpiqGPW5fKt7MJ8qXgQ
AF3bKteR6vkqMmHzboyS2l4hKq9XzmCzBDtWptdB3lxRwvOzklv+WdpW9UpUoKDR++KftKbRy0B3
zgeVBwXq+nl4E1aFt0yC3HcHnmVL4enijTPSdD14GarAWS44vtoZsgWPMrXu8JWnDvKxb2VvmmP0
PXg3hY6T47gnyegOOhLrILLNVc7BzbsJKJrKtZjxP3X96GwSKxNI5Zv0Y+fQcGXT2n7DbR2ErrEs
9paDpluXdYUT95HyPoA8DNGvVDN9Q1DqQT5DcnLZ0igI1/mQWStSpfVl1XIQDjAFy2romzesKofY
FWnnLDylvcD5K2ypHk7RgdBcV5RHZGWavEaaE6bB4La4fO/WqYVKl5ZnlW9SjXaEJSd19KFvWYw8
KTVnoqpJsfCcwGzsqMrf9jjielZJMu1QT0w1VL/t3vQIZ89tFbenYL+tN2HMArp0YP1uSNexzB1H
hwRIm3PrS5cX3W1hWf2ChmTcVFVkKDoKcrQPjmOFnRskeeKiY6pslvnYxf0b2fiF79okDy8GomCI
kVIt2o4l7A1u4U7yN2VflGuaN/RMJGnvgun9LLrh2m4874ITqE9bNfUS1KIdun6ftmopBsNWXNXZ
RR7w8suQ9/+XvTPbkRzHkvYTaUCtFIHBXEjyLdxjXzIib4jIjCxJpCRSlEhRevrfvKow01U9PYO5
/4FGA9kdvmkhzzH77Ag1GYG9XU+FlWAgZEnbOtVFYOPkE860KuKoGw4KQkERkX5+9OEgH6dmnWUp
57l+HZt1fDde91ExeutLHhotCoHvB8c1h+aGG883W5n4fHlg0dR05bA58Sl6vRUwefo3zF8cC61d
+MhgIpx0ZPLSGsJvknZIPqc88xcBvd/BdkgsPpTPBbfBiI7U1pcsD1RbdKFknyZAUVPlqM9EkYpp
fMiWTO6x0GdZydqNHudQNQ/gdMB2LI15jdSgD8768CC0yz5NzF8X9Mmv29hv+WHUyVqIsa9/rTgg
h2am1u5QBq7Ps2EpL0wywrGV9VyQxrlTxqQ+jKhDw6KmE3tlw8x+xF7HL8Jw9cNtbvtlcYFXjqro
NgFYcCDYKarRj/Mz6sugSJfBXQIzye8bUcMh7kIOMgty8l2zkgR7mceKRESbQw9KZXakMGZKPQ3i
IFNrXsF2xfj+LroJyRDvRRZPH9Dlxgc2NOYYrh177nuznetJjDtPseSiDe7buyEh842xyfIwTNy8
mDxPfsbSYXGIxtXdJWuPmwea1n0Yz/bsDV1O7eJjBd0mHw4865MK7TEIS8ge7LQFhl84b8zjFuXN
aw7p5GPc8vkFG359xM1Gb7cwmMEwZe2+Yzy9wOEO43LuWVfl2zrEuN7NsN/qQD1ISPAPtVd6LEGG
kL1ZxPihZ5vUaK637WJYYs8AlSTUgV691PHGeqzZvd/FVObHEJ5f6fSW3OeujqHMm+Ar4BEYtMua
JlvLyrX3qHUraiFp5xeZxo7OO4IsXDcXHdP8sgS6foDK0t0FyTq8dbP5xGtqCL1t+Db1qGCEpeLO
MwH8MtVhe8OUjr7bgNul7JqF3AL1sa9t5Nx4aKIuTkrWhPSccGXyPSP9wG76JtcVfNxkKxz87ipn
W08Lsc3MFX3MhzsVwO8/r8FIcawzsszmMjIHoyf0JlxOQzL297FPgkc6sFaXmTeN2jVMmydRt67f
wfJdm3PfStVWgRlSQIich8GBumnantZ8MLY5XEsPUrHR43EPEkdNLbW8kejJTVeGFJVLmfaWu1uo
JWIqYxvWLwvd1Foq0mUX4Ho8rJYQJeJ5RiM+v6Utuj+DdcToOc1QONUDsKKjmzN6k0aeDOJli1ce
uWL1I2H2JsJiR055AkfgMHbrYKrGTal9ZkEtBQicumOmMAGvO1kGCfPPbQxqpoiapHtUaxhshwWN
pigJHSNyWZjwQxkZ6Pi3tMNyWgGQ2yoFZetGRHNb4uEs8mYOVj+J+24NMrbFOPwD8X0FnaaXV0pL
R2l/P8+JyOdqzUTWRRDYJ4X7IYe9WdpwjfpdEtquucgG7mzRD5B5y23241DE/Qrjh1ohj0ObpGpX
wyi8lS1k0kr41h/jGlNiqywnDYUkJkx4krXRsCNtStciWuB+Z3M03wUp87TsBU+mgiYyhhQHze4t
1IH5cgylSWz0Gh2U4mG8q10T2ahECdcEqoQ3DxRtKWiTPa1BoigKM5uvbVdiJZ3xB4oELZ4LjkVo
zLNdoztdpPUYeraTPQ1ps9ORV2l6GwYus68wc3t+FGOefNbOfd+2pn6tG/29ZjoVBdqE/nkB27Hj
OTcHgs2DYJHIDOwvup27NeruTNzavWsMK/WoN11QYJq66Pu0fzZDl1XGZGth8zbB+urm/udc821P
VQcbr/b8Fg5jTsrQT8tYbdhskgc2NfEzBUBkqtZB68H1gAumAA+3fIVKy0c9DlO+myitL5Ma1LMd
p7neWV87foJqXNMi6D079UqMVTSM3V6OPH0eJAl3bG7UWfI0uI2kT86Rhmmp6gnmNUNbVEURxyhU
S+1h81HUFYRiE64Ic+O002Gm7sAPLvNJm4UXbFqIL0dZizLJJqcLFvYcDCmASHuaMvy43QqR+3nj
mN/N4XuPBwF/rTK4KZdiW6W5wy6Pzb/NZFe1AvUFvgJ/wq7T7i1lWWkH3byJtg6/Q3nze0A77KAI
6/dUU/EQCGJK12fNOxn6106ABKvRuO1pxMWHWqJZFWms1EdMuLmxUcx9wY0XedlCHL3hOsKPrgkU
7ta7Es1ufC/Qlty4JWx/yiam3yWvw3cZxsvFwbmtUj2qUwzJ+A3ieySva5rXRSzIeJtxHqNuxeJ4
vQiTn4m8NsPr0F93bR9NP5TLg3bXZS2MUIjJKjsN6dCqcjKtn+E1bQpiIV1EWMYd1pEiC1qR3nZ6
in40TTPLIurwHQrR0SYvJd63hPyFa6JZdXrqMxvRam4AchrUWrK+6bWav2l0bU0pdRyT79h4F1Ow
IF/cMZhlVs1aBMd2TKPXKzewDzcnbdGugb5PUy9+WJdrbA/oPPfKctBQiqfxBdadOesVUElhapQ0
Fz9Z/UNGs2/LCTKjK1rX+Z/zvOJewU2JPs1qqJhfDq6VK+DIud0gXHwDkboGMtX6DcU8sNFfmCHl
+L6nzXxOVvRvRYByZK46PgbpLhh7ML9kc+nbPHXdB9XOl3KKp6ojwUju7ELDZ7hrOQMVhBquyOal
6Q4LiqobrH7DsvNj0wiUcgylJyiOQN3FzRIGpeVXEm/tSap3RjskDECk4CIqk6ZvRCLdvnYZrJRe
lkKiSDO7axvrSr6ObYSaOh749j5MdpD3kQqXqUJXwSWWNJapTZcmtHW3HgISiSG5z2zM80KGYxt/
dsBGg6F0Qe4F38Mwk57cykZlipXotn2iC7s1/WRLig03XasG/lXeFRY0d7JWg1t5L89rzqOYlJNF
A6YfOgd1KC48MG9m98bqsX2va5moulpwq8BGQRonHkzh/KiyeV+jVhtOtrFB/9s0Tt6luwb8Uz/s
0hFe2zMnEbyXgwYoNQ+VWZOAiAdhtcR5SALgUlaAZIYH4IC54+f/6gNGCY7jJIa1Yrrx6XsKl6l5
/kOsDfTVcJg7dpVGo5B7fUbW9Grdgxe4+iC4Dzf6VSec+OwArnrD/TaGE2s/rF6aoCmGHEJXgM6W
iyXDFoHleH6zDQSF/DKjoPR3RDCyJqWtJzvKwwZ3C2cLW55Q4kec28H1VdrNdh3OscXP24pWgbKY
SkAvcc+f4znVbbbLAKq28Q2xdlwVOKR2Ro2D3qEe91rnAutxMKtKgkK6jQBzoXTXDCvmyloUUXly
aGfar6uGCuugpLYlkCrbLcmuHnzSdju9gLhh0A4GlV82lH75jgddxuGCOc60LcJkZMmOrlucHOD7
9W86t91rALpmLiKF8FmRWNw7O9Am/RcZJKos0O+NkTuVTaypnAGn4ostGmE+bpldf6fsb1hbuweI
pe4IHbi9KMLjUkaZvRXhuvY7HfeAtRyDEayD7lkwv9DTiBKOFvGg16TwwyKHg5kJKEaf62VAOMfJ
L70RLrG0Jj0vMuyjtprjbX2a2mDxKBCCbocKFB0iFzpNDyZL5r7ife5/BBv3qy7CehnDp1y2Mq0W
TIb7aTDQzxSTcGgNhi1w6EaMCJsdygkzHW2TSvdVB/6quKCijoZyk029R07L8WDf2zAHnBONbCg5
SZTaJSuZjuGk6EfnuiScSsqjWpUQFNsUHSpdp7s+z4itIpLa+R3oA7AJMKyg7EowHaNDgRRG4Iog
bt3V6Lz7IhlRh996GG6+WGJJd1Rm3U1QTwoou00RrgBbp3ugG9FqpyofUgZLKpibA3ILODHU10ER
g607jrobRWkhmP3YACzg2uDs0QZE4Xduep+F2j+sONlVwnjOdgJsxa8A8BLEQ6HrS4BlePqO5nJp
HqnozbXqiqP2iAomuzEJTdsfWCLj9RC7RDypJea3wCTrr9qEOPL5snngatxCGdm21he6Jctr7lP7
sJiuwU9AjA3uMO0VVlPaI6wgU/YUQj6kFRNqOYUQLdpqARvzbYkT5AhTOSXHIRECeKJJn0deq/0c
DeQ9M1NYMAoOsTHdBkJ/2tYCkaP1DpnKqK0iOzmEuroBgDxrHXOnOjOg06ZhAw5a88Xj67Luikag
Gy71QNdoD4cIPiueytpOVe1ih6U3QN6hLWZNgRfG9TSiKBjW6Ta22l7qKHR5RdJa0z1ACP2yeDqD
Op4H/ErQAPR7Ypq8LnoU4PdjcK14JwSvhwI19doWmeQMOIoc26bChi5AXkEuedh6KADFlmmd7aQD
YFfFpG932+jxmjoFTgdspNeVi/Vvy9QMu4hPvlzmdP2gWC3c2c+D0VU3uvxpSs1s8XFpOqIhaKEC
9ZG6jTsenfOmkxSYEF/7woScnYOgiX6sXStvfKCnB7B6ogQDFn0iFWMH+AyUrWWbTsKUdEnatbLL
KqaiM/nMd7Zp8w7rr4m7swijNd3P2ZK+BbzR/g7KlYwhBqh+LTrdhx8tA/FQ9AAx7hQIE7KjS7qi
KWARUg0jJ2m/60PRvMjUm6XEvomqDvV51cRmzK/HLbtf4gUydBwpfpd3ffw+grKoC2e7j3jq1buZ
lSrw+DdojyAqAUrVDpd8Zz7qYCE1aisflAEqj1tjEe+ZoLt8H2obnIzATV2ZVtL72c7qZk5HZD0M
lRfoAvQYcJK/QTFuKS6DOvuhoy3e+YRMT86s0UliIGZUCpcv12qN9EBnBkg8dJry4xQ3Q1ZtLEDh
1LfMH4Y0ct0T0rJtZSBuVQaXelKOcWp3KF/C87CqBmzgEr43fPXvjM9hoSdLEJ1M5a7PO/4bsGJS
JWkyv+Yo9w9hwsMfCgT6O8FL0iLwOHBA/t+RuclvPUz+g3Yz7rrcfgJQnh+0JSsv8lmREPfB9sDq
QKKiCZP+gP3ADGgzprjKKeAUvPqyjJH5JiB2VLlHozIiU7wVvgnVW5B3ybNo4qQvE6j6J62HEFYY
SEsZxz9XC/Xf7KSGHmR+YIOSvavggSPF9I6OVvX6ySSTStL7WTQjVvkJzzIAm2RG5J8BCfhV9CO8
BhiO6j5ZgdKshyVCViOqYkX83JyIbXqxnQByr/Mrb/2S/kyHRMmjUHk/JyVPDJmDKndpshgsXhI0
Czwt8BGChW1GKoB34YayMSdrWxqZGeJPdvVQMYss8uk+SYYl/54Nw4xFZdSy8x3WsbQhaYU6D5xC
FaxZXQNoScBYAUdGGQ+qakUWGjcNMPYkBQraaPWLjMFKpwqGJkC93aSXVTZwLNtaghbSNb9C5LgG
R9ggtag3Mj66OJ/RwrSxz4x5U/nCnahgxObo+xAZar24E0JNVlXTgkEo4Y7o2E7jDys3F64F3kW3
a7moBCVZsekGK8ORIyYpWAnF+vpLkqwmrDs0tXd0/GaDeovSouW5xP8HFp5m/hzMExrms1gn3mWl
Jyynbv+/2HN/DYjA/EOAGo/qRY0JVzpL/55vGgh6DuE1+0kEUiR/ut5RJlPYTybua9CeS+6GviR9
YiJaUNMhiFR08FGmco4HT1/F70bX//y9/uou42th4kKGuCqeYQ/zEF7RXz3DNl0RTapb+iWVvmab
+j/Aj16yDhdioGCX/S9G5V89+esnIsaNo3HNDsPyvY4Y+Ee/F6JhPhPkJX71f3yi+4OqidPBwJqf
aJNYQHCO+ACRj1bArPzjVPw5P+HPMMcfcwB+Ko1kTd3Mf/vnf7yoHv/59+tr/vNvfh+V8F//wtBi
oyb12/w//hUed3SdqDP9/Y/+8s749D+/3XWGwl/+8U/jHP7FwIanX5Pt5n/xf/5lmsNfpoz84zQH
9K7X7Nl/sgD/NM/hBc9v+TVNv379N6/6c5pDjvHqgLQQAsKgDrzZH5McAkb+DU9zR5Dt+rzp6yAF
XP1/jnKIM0xkCwGhJJgdEML0A78AK/k6zQEPgsdCiNFFFE97zTH5OPm/THPA8vh3Y//Ku4Tw9ENg
/3iC7N+uZQqQLGiWdDghhTSFkPYpr4VDv7AsUTH3oHMKuInRcpmjdS37aVyrcPLxATA8PSI72UJV
5hPQRSAud9OYZC9eErlDnhuzF+psQkTQxLu+zvw7wnTjWK1xGn+yeghPkSZdaVm6lCOC1zvK6RcE
mfmEVFZ9SDFwAjqfHMuQy6bc0MYcVkcIWt8YVN+G+O0+bbAXd0Muu0Ks6j3RY/6JG6I/Qana9qTN
9hYaVkVwY5QOMs99aHh+HCDlvURN7Fo4Pclco2bI1HsT2vEQuWC7mVyHFqeOsuwHz+H/Fb5HDV30
pq5vlcF2IsWcX7zYyJNdTFQNHX10NmS3RMB4zvu6/t41sKYYGvnjRq2rZDvygqNFPhjKh+PSJiUi
guuj0oqezBAN+yyQa7FZF94PlN3Ug6xS5eVDkPOgQDchEcNbQOFe638rx/TZkHjYLWNCoFokCVho
P53stAUwC7bwJpFNcNNNg97JaNzKJhBbNcFrvB0zpP538IgDiMOLfQlbnewAy9ILwqvpIdFhv4dR
muJdp+1Ru2i6pW3AC2mjl8z3/ucqbbabFmSHOJXT44ZGuVgQNtpnVgGf1H59SlpBf1juUUGv31Gn
TodQx+JoXR0dkCXmby5v1V4Inn0h7SvXW7tG4rZGxLbocu2b0vu53+V95ypA+yiTsMftxwwVPHKA
0Q6UXlQgxwmFaDXsBySg5bd6Wdl+I4PPy5Ff5QUwV4Bil6m7rEK/NrC60XSo9TPAKhsXw5aSW/CG
7oykZ1SonuAkt6zRO13nSIZFPK+aTeY3nGTDfRw6ddst4SsSiHqGRZuMx9wq+ejVGNwgZ+Puo96w
czK2GRqcLkE53AKEpUcb2Hbdw5vaIE2hxpHlZv1yk7XbHqFHYPob0vvo4XVeRuFYN8Woov4K4QuY
fUh4FFFiyVB2ke0rcFYuqsRY02rCdBHgMFv/EATpkaWjLBoAyrcmiz5VN1J+GaHxNWcddt8yTDZA
VCs98CAPgxMkFcy5OHRzLCQtHFsG9nMDPdzuatDf95vz08Nko7z/yYaYb5dksNBEZvuaah8/mBzp
bbtDl/CS8EnsmLHhru7gxiyKRj1s2albK91k+kkDKBdL2a6uPuqESviG0Cekr1Iih7mphgyJwJsB
et8UVH0qInKPhRLHvYf1tOeZGDKzUzUnHxvqPzAyOqjvxpX29BvBWI3R7CYEGx8Hzyz/EnyE0dJu
rMAKVzRhEmA8glXPuHJTWeQISiAwY5JQlt518KDJzMQPij4nOOaDI+qUqm4JCpVbKyuHEQZwynxj
k9ul7tlbDwX0U4YA+MD4r2ENaH4maNlRlj4MM02+1iSe5SHi3ukj5svQoXJBy5BHCTlnuyEFPVBs
XW3gdHgSvsT1hqEH0HJrAGKLblFkJfjEWXIgDhGb+gYAbStgrKApUvc0XyOVlYhPNPF8RgIsJZVS
LoBh6lEuEvQQ995lfo9CFv8knROFSXGMYdbw9aUDPnA2WTCZQioYOyWayQWodpzdDiwZT7JluO99
yqtUdgkCtjamB6gRzWGgLj8oaD4PQ9RdthrcBRqBVF18kzZnjujYHuA+kN3u+jDLAjSaHisLJaOY
RRbd5NQcMChCXO9VgfWrztodyI842BOKnAvsJbHLommDIL2gmsuCYbijjVVPuaNIqmaj+0gFj+Dp
xOyMYFhcgPoNKyiX9QEY/YaGeLMdKXq0+T8x1OEH9ihzh7o62y8ULkHrWshYERnJc72FfO+JyF9T
INCPSRJwbA5Dd+pgOt8r5L33XbCSGzcQ/nOLsvRhhS8H2LY+YenkR0z1IO+Shm0F8zL/QLYDicaZ
R/oo0tGf6Ua32ySN8qIevaxQv4vvQJDDm3RUsIJrv5+DAeLWTDaBorQJdQGJGnDKyreHjAkBVZQd
JggTSAqq+bRmzh5g526H1PXpWAhAESU0ZVcunWruUSXCvjI+ys8tZLMdi2K0HAbYxILPf/aYO1NE
YXv1KjiM+7VeSrc1cpcIVh8wvSLf60m6rgiXpMHSuCXvSEgZ7IWYhfLp8mi+DekW/nI2Uvt0Rjcr
Qx4es2mMvwUenxcx6L06nOq9wNz6nQG8eifJMr5Z3Ie3FjzQw3WW9gWhYAhnzSBg83lkcGPIPVKl
W5lGXXbsNvcdUl57WYHsfOPKkjvYqwxvMmWoBPoNUnSuCMyemNxNvunnssWd/5CC6zkA3TWfOR3K
ccpkFfttfjRT6iGbQWc79Wxij9fkxTkUUv1AAg+ghO/JTq6KnBpSf+NmyJDF6gmKBwovK1jjHeR2
k8NGD979wMkugf9wm7YtOcfB1HbX3X+sfBBrEC9NIgofzq8BCBDEMKd6moqE+h06echzzmcM0wMI
hXoB17AYajB+Y49pJVkBQTys8W5kybcYoJeFX1cp3qafkYeX7pNGbAUlAisBZkvAlx/cNWn1HCNG
VGPLq3vU7S9Ttur28fei9f/X9//t4N1/mLoWZ9eBK/+6vr/721DVf3rpn0U+xu/iHs/QoKHWR27y
WrL/WejnePwyHnmNYf5hgq4RmsE/FvqYgRAiW5ATPKUENeV/Ffrxv+FPoSVjgUtJiF7z/1LoAyn/
W6GPgR1RHLPrzAy0FtBV/9pCUunHHu2xOPo5byCKM9nQCrPIxqWKMNbJ72anCWZjIMOXnbDw1skJ
lSnLy2yD/1RGS4bAcoysIkwAzNIYj0EHR8ogCIwbCThPPH2B/8svK2+SE+zB8A7RiOQ0J9hNCpR4
I8CaLD659oryLQLzcgqIJtcQHssvrOHqA56z/tAEdu7OCTwUo1iGML8gc52gqnfhXc/g/GLKS51l
BeZS5foQwa5EKSCD60tijmCcFO36AFsCK0mMmTXFomHWF/OU+6fap9jN29A/gb/F5A7Zw09AxIya
e8RupbpRKVDGm4zR6WvKsVN3Q4+NOWwwkCYc6q4tATdBLO98DKAKsWkwnSzBth5FtTmivwpf0Myl
nxRC1INC0PkYuyZ+3ZYchUKsDAQ/ArQx66fwro4whQjZ05q/gZDAW49jC12aAomZEG7fpi+B9KxG
vFZFL+3U6Y+Yj6g6MKgEf5aAET6jqks/1xqvK2yNL5BiKB8GmHX4NBLX0YvAWJ4ephIWwiJjHr86
kfjMHDMBPuBl47ezLkVlahcCojZp+/OA5uAuloG45I4D9oR9eit4606xYvI0tBSvocH1eGaImkHF
htKfVbiu8b/8cUI7AtGqqlvO3iJ7PcNutf4Bp3Sa3rNVrf6yaL6GlZeRgOs/dbJ9DPoIP0GtAu+i
XYP/zuHBYpvoLI7LIgJ8R5TemGewwCEEeR7QGtvJ3MNm0rJvyDeTIWS47/otUIVbtt8abnEkiBvY
29otT6gV0v06NFlSdrzlb1s0iUfqMCSuAFYclGh6opcBcNGHh2eLq7bHhY46w/L9qmu804YGrAYO
wvHd4Dmyt5nE/qHJFvybzg5XQ2QmnFkWz8Dv2ZrGpxyAS3LbUTojXFtPuPiCqAOs6yLcenTR8xe2
8Wu9NuvwroFbvVQUUW5XKJ2jJYE6DTQKBsyw3gwCuALoCYwZ2jlcohliXwO7KI1IwpEKHp8C8Gsx
5pjE+N7tZtsNVgP3TzHoIQyvWjBPvuChnb68v5aIMLxw7tz1OlkZ4oVI5vqHPJ7jU4/hjR855EaQ
ZYAfD3h6KdvRZGjReDu200moP4Ap8rffL+E2oDi+ELjP6nqzi+tFyjOHZF5scUjAHq0Pvsat0G+R
OmNnGyTEyYS9oQnEgZsxDSkudZfjgrGUqHM3gEn445awHcrirF1x8NbG4mQTLBwtsvUfGzUGiUvM
qqgym4UvyaL4GzgN1MNwhRsIzGMNSQBtdldkamU7AHWgx5t0caABevwc0iandvI4oSOkbtwPGLDn
0NXhJkdZhOMDnzF8caCdDivZsIJAoolPtFHssqiOXTb00BrZ0hXvoHSI/boL8it7SQHVPIjRoUMD
j7hiPa03VgE4pccsNWRPOsEuqBcD9HJNYArMW8Hvjb2pl/02rbZBJSdwh8GOxRdCeeCfYM0szdM6
eX1bC4z8adGpHeIV9zJgmuSUDzJg8EU6vE8CpPAkJdwnRDcjQOw8fIHXbHEE+8SjH4PWD1tZjh+S
8PHIUL8d+NxELxS2yR34mIXv80aY7XliLE2OHjzLKd7wg0G34opC7B4nqouC8IWTbdM3AMFTIIND
3zU3PRftQZCtPWD6mEQAaMFZ6loODhWmqdmhEcE1xRE8A7iWbTitBoGCTwK7rS39EIYvo13DF5Gu
y1pJg0lxRQ+aU+7DaWY7NeAqXZjDHdFnI+JDioUvmOCJ7wMctuY7x65XDg1B7N2g+8bbRzWfvmqg
e4e2SXF1Y3zZy/XR4m8GCTJxTrQ1RxtSglEL12seUD9eRGb85jIar9e/hR57Z+ESvqGWRWkHgRof
AXIHhjdmXGFaImnhtRQGdjyg8Ph6PbJ1ykFo5ewtiDecyD+WNDGFSGcgZoBLKcUoP3sS+TQiMuVg
PAB5CsKHJMPd1XWSwaddcHjRve9/v+N6lydvyzB7DPIYU9Psf19ZFaaTZYcFMYK3EB3A8LbU9Sq/
pfCJ27JLrqtU6Jb2kDRz+skwCgKm7tg/hg0QN4wi+xoaoFtGw4Iv8hGSSoEhKliBWbeFdzARsJB1
qB9smatch3BzmiFs7sGvr8Di07hfqrBG3Yv+AmRYWIJDYed+QIi/iCgH5Ym0E+seAd3/EiC6aV52
c1C/YSs1x2FOe5yia/gekpLHWot7EsgilhhVBAsoihKtSPalhv5N1aG5YdxboFxrvkDayWLzglFg
J8WuGxGmsXUv7VrrM/aY/CEcKOG4d128N2PcFghozHcYnqzOkIgBtOZ184r8Q9rBhuPfEQ7bBZEa
L5gOADN9pgAgBe6BwvZhHyxHAEanqbH6TAWmY/AH0iSqZGz+Nox2r/U07oOMsgcN5kj09IlHCId9
gwwGlaKgqs/4CWnjHquqwB2eZHD5YmKjShPdVxFw/6GkE0JEoBkSgeELUH3C3wWg9qoFBcAV9/J3
gYhCKiJXzQgzAyAfBXRZXREBWlv3a7Z29IisXgtAf7Kpx+Fv2BkgyXaf+5neTIJhm2v9eGx/F656
SFjJVcsKrqpWe9W3ALLh6g2BSGJWLVjLXEAII9pHBeQhC4vPkVsa15DMpiD1n12ixCs0mNdE0LH7
f+yd15bcRpZFf2igBRsAHgdIn1ne0LxgFatIeBuw8fWzQUk9ZElDTb/3Q7dEkaxEwgRu3HvOPhcm
UvZdmzNvZhSEiQBPub/zGJJ/k2tnLll7dHLyzYBpjLltHTfF47R0u0XL/IM+tuNmWTt95femn23T
JBgsmV1BHMiWK86XeKPPiqgZAibv8VTfIk98wlLT7PKU5oIbTZ8hPND4od/Izne5h3UFF6BozR2K
CUQ0vdPdSTgrlD+V2LI/nF8zGpkagnJ2v1Jeecht70q1OGHtDuUOK7i9j/zRvTR+ipimlY+tP9Aq
7b63TSWu5qteRSxReUl9MtEwjKkbTgOgy5MpO+3g+LU85vT6LrWl9JCTVm3HtV8LB6cOVr3oVvMV
Cj1WrIA7JL+122zjUnVqKjdueAkslHxjtYs9TRyLtUdMyyS0Kqs6mPRw9t76hrCWZtzMsT8cnJwL
JlHVYYCf2w0OMP8Kz/rdkJY4+atKv8/ZOV4wvvdP5mxqF8wQtLK1723tidr1S/+92R2ZpjoBtkJA
mfb1x4zynfJuoPHB/W3mj+baN3cnS7vWBT0k3rzuBs4jIkpn2WV1Xh4n3XVftLz8OGst7XjgZ2U4
dp3cYTOnXb+46wB87eEj5UlCZ+3rs/jHG4XGaR8xjDqOlfPWrHMAszem0FhnA6xWxnHJOusl6nS6
S1Et549UxFuq645KcJ0xLOu0oV/nDivI7JqVvyu3aW2kwA5M96Cvs4oyoS8p1/mFg25+uqBIcxmd
g8TzBxYS4LLtpnf0+3HKCzqaIB8WanGYq9l9GhkzeqkMgPPBVXKM31j8Y5w7JmJaz2g2kTZWTRgn
OHSDOraiPehkjYWpS8XBy4fpWcslraFFQCMN0sFINl3TswNJ2q2L/oS8PJ6L1Oqn50Z4xVGx36dZ
ueQ7Jh4KFYXOLzM33Qmz0J+mePa4xa2ytrHNOGvhx0KKeOAVh2N8idvyOhl7+UFL/OFcdt6VyCt0
51QDD+Vg6h/9iW46mjqkA6e8bZf0gxSM/I9IU/z+pDHxNocDq5a/I+dkaKdtZmhUTjEbt+gm6v2J
anas2YY4ae19itqCRT0CdgT0UJsW3Y/gHnSK4RDjZ+WEZoGkL4A6oE8xTC19sD55Sclb1xyyRYQe
su54506RU55bveO/5zUlF/qZsve4e7CjbZ2BGjTpEqqtapIUImK0eTeB+y6Wk26o+X4xJ+ORWrQI
y7Uli5KZ+uyHHf/fgOzWGdgPHlHw1LbDxt5kA20yxnuPPB8AJadNn2aHqEYxsinr2po/KFsN8iO8
BdXu7NKnGqkrB88c6kFevr8+gHdAb2c9AgiJ6z+gP3IU7+a/UyKMGq9ofHBmSKVBVMk43Qy44sxr
Q5NJTLEZNfvUSpP43OMWr7aNkNE1znLjEVuycY30gary10f1N6fFp/Hq6JTtAm+w+XNHobKGqEbE
Gh8qjdKvnXn7Q8OpqUlHNsdhn5pUPkOpKI60MW4+/frTvw//310VPh4IqUfuESfnnee6WtwcvSUC
X2cp2AplRrtgBYOgVmZckGShq6ysybMec/rBR2Mtvysw7Nl5tNvGvMGWPuaKllwfJ4d+3UE37Qpq
lZHDHqZCrfkPp+tvLuI6BXZcUpx0HSPAu/M1+nGqWQhjDlU0loilMeHJMBE5rqEO7i+S64bhlZhl
+1La+XLf9vQqGI3SAajn7r6s2n9ABhrvh7+kqVAD2ah2GQwzZ353RJrTagppd3LoMo2yUWhivu9p
ST1LWjwy8HCR0FIwTflmM8I+NiP7i2qqu4L+NK/kUMpm3YNxZn99ba2/OzABQxPOBvStvwg/XKDs
3QpWOzQipkKNa/ZeQ+BPU4fs1E0tWT0gW/Hs41JTtm5wVsn8NNrmeD/Yoy+DBEH4M05edsv297rY
AMC011I2UbGtKN/TWFJzR7BQg27t9cB45sletX2Upm43D1cLjcG33zelaTnN93i110UI8999gjM5
C8ZMzbdrHfeSVjn3lpJejp/SbdgB/fp0kNDwfgFixA5+26BvYK+KmJ+ftMTQWkZprra3EuZcSHRV
lZw8eu3cM+tMiYXfvyymh/C5MoGMhnOZcFhLOigGAoKzFVsGuxNHwUnMCpt/5WTx/wQpLPH2e3vI
Mpv1YncZXRoQi3F6qJntlWHqNiPkrrHtDgqdmwocM6d5w+R25A5hQ/D2/cv+pxP9D51olvb1+fy/
O9HHN3Kaf1SZ/PE3/mhAw7n4Tbd5mLlFoMQJm7b2Hw1ow3AJT0JsYps+tiE6w3/oTGwCYlBW6azg
K92GbI9/tZ9t4zc2+r7QGR+x+Lj6v9V+9tbsrB/foRBO4HFwWIhXoJMim/v5FmaIBJHMjcS1k9ga
JK1qbs9IbBc2Yp6xOO4Kry5zqzqhJBPFA+kYjv/FMN2vCZXEAyNkVAmQER6FMOYPuaulZ8dyZ/S8
QM2ioKmExwBaSZ/EEEst/b1WQHfG1zhN7ZNetegomFAWVnnOfSQJ41hkGRDXBNn01BbeLkU3eyRx
wApddsthyaB3Q2/D3kAXwaidGiZGfn+4yxu/7wBCT9GlsJrmwrS83zOxa09UK9MbzpXPNtXLm42I
9VPBXHyvN2nzuStzPbSdUhxxmL4wzkGaOnvJkgWu2SVntSTzQcepS4fM066rTItmYAPjLkF/00Vh
55vxiMq2GYxy3DkSh0FgplN2oyWJ+WHkibUHRlNGOjehTBOdnhFC135omUX3+ocCluXTDJrgZq4o
hxvT/zDPWNdGHTCFNZZ3dqa1ByRk5nWH3fU4oMQMMc2ml3JEg40TMb3C3//i960zcK6brdOI/Nwi
eNsXtTZ+kbxij7AJ132rUXwti7TbqswzvkId8xDbyq4++Gb6dRjMbuvTV/7oGB7yfubc9OEaL2ZA
VnifTXPIt46LumT26g9lWn4ALJNegV3nPZ1M46cI4fIWiwmae/aAodO4ZUU7tWIlAoeHi9hK/fLB
VbMtgkhPmuN6Rz61oxQ70mqYiaJEB2FiDi2dXJqzHD32bgDMI8bi0RKoFxhJDAiKjfjezo38Fm2p
uommRA8TZbeXhGa3DFJ9dvgUq94SimXvAeLCcCg1K32YBJoTUmyWCwhe68qkpbcTSTQhd8d0XkmJ
ecmziyqgw0KiQK4133w87UMQT7axB9I5XToVpYfZqeSljzzFrlFM8RsuWC0smsaB8d3jIlqGxj0b
jU/HEy+Ifj1Vix6Izmdsip4I0UhLT4nRuxyerXlB/4BE39yRBdMuSDXZcZigRPAUmk6Yw/zIEMGY
/nksyzlD2m4z7xnbutv503yBZjVd3FY0J6kW+RR3kCaCMTeTb/Wg6i2sEP/gprm4dA5ZLkhrAgsv
VBZgOhWB1dHWCXBhlaHVWM3OzXT/QzrCHRg799xEVXqLiTjZFewOvozCKHbY/MUrdkJ1YtQ0omIY
E5pdneYgPuinj5jdrVstj1B1uR5gvr7247DKp+VcTxr6Bc+L6pNHOECzwSuYbJfBVLeuY9fI5TFs
CDFDXpwt8yjpZ94XOoYRr5iGZwc+/F2aVmzAsyhHdEWxdtYaawkcRuYlenG+ksBpD6ux8GVYulMb
qG5ctjjbsj1RA8s2Zar7hPdpplHYGrvE0dER+UDnut6OrkDydrcw7zYA+brHNNfEPXusQ1dZ6mai
yxXWMybfgccaF545H9OonA4euOJbtuAQHCZkd4HXeMsD2pHmqpSj+WiabfY51Y2WmKQ8YpTTTUdm
zkl0rLC4PMxZC3+6Zgc4N/pV6WpbvaqnuxjR9SqMypAWeUzX8ViFtVNhRilTi0Wh9TexNelH1RoA
GRxx3dhtdcTaYB4xjLGLhSZB25bQkfUiYyCKmGykDZuwBvE4rd7+QfnJ8hVdVRMqzV0OyLXtO7Qx
ZcpVxKFprbhjI3XyvTvMzSaNWMh1U/Vg2of5qSp0e9c2VRwKbxRX+lwhzqlZiHwwnZsoR4OByjs5
LM1Eksdc+NvO7hdtkyFI/sRLUB1ISNW+Ghlt1nlKGI0Ie/gG57e+ttm43stWGMzySmYQrf5Cmgcq
baMoNmY9jntvlFoXggBIPpkqJuOhLO5lXQ+nxBdVaHVdczaLuL8lpabe0ZZUt7qR+jcSoUwb9EOk
tja+kn1p1ylK+9nbYGgdmXCAxY2XatzCLXzF+zyGOWsmiNl8SmD8Otol0eyWiYIzfWhmPw0Ztqh7
gSMFs1MtPkFm5dmwREPHhDaBkebzVUUfgwUrnoLJSe3PeTFWgee26bURVRVGoNp4maCBbOZePUV4
A5nhLubBwXBYBjraqIeUYShNSeWhmSjuadMdqR6gu3XkPmxzHXBtUOGA2bjpeDdRHSIAccowG0pJ
P6NK4FTKpQq0Np6e9Vi0J2IH3FPMdPm7JcM/sG4yVen1i3Q16x69zi1lJWr5Qi/OSMnwN3LvPQLI
LU8RPAoeiXRf+UZ1ESpOjr6n3eeLz602MZcNLCuKQxs6K/1MMdAh64utBJAS6l50yfIm3+NNG44R
Oh8UfjqmoYaRCA9UshtKJgFxj53QnAs4Dl5UXmKGvbyKouklSfVmr426OKtRuq+0roovnWy0a0fS
P7RK50F59hOuP3md+1F7mSYL1WaPd97Dx7w2NscnVFsDCKDyBRRGf0wyN961eVoDyliAe6oC7ceM
ewv+YYSZI43tewkS/FYxSkAxOjr0kbM7I27MT9pUTReft3ISWEY0fjDSVFvVMs6lbNLsZKbOrrYy
phVI5nJhP8/aZAc6csltimQPLOFYPNIiaPb06NubxuuZHcjG2ult9NXLIe7Duk32nvQZryeyOEg2
UJfEtqdz4+TxRzZPjFLIRIOmUrQbWzjqm9MWj0lZoQHIM/chR66y6428Dzm+JYCUfYX8jIZDYnyO
pK0FNKeSG1qIF0R1y9UsZiQBhv1UtHl1ajOET7bWjfu0S/xdOufRZ2iXMxK0tPsMXlYE9DWZ+Yzm
eMSuPOwKIT9PBusK3AdjF9ONyu243BZD8qIN+Fa7BSO062Xq5PtL4OZxgd3p7NbCZnRXlwiwijoO
E0+vw0R3i6dME9UDRVV+rlqPV71jRG6QTrmX3axzzD2o+Oa6iO1dKaxm7816d4XxDBTl7Gh7uh3l
Tk/M+OLCut92ZjYcYoZfDit+Jm4ZTM5H0ArGDkNNt1ky2FqTPX2WBmtt7XZOs58wKd00+P3D3KFr
XOOp2TmMN14GL/LW7gVpXxh8hYM4IsYeJpbWRgus5tcKWsJnehahTpn7UsZ+tOFAvtGlbXcZSIw6
BPTTHRepe3APcu0QK2wrodvmZYbhM6+uaOyTu5DbYjuNJSE8mh2/RT0KZpsMA15pousDIrOYLubZ
DXUvHRy92E2mYAgRNbxBwVWcFOsAHnSqTcS5+iGyNP2b53pO0C9EqsCprzd4f2MYz7Q4KD2QZxT5
neMqDF8Sb+I5ioABtJWZHXUu9eeaSeTBnKNo61YDk+p4YSffSTojcaLJTTvhpce5Hrkf20RnwGDQ
cw5SpUNm4oWEJiDOro2pN15nyGM3ap5ZEEazCK0oN3dRpYrKePDmCHEa03e4RK8pbW24uGUFPvzR
nZmr4NV3AIif8Zz69SMjFs5a3b+BlV8Cv6JSDrJOGMqKGYwBg6imzNk4Po6wzYIlY6MBqOyDMV7m
r41okrcJDQ4gFOl85O/Un7WY0epijs0xWqK5YzbnzUgfvPSEB769ahv+dC0FGAGePCtnQMInale5
7yOnjGFUpK7T1PRg5+qti3Tjqk5n7yhMAxLEhGng2h3Eo0poeradI95sPP0RBlDVnCPHn7aO8rv7
rmytIBNld9LKprzTp4R5pVUvjLCTaTjYRe+tqwGQfiTIm9qmhDEnWQZxnOYHYCaI8wHAnfVK2qdO
p6mS0lbaegQxbhyxlBjayBA868R5Pc3paH+QmMlnBhMNTBZpaECOdAAkGOUz1AGeAyChXz6RMXAT
Z7SAAY77CBcnP96MwFciaM4KBgw++TDrJT44BqJAbMGqDEEUN96Nx1uY/svcMkyVBjWybKryNJdZ
9hh7Rf+pp/RkzyTH66VS8UPpKMlgipON4zbba37P7ssxy+RaixhVBwyYx60YGp1Zg2wfoqjU+01K
a3M/IMPGw9dV930MSAXIR/vcJZ3x0Wi89mNVx88RYOyLTfJKGqhK1w50UfBX001ClTPqZ9cvm4cx
mSVAOTht7tUwJ/ZdlbQvruoKsCUKUmSgJboKsQjy2k9VbE+cEAyNebEUHzK9QbuegVHzTN+IkQwa
5p6tEC6EbpjeRg0MUGPa8VmWcQPzOa52WZfxEM4ISBlcYQIN2HpQ6xD1YW4ilBBf0EToVPyaI4Ou
npfb1vVyJNnMY+672KcSaxWAhJFZ2VZ6mrE1XeUfp9xOj4lS2cVJxvRYojS7JgmODewsuJl07Uvh
1eqJAc7qkDMEX445Vb3VnXz5kLNUmOtUGv1x5qobbanVphgapiWr5bFa6yRLcV91yu4Do9XjE5ob
BFdUvmGa+vWhyiIyQ9iWkaNRrYWs4XQXyMxFkFZY7ljBYpQ37eSu8zDMgR/rfvLKGyPPpLUtFsFm
rDV4CwRjLSFckM4pGSzTElFvGsbM6dbwtewgkEzxA4mO+NCjOpgf1UQ4hB1oSClEfzvokjzJ7TDQ
rGNgbnXzdOaUQH/aIYhLRGhJox7y4L9Ke5SJjSf9WsUz2nu3fUS+Mz//0P75m7GE8a4Br3s6tFbH
c1yqMro7q+TwR1dY087IrixjuiaTxNkg0UjQBgF/m8uj5nmbKP5sltZ+zMyTlTs7ze5wzBhbz4UJ
M6gt1tQtX3VPDOIGy/E/jCzeyQ1/PzYa8/QrXdxK7ycWpUHgmR6Z03XTdNduQ60YHdLxH1DFf/ch
BFsxFCEZXHffnwAn63FAQnW6Tk2w2vxPQCGs3Hr3n5bk90Tkf2pJ6nT9ftGR/O/i5ctL+fJTT/L7
X/nT+Gb/5mFQ4xagWlgFsNygf2pivd/od5oWIFuTabHxQ46x5dCUdB38bYwmBDoKWol/mt/030wT
rzMIQrFOLnzj39HEvgfN8lMwAnEU9DiZIL23vmUGC6e0bO3gaxqS7jRb1GHwbfn4wzn5m8f03U26
xot6mNJAsuDc9Mz300NlwFmEZKcdoDUbj8QG4d8fdO+mnIig/IcZ0/rE/zQTcwjmMyyLSSWYcgDe
P68IXItM+ihhD4tR+ze66MYrbLWQD5WODlOUtMB+/eVYZv7ykQy0hIFEGW8qcYS0nX9chOZcOq3h
djzdSxcxmmzr/gKNkYW6hi/n0DlZRzGesEykLDAU4KMQO7sXAJSqfevEQ+iMaKGCYWZC02Rpd/Dr
mWHU4nf6l4ptAdw26e8BPfj7SXXpvhSLGRJZUZ1w+Jd3RU5SZKF1/ZPRi+pEPmOzIzY2vY6WPsV+
QRrpxoqrZL+0+O+Z+5CC1cvyziQE4St0U/Wc5Hb37DbxlT4sKRv0ogoHyHkHZVr5lW3Tkg2TzBru
TDmU35Sl6hvmitmTqadZwBpX7Jw2qWhnlGM41NV00OuIWEnVmjQTUFR37TJtjWRuAnxX8uwafX0N
v4NcCLzwL3oRs78TK5uLXtmhRdUTB/bsR8zHkSi9So/caqHKGc6jSgZezhMD4A7xhS7N7hN9JH/K
N3PSubIN3GUiKuMTwk1nkZekarKdi6GQ2NOI+zzUE5J7A90qqy9D5zafMiKGPiAvNe997N5JOOnS
f0OeRnFFtoaLCs9capo8WTrvutEDk6CDif2SM3mjhmOYeoPdyAOeh8X94jI0Oi/gep69RZGIGKUd
tK+VupkpOJnYAp0bUi7uMYPoYTRn6HWIkNhKQ+8+kQ837upZ7ynTBK2+mXCxN1rRyT6pktelyxo6
Up5zjn1vQLqunKTcSk5OUkXFVYvy9wM5v9qdRa7sBf04Jj45GzmoslHXcF9mkR5oNaEHInWOkQ0X
cpwqubWWNL/oWTy8obbtv+TGkhVbFSuxKppS/8QpkERaide2L8IJrfs1nSnED27xhgB4oktsnyOt
n4M8j598CUyhjZpirzWI4xSAtFDOE501E5cmGVsicJv+nGmdDUKpj2Gi6172gi+Aal1zP1t0aDZJ
LRYwk6K9j6bCvIhE3jozW8bA81ybW5unZwYSQTi0zTjCGL/ONPV2Tqf1VyQKqi89JseQK+t8aZBt
3mAgg7mu+v6+dXotBPJ7T75Guh0c9VEbOuvaVIm5NRclrzVXqe3ki+mhqvwhjA1/3KEcvUM+/MG1
oto8pIDZRjvogeUtr5VIIQBH4wBjQAwQm9HVeY2ZBQqqziaPy5y8FpPmR7gUrVAXbyqW+Vj4OqHb
YQKzUA8iDarAcy4nMnmY/QxyQmmt1Wx6GCxmjzbCpdXyQiqIN06P7tIjkDWkG28c+F1o4SLY6oGD
NDjwkYlV+2kEhI38yCajDGC/CbbMm6S+SfF2eTuJoaC1MdD0BNbkk4rvx9xZ08yadIyvRQvNkR44
ZtLbGOwZbrNGtDI5+8h76EyRVeN8MhtgmHj2qrWvPHWzbz5nJKI4uxaQsfvGVpILlfTEbZ1yNi9D
95CXgLuhcPgy/6Q5Tf7gj2W67/SKZbguXecw6n3x7GJEXCNCTLop0yCskzOPtR5g+FzbE0h59k5v
gTQz6T0Z8+wczFLTXUg5C8gV3BMGZuaaeTSqUv4zI7boYaHl/yrMChxYZVTNDkWhdawL8NHBYMPO
ygecGY3UqxNkDH/blwOSxLKNwCxBcKvPrW2DanRH19gZQtaboktx1TL6CivaC3MA1hgICvbGz3PH
v7UY3B6UJGcwcCptgEQzTuXdbNnN19UQc+FA0niXk8YC3M0v1YbApSLZduRzHkHe+jcMqMRLUcK9
CSw4dLtIuuWdNuUuuFzCnKqQEFN+z9H68hso0uLZ0vv5tsgzQeqgKuuHuEyQsErKCBSrdS4Gntti
858q8P9XBa7Smv97Lk0VSLLqz0Xg+jf+nEub/m9kUSLUwQaq/z5j/r0IRAHzmw14QPdNh0kYqI9/
DaZd4zdCKPjjyK4IcTDWyv6PGtDhtxwdDYRlQeyndPu3AAjWWp78b8W0Ho6BwZ0IBYJabV5fa0X1
Q9oJ0JKlLKH9f2UP3mTfeJdElr4BfqDBm+n7zFyeM2LB+p1cLDSNUhLL8TpHRUN4HSIZxKaNtoLJ
clz1vCsrP9JhZ3kFpsenTme0xoJsN0LRM0EfNWohAllo52AYB/BrGxJUpHljuAAn6S9gc56eEqYI
3RaKfoy23Ib5BrlODewD93ARICoGM69SqCPFNMMH2FV4pZo0XGQS4WH44UL+Ten6Lp0EqQlhIFjX
iCYRDq/Q92eHvpQBAV85X8lZG31skLELJSrgHUZp5MfQjKDBG2lVfmtFly6P9pq1QJYbKyXfpzIQ
LD79+pDMVSjw4wVjpOojorLZ9woL5f67C+Zm5kyUahe/GUzv8quGbnp+UjaIUqzUTBAAG5cEOhhZ
QMPUG3DRzA1mdxopBNxCDF7Dgt2BzsWJl7nUk62KYjVsVDFzKbZ9rxIqwk4QOEjiWN6Ka4U0lz9W
sjNwWpC8EnToP1TRP+9EbHbv6z0IfQOpky94Fn6+CaMkn1MtL6qvOi1z8QC5U6vvS+RJ6vbXZ+9d
tg8fZFmEuqwsHRKF+LyfP2hhjfUV7q03dCQm5NumiHKbkabOEz5bbmbf0FJ0QCwtwikIB27I2xnv
edMijPv1kfy8bVi/soVR36JPQ9AM6fbrKfnhuTOsGL3onIm3UXodqpBmyQApdUzRXetEPaYc8e+e
ZMdC5bISV0DpcBbefXfNiDWguK71WgxtRyApcsE1eXn0kHRP//BZ6034w03Kt2Phsg1QJKx8bMXe
XVATd3nepI75NhuxTO2vJmV9khyjBjk51pl2PcV0pVDibn99Wv9yJ1EwOijm0O14WM7fx5kQCiqJ
bMjlKzKawVNB5hbeiEFBSzm7v/6odzu/9RL6BhtnTziEXrBUvDuhGXm2+TSa5ZsskLa4h9SPqqcC
51RLSh/Wxri5mX0V6eWlTnFckx45Jrl6zqTbNFaASCSaI9jsUenfZZlwQWAm48oayMe485bDMNlk
yx9+fdB/uTCOZzg+DSOujm6I9wsarlfPnBFIvFZL33EU5Inm2TeoWBrZtDg3agt05FiT4vzrzzX+
emF8rgp7RVSW5IK/X7YizdDnBonEF+VohqlChgQpQw7Xa5IOOrNVwC8+8Jjk7guZBvDbN23XdX4T
klpsjo8pkZbg18jOVv0XZPGrRLsS5nLGUYOcb/Pro+W5eHcDc4AuHnUeE38lE72/tk48IcAcuhob
BymKIsi8pVe3Ekw6N5VaqOPHvS8bkrBJvk15mmQFEY09hlgWFkufId3yyg1YZt/otHJmeP3Za07m
aOAi+fb7Akx0CauLM5P281HGPqp0cMtuzp06Fj1Dy6DqesFruILBwhVJ8JmxRKN3TvhAc5kL7w6c
YD9/wsJBCQF/V0WcCzMDxNMG+NHWIEvTbvGVBW2C7IgWiJ2VX8U0GClioT6S6pbH33c+Vmg4ibkn
jp5jZFznQz4xgFl8xODYZNV2EHOhnlVvuePj2KGuuZcZ/4XwU3jDnJIkETXXzExmzJxBaSVpvoQZ
nNMVV+fxMyzoIVkGRnSB2EG2BxAdkz8pjDTij6TE2JUC4MOc9Hc9PExeZks7r/nsknS1GMBq7PPR
fwY4WkRzo3SLl0ZcW/hD20+tl2KIjeyxTa8Ku/KW/SoYqc4JdLnhNMwgfJuQyfe68sHGMJYzSoc1
KF6P+vWdSeYbGJsDc40e3lxtVw2xlH98Afqsa44lFitfZBvcBGsEsaNX3H5yjtdF7I980FZGgiAh
JKNLmYVyzTb+82e0Tat1WyslBSQJueVqeJtWohzOwWClCx89N9A2TotV850QYq9nFWbOxJlzvAaP
zWGa+iQ/VUU3oGI1ErxP5dZCdJJ9W5pozRlqFrfl67HQr7dL7fe8tSzyOLlpwA1l5T0GtNoFzblq
JUUAf93kmcIn7HPXxMSdcs2smYnLN7hvzIV3fdznnnXSmE4DGSnnkXNYz2PG5zssjEb04BUozLIN
mCdkRMeIjsOa9KmqtXbLjNni97B+FOuXyPxGEPdLQG9FJjSRDxyxa46sAls8E/QCt7XJcNRj3tXa
/IpdaGuNJ8ZYNj+lXhjL9ZshQw6fceV7l3cXVOSeQ1r49vzHacjWY7H9hL5qKKC3L6+L1xLfx3AF
wehhpEPJ4WVl6q11WzTqeXotV87dR8BA/CL0rWUFLGY2vqcibGH7Z9/wnw2cTuW56z1XUAIitu9n
As4hPIv1Fl1L6/Gx8bAuPbYGE7g+cJncgXGRSlFlkH/Kc750i1oXjySnEMtaq1sfaaLX+aGdbgM8
CRw8d/wDT7Q1PqIpI45qm9RuI7EezrrMyquVr8sPbDvZcXz0lYb1rrbSdEUl5r4ynMPsFUBCN5n+
6COW9scNomp3XZmSArrGTug0TLDPIono8yW2dbjmCmt2jORc3TrLMnP7e5Kutb31S9oWRMeyTxXX
wnHGvAsStuxYoARZJOkNge5phPYww7HMaoWwTTeQcKKf0DAZ60W6BHPX9iiw5kJKbQKML3EIQOmS
XJvWhoTlvFTSqPgyFajKuH7w2YbbxFfI2l89j9iVp2LLQsxys+2tOINdGjdD7fvB8HuwKb6iPmEO
nw3kjmHvZ5kVrwqmDmgeFtuF7wweLFfsn7sEN2d8yesE8+t1P9NX5eZJidTiTuynpcVaR8oFv8J0
KLmHIisFv3+uVa34vdYch864Vg6Bx8+yrThLmzLnelTBrGvG0F6Dm0SRBt2qHbhKFVYa3gX1Uk78
LL/V11Vw4ORz5+op6cfjDv/7xJ9kC9Pye30XretSro9ru7PP1oowsYeY5amxZ8H56xMg39cjZ5Fn
wTB7yQ01tp211NjuVEtorkfMg33wCqk48GTWBj7aNhgg0xWm+cS7fmlc3vKAPBuePMSY60u274eW
23EW6MM0XsrdwvqweGiybmZ9IWYedH2JLbpp+4qv5NVd3REqaK4lFnGJ+fJaemh5rv7Yh7DqryeH
5ETQCfucbm+L8SDJcNAdh4yJIWhkBt+bNpqqaGsTPcTYGfvacmbsXLDaj8vkcsToQTXOUl0mLg92
xlicm8fDxcAZ/OO2LtNp/b3FhjpphgpKK0cuam1d7iVmE/VswDbiHFtuh0I5oBKNdZ5PDTNKH9pe
5LigXolXaa7NlGV3I7Ey9QgglbGIz1o1Fd2DXs6IikzTR5nbdQyST6Jqxnwn6nFoXjHjt9q5i0vN
XgfsrgWio0nbz7RdUY7kblUXb0hkFQ4W2rrdy4RIerqBewu9CXh3T1PIcqYG7RqaGqcJWyTucthN
k+ON13hAImhLokT9c7EKXqsEZfSjEbarl5RFHsa1yngLjx3hXfGcj2tJr7qJybDtLoVJsn2nLf0n
3zQG+0EgPLDjMGthkWlYns0lYqDs8/0j7tMohk+ekEZXhK4qJqU2PnnRereLTEVXjI4bzGfR51eT
rhvNbkQrxDiDAk09xhlNOF58YnXe0n5Dr2b3phEumLpqVFJxL/2NVpsIf3BKmnh2MT6iRLaIYq/1
SZ0jv9L1vTGBO9kRD2xUfdC7hUrDJLIc7bZhbmQ/AXHtshpJubs07davCdZ7nJGz9lea7CvtHvKZ
VM99xV0dQIoQHUSpEaEZkwfhdqucicDzGTSG24j/Ye/MmqtWsrT9Vzr6Xiek1NzR/UX0nrdnw7YB
3ygMGM1SSkqNv/57EkMXNqdM1H3d1AkXYO0tpTLXetc7bMJpKfJ9lCpsIxaYrWVN0natmZmke3dN
8NkqyS6Bekw03bTJPWyTmZe4dt+ve1/WPs5cnavMvYqqxsUHKTfdwttHJakQV5iFGXm+h2pIWZs8
wX21VWitaxSRot5YrpoXXPAxncDWrRV8mQzHlO/VtznDfbDeYb1Wo0Aa61QfqLK0S+nejbMrpbOR
0djiZV+buI3kB3QxLtVYZI68MAQj61oTIhR47761p0EfKyEbCS93E+jyEcrDwOuQECnC1lC6pq4w
UwOOWrTL8AuJcWGzOzkG50sTG5SkuEwOHD3MHDJOGVW5sVj2M+xxBf/YrXWdQpKT7hz8zFr4tLMz
lMykEN2n3keI3BUfheAZH7Y8ce1gDbJvXLZJt+uo7ANoj1LsHeFSBY8mtZtBvvQo2cuyAJOBkRkD
NEXO8LJzzS0pHd5iH0gwLyiJ4Hrb7CmQwEy+KHVJAN7kumWrN8SyEJzRKOAcShMsEhU3CPKEPjmD
Zpz4pG2c+Fy7x8KsXt4PDnowUm6iEPIIjVkd8S51bo2if9+Fmd4nc8fH1mUtMivkE1WR7Kz2MWwJ
wsQuhHiQ5V6oHlkxqouqRrOa+dVFXGcDx6KSUtdSlfR1yZKESt8jVVeesr71Rjfn4QZxLn7dMIYq
cAPGJRH0Wnh/rcvtZw/XGZX1d7jH60p9Sv04wRyr5j6iHdWIhQdnnU9v2ZHBjZQxtmf1fk6JqvlW
9AY3lm0m05+g7wy4X4efd2JpeIVWvbQXKlK/SviNNcMCwqNyq5qh5lEQ6aWYQhmnZymnyP1Y4DCe
kz+pHyMHpmXd0/716hQ0EaqsnZ1VFs8I33kfX/Mqxl4kuVnGzIzCT0Puu4Qc4aIfl+PRoRwdTouP
eTMUjkVq8Klt+yFNjtKE2m9xUDKphOgrZt3IB17DYinB66xpnY5m66uNk+MTiLFQpKv5oZZt6yIp
ibshuFlUIur0wot8k88zL45+D2wbxS00n5wi81R0jn5FSCfVgFeVNfyFaEA0+phhL0J52DCmI54p
6mER7Rvh47WxIQBbn64EucUcmn3NeAgKjC2pAvFq0PWm8vR6jNDaUFmb3IHsW7T4FT/w/+u/TVWC
yzimRT7HpZXwufAvTnxdGgLix7qYt6X+tM+vR66Yfp2Kfqx5qC3SblUSmGoP8QMO6zGjY8w6iGpm
lMFaKNbpTE2AGLR19NotKhFWl9ggxJiuxUUXWLjfq5IYuQ1CnZln2xtDybWqpeUrmHJgNgy/TJfW
4VDT8sV+mLaPQ9undrnq8l4qNpd5dOwLZ7RUXmGFK1hnpSl0E5hJl47NJN6LB9I5IeUljSfPmYiV
ZT630VXO59Af5mnYT8R45I9DYqFcWUfPlU8XmwO1RlcHLd82ncKcwuBHRxwsVUhhMMWxSfdVxY3N
TzE9CwEyBmmJX+yhb6CmQ2s213YiE9oREqSQYh8CT9r9yVsKu8fxfkSvfcOMSTfdvkfwAZDIZOkm
H2NrXcjHsmZ9RF0U89RUCaALtywwlnCdtoPLbIn0vpo5HkUIe8BiNfS8x8aXqLV1/8By8lwuD7QX
LXqrlOzJ3gHSIy7tW0JEWPoHyCPMFOc8oI56fvWqodClVWGUIWqTuamLDon+MHR6YZD3ycc0InvW
S9I3g7G6Np0J+wJuyKI7bjc0FDdyJIyLV5xpfSwvPca1FK/zmGE4kFRTf+tNKPqPAUYkxSFgmN61
HGyGQ31gTwSl+DtIbDW/JnRUy16VNZWuREUl2MXX43PXOOVxzlvaZAMeAZcU/L1HXM7I7rwlYUB3
gc+NRREt+kPXywRjdc1bNjOvUgFeTGcOSQ8sdJokJvrrMakqHmlq9fqj99XESbjFjTRSaov/opNf
+hJwhL+4zKwoOPp6w1I8RgPr3LxDwwILKu0WJgOJXeWPdj3pDn1+3jmwTdaFLu45elW+jRr9DWYE
ZQenAQY6vvubIBuHXZzoMZz5PEVK95lDYuC8tCEEsCnCVYdclUf69iVfo2rAVDj/uwQ3OyjJKJxe
osgz0beBqRjeu96opzfPS6PA4Jij61+9lOYqCeTmDIw0k+flpUQSy2UAnfhMzpren2CY2wNFIZs1
e9fb13qlbYeTBHTsW7aL6Bdb7t+mUkQXdoWOSvg82SVmZqglSsFKdPFb5TVM2hKD4e1CjFD+2FeO
C/WjJyEgKNZSCfpuUAg92QhpefXe87wz/5h9VITP6BLJdzvOBLgGIz+9/fF/eyrod6ADhRYELkz2
TP3nv2D7UxuVKiYM4ZHAx4nPwQGl20IOV1qoty/125qzAYZxQveYBGH+8xrvpoxKRUUB9Rgmgd3P
h2iGLHtvLb5+RbwoRpL1hy/3eoQCx8nCs124XNMVv9G52qazgxj8/lE6id6j1MTLdtOn7OzvYhHq
MysKqfcpJmZ+fiqEb7bX7Hale3z7u7++zUxNXVfPMhiTupb1ekVqYyhk7rH9ACZB6zgnCShVAN+H
HfDtK72+y8JFUcwg1vS5GuDYq5lbTmEY2FZmPfSEpeeXSha6NU8zOrUDIkJdNb59wZdqYYYmKI+B
nRnyukz4gI9eriCVoXwki6t9aMmFYQW1uFGzzbEpzjzXqG2KCa5FGs9JuPZzN+FkfPsDfE9U+HWC
Q6mFEZ1pY9mg5Qu2ePkJ6BKTwpJ+9YDsYI6rLbOsJd+CeiRhRu6XLlsGqOCceR7eRTz0H6C4gWcu
7UXpYTiQHMfnm1NCQuMeAf3PvMW1E9p0C0sRVBwJXT7WARFOtoJ6gbYuV+zW/ujqwxJrqxopThKZ
2mgZA1GNvyofWcAXCwYKpPMhB6LbBhTzQh1TRssBeZ0Ec3OZDhoNm4XR4ssFjJw2+jiHR0Ft43e2
PuKh5ko+lv8M0HeU9uyaRHvroikjcEIfr8LSxXKUlRk7idlBL9MuYlkLMimGadAgC8qU/Ozt2//b
gvMdaFEezOZQ4NP5emn3dBaJYS7zpzppbGrWWCrdAoWL0hXAD8j67Uu+JFOz5NhqSYPT9qhwAX7j
EjMow2+wC8ZPhKVrjLFPQy+/dAkAybE96kw+wcopwp4marIiXRQaRak/zdsf4/U3J0LPMdk5NY+T
d+77+PuXvbPymmrkWSaf8hr48wwVjSrvRD6K9kJ06g/86dc7CKRU7EhAijw7YF7pvlrknmXGaSK7
7mFoZLbcY66sl0WWSV1Zvf29XnlY6N8ewEgNTCxyORfwAnj5QsXjZBZFNYg7vOIQxkbAlyrexcCo
dLppNnI6rBh4l/zHB7BhXU6uHd7TrLkYM0tgXSAYWh49v5cjkhBwhMXRhXoa06HgXcpbkdQZ0Xlr
ZzI0DBAor+YlHBCOsIZhY/G3tWKCL2eQIeMc4tjQkyJrKPV+TUOASe6R2Kt0hkZem7Fz+fZNeHW/
uQdYU9sm7yl+K79PTF03ViFhmtNdX2b6ZI5qRhVwrnA3We7fvpQ2Ff51BK2fKZuXB+GCiB/20Vd7
9lhjUyctJzoFDiIfrtWjYbjKh0aX+j1bPVvQ8+y9gKTDXagwB2Bx//ipHXqNEBgj2fIfXcfXeCa9
oGSnEyWRP+PRyLPeWC46XlWiitH65ON+tnsapm1eRbTH6cKmNux+DP6YFukhklFkgndnCcyFPxvq
Uj/wxc24ivF9Ou4/QxODBQKqNoZOVGL8aFG1jCt/YOOvN6qF609n9DxC441k7SIs1M1zFIFy2KvZ
KkcgkLdvafDy8RHCQwAPZHEISy5nIdqLl0u44RvAgpXRF5Iw/Y8ZqdAkxDEePXh5IB0w/oTQS2cK
yc1Mi2gjHcI+sE8r7oc4hThaBX3F0DS2yUmdddBEopq7iP61uymmDq17EgzwLLHtKxm1fRmk08mV
1xrJvGaW410PblSfJxhPXnIiJQvdejLkG6PL7A8Lc+ThLGqRphFBEZrOBtQwvzcWQ9EckAYxrruw
xWlSVfnOKQz70p/bYaPk3GyZiRf3SEGds6IQTAkyqYDz6nxkhKfws4A14Z7PBAqmRIY2prWxZeuf
BOfzo0xqyyWZ0UuAMGKsi8khrU6jb/f3qY0NwCowDbSTBrjdJxyTu6+FIdv3nkOeDthUf8imPtsx
Jpgl5FSGy2vYiKmx6p1yOCtweVDYfgLYYCfwoQ88D9Qca9+NQg98Wkgq3FB+6tRO6Ptr0zNvUYGb
n8Wsugcs7B3M7d1+nUwenh9+lyK7ndPzt1fEy82aBcFYmc3MpVRwBIXCqwVRA//4UNjx1PTN6SYU
UUXyTVErrAJa07t7+2IvX+jni/kQ5fQxTw33uiKJFofSrg2rr57pl3CEJvMEt1N0q7LMLwfH7un/
4rq8ZUQIb/Lta/+28r9/Tbg6jGzYxF/TJnoXYxVY8uXXpqpoXO1C4qFU2uQx/+GY+P6b/lF3ff+W
jhAQD0LMzmxyiV6+YxMmMIJovwTngZp3xhYcF6uahieF5F747ypRRu/SLjIgshduKDf2INNiTyCW
t5kKBe0Lsp533aILOqtIf7/jvEVYCa6o7suS4kWoqpSYQ1rOrTlkFQJaO7iogGdvBzGLD2FGn4o3
o2Xi6pfH13YZso4Nv/RAb3JmcdYYAqy14fw1q2PFKKFvd1bsmo/kztnrhef3h1roFQmPW6LLAMog
7ovNGf26JLAMv5scSPVf8eXg5iepneztOisO0zI9EiBKwqERTpsex2Uiv1vDO8DxRfXw9hJw9Z1/
8WR8TdbUfBAL4hiqrpdPxsqjkvFBQoAugvYcOK3N8WlBx7MhIGFRm8Epp4NfKvwSU0OWTHvq8oBY
NbwcpEfGKsIG43qxYueAQQ/AWQt9uCT5FwPW3LhM58q/mAkSxXnNPoGBFtdYqBdUrAzG5vWiJsYu
hNpFa1+G/jvKxgH/BSf9NntZemX7OEbnIMWHNK7ldemqQgcrdP3nuUj6OxPPqlujQryAdbk17myh
4FbbpKCdRsKesnXSIPlEp2mFqwEvuIL5dZMxCOFMfO+4RnCRJrPzwQLVjlYMHRC3vn1z9b17fW8x
GNQeX3Sz/mu1XA8kzHP3o68NqfdXRmNn9zK1Z5jaqOjQN2vG+NtXtF4SX1lVPjUvrFv4SJj4QVd7
9ThNUSALltkTRiDOGbAZYqSon41zgMpsxyBCsdO7cftV2mZxn8aTukCJad4aQ2jv3v4s3u9Li1KT
7VOQggET9zUZsB1Lt8Pss3qKJwYM9O119FC3C04hTUlsZUPKMghHWWOYoVywwk2WeFjhaBNEcJIw
xIXYwGWwrVEApIqwRKBfIPTK6JLL3Eu7Q2Pb05XXJ/ExxmrKWdV+KMZVNxN0A8Jplj2+JEG9hmuO
Rt/gtuyyXBmX6J7wYQDKMC68Lplv5mnkOMvcVOJEwOm9xmc0vygZ81JR2iVChqIpKiglY8YMl6Hn
vYsufEst0r1XYqqOSVnY7aolxwit4sS4aO2B+t3YYYrHiQ+jbmKiyVxJEQoQrzu4D5ejxCFoVafS
g1cbiNo6Qk4hs9L0YvFBtXX6Ec2N+ubgtgjUM+Be86eV8vvTcegTYFxDmOP5vN6SbcEkNJ/G/Cnw
wAdw4SM+CZbHzNSQR0ZP5X9duj5CbmN8nocMXycMsfAYeXuR/N2CDTQFmaMvCBEVvlqwMKU6wn78
4ilCAdZvvj8Qb+mT4iItSBs3lyE8NW3VY42cRFsZRtOnJGgJZUpIGTr94cP8zQtLOgfYMlsHXMvX
jN2FTKmBhLbsKfZN7z2GMt07LJqMjQ+we8652F/1RaPOpFOVRwIjrEtVYRW48gt0C6mfBBCSq3G4
SI3e/gZzvnHx4k7z93/4lL+VDD7CPBtpnoAzTVP56pYNGJqVYeP0T6DeTXxHZeHi8yCcedV35nAl
vCFnptQtXoA1s1t/SxbTz3XegRz3tl93925YxBemP+Z3oiUSfN1zCuzarC243XHmr52Gce/zg/63
AeBplk//85//NGoSMrSWuv5zocXV0/gfh0fiGpK0ffpVb/HjX/4QXPjmX/+ntxVUrD8Ut4gtXJ1M
E5hQS8BVtBj3pw2g+xf4HrzYEDDAQTXKWfFDbeGIvzwwgoCXDmISdci/ZAP4sowEpoe7D8AB1mDy
KYA3Xp45Dv6icRP4yyGv3GQNKY24Ay++/+Wm3Dyfmv9R9eUNacKq+5//fFmU/7hIiN6EJs3nP+Ll
RRThaBKqPVpe0g9R63UkgiNlWsvcUdu3L/USC36+FAMq0CIHaPQ3kLAucd3OYns5TAO+RilR2efU
cLiL12x/WjVyKK3W2MPJcVaEQdV/uPxvt5NRBB8iZFzAa86M+OU3FcUSuJpxdWAvOQmy8eAL/KHq
e7nP8cv1JUAtfKBQytDvJ/cvcFQLd4bixGqYrI4nAJn7LrTqdS8IgzOX5unt28lBxSf+Rx30/XJw
wgJX+wkHSPp10fLL5ey4cTxoad3BGe3mLM5LC8JlCA6Wu1F5VgzOnRONDUFfcaPMlUsVXGInFeK9
Tb4AUQIdYVqQKpEvrpIsyI/9iAPHeqiHsKE9LxAldzAZqpVoLEn0UBKu2iwUR4I37M8iG/cxE8Zv
lRPQ67bKFPezZsgZc0gCY25U9lXS9OHGTnJ70+Nlcz9nUXuRejHSRZyj22TjNJjKIJ2IP6SzD5+m
bO1bEurda5fG+x02X9iW0EaR2KPiq36oLBSJGPkQPdhAqHWb3dAvyzEP4ss+M4adXZbfKIje1anz
xVuCW477EkehoDyT5vQQa9l0WGbe1nD5naVNzGcul2afNy7cjsrakM0+PmG01BwxVbyWs2dsMNNo
maaX/XasR+9qmux8HRpedCZi+943rOgsS1ICyzocLtJheLI9IzxNUFg2s4Vl5hI28Ul5DsGtAY4u
4RBjXx9DriGD+rCAemwzc0ouK3Jfsc0GqQ3m8dyNTS9HMmmoeR0z/wyPCioOJryUYafGx1Q4QbhB
dZNivQ9L2jyvJKFzu2pqW++Ottf4kORDe03eBL8nmCZxQnownCNL7A+05zgytsCkPFWdTFg27WWN
NmgrqibflSMxavAaspumRhxLdWLBruvFDjdQ8x6GQ7CZh2ZaA/qJ/lOfmg0uK+Q8XhiLH5/SpFm2
pFNYq0hTQZIGpg9BMlZ4XCDwXkRR0t7KBWO/su0uonC2PzVLoE64ceaHxkisS00BPgDn1Ktm8VL8
CqtpX5X2pyRvcWbJ054YPd+eDvSo4S0lHfY0wCuXS2zUNz2u9aLr50tm7hK/fDTpOxCe5lPtaapn
6kFLtCYXnlPo9OdppEG+JfGoL7odLE6sTCIFuQ/bmIesz5Mj/+zDNMRnyNXIspPjrZzzuwz/pZUB
pXnvlNVwDgqTr9Jk6OiY4/HWiEZrL+zUPNAPF4eZ6PSjC7B4PtcI3xFDufU1FXogWNFoH7QfoHlL
VNX82Bmk9xW8NBdDnBnnKvbE3p4I1vXgk1BDlwBRedT4m8bEn5OmyiYhITQM2IO4QUGBS+YzrW/7
FOSqIjsG9X8cReP5lGUZ9kz9CNPHSPbdgH66zEuDsFT06U7UT3C68nBle8V4tojEupgY6e6izAvv
MRHM1mWeVhvPTx7tyP4QWsu8Bfs136Uwxw5isB+wMriANxm/h1DkEGTAnbZT0hGIsV8PEQzgxTHU
JhqB3hp4C8SjZbDvGnmbNUhOq2b5msaApRCFifQNong4Rkbcby3DvMUOa4dEOz5kBl50dUiVteT8
2jjymruWPh9WSTfi6Yc+aQdRzn4kizjHo0mik592jYztk+vKcF0RflMdSejsbnpD2o/s28ExLUdc
TK0E4JyZ3DaBMwAL0JHLVVTkSkDekfNdTeEOI8tdjtYUjisp3E9tPXYrgdveasQ8E5fRSGyYHl/E
QbVPOABW5WDSvscxYE9RWtVVVwbHAiBfh2+tRETMYxy0Z04bGJtlMfDZyo3gMo7yp2gi0mZpuq3f
k+GGyFJ+znrycgE2y3CFWX6AedbsXadzNl3QaxVHrxTtwcaMa1OPy/ixnkYbvIMIlpUZZuQ3UOhX
yI+rKfsWwnbTHbl5igD7bu0l8zZ2AcnQKsqMhsktyCEAkd3Cye94T7zpa1nOxjUdNRSzriKC2c/u
8f2sDmgsa9jubdGvLWdy1pnD7lEETYEBlO9g9Jti9mkz/r8uMUSCrmJ6UDj8L0zwY7QqmN3D5HWz
Y5AFPlSqydpXblpuWwptRNRzehBar295YXLo05rArKl3D65y3WuPed8hMYiMDlxCstN5X8wJtx8o
4g6gibQY8JgdN6k4MXW21pT6eNwbKhfvnQYG5ViWH9ScOw+QapIrr/WWD11lA96mzAYzOGBXvSXV
Dgs4Vt7sZwcnL9oVdhPGhsPzW0U2BY4dLVReEpPIQ8Vkc8hs9gwiTn3vXFnlLDDGLLr+ua74d5H/
hyKfpHXq1X9e4/9vm9I1P/5a3T//k59qahPLbpafzSjiuVb/vwLfsrDbwWsHq224MNT3FL4/8+R9
LHX4Vz8rf90W/CjwbeTUglqcX6eVcXhM/b///jL9V/xU/yi1u1c//1p6g0S/LOBMqBh8LmLkhcnn
gbzysoArG78jXM0bL4gWh3TPDG6E6Am32/Vq87yWQyBwEG18tfT7XJRFaX5QwM0WIyNZdhSxjqKY
0/wbsS1oNOXIbj/gAB28TyGd49Ox7rMKdtRajpNT7Rx7xKMez4qZTXUc4UAxlBHlcGx7prO8+Ivq
KyUvq2LOMMMeUuYuYSCrCzfKpjNQo8E8Zqk3X85OFJ3QjUlQY++j0dXDfsQcmlpgCjck7sqLTJNc
yQbEYsB1c3FKCPKu1mmCBwRV2Ih5PmhDuKVwJc2vaBeKTa8gUGHJB7LOpACYoZ8ZLlMzgaYnEg1B
toOO6yO7xSz2uNAVewjLRbAhRyhlL4wb/4rUqQEp1UweX2MYnJGenNVetfnQM0tjSpqQFXGQjH52
2dL68Pbg7ONA52RkI5VDRDq5G1WfUHdAqvbgye8ZT6hN0pFlA/Q1C2xK4nmBhkD5nLnN8FG1znwf
Lbz/8IMbHC3hdU2UFq3LF3UisxcfYXTig+paxb4TBHUTrY2BXiwbC+5uezEiDJUb4MdxazKTo47M
R/foIdq4ZxOfLgBfw24Pe6RRu6RrTWIiWer4tvezedtQ4Qn8JMq9rYoIYM+d4EFkCpPOLssMzILK
wV8FntPWG7N3GHd5Q3loajyIkdf3wU6M47gdVVavy1gM6O2EMrnRMebZa82q+uZHqfm4uBaOFC5v
I1UIbuVm5cyPpYWR2S5sS3dPnL18b1V4s0N8Lz6i3dOO4gwl12R8qUMxJLG5Ea1/zZlCgKEAcWqR
KpGPA22ERWNN1rAFSG5IcounLZTW8HpyG4lFTAt/vnFiDIWjyV/VdpkjS7BduXKTHmeZzKiPOEqK
oyp9YhbwzH/gbWgZH0K6/ow4lWijuVNDjqNtI05E0/THsS39nSiYm2BYGXXvA2f4YiIB2gwzfBD8
pmeihIs5PQIo2uV6jlGyrWOyNy5Kj7lfnrjBJ+3QtEcSSE/uApjRPAwiXnWYjdibLmpOLkqZq4ax
7edCldGmb+L5vmfqe4gWXE7WhsEJvZIGgdGDNLrruZ6qq8YlHAib5YwcNJRuEYa/nPkWYa93Hh0c
8o+QMiZM4w8KFx/srVVUvMsdKdbId+R+UCUM8YB16EcOXihObt7Cxu/XM5qHcFdXDiBu4MLcP5cy
yNAWKXlNsRDuOs8snqiS5iPmUfV6Shoar2kOV1WkvpBL52zsmVRtbD/RshUAyLUjHqFmfiD7ycVP
PGaeEg60dBR5gOAx0XCySWTv3YwdNS6XzV2vn9t/Q1/Pecl/OBU5l+j0//mpuHkqHsfHl6DX87/5
iXnhGUdgK6xMuJNwprWVyE/cy/0LBpfnggQBXXv66Pt5KoZ/cbQIJlSM1VCz6/ibn6ci9nRQF13E
m6jotTvcv3IsQt58eSyCZLgak2N+hukCR/OrqWaeDQlgf9gciO1LPrIBV3IDD5uNesK+hhiWtlQ7
2cw3RY3UaK39wfHIo9CPTEYRQ1rhrGQv1scI91oG3hXGvsxixqdJ0dIH/PJ1ENk5kJO6qSC/rjj9
HrBZxlWTV3RXxey3+CTHW1yLPLoSx08PUem67zM1VhcTBuFXReYqXqbeXA4+Ml5HU77aM8Y2+aav
I2puaumVSjAGxQ2uPZ8QIqHKsilGJzfbj3w4OozWk0d/SaMj8lb1rgpj7GK79CHzG+NjWpQGQTU4
PDvNVO17Ii22EhnmSgadvF4m+CXl1N2S1PjVNXK+JFoywpfFrSNIQwuJq96QrGusMkKt9ih/vsmW
upy+QCFEgUyydSWbuWgUQsWFqyeDuPVQ865SX13i9I70UIjb1ApO2FZdWuitVgnTvbFZaBEhD6+K
vCJcMRj1/2BZMJcXTiA/QmVFVmepCVOn+CEk2tFrSEArbPs2n/OHxh2wQK1rvPaN5RMWHuZGQnwg
HU/2OzCiAfvSas0SPE02+ZQ+x0gekVU3APh4Lr+aSps+ZfHNa5KXjR37Om5GXVjc13Pv3AMfVHu7
KlDFxZG9g7g2UUTA6UjM8lu3yBvTw+4+Ig1OwbJ+rJHRnrBpIjE5jYgxtWWxHQMhb4oR0WmwBOyW
qrmekQJ8dPLg5HV4lJMthT6pm2MEIrm/XRglHMLGC7ZUInfFIo1mRZV1h7Grhg7qzl/7sfbPC6P+
i2EycVn7jWnfKrzersq0SazNiAw+oG0FOymS6r1tWCSothymWOzb70gvYYMOImz5bDxTI96cVYYk
fZPAP8QAYGrCfYuMID/G0gIgS2difQFhocsPXn0lCOQ7h7ilkAgSC3HnQ5w/d0rPfHD44psO1791
mWYi5QDL63pnBW3UrkjBMM9RuLrqWGcmxmFo2udvRkUi0j5o6zr6Nof+eFmIlhkxqY75tiBmikqU
MZwsM+t5MvPv9ucPGz2zKMEu+893+vuntqwr9Wv/8+Pf/NzpLYxDbfYYm6kWGL8+OH7u9PZfEI4Z
QZJ95JnA4f9ogBzOB4vCX8+XoSLa/j8aICYczMFpWRwXeosJle1f2epfQfKCoQNFos8n5CLwJfSf
/wJgBwjYFrIRUekGjPvKJME8HHXOc53wou/6tc96OdcDJvcsqE0EFuMtQwn9eq4X9UMjbGDXA70Q
GPJAW7bC5Lx+qNQw3ZRQ5o/F0uhIwkX9KXdPP6+XGD0XdwGUUHkg4+Rmv/yKCaNpQOMgPMRIW/Od
33bjZpgsruua+bvMEvVjjO01io8qpXRc5vRpMggj3QJP2DRG1kJ8DYHRakCvYDdGc9ajSL/ukP8a
hJNFmMeguN52cbxc9p0fvaNGHTe/LKofjeuvN/BvvwQcY5ykOJpZSK8mUWbrUAirJTyQ8im2k1Mv
u9IgLyL1x/musc1hHVm5b2+Nki3cwrrl04ifDk78MWmxmENON14lppu6CwLktMQfhmGy7IYgL44T
6mx8LEdCqtNekTy/wAczStxN3/4OLNnfngOFDS076hcUCa9qig7GVz/7Y3hIbTlioUD2D93jvPeR
oL19pd+GQDxxIALUGQGuWzT3L5+4O1hdKYGjDgON6gGaNA8PrdhZq+zm1nQJ93n7eq9eou/LG9ZA
oLlmLLLXTDdhdVVVGuQKwZtsb9lRaOP7+E8hg39z/zSfCZIsVlgwq17dv7BluyCiIji0gsDOgLsm
4WEc8i44vf11vjv8vphqMVuFNcrGpPeF3zaFLLZEOLIGDwLp+3HxO9DZkDUzk2CzwT6/xeYSQ3JC
blT+bh7c4EIWXr5xMit6l/TVck6p1ty2jG/IaBwYd0hL80kHi8ljDF57VhfVvE9Zm3fEz1eYmCwm
QRxxNoKlODEXmaQGIAORHmjYuw+jt6SHt7+k/Z3s+OJbMtSFGM+MWU9dGRq/XCWRiAjlWNrpMGoE
sdRYIiZQ3dHQ+GKtkUYiB75NRQv2qFFIFm92AKvtd8N3jFKjlfI7cKmAMBuvMj9YmMBfueHsPPga
6XSBPFtrFO8tXDKIVUIvvMaprTgJMw93yQKwrzRySiqD2FQaTc3jnZUhD2U7I8hAI65xD1930Cgs
p0tyKEG7t3bspQcDDIkYJHDbRDjWvrPr4NRqVDcziDusrCYhuSaOviQcPOuyy+Mj0DpYNoHCqGg1
TowFBETEyHO3chDO2nNkv/Z6D2hZ4Vt/yNs6v1cAz4VGoCuNRcNfnL/OZIxhGAhSHefK3ruRA3yd
eQllZ45MH2dWh67XNk+y7zBjjRNKXyuBKZSbIZB42OKCi1DeRF1ItPtHP6jyja9xdOb9xTHT2DrZ
V941asZgo4K0YjiCa8Q1s6jmc5UVgFNA9BhGQIMDtDc0em9UhbFx4jTeGn57VpZEHxWe1WxzER6n
wcCfJJLM7ieYR6tYzwgMv8KWICOkhulBXWRyDc/N0NIzsHfmXW7ijStnSswjQ10qaz2LML6PJazS
XK6s3mBYQV0qgIwKMir1LEPUYXDsF8d+bCOvuwH/76ojYE64BmUk1tVB4chkpNUzkh6G12Ot5yZ5
IgwoyhN5gLWo2rtq7vp1DX+JR0O6WafnLyODmCSxb0XEHJS9bTgqBM0rOGMEYbSJ+EpCX7lpPUve
zm1xiWkRaSl64jPERb/p9RQoKVW/bk3zDNdbfJFjxyHVe4rfV1l8SfzEQ6LnSehezXeRnjFlrfdh
VvmjIEdnM7Zdtjb0REq5ER60bWtd+FM/nlV6clUPC8idSS5GrxOslJ5w+XrWFeipl4XeZ43gaDo3
9Ewsx+NpPes5maEnZlLPzhLGDWtm1ICFSLzBQDmMSLlbVE7saeAxfBtT0oP1RK7FlebcXer6Qul5
XTu582M2diYJ4p0fkHaqR3umyGjQvg/8rM5i9oepxREFbXGw9GTQp+vYe0Q6mDlzA7Hk/VbQARCw
l2BcqZJoPZlZ9aUdnPgjKQ79V/xx5o/20I5nZRAMx3wgc4J8YOeiNQ0AMpWDE4G1HXui1a6NOSdK
o5hnaPNm5nfWsUpDfyFGrfEIjzfjkmSlZbpzBrPagRonRzOP5ZbUH+Y4c09uEC3w3kJWc5FOOEpU
ZknKTc2PWdXnZI95U3MWStpcr+7nveEBEDedmTMxHOZvg2rH+gq6fbGJJEUBClCT0AyRb6Qog00a
c3JYGE7joNjLrTmMYss3bs98TwkG3nOOI5g5ny/K7D4s4ehcC17Uq5kpc7/JI6LCVybuGkSVteMm
LOi9yQxqvyQ+EeNIV/x7RvHVRQXgfzJM6ouilsk1nlhUJwMlH5lo0AjjMOPTAbZDkbSAzSeG7e9I
MGo+4oOWb3JzGfG3oC7Egpj5Um7Zx9FhMi6J37nH3bM4NqnbfUU/bB6KzGHvafmSDBuXS7js0dkS
0mLOsy2v8OuKzvyOdnEeoQutPTQGmwy3l23YDnxzlNDXxDSNm//P3pktt41kXfeJ4EBiSuDyJzhT
pEQNtuQbhCyXMM9DAnj6b0E1ud1/V3XfV0SHu6osiRSRSOQ5Z++17d40NnU3GxvLtsLbGZRDS27T
zPcYXtZ+CWm7+H0DlFhhC9B3w9DxK2kOuSydKefQ79KEoEcATreCjcGfF4RG1Rnznj5sBjuvD46c
VWxy2hwUu27WHAeH9SrMaHrnDDx8joeGfb006iNMjyFbcbYxdkKHxgwl1T4hpNDuJ16AaGoSppC8
SZr2kKXtr8SRN2DsMWfc60DhSWMK+/tGJ++9kZF4RrxyalOR7PCilLs2oV2z4rxonuwRFErNpiCa
3rwMZm1tq6geyVY3HJ+40WhbmgE0pKJ/FIGGf7vr4pVNZ3xDjv1dExQe0VZROOyaapiiHR+/TN8a
y62jm6bN64HVbMOEGYt+WnV5o4MJMxhVe/RxKnbWiTF+4RpWdBkVhNT5V+/LPwXr3xSsCNY47f7n
ehWWUfHLWxe/9d2PNeuv3/Znybro7ehLGiZNdBRVP5aseF2lDi8UB/uvfcvfRXnGJ4pRSHj4yHkT
/MMf3UlL/0QXkZYm0bwfs77/LQbjJ68rL7IU1IaOf1oAfdR/riRsYwLQCmlnXxahYMeKs00EYAK7
efc8Oek3F6PEqqKW3BT96Plgt9vVOE7p0RVp5eud++hS+RxhOaXnsc9uBpddRGrOxQDNtcp0jZDW
hIkDHS16/BxoGdvl+rpeun8RaKxt5Wmw53Dp+eiyrxVgujVDMoA2lptuRC3HVSh4TQ0ihp9geqE5
WutrMKfPQ+Y99kC72K9KDN928s3RKh1KHV+e8vzwmeE1h2pongW5hDhwB4Kw8OFu8kB+xtx2z1n1
29Dw8mAqnrMyfsfUAaC/lLFPzXUlMwhxRMHv41Rjt9Gb+tkBvgmqjHgEpfHrFSGmkjGn8Tdo5AI2
7oEGZbcJWj4apAGoS3IMbkn6jo90XDkOHyVEj3at1/zQbOAjsIgP4FfgY0DFkcckXgUNXzWQ0+pj
AtM2UUAF1MNw2ScW6RZlxuPIqR3+NrWuyu27zfKdicVzKPZQlsyGQ7buxEdQZSaN0U7M17DMrmSR
Dpus5SUzGAAn26IxUSi26r7mDZkVNQey3qe09cZVANFw7ZXF+1TUJfr5xuChzPMM1hljIWTBb0Gm
CT4H7xEybLf5aFK2iLcYSIKcszoKYww8ho/Arn0M3CAlx8MJGJ9l87aaedQpl0/PRG+0VrY8uEJ7
/FgkcT0hybLqdl1J1oGYzGs+uOjZdO9R0V8hhZA/ct2+DjFvKkxS62BqSzIcnJh1GebjUXo8fYdq
WUUdX8vs+xITSQZpi8pLLt1yJ3BGPiYWFmNiGKu2fWE9v8NYMVeUhe4qU/E3ek1c+5l/SwIcH4PQ
OLp1LtBW8Dp+nvMpkewHb1RW85kztOc3bfP8cb1zxDNATFlWneL3Bf3mcYajZV7WNQx+x82Ougjf
uclZ1Q5f6xLg5ruSpYLcEYJk3U1PWcS/QtD5ZgreCHeeuxookC49HxfT1cdp5sqrmvtEShUcybua
z5Hk7vBk+yyhX8OA5Aq7PYvJ5W78+DAKihZfaXxplebfclJYNoEu6yP8WXtjBSzaLG2D40QO533e
co5HC56sOMqALAfhtAV6Z2watFHrvLH4SJEGbVQYtSe31cYdZ0owbXUQ+x9P/1RyU3JWuCGrulgV
fckqIwsAm1+RnulL62tTZyNggJFtaK9nG537hEyR+DpE9uXj9kLUyFNfkEU2WkzGe2bRq7JPyhWm
jXZtQa45hpFe7EbdTDfAsbgNU5wcH9cWI8fCiSFPlKM/WwhLoKhqzzcVn83HKucZO29hJXm7NqTn
O8Gk2jKyztaA6ShhlgWwrHBu8WtszbTiJ7Yxb+D+tmZv3n9c5q5HpNQ1LKMxNbrNQNX+CvtZ29sR
vyrHKsyNvdD2gWeye9nxt3jiH5RI30PYS5xPuXt0wOV+bnaebxRIMPWmL244FowXeySgWCXfwPVN
FFlMa8g1XJrT3BHgAEl5tLlPiUgXN5MkUVM6LDIEhsWN1hInNwNpZO/NgUyyOYi5WMWjtYML0oIt
HPlhgrOk1ZokHna6uYYZxenXaJuDcpjHyAJp5hjnOpE2Nr0wFM30/gWbm+LSfQDNgt64RpR6kH9o
QVQdmwn8p8EnEgdqwMBbgLXLXQQwbp/jXtnnMjN/3ZsMj87bx007xM7gayHjIdFFd2hZOdzY1tWY
lpygQHNXNjHPPHYUi6keK6a7MdcPjSeCTJ35lWONl16m72hv+Ggm7oCPz5ruMcffnB/ZC66rVSAt
sMauXWuuzRZo2TV+DC24M8TMoL2keHeD+r2W/Oe8T0DGcrAKY/YTS8virWiaN+ysNq4iBvxlLT8T
dFpuUi2601R/ITEyWZlk8xyneCSNQ8vaTKyZEesb3PvkeRSjRizFnM1fU5uw8hXnVZI4PVe02mqe
mwT9cTmuRZV4ZOvoxqMdptkaHkGVnCc4p0cwX1xCUw9Q2wahsHqUtky1ozLu7kjdg3UCTDgL5RYu
FoqRKe30DRPvpt3MVlRxWK9r7VgF/avWleV3UqLerFgvSR43x/TdrU2NiAK4TnOLU3hU+66glvby
FI7kqsGQ5lcJZ848sQZtHfIoWhvCDc5Q4GZtm5nQni5EgruSaT7ivj18v057Bq86+BGhT9lNEHkm
DKgmE0jnJuLmLuQQG2gvyQbR7gvExEcYl3/TeFv6kv/SkZKL6ZsZL74kADE/9xEzTzNmq2x68smn
aYef7B0qMzPRwn2EqAqSt+Ous+K/xff8W790eV1L4GcDXSJN/efO4sTI0uuqfi/Ux2bHPWjG6fdC
4ZUhjOBvurP/1sdcXk06eLMAztPp/+nVZhVqFkqkfp9NLJDlJOClgbYhE1Bffxxt/ykC/qYIYGTk
cmb/z1XAofgev/6k2vv1e34rAVzrExa6xWa5BJZ8jJ9+G1q57ifd9TzmWZQAi2iPy/t7BSA+Sduj
OFh85iwo1/qjAjDlJ8lfLN9GJUAF8T/J9ixmXD/dKQIKCD+NeRprlhPOv/ZuewPP0Qwt9xCY87g2
6yx7tZOALQVBvIHleCaPGdXRNAM30wblpyHPeQcO1RkPD+BVIXC+B3o8fJe9yG9n0tm+enrC5DYE
W0eAUq/l67EMum1ezMXX3A7MA44k47aJldOtkqExz/TG3ZldPgd4xgDc2cWO+4ACJ7tvxn641YfX
vGxovLURbdRBb15QuZKnMg9ZMeP9rcZXJsv5iE5MQ8+mmaAQ16NHtiigdxmmm8qp02+RltJYM5uc
LXqift6UBrIosB9juwqgu5yJ8WXQjudlJne5MVxrk5XUT35jeglzajcxdzWjnmg1RkF0Yya4FzZA
s2OJKjlzTD/V0vKtaqvqpexobPYo9/zezFqyy1r15uZD8WJ1sZ35CB3A/aq0vk5VEr4akWFAVDLK
VV7TEe85Tji9oftj7CqQy2N5Z0M59tBoI71YTbmSO/Kc0otrwkq2MpND9dStp7Y8cBjsw1WdIlcv
+mblWKDgjVjeCU6oxiox87eRRxMT8dy9IyeEXGL0KA/oodo1tQeoRTWZiLoqQZNaI7Pb7kK5Jhux
P7kQh4LDTA/wOMDMhgcU2h5GBLuWN66eG4WPXYhwprzqH3qLJmnSCzWv+nQQz7FMg+dOQ05YKbve
oNjUbtRsJCs4SQ5cvMny1RjMN3Mo+i+A2DE82NhnbhSwpxNR08M77ANIvyFomBTXLxnjg1VkG85z
QIsL5RGWLYQczpk2NgiYSSV7rZdAt7Ada3vHcxw/BBaf9muSZHSYVVDXFak9ZohixivEngdLfB9V
qfnFCPP46s02rwYmpXkQtHi3fR1ZJ2GAMl1FfRntNbML29VUVmujG2o6ygL8V5RjXkYi+qIVYXPk
bOv9oholm62j57iOBecDAgbr2rv3iK6CydGFpfaMg8y5iywSCGhlgS1deajf3izAi0C+aeZuQp0D
ikcZ59fo7x+5jumTEm10J8ekPbdiio6yMdCeilLVNxTOiCmdKczXLNfyEYy8fhs2UMjXWs3fizK0
zvVg9SVw9by6JLhTYlC7OXf580i0hIUWhjQGi49nxE5YETwX6/xfWYgFk8N8c0qc+wVQrmc3UItH
WMVGC9l2n6tekQo368H9pAZzOkZ2lOxr5dwJN6FnasnZN804XE0QOR/GjLsHY0OfvRAlNqG1gCC7
lr3ltX5aGaVfQLx96KF4VKspFp2/aFz8qIj1i1Xl401nO9HOqkGetGVL4iAVxAYILQ4hs2cpcr/c
B+2IYxkfU/Y0BsokSbHv9OROgmzLvDUDnF5/sOZW5YzgJLEMqEtqba/65rMFOu+qMeYmXLEx1cFs
hiMoZedcQs3a5Sjw1xkBELuqz6drXboGYO+sprS3w4M7tdlVNWZzn6lk9K00ibeB6WUbCsV8jcN5
lQcwKRgpXaiVMbZ39IG7+GZIjgRJ85NMrd71MgDxHBsvDqHNpAdoxyTBZgMtGnm0oJCCh+6PdWt9
jlBFHIK2KX3BxwKQ021vY9168foqXKvZ9DYAALVzMouAtHp2ayx9XwrRVZwjAy7y9L1pcf7MfIZB
p58g6nWTDxVGJ2IyehrNqIBwX3525SQPuVu9EdiRbcbYuIeM7q0DIuxCs7l1VJLcdXXxTAA08eHT
iUOXvs318mFYcKn5KIFm6ghRdZUOa6OApktNW7l7uqrEBDrMxPqhrSUBAc65jkV7bEjL7JIACa/n
DriQBmstWs6OK1gs+lqiCDs2obRifr1qfiFkuz1zcrW2jhIUHL11crjaN3rYMMLQ+uJeH+nYYj7C
6sTxFJVBOV9giCcB60cMKwI0qms9Td69OTeozbBvZld6NurW8Zrvsoz0YxqH4jRjqd5oLeW2X9kj
SnTk6bATXJbfI6g/AgqFTXrLaNMRx7K+Dp1wumREkzDfEhC56Sf7mm21F8OLr2Q31twSaeQ30E0v
eZPmfoMs/mHIguBqG4G1spbUQbvUp7XJZSJfTK1TA/5gNgavUavXV6OS6s4YvfEUN6157xD7+NAr
nIKd6RxJ0it8MDvs/Jr+hYQFjIYaf0TJGNBy450aqXxT49Deu5on/bkfp605zd4W72T27rRBcZnV
pu3n/kZ1FoK/pm+tC3uMdpN0sSTbPcrrezujaK5B+57wjZu0ioxqB2s0erOyjHvLK1vaJml/zyLM
LoDLs7vEXoLCC0duYmdu19DQ7qTVWuvOSJpDPpvmXYb6Za31U3VrK/HVHhpnUwstfcg9siftToI/
IBNj2yo6QqyMKIUOMWDNEeQ9bKfYYCxJJNROVE180gbHg9Sspn3hxuPB6XhEEorgHDQqEvHPOfm/
kvEKz/5LGe//a1IaDa/tj53yX7/n92Oy94nQYkdHPmDB4eM4/Een3LNwtdOGpsqRCLXAUfxxTjad
Twh18Sgjs/39dP27jtdE9yUWzcoSwPzRRP/JzvJX9haGm/96TmYR8j/QXxJtsM075U38KO8i+sBA
nd5jgsxcUuRtjYQC5k27OYjGYxbW9p4IU5DXpVLTdxut5I2dWjXOECHUfVn2OuCFSnvNZKafU9vy
YG0H5qODPp7qvWI0G7aWvEQZd+OE7PeRB2C2SwGBH/LQEV/LKnBJBpTJEav2ppva+huQx2Q/am4T
c3oEfc5Ru5rf9CrV/Jg5NLBMulIPqHDTo1dkxSmQJrY2k4p07IpzaRs03rMgXyNyiI5iaBXz1TzP
iZ1CrGVooTxyHsVzxoDxtqzcbFdlrnfDtImmonRG4woE3LsQ1qKfBXPN82ROGtKU0qy3aPGyHWz2
8Fl4sXfh1r3DhtefA0M8zvoEv88hT6GoLU8j1rgy3wHeRJxDJqKPBUlgbIRNd+cxbV4JTLIbVNyc
0hsMDzs706vvCqsNw3N0z3Xc4J/py/SpthIH039mJTuehcnea7turSyVr3U5CYQYRv+ldOPgtut5
vndlPL/BhJ+eC4Z21zAldsyckubimMl4RWAY+6iP4i3uvv6kj079LTf7cU2Aj9xWQzbspEj5NcJx
pIlfZPuhUOyHqdV/1zwTU7KNFMerTkaBWGRhuvd4jpFtlMW6tYNznlb5QXO1Q5bKdB3WJTHGQ1Pv
6nqw35nqYlZnhz3htlY7R/eCg5FH+R1s2xmTipbQMZngYG1wPvanypqSz+EUey9ymYtjaaqOQeWo
h2pQ9aMXWPF5RpZ+ZrY/DitGr/GXoLPam6TXswertKpdziyK8oLzxd4eM0l84qJxniltzmFozVsS
DzLU3pULgyuueF4WXc0EvDWHGwd09Z3Hs/jI8IQefzJb2Vs/jtUlcBxcw2Nvnhygsbu8cuKX3pXx
c11FAiR+ZV9zMkr2YzSNF10bzJOh7HLf9GV4i+O2fUw4vjBdYUida/2hKgLFRL+wXUZLlfFCk5qz
Ap3bQwyacM/J3uKkkbbZVlnMjrNKnYxIWSzHutlr9FkhAHWvYHt1xB5jKjZGFcjX2lS/2PWYH8Kp
GlY5QS+HkhCeLUw9JhGyMD6bVvpGG7sK6VJaxgsSm8dyMOfPbctEfdYL/VpGDjMXakLtaNN4wYeD
gOoSDfDj6LY79WsbNJw76fiSS2Ka3lscuNGuGJZBDbb5JzfW4RQwx0BEkOanJOQiKo7KB6fPnDV5
HvmDNNvum+l6Q7PqUvFIdMIBI4pz5My/A4MNTN/hWQ+FIkmvMFWzezvI9s6kuqMTzMXBSvNy3VY9
py42yxc6qvFB2nnAk9Ks18BpmPngq72vWsJQZ45KvpmCwJqjKcVJaqfPko7xE+MF7Yr2ofS5oBIt
RMRBGPxNdac141ZlTn2qG4Dmvudt7S7Jd0Gr9DMM72xXZ9chCIZnPOUlcSKmuCZ6aO4L+mitnyl4
NIU+NG9mN/FOyGVS+ih3pVDjZsjQB+GhMt3nTpJSRJNrzuKVkhA1inlCYNCW6Q7xzow1arIlZ6nR
8chPV/QfgmnDxLFlxl/2y0jLG55Cqs1F7w89LsPixjYHwWzlVY1+wsRWnSdsFxshqMyMFPYoQlRz
E2cemcsO0U8eWYY+o50vqav0Q6a3+gZ7WE1xmZbfMiciy6WMvKudu86hbe0xX+Hm767xUrdKiRkA
G+Ork8hxhxDdvdNbJydoMzf1y+CiwXGDHCUn0kRnQzSB99njqXGhhRt9aVwrvsnn4SsYXGfPE3H2
p6QdLowuYpaSSm7aBKFWN2neTd5bzR2H5/qcEIzyWQvi7ILFr9qU+P23wivDNeb4amO3tfkF1KOB
Oo7fsgncchuNifEL9IP+rBCovVpmvTxcEGI9U9/GT50hEFQQAO6RcOGFeKSjlPCcUPnQI6I7IWCV
KVrxaHrq8UHv+eiLyJ7X09Sh6qWiPEH+sBNofah+yRxVLDR8dZ62NOQrvSdcJTT7XRGP3RLqVD1l
fbCLaYwzIgrmu3QwLQR2A0n2Ex2WxO+1wlrZ4bhdjBkXMYTGEeRB+lXVyHQU7S4mdzxu6VKMp5Zz
6V7ioigp/RvvJXWceJ0XSn/OgibYszMR0tkZ68lw7LsZBscbNSsar87VtgSftbdk3WYH29KCLaH3
7TWblPsU4pvfCibSDxGFMi8nA82fJs3Zmvj+Ls2EzA4Z9Js+92z/4AVnBr+jFe5GU4n1TAN7KZ9P
dqEbQ0fmYTyi5CkVwUJLBKEes6PF+nUxAfLsT5KQgTcHEZordTb5hel11zqss30ZcUvTX5YpCKe2
AcMlA7embYKTYsgiY2WNSruJjXwzuUV+NwxFuu/s/sVubMAJZctg0u1V/y3tnBdC+l71oH8ngejF
Lcf7ghGJr82KUZZZ54emkNOGIKhHgxn+sYqkfGQyaXxmRFO8od0fv5D28OIOhaOx1GOiNtNjRVCC
3h+ruq2HbocxFiDGmaNWETpMYgkP2sSk2VmbBdl7M9LyXPdq7N27uqsn4iGd4L1ncOZivVRcOBLI
DRK9BoaZQanv+olTzy6PqvIcEzRYvlRsoJy9lvi3MUi3NcVZfnQ1JPELNXbNIS89iXAqjn0Tyxd7
suuv4PfC5C6AMnmSkY2RBjVrFOyyOc3w+Y6tmks4FZ2dfHepNbUnm5QXeyOigQFsqcVpSewFgvdC
05k1MDnfDihtWxmqVTMysNex8K660PoyaobaM8GSPjiNnmKoGLceAz2/z6Jj3Fg3WKNcJIVaaa9S
4EKfNTloe84iT8XMnDRyDHnkCaI9RFoc3owSEWxYiOmCJbW+NFzN44yTq4ti9Wql3nRsPAchpqX1
O1GME1PY5bhlzka/ohvcnGLanwExXc60HmjQEp1GEGtKnOSudWydbEHrms9Ru0aLGB5mi4isPgiC
Y5Mb8bHTMQ0Jumm6FBWNJ4cOZCjrrz30DZ+wKUTJ9RBvk671Nog38MjGWblRgVUxxAWBsupIEPLp
J7j7Xq8MSLVGvrP1QH+3euLwQDZV8Rhj2DbFd6bkjvul1XtAam+9JevUfgpqa2FwgjaP82z1z7Dj
v4l7t5EF/9Wsw3/NEME0RfwvkIJfv+u3Mk4I6xOOAYuqDKLcUqz9UcYJw/oEiEDHl0ZwMI5MCsbf
xx0IngTScWj/i88aW8Of4w7YZVD/YEL9Bi/7nwRPP5EE4SjBEiHRHFwhwjxA88tE7QeTDg86eDp9
P14Qv3ibQREiuypp5ad+KtVwdTR7OiYj++NG19OOo5I1PKUWfeRV6xX1lx8+vf+PFUX8NHtZ3o2F
l2YBcuqcsR0+kR/fDaxWkiujHhxfXYhLmFISrnpZOuB8B05pwCSt/kViqoZJlbtAJ+ukATYQzK20
fOBgxXcPmfEtPyPqQXVk4gl9kyt2k2MHvxBsLMbtX7/jDxrpD3PVj3fMxJHBEyp/HdTDT+94ARg6
3tRdTICw4dohSO5pWMxKW45n7FrDNIpkHfP4Wc3sKxzKUt3c5ZhTxLoZyu770qsTfqxV9rrtYuyU
HSiZYSUbOw035IVFd8hCj3nrse8sY7DPtK1OKSbGccN0xznHTTTku7/+rf79MhAAgKfWQNYlkOn9
VNrLSQuVVmXtpegCUEEhMj6KOs5IqwrV2x2ltfdQBSJ7/uuX/Wl6y8YoOW9I9HesRf5Y3tYPa9HW
x9Cq2rC4FO4sLiKN+ktBEFHsBtHnv36ln6bhH69Eg0QH9eoIT7o/rbMKwsFcAym4uJVuvdaqpGYO
OncyVmkVbVAkZzTn9QnxTEIeY/53i2ZZFD8uGn5LJIa2QTPaWfxEP708lrkYX0YeX5ad+xXbh/2a
Zst7sOe8xRuGWn3SufQ7ldUfVXQpf+kyrz0o/B9oPExisk0IwKlPqFz+ZDaVYcINm6ZfKm2o1ro2
55KRUWlhfDDhgv76OPiPlruf0s7JwuYqLdsG7XlaUPSa/vVC6U5vF7YdaGfRB/krgbMIbmlpdBw+
6VsU4VFFcfotdL3qZpzrCP22NcY+Z2X53sl5Lv0pCgFmEob3S9yY8vtALJb8G1Q0mQo/f8pMl1lE
NNDYW7k7FyP6D8vJaSgkm6gzz9A1qsDD8MGwcjd2Cy+hG4hubMZavw4wu3oyqyNKJVHsWqOpdhmN
LT/N6vy+yoi3Qxqjwi8qycsDtIluVdl19QT9jOQGIMikvS1Mh7gz4TsESVtcVAX0oV7wDyH0PfQv
H1QIY4jyvQ1B4x6XxB3nLaaxWS/rSwdRovtgSzgLZkLEk8HeYEG/Yz7gJjcER7kvsEasY7RgKuYP
YoXSIyv3l0EdbZOFaaEWvIVYQBdzMjJ1rbuHXtegYKi8k9ugrXv6LobxiClZEXUJ3i5mvJAG3xBd
QdSIadx/7RfMRlW1xoGk6Oogai/7HkOs5r43QXPEH5SOoQbYgY8Y9ASfww5Ut3dbq3xkWNrUW/FB
+8joGob+oEK39ocFCJKTsrLuK++WrgC0ECHKbs+jxlB+seBE3E5mz2OuRyeDeLoH2+zAjkC1MtA3
5fOr6wDqo1uDmBJFW7jVxlF/JU1TvbcfLJP5g2tSfDBOxgV3Yi7gkylcGCjNgkPJOjPfF2BPGIYu
tBQ4KQPY2Q+KigyUxLa+sFWsBbNC+AzElQaBVGgtFBZlAmSJ24XNkrCSuq35wWwZTTneOOk8Z8G1
VzXheQzmEFw13xmGG8b8Ar1slPj2PZRkzMENAnc7XNR91/eVfunSDkHR0YvreTd4hEof8iaGaJ4Y
WfmgS83ErWSaCx6FliSpbzoKyznCJELSJIJ8v8tSVW+cVIVYVeBTB7fovxyJtWqSKloTCO91gJoR
oYUrFVDpKjRytrZ1tCgJbqkbTYfsNbo6LDgzbfNtkcWNt8oYhiLUheHp+FqAVdheTQFAGB/aOJ3Q
yOtVQGtDZugSCO9Ot9Qs+ey7s82OWWC26f08ajQwNpjo27s21nKCKsPYfdf6ARXfWi+Nbhdbbu9e
bOghwbEwZUf+o1+QxjZP+xaPbxNBQ4hkjnB4mOstuq0i3k6Zk097vcWi5KPSzpDfcajOdk1cx6SE
OpbxBdL6DKjbdFI0bGmua7dZomvIRXHcfkkQqeaMLr0OfWXUOfcoRk1zC2LGEKdIRS0iZhmBItqh
OK6KBx7G5jEJKce2fcU72JQdSuGNK0by/ohsrNQ5dyeWtsat0qwDQYRig0g9W0MnCPtFMMjljCXu
uFUxJ+b8CxlmHv0r3gCDz4mk4IOAvrIPkQM4KHmZv6/jMg7WM6YqmyCUpvLukkAllm/GNbPRnGwP
7QRr0NqKKght3q4nqw0j77k8RLFQ4Sb1rAg8C1+3WvrMBcsnNMF9qlj7SOfSCJGaykljDJy6xgUR
ZEyfyB0szXwk79XoL07l0Y0uvLo7233BIylsZco3eLnJpxXEkShemFsV0bFGIToycbLn+CRIh3+0
EsN+tccAQp2LVBnlSDHSqm4xWPLme0IB1xnRjq1PNB6hfnH9kinFySIJk+GhtR31rWoicz9IFQYb
N8U+j4sj4OfYWUkub9EMZBaOlWldW8jnj6LT+ApFWe3Sy54kvTEjT+J9MxoGnXvADMZtrEnvc6HX
y+JMkrqFgtdG7d04ocn29XoBVUWq4I2VLZvuiSeY95lmJas7Z5ds1q7wRhBErRcYd0nTp+m94aLq
O4wWIT3nbuyWwyf92jub5NqR4WvOS5flPA+r0cBTvdNTufzyy1tX7E+8ryoXF8su+C36mpbjaomA
n30vRYTgVxmNgWvRSG75hmH/a8jfsaeS0xDd1sKalhSqKtK53ERe9eccQS3AT72vxy3Dfd3cwO80
lk2Dm8nnN2IDGT2xnJNJevgMBsM7ukMc45CP7JR1QUD4qyJlAGhpk0z3ZjfqqHM45ibwyYo0eXB5
WuzaQheX2gvrFyRdjBQiK4qNY4nnrj8FURkO66mRteKAO5m7yuBjpQiup7c0S+27sW91RPPgP1K8
tnnY7vNAy9+Zqi57COUqJAxYHnQViZRpt5WTe180PcihlVYh8lOLbW5qVHQf4886ocJM7LVtNEbI
tgfAYIVP0vvcQIgNN5lRcJuAXTS9gwUgtf4lZ0OesGawpDZq2bE3ia3xiY40SzY8ZFR9wqKEKYms
xm7gSWuiaZFNnXxtPBDq2sQxHdNX14jvuFXxpuaLruYQK+TymzEX0exbiqH2oeKy0PRLPQcSPBau
8zjJ7CFhiL9yJQjffByYhymHi5PqokUrQZ5meS6c0brROh3xbFQX+XAKSTuOfNdu8+iRk0j7XfeW
nAu2znaxRLUKZJsa3JqnwFQ/MGUT8bMo6ZsNq5kT2PSE7Fjz+GH02OkSa2l41IJKfQPRBVAkk1gM
DtByxJWuTTDvmr4mDSaeF/IaUofEvBvp8NiX3KkYcNTYBhzShqNFJ8Hppt0gFueqKbdgRtfMMmfv
aFtyQEZzbNZDZrjNbnZrVn9qjSilpmCin01fw6m/KHsSjwkyORilTex9Zq3n7V2B3IgN1qi8ZOvm
izF27F8Mem+uIH1tkE825FqFKyLsrLMVZO5wXwfE9/BwZ0VvCIbgalI4gFKLzS4tb2RTRSYKAD1z
DqSle/xe46iF57TR8H6T1sSeAaOr784Zoz7KSDR52zZyETmQyqUfJuLQm/WEjDYG8BbJX1Ov/pGN
/o1sVDoL/vA/q0Y5qZbN6/fyx3H4r9/zex9FpyViMdKhEUfJhHPszz7KwoFk/oxADwD4hwD0jz6K
oI9iEKBDlfc78er3cbjziboAlqvDDN2UBFn9T6yTn0s6V7qupNKQLi8HfmspRn4oNnT6rXpAxtQJ
blud4MDxgJz3z83gWUVzTPRc0qZOGctH2CVbxNb2DSqoXG2AXkPkWny4k1VBFfICNzXPhUaNDJ5K
67hzE8Ke4Du3uz5NujHYpchz4vjGDtVAo3rmv5IfFXDbedaTbjPknMEZ9nk/RjdiyO1phtPsSg1/
GTIp1B+0vI/Ic3k4pKYip3dVM4vSX3CIE45YOl1TTQ8JLCjSy1yLxI8rTd4+8m7jGH9L53EbrvAv
aLnPCYG0j6wncHda0TUIUh8KMqfKf/qP/5WIhHbc0gL7z7fNbfNLWBY/3jS/fcvvd41wPlkUwAKs
Dyl73DZ/3jV0H20cAS6EeYTyfNWf3Ufnk+EYKKARXH+w4GjU/HbXWIK7hsQ+aeLFJKHnf7trEFT/
VKPbMEe4AQ0Oc6aNSeCn9lmKlipVvRffJanHBM034cvUECpT59b7P/bOY7tuZMu2XxQ1YAKuew6O
pTciKXUwREmE9y4CX18Tuln3pZh64rjVrk6OdCIIF4i991pzRY2Ud9LFj3fA31J1gLx/FiTzWpzk
0VTP6rplsWg2Xt6S9zKkMCPuEx8SqHp2/EnkxtYFhb9p1vFOvFTGfDsUrfG9NJrZIEGPssKn6E98
0M0jUtCERryVo6+rAxnv2KBn55Lc+jc7rhKA3H3rvwooHFvlYm3xELPgOo+XraJ4vXfY1B7ipV5C
Xms6kDmtPAZE7jhiIupKxlBF0zmQ66T4xPT41VduEpYrBJ+plXftMi47pcuSXapcMoyenPHLnOH0
kkYTuBvGrMl9561fqb5W+hayUhSElM9lt7NRogjGVcvg7/q2aMLASJKLlklPPKXYx+PZfU3nafjU
w0XOrh1LCVKqGu8m7Qw5U7SqJIVosbJ8yBpLNlGAqnXTI8LUDx621yrkTuiXSNcE+xgBrFVk4fED
60cE16jWvPSkzLApQpx5scxKvcg0NZ0DTiQIF5U97QgPBfVhUACYew+jf7xhONQ860512zhuMyoC
byrPgn1mvREOuLhtGS3+jZ/PHtFUheSRyJYUgbSnCLABzdr3HfB0T38eRt1CeceTblBCAUwDHZCo
kC0xhYfRuZtSZMmb1xVyl8RpfuxTCSsNkXHI3BB8RZ14d+3CZoW5bB6Hlh7qu9yF9qdrCWi7bM07
4QTzrppK9xxJ1jiMO477fW4CM1S8NNcelilcAbouEYHHyDPNfVuJ5lKybusrg6Gl15wpjGcfM6JT
AUnacSEkpskpqZpbmbdJfaIOQ9ljkP8Zg+LzU5c+QdlLFN95RZ8mQRjg56BuaCiG5cLVuxv7mHu1
0FJ7KJsqnUMPaknzVHQTni3UVkaoEzymm85A2Ly1lfL60LXivj5nddQFly4V9ncQxcQNZoWXe5vC
16W4nJw0ZsfGUPi6Fz4y3GpILtyomr8iuKEPlPfzuCNqvNQnReKwQy4Tnw0cXq6RAGwocLUFhkRS
T0WGRntex/1HY0WywqBJbyHLk/OUtPhOCbKLSt7syPciihqdDmGXrVSPJmKifbks6biqESQQ/IS7
GTa0bMytUYmOVFYANTHUKfIfEUbRtbpSSzlfF71jHLrcG8MktmPNEyfZ9GYe0pVCeOk1yOCCnM0o
At/omIbbhWXhzy9W2teHIVAtX1+jv1/oIC13wSi+iSWoeKeEWyu25DAHrofa7pf9gMyTdMtR1y+A
xiDj86VPHpcFT98BmktXHfiXkFACgfv5yEqkH2S7FpIW7b92m5It6R4KI6Ec9DLcH4xgurdZyE8O
bthLGwLF8jDlFnFNc56Y9amLtAr9RpgXdt8bVwtE3DtZzbyPkQwyFE4xq5kzGhX65ZZEZmX750z4
OJR9elDqUpnExSKZqchDbrr84PtRvwPNy2g+5V7V+5iYsxB/mH0nGm2QtUGSVOgGmXVRu1Wws/2M
mkIAuCXVI1HmY7PINDTswuI+5zLOXrvWy75mxiDoRRfT51VY1e26WkreNakmFHU0Q0vTFcOpQ0G1
Lewxo9FNall3wf8A0NYUuKE3juU2Gvmfv6DAk71wIGRr6TmNsYFdIadQjfS+iHUn38BxOzgoFd7m
I1glu95FQznHBCQ6CD6uaMqMlLkVRCQTDcXTNKMo4xEmmgYoN/cGhcHR9dncuE5qhvEQaeS29GS8
gABLpDTYpklniLA3qpmhf4TQtyitEVEUkWXmFbmb9dUyLG528NvafmkH9YL2bcIODwsbDW5KsbJF
mjHQf5ogZV+Va+W/aLO/L7M667YQS1R8Z6opQpSdyULT/Sr/aoYhqqA1hqB99q/x/Zv/GkD8XxXy
QRVi0YtmCvCH/VRefGU9/PrrjurnH/prR4X2VqIYY8tig7alsmA29pd9DaEEaHkqQ7BfhrWyFf+9
o8Kjxn/BI+0ilPx/uynbRsjrMBVGyWutf+4/sq45q8L473MlahiUvRbbPX4DExfbuyKko6lXKdhU
ZzkIrGuy2A/JRMO6HHywWWxiTniUMNUMfbI4u7xzR/EpWVUcBYNAFB1KdCS4rHb+NDqIUdgIP3Rb
XNDpSTE0uFX3ZfqpEVnc6pyYcXExrAqSYNWStEaalmeYSwQorFoTUO1whX4KUEBT1VcEzayyFG0e
4hmlSrysopXyp4Bl+ilm8Q02Bt1Phcv0U+2iV+ELfpzkEisYahjbnapqG8SNn36dBpG8jF2Bv7aG
JRbvm37MXWwwRkKStoClL7ejAYRHbco59W0+Dol0fW8Pl2xprpHgc7qMXjsIrpUGF3Ek7cXu1I4A
Q4OMpQrFs08HxCKM0gnz0Suja99aotXTU3A9202qyb1rQbbCHg7HaYLnA8zbNL7Nc4E+hh5z6swo
XIn/WTqA5TX7pPJflZL7s2yCUEMJpf5VTyX+0ko441kj8f25uGsaiPONlZBBRz5QvWTflwjol5Nv
hxLuIvQtgpCId5JTfLByFXXXxI2KkzETwGNkfrRZAmFv5kniPOuT6pQIMR1ip7Ee6FSO6cbuDVjy
ZjXfmcyS927Q6K9ekxFNVIwFjmmd0IzuCWHyy/wSJoh9qHtZ0tscCCuoJoDlbVW7QDuK8eRPauuN
CQFDZUUQMRu8G8ei+QzKQIVow8D3DbjMMxfyW78E0V1XzuUz8CFsNznLJC27qaFX737K6zK+s+O2
v52TybsjWnf6zNBDhXEACoDWjrrjeagBydfpU9Gr6JYdh36G77BShMYRBZSH1XE20zUtII+ekkbZ
KGpdcSNUpIZN34lgDwbFvoyA5R1EJlKmZjgr9VPT+rTUo8L9hIaT/v8qisWclMRq62Strbbkz3tq
W2tSqarOct1NMPTlbiRT4TSrpWNYm8dPNla1i2DxmJWbjTM/ygCfzsZv8NaEY94Vb+YsXRhMHj7G
DbVdBUeuhgJK9NgtBH7v1M3OY0YWUJ+NEh6KrbxLUzck72TpQngEc7fpZoxj68JUqj5KGYybIdPc
67Hou7ukcKsnXO8VhDeveYU99mwiQmVc5Ptn7jSCNxroW903/tWiC3UHTS45V1J1AAfs5WW0l7Lc
B7OyvmU1GlCxVMif29b2znOhAAdkzQ8CxKKj6RjtLsE2wh30socg98cXw82KZ50v6bM94+vcOq2f
P7fs1SCl8Ibx9SeqE4jPLvDmYZ827sVcZwAESQg/ZJ2tb+gGOudZ9aTxVDqn7cGfFTdmRprnakFk
1+Ya6W21xlUo7JN8Q8lK4inGwMqMVBUMYQUgDNFqWvFjg7FxhjBS9IRNguzexsLAptTP55quKiMY
x3qSTNpuBtF9SpfuIWuE9105NZYa6hwQbg5oLwfqx5I9el0mL0pDR5fGgBvQzfoo9NL4hMXfu9JM
Pnk1xv5hKfwCr6xRf3NH5I8NQrlb6qTlddUYtOxyCrUGZDQXcRbLT3EiHWAEhSWZ0raayKAgvpKW
OX4emONWwG22EXMs4Icm2+ZMdWcQ5vHX3k7SH+u0ZttP7aU1RvOO6YkKk2m0X5i2pkdbeJa/UfOs
Ly3F9lcSQwK+Y7CIis5lQoxuqwSj0TUyPDB8ap6sZ2LQDGawK0ZlXk99ivSmIB4CfnaJc+/IZEzd
17Nk2pLHs/0wDZH/ilqWXduYjgC2AYgGO1LA9D27F/+ynirn6+h09QVlCIUY5QB9o9Gw1W1sVnjt
Rj8BhjFL4wrKtvmoTdFfe4wUNL0rew5Nm/yBTY8ItS6ZWWwabfqXAqLudZ/2QNDRxm8HQ31r+ebd
m7OrT7GIqCTZUwLCgbXp5E0AhUwqGuyrs4NZ5zcICM5bLeR3lJHWJa38fgCjUepNEWQ7MO5siAnx
vJpV4l8Fdp5fMmtxM4rPbwnUM8J3ixrpqPpUG90Dok0UymZHzMo68krZme5TvDIHI12Cu9bs6p1w
rcSGKTL3x1gk10VOBgfRoVHYVZ35nLaOPGSxY+x5379l8EnuW4s5bdIW9WPs0dcwk645z1lOfhL4
zeLKIWV96/TVxPbWiI9iVgiK3NIdDpKJ+h1PLnROI5hv4YR33xkCCTobmJdv8kL6TzH29DO/IUlq
c1PB92ycBuW3U94ykXH2haXrk1nBYUfGrbBPG+mlwMiAMa2iPhrVGMpRDZ+tDnh54VN9TF7+ZejN
16xt8i3Vz3I5zWU8btx+Tm6htRG0gRg9VCX8Tm2r/s20caSOph4fMgM06IRigOGwn++lX8Oi6ET0
kE5mf+0a3nCYA7T4uk+7G1LTbHOXLdgq8DuW/lZ0iTjN40WXygQN+fxKJ6P40qp5JIvYz7+Xvmfu
NL4aqlr/Cx2hH12e9isayWMylYPqcfi7yPGCjXYc90hipXEycEyEU2pae2tIkVk0IvsWZD5tkSIR
hwGv5Eb2UXGXDYV9tnp8rM2QtaeRDckO+XFwtBEO7z3FzguxvUOkTzJdYLVmlleopg0Hk0xcQ+O2
VHAOdzbtp29MoLDVyOKR8DtzO+rEPeIVpkR0rhY5N8dK0jmiA2Tta9P51hrN3ThCSKoIQQB8uRxY
osVG2+LFTAmyTRJi9dJ80YTtGO4Oc82113R3ntEfaF4dlplsZ6PMZ4BiFQ7HIacXsMQMVht/0yKX
QsheIfRKkjOW4HgfyeLKLoW4D3qIoYU7BkecNYjl7fIOM/yt7tJkP5RIeZdaVFu30Hd0h8wwT3PC
cIamDoelqUCn1lBrkpEkMHwiLMKefSMGxXA3EN7jIAHxLhlhaxjqfrSRK3aOJskypazfWGnj8CHL
mWlX9ng3WyZmkVK3O4+h+6bukQIjTUSkOPl8jAER0DajRxA040mVXUAWaAz6N138cznouyJ1vsjI
+/SzQPi/WuqDWmo1/2EJ/P/XUhA4u/T7L6XUX3/mr1LKN/6LH2HQaaGXvI5tKGf+hwTi/RfNahf5
LSqztaqhZvqfpBJGOgY5YAGtYNuwAL78uzm9drQtNGlrnC4FCwSP/2Sk804+JuGJ0J0m0tZBlrES
9n+d6MSMAxe/qcejZY0Iq7HIIICRVhJcEmkZgJJyuuoyZy9NgzQBDvW3a/UbKSwn+PdSjn44+lef
QZdBoi7S4XelXNvGSwD8lmVwtKadp0t3Z6bkz+FBK4//i0MRVgZcRZJG/J7/3tnZZJqls35EwJnS
1JmpDvDDoFts/xdnxaUMbBcJoYvG6Ndrupgqb7SUeB6USvF8wK7thoGaRnnj6c9ntWoQ/6ax/HkB
iUswJKz2dbbw7gKiFx7zwuECUssiHNYWuorRfSMcMIzZQW6xZot18JVvkYDW/xm1/a+Dr/U+TzEi
qXfnOWB+i+xmGA6ili6OTZXsKlO2l38+xX8+Iw7RciDGoWNZBAi/O0of+7jg22jEYiHdjmezYqfr
qBaSRNaUBFH9+XDvVMGcFOR23i06H6Au3J/ozL+NOJ12wmpvUv/FmjYaloUfnm29+TEwEXIm6RKz
Yf/zEXmV391DxyJXzwLLaUoasu+mQ1GCica363F1hxFFhUiDmxV8FB29XqZfnxSOQmco8D2DWau9
Xua/nRf2Cog9MGIOdjrpjS3EJbyoGyoyWJZG6XxwTr+7in8/2rubhv49bmOnGA+QqInSrdNNPIFh
pvRGeE/C3abL89c/X0brXV/o551jQO06TO0CHsh3S5lOcjqdM68daH15I2sJpsIYie+pF9wmFFFE
mN17BKRt20L2393B8M+NYx/HuKsP0xhMu1GR8wW+pflGSrI4acIKiDsd2oelY5PlJfHWzNvlg4XJ
/M39tw1MZSZ8V8/6xxPn9zFtqYHXKJ1h6GykmBlUKOVMO8JxSTOCvrNt/HoOba7ezsJI9sVYPAXj
zm+uyVW0tzFk5xvURfEH74Lz21+N9Xl9wxmjvpfIZ0CZckSPA3riZGeBJQkR4isUle7AFC7uP6nU
zrbG7AYFDPilOqsq6y4RUUJOLxWpRDC6KcV6imtdGRsbRV8YVUwiKwsWEmT+7tpyF3FiPApAY1qd
27TB0XF1wdOInO+JyBCgFSgDt50U3t62rXQz2Z2/I67vPOQdFBtBiOtAgwoPuHORyPwTshrYdFLb
7BmXfN+BA4fuONzUUMSPbUpiogaftFFRQZmbaONZdO10yCoM9JGj33Jt3w/+ANoc8+6RQd5ww0+u
9n9+Wv/5gkCrZmPAW8832PPePayqj53Rmdeb3ifXIh8TDADGyUzVI0NPttpjaf7HryRHRCuGh4vG
KevNrwtA0KnJD5Z8OHRRdDJ7MFdm/C2ogLDbKF/RdL38+Qz/uW6TDMpqgyYFzhgh778er4+DqeLe
DAdmGg1hgHI+kRCB2MLq9Acf3H8+pj7kBtfCAUtqvf0e0hCPzpTN2EwOgT85F7VozROdEe+DC/jb
o9A+ZZuCCpRr+OsJlShfymHmAgq3M7pNC6L/iPLUv/3zdXtvVmId42zgQ/jsFpE0OO+Ok6NiNRGo
9gelzDpE1JztXVXiuukr6vKo99hS8ODDIUSh7j8jEjzUMk8/WpYYGbz7YGDjQlhARpLDLEC+u39t
W8slnbz+IIED7GYU2ntkusNe0vXyt7ZcJHW0CnadUf8o6tm7z4dspvlqTFflsthn5ODRB3fA+u3v
tMoy1hwk9qzvPiuxFEJEid0fqnisTkbn7AKDZvUCmeA6wuq+Tbyx+VygUyVzQ+ibsUn11k0Nuvc+
TVuvKn4UzKKuc5qtyzJ/we9rbdt0aB50Rbu4oZ93dOKEXAZdXIMP+Ghz8fsTCNAU2Wzpef/Xb9jf
vsKR2QWl9mcuKh2kuPOa/TjL+FPCKrZtGC+GUW8a29JzB75YXXlG9fzVT73HvnOD09hERCv43bSj
YRPc1YsH60suPxbyXs+2DwwWMammDZmRh0EBv0c13nzwSTDX2/7rPoLH4m9n8O7pnIeCX7jW/UGL
LD5HDI/Pg6OImBBGOCBR2Ngjiq4sMxj4ghDuGwANf35B7N8+Bah5kMP5lum9f919zVqCnaU/ZCKh
uT4WvvPKturWkz06rcD4zgBcPTM8Sr5hrBrGKd5mtUVE3wq2muJ+bxl9TdgHutoZQXnJgIE2KgIZ
40C04dpziM0fujJNlkrvwQMz7BgZdgoRPBM62h3NyTEuhWMWR3I0vsKsfnA1B4rlz5DioHc+uOb/
3Lr5LtUg+ZQM1gyqpV8fGvIqQekB1T60dJ6riCAC8h/EAnMCDLC9+/PV/c2y7bIHpvKUdE8x+/16
sL7IGYCx6ByauHoLcKXx1Yb8IjEEfHCk9Se9e5I40uoplOBMjfcb+zaKx8aLHJ6kLn7MSVZ/zopl
Vd1pqglH52hzDVf458g1kw8eod98fV1jHUbauEFX6P6vJznEYH2ijI7RiLoGS9yt8tp7Q0ZvhTe8
UvK6H3ygfu49/3GujIPwEFJwu+/X9GASvUpTHlnK8Op+tNn36MgOdUXupz0tP5CCP9Ypg6RYN2xu
JLDnCdkADJvlg1P/7cOEjpQvC+rHf2jRCCibnGTi/Z39egiNxiOeEy/PRpAmtQXe9/bnx+k3H03o
TkjyAqBMBkX+r1caeUUeo9HkJiOEOsSNGW0XeuIf1Ii/vb70yiVPEpf351D67+tq1pO3ZGKrPFAj
d1tGdQnMHpR2bgRtZ8aWtY2xHoSCOS9udPLL6AaAtJvExbK4H62R/yzK8VtSFVKUY2AGsPrrOZM1
5OCfz/llJpDMmADRXnfLlZ40TfvSFNumL6tD4g3Wps5H44PX6r1vcd0/sC7SPUbw6+LJfnf4IZ6w
QFRGd9CmTF4brxMOOPd4uOkRrGGhc2vX3dYjP2AjNOz5zcRwxgkR4DISQiyV5NtZ6PlqSmzI09Yw
0G10YgJj/vxk/GahgXbvMo42MMR65rsnI0F4pZ3KbQ8uc939KPEqyL4Nduzl0w8uyW8OhdpfekTM
0Ybj6vx6Q9LM7JsW88ZhWKLyTUJvvVuqpETR5Rr/i9NiD+pIWvu8y/9Y1Rpw+0Pjy/YAaKu7o93r
7mvtRRdZN9BF/Hej8fZfq8ffIw1/s4hxJNoibBGxp77vVDCnj5GScaSUoF+ojFXzQIC8tePrhqdS
lYAE60R/sHz89lJSX0vYbKZEcv7rpYxjo8Jg6rQHfDeEMjhqhkJWWiHaxP6DQ6F554e9WzXZaQA9
9lCc26xYvx7Mz2U9xovJIyLJtdq7AGUwSidyXkJMRRXo1a63Qpc9ebFt7WkWeyrHUe0WHFklnCnU
YrvUpscILBNMrQXBK2EqxRQ3xPnhQueI2uQr4BVxldvYUYhtKJiy9qgRiSPmlOyt59a4EYPJmc39
jKFbXwBTDA4pXqBlh/UYiV+MfO3RHS30UIg4HWufmaVyd3DAEuslYEpf/nAzmiXxpqGCSS5U0tkM
x9K8Sz71RW3qU1HRXTtgbivlThiNeS4X7BwHxB4QIp0SWPqVRAMa3bk9prQ9/yxmnENdnxNnIYO8
CiucVfGV75EcFY6OXYOvddriYRKMJc9dJeqj2eXMOnXcWd0mSNKnEiWIxIeCP5nUvjkmjGKs63yv
c+SZu7LB43mZTZSTBKUEzcyso59XNOrkINOrJ/ySF6XAaELfoWyssCmR3mymFCLfVw9bDkr5aFDM
yxhGPjQOFrUDzqZM386RNz1UqeyGnRZt4N0bTD7j3aineDyxiVX71ldBCrw/RomJWWABQd1nwaFC
n1Hvimht/xnCCoDA9Y7/KWOQuFVFCYOyl+C3QFc1zrH0xzv6vPsR0/Vz1FjFSyF8436o8N5E8HqP
YiUF221wQ9LYvmr7vSJI4z5iVjbJBIshWtWDJZki5UFeooKczvakZ6bk/dcsd8EPjSgwxkzZeyyD
36Ut5t2EdYrfofMOjAaNXSBT9yCDpSZaRKLmRMx50cNBefUGvD5y1Iiivenr0rrOcbLx5RJXv3HS
4gmN1c6FIHa74pB3plGltzgYFpQ+qXnhl0VyhfEXupaHH7tPoye12M7BEeZdmqLHwKcXnaJA5luV
5SObCuKbC74SYd97y11eqFM7SPSBi3b4S36T012Codqdc6WscDHydqcGAJ5ZEk3QMUCTzTYqGe7s
beTLe8x4amfOfrInwgAcFanMYWRp67Cwdb2PCKf8QgKFcVklHii1oXVDZQzdmyvaaisGbPs+DWsS
S2vn1BX4lrwqUifbgIHba48EajWdyXveQ2Y197mjX0psfy9VGh09Rz6ko37BelntZsa/eAejl9IV
cccbWPqnaQQCOokWa6kjHjGhROc+stMQPY5PzAjxmAWekY3MgiVMqBvu005Mt23c+ff9CLNrtvvL
QUdohNVKFRPVj75lOOnbQ3qE6oqzmgn9m+wHpOEp4i6SJpioLhpnfFsBGGFoa3R4Ous0GB7z2k+W
jcXD81xaqAFCr6WO4GPKIpHF4/yZ6PL8up15yjIdkQaTmydjjDU+26Em9XvxL/ibeqd4IXYRzgLd
X/p6juf+s046r29hmUdyzsMFK/9nYdp7I4v9eCPwJTYHT1j1N+WRJnm088Iaw9LvPHDuNTSWSyFc
gityz2fOXOjJEWfaswYw9LrFVtpxpZC7VkW4gC5/TOjq31pFZj1GZZWnpzlzu52Dn/uaVE5/T4QU
uG/QceqcpL3x6hoR+0n6u83OW4ziouEj+23o/dglpSOGMzE7qU38fO8+yCmP3gKa+yOzbReP2s8Q
qEX7pHkix3rrmg5Uni578wsG2y6kRHNugspqPuP4nUMMrvowsGN59EG7fZ56fo5Gd4KB2WrPjGqL
baoqeYJO0T/ThVtz5NEDrkgEnoTEDtqXBN/+t7aR+T5Xon3xWma0Geag4gQpk+REXH3P+HygDnjQ
PUM3csohHAFtFZvCEg4WR+JwYpdgu4wN1wmjK7g3Wsg7qtKg2+fUTSVxoxAvNkMaT09tNK/WaoS4
zHHjNSgCATXhNCWjQUCHSbE+g2I+A4JMHrBaFZvaw7a577mc4glDLqforeSYi9gizTVz8+lpskiR
vIoB99+kPnTG2iCZqCaK6VICiV4Nm+lBGqmLkMVylg07kfbsNklyg8+x+ULrjtDCqSYkFUmiu6vq
ctkvo8r3c61keYBgE98URTN5KIrAK/IStbxU3F2a8O05x9R1g5uiee2muLuTS2c+9inXO81yKImY
Ug9+wkUVndQXgkfzrnG65tVZK8xt5S7NFOYtudBc2fQINo8fKwCvmJ1szw2ZW5fL1Devg266F0Je
gSt7XvsNcQgSo2VMuKyYSaNzTDfiMKJS+x7MvXMjl1bM8B+D+EZhIGvY75al/o43XRIkhJkEwSix
LWakL00+y004BxmUx8RvW2Lgk6xihRojQnFqw3xsTO3cpE4dfWrQ+127zlh/cWMCrICJMoi3YF4Q
xu2ziXRGgnDigYxk3RlRGAMCuFiJWUcZeOqTLzLWxXjVLK2ZW40h4psxaN0FG4TDDrwyfCYWdluc
unyV2QwBTZwwzQl5QoTP//Az/TGO52IIs6UhxGXhPaeNVfXP8A/1G9aS/rsXI7SKIl2czG5Yn/Ix
aUZmLpbzkJbJ9CSRNXrbueaXLNbkbn/omq92lrgPIljAVDbVnNxotyRgvMfP91K0i7r13X58MhqV
36fr7SZBwb901pziVk4cKBd6H3gesgo2GcmN7LlqfpboWyMW+s1Y6vQgFE5wEhj86B7rujy1CDMu
XXvmJ9ZLfs+WXX3CTkEg5YxF/7zgAUx2oiTY0Wto822jMYlWx4zZozCFgY4IQ9RwDJCGlEiZhBvd
y4SSa0NcbqtP5YQDiHPnSVqQzLP0upInjTUruSnyrDa3pYleTdgZTdxJF9xro/ex9hBW7KO87Ye3
2hfUTJNRZvD35/YNwq/59DNWeZp78weJbnBVePXaO1aL5a0mLrXbuhZqPsLPnPEH1t7F4Z55PPtN
w2Vx+ZL3BzjoJvEMbHkfF6tAcTIYrGaeO/1AvdbeDRG5mmNrNdfDpJvPCpbjnTn48U3krvnbASxL
kmtAZvTJag32eb8rEQ/PbZrCI+2E37PGI44CZqprLp5ve1fUxNG+GSP8YWgJPPqmg41XK7L9L0vv
D9dR2cSHqSimo3QJQ2/5bF7axHyNG8eL01tX9s0ejlD/qWsmbDYE6hBgwL/qm6YJo6mxX9FaO3vZ
wB5oJEwFyyae1plWCjcx1BsmmjLMh473EDiJvjfLTt2yCUHqIrPoySK1FLJm/YA++AqKIq4zw0ip
ZbounEGjXLf0f4wxmc5Z2XQcFsecMeMwgJvBumETqa2MVFwpMgBvyK6NHtzIqk+BQmnEolsu8BQZ
NrboOE9OOpwnrQuiUcfpyojn7hKqb0WYWKU3bPXZAgaM/2ihfg0cLBK5V6n7HOrr96mQ5zY1TJY0
KFuL3ZNmgSEPVbO8UCqTz+y3DVhGqn4N5nXOVA/7hM7yqY1qtLQEY7HDy1DwEqcR3xtVMiOgao7k
RLdhMMP026Qk7vnz8pX+X/k5L71lZbVwkXAGxSz0VDhbT2tkYFme96dcGOhBI4EBD4vVvh9HBl/m
2ITsUGckablxsLOsfxhb4bLUBfH92HOQ0Ym82xFR6IbGtN5QlMqv4DPcJwAqxTFNvSeFg/dAuzRh
H8hWblOisNvU6ZxcpT6Nm9q01rgY8zUxohnNtCD/FF9Y6Kc4l+aJl7FvyMyec1qFsdbuBZsL+ZxJ
51ARZ7LndWIBrjOq09htg0NQBMHblI/WM2Hl5nVQBguqhVI+IoDOtoo97N5h7bogOqF4wgzg3emJ
u+RMcNn2HvtCdPQd9DCwwz8WRk3WtomH9Jp4CAR2FdFlGwLPAFk3DZBpWWLAUw2OFAYImwDjy3b0
XDb0GHu+Zqigz/FcHQdovaD3Id3XpGjfLQbEeeAue17FPSZ8Iu2YsbEh88brUjrRJ/AGbDPkBE3R
M0jM9If03je6JcxL27/odcrqZSS7xCGwOrc756ZsnLreJnNgMrQolpPW9XTlYpCs2KOBy8b/XQHO
VBlCcRs7JkSUlZLRVZSlhch4jZihTVcBCS4vpSXdg2PSgKe1VvPFWhpaGmMq1G0Q2e2lppm9RgxO
CItJFAAHDrX53vHkucs8dYymYTv5fX6FN7q+6KvZY9WvyeRmwENIZD9gq84Q2fXZ0VQieAmYmVLn
fO0ItAV/4yzbtiHFDTZXAgF1GswXgCPdqba8V3Nxf0Rd3X5hx1p8wb5Qs2gB0PQK2Dz2NMa7wRvL
O+2yYyl0ZzL0Rti2jRWwJLZD6gjjZErPwkaJG04o+7yjhziYb4x06xsxxyttRnv1De0b0jEsP4tr
xgAFixAKwuxLiaH1zmr98g4UKSEBqWYBzZJ5+F70lgGbNUu+t5GxkHWI7e2mRQVwdvDlPZDjhVWu
Y8fDfUspcvBSoc+dhGufisbnixKo5jNfS3pnS2GiTY5pSJ7qKLUe2R9TmeZlIs9xrvrvZQ73rh97
mgi9Hsu3XFZ0FfpliL4YfWa+5j8pEbWEq9K3KvoCeZgiXEapCLbNEvXfSW8mZcLC8O6RtOxUD0Wr
WBj6RM313ouHqd7LYKajgQV+1YZb45qUWEFWSsjCAQIV19EXoin4M0Gjii70siB3QomhsEFpSDh5
OPX8ltBCkEuFFSotjyJGcdAslVV/kS7OQN1oVJOZbGeCSuI9m1d+8iKwTp7kTPsxTGSgxUHodQsw
MCEFZajK4DJLDFmFbgc+fVtELndJLHzqtoUaI+w1E7bOeEzX2NHYKd+skbiozdja8AJnaQdf/nUx
nUnEWGMZTxJs2Bso0zxzgeT73+ydSXPc1tmF/0oqe7gA3ItpkU03eiabZJOiSG5QFCVini/GX/89
oO1Y1mdHlX2ycFyWOHQ3cPEO5zyHfqLcCc8K16KGUIaPdhkKQLAq7i30Y8UuixPGPSgLYhrMdEz3
lcEU6MasrdHYKmu2ThPxOPcWquOKj5B96xIPxOtLHYt5SEM6eHJqUTH0eHkQflyTANm/9zaz0VVn
wnG7tjUjekin3oRCD3cph793lzp4BtZV5eoPIETaaT8yhg9uZMeL3pu9zu9IVc5vjeqcD8+exkJj
/1eSDcVnwr3L7D+afOYyvIu9pvj7c2G2X2O6F5KjByriqe3bbzFIr2zndQ2on87L4wQAT2yO60zn
/lkNfJzzvmD+dxxgJ2LOKRUVnRXJKiGCq2GIQsQW+S5A9K2GWx0pPl+r8fzCuqMH6aogsTdfmzOU
x5uoFzr8SUrIDC66IkTRjD4ZCanj6Lf1IzvpZo/ilsjW0B0J/Uvjx3mOhk8Dnp1f12D/06D+RIPq
GYIl7L8nw/6rev3Hr2CF82v+7V//pOqjgHpT/yjf/wFhpMu//JnU+uvX/yZHdQCC6EAPXJiQbGUw
3Pxbjuo4v2D5gx+6SCi8BSTyhxzVBYgg0Y6hR2Xg7Nj8EbZvFf3rn8L9xaVBXYRl9qIr4Y/+i8CN
Hxc5BHroFgQUA2wkCBSxvPLvFzkTIjWDEZa+T8dynYfvWajdjFNwSBYmHE/oPNaPLVxhL+ieaD5I
N2t/sqtb4r6/nzp//AokSLKj5zWb7K3+/CuUlm1Xrhvq+7KZ9HMgnyYIjy2a/oJBYEo4nq7qzvfY
j65kFlxXVQjsxJRMpcxnSf7xHBE6C4xHh08Wl+5WMaqsHNhSEU51afVYphIfkhMRUNWbZPIUl/h3
ClZw6UtCXvHyr8hHVzKePrVzuYvzdtVqm8lCmV7iymbcZV8Rw0vZOuuKXlBrWiF8nfy3SRSPEx76
hmuC08dd5WTfSVMgteLxHuP4lqpdOCvkRrvatWUlBIwq0W7a9Ape9F0WFd1mLEIKT0/d2d6zIbRN
GzqvM4/vTZ4sMWtYPWxnndfeCgIDOqzM70cijLr0MmoBpi7cDpD2Nr2qXuBa67s4627D1jklRvFl
JglJJem6thlg2tiIVoNStONF8ZaPUt+liUthqg9vhQwZrXTtVQF6jUDxal3ZLT9sRvkvbsKclv3j
lvnf4fKTwwX47aKf+PvT5RKVX7/949BmrwULvl/PncPXf/3zty/8/VgxfjFM7MAAkLwfcnwc4xeX
Db8OnsVj2cd58x3+2URYxD7OQBD6vWUYAAvLJSTUPNo5of6LA0XoPwhWSOV0IeVTNCD7Zl/24xKp
bsKuyT2v3Gt4UTDYRyU+PswvG8itOTw262lgZECKYBVD2CcSPrQWh6lzNssuo7YAH+pXuEKxfeTF
bdbpj1ag01xUWZ1sSzm4oAwBWTaGk63lhEiRbmKAGOacqyXxzByN22QcmldP5Ndc9teM+KDwIoRU
jeWtuyHn+gbhueqb+L3Tu/ic8z6ua6cqOBTKml2Hy4jVojWN9flUevqtbbSkSDfDKy3iuLJShgFy
4qZX8XtLFojPTT9tnNI9O2LcDbHDzbNoOdLiejD6Cwx72qG420ozve6m+VYm00kP+Vs4wwg0iV+n
SqE7q+c3C/NM1htvpWM/1VNLDn2QgaKIxGc47Pu4ce3VoEN6B5s5M/9xz4YST2mfvTr6bGxpsS96
k14v74DKmV7INHtPqoI2MVTJVmSMC0Q+UFGFAFz7oX8IxXBZvN1r1tvhsh94Aw3ioeeFH4lelFYR
iEgGFFMbmIDrur6WVnw0ow4Nczo+2Giqhko+RYJubsxemzp5RSFzdiKBNY9ZxkbyggYJ7VxNtxJa
xnYSalt7Vb3SZHqcEUmvULri6DIpqM2SN8qMGtKXlzqJsyzakIGhyJ/oy5NCWkbk7vJeRvlrZ0wM
OyYYVGookZzxsyrO741Wz7ck8Nwqc9gxMjwZLtoDrddPlVNq6z6N3gXt14aq9TpNx5PJh7N3S1g4
ScwrpDl4nAOFtUrZzC08oflpyw9iGZP4kSfnq8ZKjnh1HxmZAlm0xodct/xxKiDORo3ymey/khOC
3dEc39xyPoHejdfw6eJzWjtP8ah/cWtxQ2NIXDQbzslU+9nqmn099g8z4VbAWhUXqtiHOZ+Rpruk
LioyK7puPtnlFG2Ggc+TqkEcPYcrYZwhB9dmLlZVqz8WofHm4ZIlCxCmowqzI2bEh7rpHtAUvueg
Y9a6jQqly8cHEaDySZHiYdErvc0MwnVNsgiWxuV9Nwobq7N8YtWCGlJa5wqlK7Ysvo7XicedtcMg
7KfYaSbsUlyOUNDPFU7QlySgoXIYSfo47/o7YXPZZWMYYIlkXDp5qt8DiOmPdWn1hza33QOyEO0m
jaZss7TUN3Bupq1ORNcRWFJLy5iJN2W0L1Pf2FeGm1aoJMYyrqVPiCCPdo8Qep+Y+eE1cEoi6ULW
j/YOqG7xyAr2Mf81FlyS1r5iQLzGRXGWRfqCNZiF24gqJbKn9czmqlJTs8HaGQFKRkiRAPlrwiOy
nYQs8fqcEUReLInkQFUeyyWjvO0s/IYQNcdiat6KgsSHAjLQhpCeleuwcKxm0I05rjMYQGVwayhL
MfTm8p8Tk8l6Wa3aOmeH2MOUGk1jKxwcaPwWNHX0rcwNDd0f8fTcSN3pdqPJRTelzpOj2eeOzdMh
6Jt3bWhO0k5/ArpedAXfSQE4xT0TNTHSng+ExI9qkTixZZcMKV5wiFdoDGu18HvOZLxAijHsn0gP
flA5fPw0dh8fOg6Jh+eHKtSTQ1fYBEFhaO3hxBrp0cxEtLJxdv7kJ/1YbPK60BKjkjZ1HXrZx9Pr
O0Ho4DijSIKq3JsqffUCTsPlOE6MgSAxyj68qgOhmt89wP9COPKDPml5dWQr8ADH2+Qt///nAjcU
hRe5xDzuJ2VFG6vtH8qRG1sTcj9oSzPK62WWcmpaTrf//KN/1G7++rNJmVw0P5YBmf7PP7vCVT0n
xNHs27wRfsLu/3aC9LwcFyeAMekeBPTbQKD9Nh16xr59y31LpjO5U9PbUkCHxXwiYJ6nrrD2nsfQ
MemaDWOb02BzfAMhqdb48NnfJIBHm21u9RfU04+6FcFLHuW5czNtPZalt7OssnoOURmv5dJ3/+dX
+heXELY6lJToZHSsNz9cQmYWe3lJV7CPzHYrS/1W9+bbfGZ39ZOf84NI5uMdlUDqKa0Y+f8/CxgC
EyhrKD/2oZfJQzuOtxM+2Q14X7hB6O/81k2vVWjkd1k/3TpKz++ikGeonMP3uudcXkoVFnbpyjDH
E6Yg8taG7gHlyFk0/S5yOe6tKs6BmEX2rh5NEECWOe3y0KwIhZ3iU6c37YUxy+PY8NjvzFgekYhD
ULVVeWLq9R7Elr0qiJcjGMctd6OWvAfl/OiG3XZWLQ/vSuyjydpHURGjkCM4VVTjKXVY4prdfEsC
GIFJJt/bc2E7W+nEHIga6z+/kX9xwixyPW+RiKG6d3/4wGbctjWE6AKArfFRToycbKBEbCDVYv+f
fxYV9o+nmWCoBl3FdYiJ/9FX05hT7GRyKvZW2l9kGx/z8mcH5sed9MOJucQXSLp1AKDklv/5Touj
GlmUrhf70utZEsSjyXBxfltO+ngWLM+b4Jiacu9p5nkIvGiDOv4IP+QzvPgvLhSaFUPYhl4xgVad
8BCPWEoCKMivDSN8n22sHCxs0n1G9sIqscSw6vS5vcpie9O71SdX8Z9tVv8HOSHCzyzqFnTxal17
dbUFbRytWMKbu26s0POY8bvF+oyRVHrdM4xPLchmrp1QoGLUHAktXxcFBD9IU5eyMKONFPPpJ5/J
X9yxfBZATXXOYfn/dJNIC9RYTnmxNzIaBXIM4nWMvZJeOOU1Mz1eke+YMLB2z7mFaJQAZn01G/kN
JLVHF4YdJIQC7l4wE8ZkY93oIv1pSCrhu4uMN+3tc8DOYd0F1jnyzASCBidRVWJ9cpLpUTeHN4ac
wNTj+1FQHXo1L7jRxl0a6Y8ThRgSiajaiWzYIci6hJbdrRIQLYikOPhaux9gscnEz4m137HtfyTf
rv+V7Pu3oRh/cZPwzFj+ZyBuND/GN98/rsLaydTQF3voyD4lDqkRA7+O1LtVUIU/+USMH60wy9lG
hgiYfovpPq6YH+7JGqkmMtuu2DcmbHrDRrbvBskx4EnlGXw+c8klyVYO8dSSpJYkVIBhdm2nFIBd
GRAzX3gVtIu+Bs84M2lZKCnF5H5pU+MKP/1N5uUtvH+q/bEohS+q9o2A7suYTafcWR7GXGahSF+D
YalSB5OkS/267rA7jCXhGaBie5Uw4uEj/WgvZznCt7f4i16THm2YHOukGvptFXTMTmcVHUa2CB9N
UFCMpT9Acz4W3fAQKxpJd0mKnmtaPWseHhoVslXEguiJ/oHE49tai8kBo1ozgP8RHj/B9EHTnPNf
gn65IKuu3xqyaTfLbdSO1rl0hgcb6tvqwxLj2tXii6Fa0oPkeoQp4jsVf7vRrCe2Ztxi6CGvPGt8
axYnXscbnGTxNQrKfM1KlUdGJp+SqL+gobDXomSrCWNXI8R8zlFPNCE3MOOcI03xLg94sqB64cLk
7rAHSNSG9QLauzimhgV5pfcFRrD10hiBFYp3Q92UJ3Rq50zJJ7OJf/Y8tv/i9qbWsSBV4WQk+OeH
yiOD7V0zdMz3rTO9FW1/aXWeez1tVsAczF/qr49Wu1QeOwKPSu/jni8itZ2GdmAVx5fVuWCdXSQb
L/V8t2+EQ+pGWK/xjBUbb+ymfWa0Gg1amiMnIam8ZhH5VmuZd101HnvVkOciDAfvCu4NVb4jzqbG
GZOo6bEXlFt6I6o1/B+Q9iEexMylsg5pDHkeRqLkAwkps52ke1AkjqwaU10ashbWXpdd9113kVYX
w5GF0h83qfDrYT7l0fCQBLnrozyfFwDzm93O1bap1MWhO9insX1edJ40md2DsMfbpZpXzu/P1/9N
2H4yYVsqe569fz9h230rm/DPI/vfvuYPhIQrGYbhEf4A7gku3d8REtYv0IlRFjpU8wtugD/6HSHB
DfD7jF7/Bb8i8GMgfJTdhFz/FxM1Hoc/VC/IsZnyeRQweJLwBS932ncPAc8sSawo3Wwv3PAZeOcI
ao81Ih6fp0Kz7xvCC4tFtunmxhOKBEpCZ9pS0h/VIvFElGMexABbtV0EoIUxWAdvEYUyba98ZxGK
qt5r3ifONB9yLaK2RVCqLdJSbm39on3ITRfhKY9CZCduHG8DrRg3zJEuZGi7t8Mc+6mr8lMxxAPf
rVsUX3UN5NQk6XMRu6JJXdd9fjO1prWqFkFsgjK2WSSyVhtYPgens2am0z2YsQfvexHVRou8VqKz
HRbBbavCz7bM45W5iHGdRZarFoFuskh1KbviWx5XaCUXIS9KnI1E2duh8O0WqS84XzTKqH/Lzkgw
NPeD3yzS4HgRCaeLXFgswmFGjGz4FzFxs8iKh0VgPEhEjgQ1f1WL+FguMuR4ESSjSXg1EYAsKtsj
i16iJWJ0xgCX4t2sihAcGWHPi8g5R+2sUD0jkrwJFhl0p9XjvhJIakenNC7eIpdWi3AaW+0294a7
2VD5JaWYvYozt6HqwJCWosvKrptKhAPdFwODuqjTpw7B1x0+O3kQrabWQhScI1XYN/e1gHtkSsM6
yXSasZ7kVrMPlV2zNKzic1NmwxMYQlR8lu09jrlIYd9AyvXtEtFq1DOrbQGsHUgtc+8oOlhTZgId
QGaSOaGEWz07cUJ1lTh99likhXWyMoT6upmRRFJ8LOyNDH17qFfNFVpP1ydWweDN86Bir6KOB1hr
VsWxaYMggfWjF0fCrRCZ1G7hAEIkiYi4mZI4M3Yu5WnCr7A1Byd5cUzkAT6w6GKD5SN4TJZsI1cE
+WbM4/KevHDjzLFKJ7QscFGrJC9VFbDQZWDOxhmSkbHNE7LC1UINm6w+PnckrjD9DeVIdkjL5wcB
e08gE+Y4C3qD39QueW6gaSkLJ/1L0znioJGjlKxDVoV7eAb8nagfb3kDmTLCz5oBoKHMQ+qJR1/x
LbE8Tp2vF+F0y0gwe7S6YEr3zAJ48fUUThcn0/kd81JHBGV3CETYi6VrMfE5gOLmGxrwP+oNxP6C
PJZ88keVV88R998utvHFQDBg5BuMcWsT4aOyx8oo4jMzN/bZQPx3Rieqb9aIHCzoyurm4zdLgGu4
W+hKfPvMNJ07+Jko/KyGFl0EkXsnx0XZqqn8PVt0FoVVdA9tIod1aU+YmuLlhX/ozLBgqU/OmPMX
M0DCB6vnEPGhbEwb3Wtx+w8yefm40hJL8dNm3OrgeSfkRvHIvNSVXnkzVCQsrtBWIFFGH/mI2sL8
zLyTDbrKpXNHjK48lGkwXuhGMZQ2VHtm2DlyX/VLI9zJ4qjRzRLuHAzMNcko+wp9PCb2urRvWIpM
AMwN8xKAsrwMtZZvIq5IClrPCl48k1HBYOUR6tBg5Bv1Lj/RmUijysJIuy9noAWAect7soA9nvnK
A+vJpwV1sryPwwmEXZsGhVobQBTWJQvUq8mR1pVRt4xHbDeLerTxfPtuwJfmZCNX/cw/sHA8uyh2
12ZNvUH1dm6L6NzX022ntQ99jdSmt8oXqPKrMGdS6bnXpuqQ5YW3zA0pWVS0z5Pm3Rq8kycQFCnm
r4XpXMZWIP6JdjSGj2HTAifXR/fKRp9PYwOolbrJrKaS4X9RXhTPsW5lCrAoRmzYF8QLn1ojMc52
zxmeMkf3bacSa8MBXgAt6xyPABhHph1BeRSFsww3tfHGGE0iV8qQ2efg2tHOLtNkRaK63JDBiSYS
W9i+77NqrVwQ5b5GBE4BCpN8oW91wZSfFqw6JXPXbgozNw5QMt4aQ+0L17pD2MswvO8EspIweNZC
8wmY+NvUQYqZC7LGoIYy+Z4KOB65mHx0b6jAaHx7dpl2ed8JKYGHJvPXvAe/OGOfWWyD8NbG+4JF
FAP1FB2fgv1mzXzAsW1sx5pOLxmmFCST8cme0NygOTmk45QfyDMS+4FD2NfdjslMkYJ298hfDqn2
gII/13qH4aco9SvSOZ1jw4WP+cDWfasPnnUjr9caRSubjHcxVZcqdp1vsYmEVQ61/uKgufWNNH1g
8p28knUtNtzrxDKJmoyprsA/gE79SLAHgQH9PHMeiD7bhyCx0Z64gGpnxKFecF/n7ddoUsFGL9zp
jBdqgMEEw1/RfZiw7Iq56TZzbxZXpWEDOx/SOy6rZqPbgXEryHFnzc5eDKnKUrsWaeVD0Ibkb5jV
t9Yy082cm4eJeQozpOq1y0rS6t3W8xOjf9IDmLx6ydPeQwoEx6F7g6z0XEdip0918GkwKtA4Iu1X
jDPSdSkxhjXS+hQAL1nb3IasZYrwiVy0dl20wleMkq4GFz0bRYL7VTrMGh0kUp8glC81hOMtpiR7
Og4qYI3dm4ysMaImnxKHml+yVPzWwhX9htw1O3rw41dFCHGz7DXGn7Yctmx7jkOYk3g1K/3sBEl5
R2uDSziqqawEIuWhatxz1VfDS6FP2QvwOHG2Fagniwpr1UDp9jPuIk5yFSP+jgoLmi92GW9lj0l4
1eN0MI6tGRjjitAB+2x6dbd1wxoeJ9LjR2WP2o1tNOAwhTnWfIgE1gdNqG36NOmuHKuRXDFFEK7K
mlnZSs4Dj8GxK88leVRH2q1gE5AARshdHTx6oBYuyEPjZDO3dcFqwSu0swpd60ClkO4Mvaw38Ug8
IbTekjCDZnwvctO8MfJQfRqaeNgToVl/tmuFq4qz0EfVhTTNGVpfkxWQQWc+pDlVGBtd7aiXHGCV
Ydb7Epv5umpUglVjCrCtGC6/VoaLUWZfnBYdQtsEw01qa/p1ExDCkYmy2dWwDVnQpsGamuF6xFQH
f2IXmiEyNnd+TpqmrPyk6PGf0b2uZwOUbhy12TaXOhEzTSp3RGVcj3FEPjiOlBUQ0yXnre1v55Qa
L+3LlicXY4hpwKxHRMSA3SjVnoXyzkZRtd8Ghzyd2p7U1qvscNtlEEU1UUOQJkbRh7PMLQ4TZ7Eg
XHiCljeFM6L4X/CirT5YcHrHHTvi0G/FfD/ZwjmPsQnO3nWTHYCDnY1CbJ0Z8Cn7MvxWj9NOKB55
fV1mmz5O0ILo43hcaJVrUPbBYaiDqzisL5KW2SftNzlMsz2eggT4BM4ELUqNDarsi5dyuhonp9Ps
eMF0RZlR7VIIqyH7t6T2uYXbAdhvO0B2ZmqlhTwSwlpHrObp4YTOb8im8TBS/85XFqUKGbBhnlqb
qU3A47sVKRlWl45JtuK53ZV+bseYl9uwX7YEqTv0kmVNUJr7hcGMFO5Og3W7zQtvUWx2w31AQOvG
mOb2HCZWuU16S16jC3yq2btt5sq+xB4TuIRt5iXCdORnnpXcsJO3vrTMCNeJWcxfjNZQ10PuaABR
+29MP/DSWGZ/7fY9+z8Xna2ETbso79pbdJrm1eDY9SWkVNmYAYpptAIvDCNZVeRd8jooJp4xVhmm
9qSt51psr8KEFXdaEyvS9/HIfMdlURJUGTgmGe9013vwYEyiAJCnWVBoo+r76phDv5J13pxtI11n
pXyLMrNFUh97xykEab5JjKXoD1FAftHR+n51Uiu5Yo/bUse3ci9IbTo0iXevw8TSVzW1DGvnXqWH
eQ7cliJBTlcS89wdKWnz54zI0Os2yt9oQENSMM26Q4OoFollEZSMqaK3Os956mt1/tXpidomqVOp
bVfE/bYx9OaZ8sXemBgHLuQwk5shjIuIE+tGJHPYspQARKpLr/adaeZO64rh0e6G7lRXoriaM2bN
63pS0F+LGozx7IroC35OohOCJB63pNfxKNC9BsMIrWFJHZB57lfkXRwcfWgZF6wC7mcFiuUZ5CcS
pQgPFep6ITWOfHIS1p0+FA/F4sazFl9esDj0yLYaScmcD/Hi3qsWH1+5OPpihFbPxuLysz8Mf9Yy
tG6SZChRKZdcQiFFSfJhDiwWnyCa28UzqH6zEFI9L47C8Vd/oVi8hog8+/do8R86ixOxwfezHzEn
potLsV38iojir9IGkGgV4mW0c72/DSNVXUgaQoi+eB7nxf1oLT7IZnFEJos3kl/sE40ffGcP1LiW
4KDMPsyUH6OM/019fjb14c5lFvP3U58DOpUC9+33mirj1y/6fezj/EINabKktWgF0U79MfbxjF+g
eNnuAkLywEQtUNE/VFUMZsBZQ4thvQpY7o8xENpP2wGk+LtG67+aAyHR+mEOhHqUGHPok0ymYE14
C6DguzlQbMcyYdwZHceaVpZShCR4AmTsU1U7BNKSCS/xOXOSVGmNvWwBO/Ao7V2LAqblkt83Rg7R
yGVeeZxnRwabrC+X5Ymuj3eUx7ncGQlhRHeplzSfa8T/1hrLUZisJwD23KRmS5rlkLs1DG+rM0kT
0mcmIbAtrryEmOBVOzTzYTZmJZdsAlQlmSOaTb+gKklPLnEIt+TwrKSr1V+8ZHLeProi5XrYSmad
1DeSIFW7nlwcuL4RDtK88kxFPJWX29cDIohV3neXFjvo1mkh2KymrNeFb9lGfF8lyXQ3Rro6N6GZ
E4eCG2XjjCW6lsQdQ2tVWHrowlivLplV0RCHZIDiTJv2ITy9o1k18cmI3B1PbEQkURmXxBDTCJtt
hKVBDWwE/NHCmCKVY37OPJ5/sWiye7a49saL5EuIi+yGea/nY08Wt52ZNIee/D0/MszbyJ5bH+Ot
s9EmnjQjuTS3goXrWRTDxdKHdm1lGRbLanSiN0xV1U7CEl1zjKYnI89RI9ljfVkG4LztURxe43SQ
5yEqBL9bN3dX+rCpzbI8B1WTvye9TSABTL5tawEPCxunvZi292YFPCKMAG8Rcp+adSH/wFny2WPM
tiKBpiAs1jr2A+FODrbf+wSl60WM3ngSlQMAvNXxlKbRlwRm56tV2gMD9vGU6dbkW1heVjYmaYrg
SrvryzG/z5o0X7OHbs+mSEmX5h0hEzW9a7JEnbURAS3RxO0njlaEuq05nieM336F+G5jWPymGv4t
X++D8GEmaTBnOl9jAUmK0uPbJglNSlURX0RG9XHSu68Zf/8m7GR25/QFPg2GiN7Fia3qzkUdv5pJ
Swg4tOf5zN5ZsSjqtV2Ki2w3a11x0U2uaMfu1JWZSnmaMnNVNYJUZC776xKq7HPf0GxsNKVIEUoQ
CWFlzmr6l176dZoiOEsCUkLq7mRD8j3qkX3ds+7AuWIXeGdLNyHhedT2olh0ii3XIF593M5dwOTO
ntWjpmVbmoILoBZ9Gzgn2ePXoG6n9eiS20g0EK5xZk2NRx6ZvBiA4zeFW721leMciP95nBbgFtXH
S0422RaPgprWeWyeLDmgMlk+qemrFlLTlgYcr7nTP8vOo/uevGDP1ky7HkjK3ARdFfqJLp85DNsb
s8rHrdY2Jazi0CLJtJWPElcouAOnZffJTlajIrYT7egArFxhzXnGWVhvSDdpdhmTP7xIx1nFVypX
0apWTGMZTBF9RBSq7SGmljnsSgKnhqGKUaEk41oSHHAhpDm7q1wrPIDfwn8/p+IA+HC8y8ds3hUq
BYJRVUTDpqN9LZseV5YYDs0kg5Sojna4G6R6pLvW9iQ3WOeBxFmSp1cEjgw6Db8mM8+Hp28mCGIG
kV/hCznnjfulRJi2se3Ze0joy1FtFukSnhbcTsKNbyguXwtZyYNV07zPsfFqVz2qrqjR1Uvb8JKX
0E6/qTLzFGYo2FGscEnrYbbuc5lhy4+yW4JGcCKPnHfQrvGnOcX0MpNXSBnE+UyBra7iaZxevGnE
R4gEv76vG6YUOrqy0C3yG2Lh2FP2XtZVt6EVMCipyBrfVaZ0gO9bvY7vKSkPBJ3g5I0LBS20KryL
Spz3qtSHdYhGdDuAsMd36pKZDZhHuavKLvIyWEv0aiMJVZ2V0NvEtrY1Zpz8rqny7RRhneJwB1Ay
do9RNrWG3E/kuR3zQo86ni1a/ZZqmC/Jc07AwYzRYNo3aeOim0+QPe3Tzk3mq1E29t3IA/teNAG3
SDpw6R0apuBPrRE3x2jOyUWGtWp9UVz98dqA/IhAUQscUi3syrnUAEZMAtL15liCuyY4PNBYIwJn
J7RUHSa2qDcRqTP3eMGFs2JJ4uyiNODC9eYhegYZ1G56U+Z7Iw6jVzTNukf+KKUjywclr0LREJHn
yIpF3TxAte0rBPyD6Pt+xUaBYpyj/b1IJSFpMM+Ga9W37e2ERE/3HZxGDUqFoqLlwqg+rqC5dZ91
TIKvdaPHzzyTmTdj47mmT8xvgt7y3vUx6gBlZIG4aPigPmtEJp9z3Tk4hp19y3Nhf7UKz4rpeEXd
YS7t6Slgnhyssj/knLbrlvph8qescfOVF/Ausp+P3Meun6yrzG6zr1qiJ3Q6nQk6yK7i4Q5Vsf3I
c8TbVCPI/m6aTG3NGKUKAO8aEZJgYo7f0jj2JIdRyECBkJ6F3Ua1n0+RdotMEHuDKfLmGaxGehbZ
kinTB0o6a9PLZxZNdfpVqjq9ULPfZy35Iut4LoJDapAqYaQRN2uFyeJmrgVernZoMSSYUFaIlDE9
/brKouHZGqbhW+BG9Ysr8X6yRPVASYVeCIO2nrRjYyT9LSQeHF2CKJ43qU/tDanm6EQFLu0967Cq
2TvaUL144Vi464nIpUNlKAJBkjipJ9CzefK5dmNJ6l4p1IXoJnZY2ihqhjtVduCew/XVmXo1rSc5
oghIIxLsnEZ/DjwVyE0R6+noG71m7bpMxpfAq/Qd9jpnXRDlw4jflUwARIT/wzJ6ohNT07maBlUf
jUjZvl1JohX7rmV4xAXnZBUBoAyFN7XO/AhsgtqA+/HkCrDWndG1ym9ZvF9lWk8b4tAh+aOTVIfW
kagA8qxontMmUThQwq4lAYJIyad0YtuyUbgHaxAF9fwNtpG4DvShQhhgf5Fh5H1yoiJ/LYlz3Ark
t5nPER/kKzLW6c2BEXEiWuOkH2IIY9feLJ2XHkkNIyLS9RjEWzP8EAQkX5yhiU4qMMSjx3SDNO9c
jHJVN4wvi5IsR5xr/GtKxLC7x3U7Xdw0qPv1aEbGa+/h6KkKq3oJZaDuLI+RFRk1pv7czRSQG0IJ
O64lve2I4XOMr0ia6mQT5HaoodRNgie6vOIT4zu73YoiGk9d2027PtE0xAANaTQ5XJhDEqa3Ovnk
T3XhnMOpZ++Z97hztQ3TRaJXJuXh3PH0M8sFjDEeOcu+xZ7uBncqqahG6Oxq2vZqZTW9/ALneFEF
lVX4WMjJgcaZDzSAhiaMaW20sY71OgzPrTJnhqlzcDCTjF2CtJQ/VyLbdrreXRGas7FxTnyLErOD
utXZDhgr8M+rnn2An9qq+RRaTvDFlmWw7UsdvA2f5rzM2WR3HZljeggpsxgMBxYdddyEkGXCVCZf
K2YxxYrseTpnLco4WsRwXYLi+pwFIykhxJsRL2Np9AdBd9VUo5dwgdvuiZhbbx3q1IhkIB5d8A8t
uR51t3djxFKLaj99atmAN6soGHpWN7HFoLlCw7epg3k+pZpB0gymzCteYXZlEuH6FsyxYlVKhCU6
mn4beqI41FkofDOdP1dYObq1YRrNayhq51bUtfbN0OPm8L8uuVCxmn7SJQs8uagH/r5Lfvg2vv6p
Rf7tK35rkT1BH+yZsICXxtZhY/JvZYSh/x97Z7YcOXIm3SeCLBDYb3Nncl+KS93AWMUmlsAegfXp
54Atjbp6NK1f//XctMm6RWYyEwhEfO5+3F/bNWQgeMxQlrF2S/zDGUFdNCklGUhg64KI3z+PyNL7
W+jApMBvgQuUvNB/lmZ0HfnrGRnbmkdmnGM8XmBsR3L1UvzhjCwMjXQtQ3NGp7J7GSyXAHcx/wwn
WdwstkW7mGVTSYhe8RCM4bXWzfAKX6R9bGrrsRWdPvf0DrNeB8u1i5p7ATbUj49Dnad3fdVa733A
OTciYN2e3DAmpOF5FODeVYE3O/euy1i0pGCssAPOwV0ob0iNiBruHCeXnMThUjvHRpmmuaa9TQTA
3CE6TRNz2AGNk3tX5S6or0TAFmnGrmu/FWFlaHULqrKwz2k0+ZLAB0+dfZAKVx9SEsLN2biIyhR+
wtpjqDvJeY72Gc46+xzUs3x250RTZr0QOaB5yI2n8Ih3a/Yu+qz2mIgq/LH5UzxboDpwu6mh3aWM
t9/zKg4/Ej9Pgt0i9QSIo2NcNxAY0kEmHjGS5c3O8Bb0kfyovAyFw4LU+zCT4txG/BlNAOZvEHk+
7Jc6n/Hc1fmphGnyNlWZ4UhXOebEUT2EMRZ6b/CxeAQ7SQoCLHtMYCHxZfX5dYtGecrl+JzXlAbm
FERu7DJKTmpM4H61ZZK+ZEzxEqTx7CIIp2tQgZcp3X0vOuFUS1vbnVMS26fZNWKQkfg/qbxfkWbj
20LxM9prRBbEuUgm9TwNhgdZZOdnork/kqymDTtW/eMS9jzAFgtkBx8pzuV64wXNeNRBSgMkKXgy
uw/Dkj37hfysi8xcLrrGI6qSmyVtiXD25q0u9bkc6uqkTIb5JnN2E/oZc0Vq65pG2IeOAFOalPVG
SfUMt2hVHax6r8rhN3qU/OvSX+K7MaIkUYvJ2kSwkzYavKGae3V0B9feTMtwK3O6qNmqon7Rj7Z1
WZyv2NF01yFzjD1oN3FBBWZ2qCa4Ob3Fzhp9KPxB4xoBfNqaf7DZog2vm+d903rWQ0K/ChOd5LeY
If+tZ5lHxEwOJIT1j6LBlFNlTXaqlO/DwxBAUOrZsxi49AcTekDBfDc9dJ2MDknpuVsvtaLj4I+/
1Z4qL0xK+o2CRX+DG3MFeEzZj5rWq+3gVeU+ScCmRaLUu7p2SlCRHGm9Bc4K3PNiT7sb2ws5Pdke
dQddoZ6tImZuXo2bUmPT9Iz14oFO3DhoF+e0JQBokRP7dHqv+94vwTa3cSJhAOI8PrS4evpZqCs4
BJzhfcMd33dhu4O9bn3WxicVMQCS9+CEhRBAu3xgdjyTLzpJJfqH2R7G4LFwVXPnC1lWxHfIfTUE
bA4IgghgQRzorV30+ZP2S7M1wl6SYwYqG0dq0tFJ7BhejQuL/kMMsD/7onW2Ih6GO5I4NpoElwW+
CXqww2maP0CpCbFPAnc+9yarTtKwT46Ohktr2loIzWtxhO0pjryj+bTbdqQVZIwb6PZ9n37OuWZD
GY7RCukTbTPe4AjWb5phwSA5vXHkY6cqLtl3lqQaGfunrSUx+BBRahWmyDn3j0EKkZu4pYSthkjp
Obg6nGZJNqJpnT3yAtxEMFwM45dXxpPRc5A1002RW+/cUi9g1aimAOqyL1tzRrFwbyAdqF1XyPwS
38dHrMNul8kGfGaX05LnQ7a8lt0MdrLsF2eHGxybbhl/o+1QQXmLnOiqcYv6bEcU1AbOcDXQbfhA
WNV6pBYjeJell+0SFaGslhEDqx4aUb0ZJyn3cV1Nh7mYxbVPKz1YXKMpcDYGTTyt9/ye6lBbAmVx
vWtJvPj35TI4B9TWidhhkR6DYrijDzbbZ7M+jTZN3Jt4rQ9rwyXcELqp7kdnfqt6fLzuUEY/O6nv
g8lNx41WzoC5z7z681pSJoS1l85wQYt2uFM9wXmKzxtDhsN197llrEvsNukhXGvRKgH8p6knCIrw
CGlXs1kPEPozGutuF4tygDljO1fNfYA2RD/apHNuLexInAVoMiDVOG0EbMFtlK/HfRuM8Yp4BMN4
zeEtIBg3cz6izHgrzFRdGOV6G3/svE1ijw99uMiNCmu1r9dOOf626NROE3iSltM8k7ttbU+CqVpU
/pzXfjqxDt76tbMOtlS7y7+K7PCk6ye6gKOdE2KybtfJjDbtRWRFKK9W8zm1wbcyC+r9ElHGJzTK
8zgjXVkuaby0mtJDT6TxbKn2Y1DLdWHiniJTeObLyPGJI1V1S25D0FrJF4tunx/GjG6+ZW3ps9a+
vrZhyEMPcLYNE4a9tJxjHFSonRJey63X+t+XtfevYq+7T5X5LmulLj3qAbAwMduLnXEmqZHbV1wD
+qjXAsFRqc/eL6LD1Czfk4bfCqaJtYzC9/g6ru0YFRmQLw/+5EfZ2ONWFKa7i5WMt1BVNfOqcODh
Dv7AF8kbmJ3PJmp/c01WHCigmqCXui9lx2GlVLp9LkJ+1YJrcdPQpvjZ9S5GeE02GRQcJ8S1OhHs
SX6Pl7RZnSuUKlIfcRjpWuzLWDBk5e5ilRpewrnmgWGcxyzz0UET9O18Injc+1nxQ+IZ2ZZrpWPv
lj4ybjBvKdyrDtiWyiviC+PezAs2G2f+odN4RjLwgf5HvIcxVQovWBs+ayEXCKuaGVGF9crfUCIB
xGxUDW8f3TN/47ZX5tqMVfiExrhiGsX8CH70wodktsXcndz3jBLuOG3kb0HuP4KQwJNWJDeurPXJ
6cPEIeeZN4TtYj5onKTut8hTDC09H+yLCffuEvtUUegg4ZseRlpS18LOzB8ie5vUklnLVHm7me8Z
k5Rd3w6IGicB6PgUTF74fVSaEylFoXkTm1ukCyvfD0M6nPLGOLde6Q9IC/kEsUI0BntLim9LDlG6
et+5IkT50IaR90DWUIstq6bFFkM2cuu5uvjUnRPiHNJ5wndKhLGGHdb5R2bdHrdMRcrr1Olo6bcU
pPo7eugfyUbDqjTiijFW/qqRq35UCdTBMY0XQn8UKbWJ88EQyHus/Ez+pNvWKrcL81cFiL6fLppx
LZLNVJr3iBzz9FOslbOAD/XjMnbtRcziCaDcAoNT+XcMtJFlAxPsBh4H0wmje87l7A/BR5wE5TaV
OriNjJe9eBxOr+0+83a0Mxd7aKSE4+tmKfBUBqjXxqkfGLJ32Xbmo7iZlERyFzHCVmCanlbIDlsx
wAtNje9a6JvYXc5onKJfm4jnvuF9EazyrWPu4bk/kpbJXljN1AuPuP61GCfxqHITn0QeZBfCG9nx
xq1/xmtm4bwje6c2M5CA50RmxEAHi3F8tKTdmZAWN0QKQXDfZAXqENOLbVpOoLMmt2p2dGmL/SJ0
d2+WybyIcOk/PEbop1DX0WWd5+aWiUr3rXa8TnH/1bnZwU6CU+ZhamZ3RVqoMyXyuOfpkZZkVlh8
Z4zjd0vUOEwTimYe9lnO/XAJXKYs9yEa3LcxDhf/NVFrwfQQTjxZQ4DU3IjdZDZz50/J3lWuf+Oj
tzCGH32LzUr/SFUUpCcau63ropqyt7ikYAmyZOnuQF8XF8yoxC4H6xVuXFdZ2HNWH4eIp/h+4P96
mkqWV4YBj1gqKzZhbf+jWlu5rTQgHm6W5LL76u3+qvA25VA+keUgcCYCeRzXru98bf2eEQB2dQI/
urGWQjM8abzDuLaFF64HgdCDFr9Bklf7Ibf7q7JaemAqecUAb0ruZOPEjIqCvKtvpySdvB3DPNFi
kg0DX7JZKJs0woVJVl7KRn+w3cywikHebUf3sTZgRLHG9nMdBp0+5VFa4s/O52G5pOEL74HO7T0t
7lW3o6eQdZSILngvqN0nk/reiwzXGPcCuDs4dYp78QcKcrwTFqLPVYZfBIliFl2OqSPBRC37gVys
FYysPqarrwZjNadeR/bD1BrOAnZrrQhnahMME0wgLs0FI2ravI2TXTW5l21j2QefZYehRDBmXjZd
hp/qOJXNk1ZRnL1B+oALh0f22nA/kipdFo/OojD8rQ6b5OT3JVtw22DobbMueF5ybO2Zz+q8jygd
OWipl3fBxvpynBuQGJyP64ChJbUO/XmRrblvmqx5TeHSPuCq8c4LE+OtBIC481LbWWuE8cklioBX
zWR7K1oKGCY12NsOstuNiyVmt9Yc4SIdiOBMU7RdKjvfJzzr2JxTpj1JmOR9EVxYTcUEjoP7A0Uh
0aFTQr577uSeStU1m1ixMhU1bbIB4J5jljjDrqs9uJkZU7+N0un4o4jooafw+taZ0uhDVLT78k42
nREME6WcT60N+1H1fXIFEiCcNoQ/xj3XTXtoosnbt7PifMNFKahVzKAsxGW6R2NLOY1ACdLs6TfU
mZUnK6NFhMI4eA+jX4WkNZGrLWHNlNg4zqGOad+posC6NVgnmVOmJ+i+xTVSJ5TOpHJgZ4/WlwqU
/tY0vnsdx1nGQtuiWtQW965eGfENinuRFtulKyhpBgDBQ2ec71MjopthStQ+rzL/pJhAUk9HLY3Q
dX3OhH0XwpDeaI1naouI966DKqfwG/IcG7s2vFHwWbdTKdTeLlBx8iJy3hK8EKQ1NASyMkvLN6vR
bxSzo3kN4dGF3yY2dTN8IJNqxn4ChGKJimZz8ESu8jDMgC8qtjN2xU0eJIyyl+KdnqsUPxuYJVlN
r/DZLtMEOvnSflR58YqlbL3eelHve1OpejM5zt4P8daS4Y7PkDi8d6WneFMmAk4cjDqxJW6Ch6pD
/V1d+u0V/dkVVwvdXLZQaA2dm10xY1V3zB+E2PUuZvj90IiBqSv77VwM2FLX8c8U6uYiwh6xh367
4JcNxW9jxREtN/lwKl1SLiOBGfqYAyYCDTTtdDJn6Kf5RoQqOJMA2qXp3FyEjd/yALZAFQTlcL+o
NDkkWfuD8xpbMSTOeecueXlR9c1AoIVc/Qvl5rBvh/Haccr4ma3UU2a17TboTHCZAujdwhtk41in
F/G4tJqQhNXtqqH/HtktKBkK9pgNPxP5wZ03uO6h8fGJjtQzvqSTXW6ctqM0VoQDIe7Ye1pqyIHe
ouRlNadXmVW9mSbQp1mnj51vf9L8yf5vZndUJU31mNbyjR5OWNxD5X5oD3yhSCAGgER8nkDbfjZN
aS2HpAp9eu9poN9aU9OnaNvlQzgbBKE6ye0dVRzgBgVFCptpGJiVR/P40NIzj380jGPGTmYcD54m
o8zmH4c36RpKrXsneqhYsIjcOtgK+POI12zCLjUWd0K594XqzrJiK7lkycRRJ97xVTXBtco9sgy+
y8YaOhmmr0VlNjaEpaj2Q4hZZt+LtLkBpBRe8D/4T6oKP2UiH9y8ZvEIs/SMVKPOs8fD1XbGn7Fq
+vaoLJXsJx8DdxDk5c4rpjM4RcWtbj8jGVeYONcmLLnOApsqAWtC/R1KHQ2MHip3TPPLGgl2CYig
MeL97YbxRHvIKRja70m4nEEIiG2RNeJCJdZ1HGn2OoXX7vM2gMU9mMPoqGAfKL+gM5PxH03aeKDZ
6kNvJ1mO6/uqS4b7KNcfAoF4R5yEcrapum9d2rEZzAQXlYtFJbBMeuTswgCR8f3tKN2XzHY18owF
ihu/8jYpHMpxRIOpui7t04RUsuu8Xl9U5GGZXGD9Fcr7aMis3/eWYAwXUy+e1vN3leBTlWZ2DoHq
gDkZ50fsDfbjGEJm96d57GBF1ONvHqDkR9Y+XAK+120D0fbnrmUYJex8a8eWe41maTFnyTK574RS
p8ivaOAo9DZeHGqEZDZG/T6AqRBscpGqc8vz0Saxhcdhbt61jdt+hTWUO2Uty0860uOJNJmy3mu/
7G4DUVinnAce+iD8j1OoKM0MFEckCCh5ukNkP3eQf/cQk+cf7LO4tZKmfKfHJrylQjG+Jkjc/8Qh
+pl09tzQ52HpM5Gm6H6Z3HjrZQGQ7CYT47dw8vo7KVN3uVnRCzgzg7I+MgUtgeAap6EFDyKMjSE6
2Pkqm3aNzICz0w7RHLKGhKlL6+EN2q03bD0eBqcsHp7mxPvGDsF7pMKrPiS4L0/cB/Pe77TN4Sp8
JmrBCp9W8jERZCt06pB20fF7CfBym5dxSGxDyoy6lFJZl6NkU3NV4HfGjTGkl+whzHRIfCweXZ75
/dmtWH82vhFNfkxiMucMiYp0MzILY09T+jYhwiVnezfWjbc2tnTPXeO2l20bhgPOKXqBNr1gxjc3
Odgf1oU3v54i52ZEanoa+AX+Lmz75aVXwOi4jWOGRgyoIe2RuLt2+ganO1dPiw98pKu6rbKrZfV6
YAt2oo3p+oQdE+opZlVMJTzm150Qq8xbqXw8vl1KM4Pqc3PCwAt205paNq0QGqtNYhUD9BFnevT6
xjB8EqqBZDQL4mkw+J4xzyQfHhGkZId8nEw7Zmrzw6xgJGwdbrT9gmkbX4Dm4I1eWcDQFSUgaKf5
HNlewxJs72fw5ZtF++LcoNrtvKanpjEDLj4lg3zJc3bgO89lwV46z77TbY3RoGgHajHAXrHj7ZL6
rlgsLABu1p9xNzGXKRdiPx3tHy+qscSNKMf5KBvQARxetXOvyaE+RFbM8QUNLwL+n8ofc5GpM2UQ
w6OUDsPQCV0xI6HPsropvbCS7BlTqkY8jS0rGMFn7Ygm5XrjdAT0b5jwG54nUecU8HHk7B2Mj8W9
a0r0VoO6uJuUvsMy7OL7mhu5dxhDPYklSM65y1KJA2v+LJrSfottzUZtwWKyY9LRAWOIsLUkeda+
9D5u8HHNlia1y8OMS2rHYSfbi0Tnx8Ya6a5lNHrZxVNwMYzC7BvtqyuybSRgVGCLqxomwTeTV/iy
/Skrd6k1ulu/c2OWE4NNQ7XNDSyM8FSmdrLXw9IcAYS5W6dRXCVWN5rrEHTLK9Nbi4fY2DwJ9ndX
0JTHQ2/Y/TPODJjSWOnDTAJni1cR3xZaBi3AurzuTfTTGmx7z+IUn/wUTdeaFxuALbeGk0POyFqA
xakd3gFamy4oUhzgFATYLv242LmGU0fPjnHLvLk7Q5rvr60uUFd4Sn9U4WTvhxgzGJjGd2z66ZaK
HE4GOGjSjR0TAmy7+dnKnPgQdHa6b+Ti7C0u9GM6NHo7dLO8UJqGjm2tqlluohCHiTNhlraxUhoP
AoMllu4tK4ifcVRYTpCtwYgEtu7vwqBmDmxHRbGrsNkXD5OXZrs55WGT0zUKYJtOlisrIF3gId8w
Y7XZadTpwVbwIaJ6ufHUwr8X8b12pvl2NBVz4EE9R1q+OgmLtWdV+wziw45JyXtUdTSZJAge45gS
oLAKsatgxBykrdzTSDsG5PCHJcQ1R07II4Ev4Jony62TZs6myNuXRrf5nZ/0p9iSeL5acxwWd/hu
Tcgg0rFeHWGLg1jYIU+QHY7NwIN6Cvv3Msrb+7Fv7/taFqDp65BHu70eBNPCug2daAZOLdOLthLy
ChzWB83I/XUtqw5AP8aGDBmMQQ+0NDOSoUvK6WpoGtLNRfvyf7L1/4tsjTAQohn/77I19cKUuf0T
lvn3H/iHai3+tuLqcXu7ToD8/fcsf4Rg7UoeNjKAFi39tSvxH6buVef2bTIjOL5hoK0699+z/S7Z
fh9uDV31yH/B+lP/Qbifu+BXwRqUr+O5ji8dOLjYu78AXn8QrJmJmKEKMmoX2nK6tHLNtgzt72Fy
PPVRVsNyQXwDOxUsd6xV6stl9eW3+rJeoShZd9hR2H/jwhnuXMfEz2rBhnvZrt6t1GR5clG3q7kq
rnqHYcCX04uHxB7vR/A8e2a874mV6003lwX9J3lYfAyrZ2xo+/A5neocL9uXqcx8Gcyq1WuGdeoC
6SC7GFYfWv5lSfO/7GnV6lQja1v8VmFeQ8FdbvJoGuD6t+4D/jtMboxG4k8OyOUtuLdrVfS4Vjkw
5W/L6pBz42R4mUjEbSVnlU9y1tjoosQjMN5NwR0M/KgEuejou9xLpuuFlQ+RlQDtZ1Ba1n1d5QRy
gqFMbgZLMjJ2VwtfgjkOxzy64pVMc4XsjjaOfWzs0/cFWuep8GO9J5iZvnHOIpHqhGWIsuthHcR7
XjzONiU+vddjt6Pa/pSNRXIkDBeegU0NR1FPYIeWsvQfyzShJYO6wyJgIIQtB7MtUK1NqiqbTYVb
Rx8caKcGk3sXiC0+K7RGZoFbGav23KP/73Ntswhj5ib31k7RZcdC+2X0rwjWNOENvR8UtlF30j8M
QdmeEhirJ0oq9I/UikPgJFlZ1FuXos3HthjNGQg1tj5A8/c1q7nZMG8pbm3USAHZfclvmQrV5LS8
YHgtemQOjj0mxAtf425IlxmxgaludHaIhBoKI8Z8D7Cpu63S1ac0ZfjnHL9pd+44sdsSmUbKy8sV
35cytmMx/aQIau5PwixttrMIhX/SKFC47B+XAsqqu5ifVef41okDYvEc91N+MThVi9oz53QqVf7w
3gDWu0N2YvHHHHaILKfjKOC0DnvpiBzARK/w7WJ0kj+3goQ4B3IrzEjV2Qt+7WNgDxnD9iC9K2U0
28UH365kn5CWXcZny0iXHf0Vj8K5hjfgB2V8w340AuFS8wh0zfA2eqN/Ec62/JaEvAbxyh3tuY+u
ZuI6VvC1t8a24TTFlb2mfxlkYlD3twOUxTN+UuZtJdVuWFG77Vx3AGLViKUD5xTPjXqvEdG3rbHj
Q56qeWMFRpLLjEgjrc/JQtmXEkrOdS2Y1Uy1+0A+61SMwmNbzPmDsSNGW1HNJ39q+dx7GjrKzeDO
8Y7NHlegW7XixiKa4NNK1ztbPLfRATq1Ocuyg8lLEuMCl/941dPwshvbUh1bDxfyhn6q9tLXnNdk
3pco3JULZaj2vSPzF/NgRfoea0ML8j7/JAn2zbb6jV+E6iNkbrnLfZw0dZbrJ6tnvMg0PtgyO055
Ynr2I603rFphiX4WYUHdCB/nN/pXSuA6Cbd4c81m6JnouNVz5HZstZnYbKzaOeUmefD9KiV/zwEy
Jti6zTPBUGkiWXrqGEnAk/PXT7sen4RDnZ7A4o7jwV2Yl/kD3pdcPvjUF+1YnhQ03867wBTBnMGD
xgRHSPfXXqTEvp3y6WouSUg4heu+BiXgolQx/5ro9DoHvQmegsDrL5sRZYpFSrOmENvAgJt5sfUT
vYgjYKrYpQhKuHBiJ/ndMrA2qqQJT/XiuqfeikgD2lY07ROdTIdYIuyYSpRb2rXor81Ue1P2UB6C
rlwdefJd+BGaVUKcb4pp3PGi1uxLvaIAHD6Uexoq1J5z81rXmRR82tKB2LgNrSj6mdE1yWfurNPq
bKIvMgXkcpVhar/NdTh+DMIjaYz/4FgaKfYiZJbAZr4/dDosX1uqOe9Sgxlkm/D1v+ahd5Beb7HR
m6pbG4kc93EinqDjIWLNrnkL7MR9DNp1LNHS8jgTWTgUDXbFYTHhBRkDDb+AWcsehk7Boptm/SM7
wvocptp5dzSXtOO04xW26uo6tBtNFM+zb7X2qFuECs9dNc6PbL190OuWndHkFJkrEcXDFSMsZJ/U
y7dDrhV7xpAls0hu7YiClQweyJ2l+iAkFBwGWL6dZK1wl6tkny5nTtHpoVR5eZPJIv6WVljGN3TJ
AKHNZIaRyhqyK/ay+kSUm0ndYk8/Sth1qOXN8uQMDmPnOA86EqKZSTZBq7+1ySivFnySV/hYCeEW
vsi53tr0Aa6c/Sg5G0KIwU5FNhmPCxnk9KVpG3xLJH7vUl2T+WZhak880af3lOIcULxuoBFm7Yns
hKO2QroLPJbenDlI3pue8C5Fc45tzCs6yRpYQuuylXhF4S/gFE5Bl73A5VuhFab2e55ESoT57VKn
7Pwrpy/3ve23u9mBOL9vxLR8hGbw97GaK6b8qAoU+7n2QDp6BBSazv1xFOXTOE105OLMAhCUxRd8
lcWOzo7i3mlmjsNVcO4Thk8t1Rj/B5X/fU/772ydtDr/JfLqJdM/60pn1R83yc7vP/WP9KNPr4Qv
6aeBxfm7E/O/N8ryb9iafOxrbId/3/L+90Y5+JsIHemGNv9FBjhC/7lRlrg+nUCg4LuSbDTv8D/Y
KP8KQoQkH3lstriCHX6bDXvrV1+nxE6jML34l7TsdKeutKc7z6YLZZlntWxNh2bwhwPEv4D2/qsX
5FBA1tL2BP3i/GF/NJIq/upGNqV36Xiwi7B2samL6Ljj8bbuuLR989evt0K8/okP/f0PBBnG54VL
Cfvsn9CL5CcXzWbBvQzq1H/PI16AUjH7SXus/X/9Ujhx//xSfNV81/hbxIre/PVP65Bmk17Z7iWE
AO8d52d38syS4TSRiX1jGFE+Bwr0Sxd708Nfv/S/+Cu5kjyuBoa7oF//9DWOrRpmQeTrUkuaCQmv
UTJleRWDoSFBgfrrF/sTzvLrM+UKRDsnAErrwXqP/PE7nGqqsIIpcy/HGmYrsgWWJDRfAY13MEGO
G9SBlXAuKUglFALBSb+6dk1ycCoyi+W0iq7++h39zz/fx+fs+3ikAz/AqPzrG8rtFBdmwuEsHF3+
XMjl2VFYin/8/72WbXPToGUSHP5KE//hYJnkjmACN7uXjh7tm961KKwE4P7Q57J5++s/a/0cf712
feregUV6geBg7K2m7D+8FBD5zvLr3r3k/PTJnD3a9xJQ9F+/yL/67FiEoKHyYqxSf/oyxcBGxMgC
9AIjrcs8HFYjxUrYtBfsEP8GTmz/mrVeLx1fOAwGJCZyPsI1C/7HP4nwoQ2HwXYuc573KNkDr4lU
gYOg6HTzFrbKe3f9mZuUUi0mgwbvMBCD33MK/yv+9V9cwT5VGkKK9VZ15Z8vmFjaMo59eBNTaOQZ
RpttYSulNLKxNFdoG2EMUUoyOpsX0L27r5vXawCOsYJ0p//8G3CZYHAk4ZsO/sxOVwXpyxKX1iXU
sumBOgjaG7H8XbpNF+3/85fyfTrgOZvaUJ7+dEVNDQeILmidy8zj442iFaBN2zBLfQiU9t9wb39d
6lm+8f5BSKOwRPJy/+PypUORZsi2oZh5ZiywsayueSNXDaBiBB671oyH/+Za/uo0+ucds77kWgcq
eARznbnOOnr64+XVqGWdTHGoFniEjygT0Gp0p6cHf7Smh0zHfK+ORx1sGtIFnSXcUuUE3TuwiF5S
AOm3p6Xl8fe1gnC8RMuZFwlYLU4tYBgZiti/+ZBog/rlLqffgbEX8zNwgJyZfB6Nv75nptE57UmO
e9aFINe6ZkKBZFkHVED6S2tRzqRGQaJ0ZEjZyM4+IW7Pv+86CwUXBArvka5dvsjYS8zH4kBnmyjh
Y+qbopZsJNRWTmod4KiNZ4+gBm3yje9tGk4PFCp0eLj4sY7UB9Zjfm6nSaFfjDJv38wQwLJNXOfc
5XyAdCRQfE8gwuqg48joGReulYMdjlv7ZHN2SDZ49rtxV0YpWjpIvdjZ4D2nRLWoWl4j5JMmGz/f
oWgRp8BWz6kUI7F9gxWYK6Rx7eZtxgC3HK0YQe88Ng7EPpOU3Y56xSo9qyI1HxhI27egAXR9Lu1s
frBDdi2WNOCzFsD82Xd7jvjKgsXxsRmO4Rg/U/LGtWeU/056m6vdpQnufebM8qFt7Dgbfxi893JW
8ieVhfI0tEH70PmmPHpjgJMgS8i5s/5yFh4jnJ+IoLb9BMGIm/QL5Rcra0sYj080Bp1I/WJ2jB0H
s5RGnLFqaT+ZRfL5RGMcPGgNJkgOnv5oOID7m9Ifo2d76vSHAkaPmuvAwFs0Qb9tSCj9uW9woG1Q
oQhqxxW/pcxnqncNn5vbC6Trr6ccDoLwgIoDnR5Fo8tPGDqQAWdip+POTX133pTVvARnvGXdycqD
6Y5hYHQlcgkakRkGOE5BqTonCVCTbYb1eqcc4b0HCKqEy3MsmFvwg5xRhrUe/dys66U1cAg7ando
i6OcJG/G8QKFu8bwXPRrnI1cwcmc7MslpO7WKjFAzF5pwi3kVbieAW2wdOqqGLqgXcGtxr2LXkg1
Gr82NKAXJ8uZ7ho75FlkTKBWLznP5Y1BPHG2UDQWRpXFkmztrPTeB/Bd735KYRduui4qdt5sd4+J
s8jTgscs2AG9cr9Xw1A9hUi91+iDxa7F12Nvcgtb+MHOCD5nBdnfpGAqRchpmrZjtWBPETr2nxhs
ZDTk+CHG5gBIyE0osOGUbspAolRRBOVR45GlMHY7V8v8BAfKo+8rbZqzEiicFdck7g6hq3vTaJTT
PO5LAhud+Qzdpb7wJJ2s9E7ga5ppTp62vWJl2i4FC9cIvosPwZqbV79QnT5ob/Z/0qWJBdFUgOY0
EJ6DwIHC4LZvsp2d1xURKyhmUT5gha4WnX5PVtxaUJvmmkAWRQjVHF/aswnaY6hH/42GBEDRFeZq
PxlBELolTt4JlOv3qmgZKHhy2WI942sMMSVs4TNU3/MmDwyOmlTvlADwum5G9SaYWi13XVda+5Y9
IEMnCcw1pHyRhSkmsirihx5a4kWFlniRdzADZ6+ff0OMH4mTZdb9HNXla6YGupXnCg9LxYggb4mm
4It4D4zL/ZEBdYolCl4/dPBHGxpa8TzcUDYjWP5J1ZD46TDgQFmEhWagUEWB4206PwiTev3mm/GK
nW54kg4d6TtgTuPGxTwG1q6IYrAvSXqB3wC6mNEkXeuZCEFZ99+QoBHth0of+rXHoUrFzwI76mtU
ZPBLIns6aAtLW1/wPmi5Le95KtGqtLC8X/luu8JkBd9okPwXe2fSHLeRbtFfBEcm5tzWPLBYLE4S
tUGQlIR5nvHr3wFtdVB0W3redy/U7nBTxaoCEpnfvfdcPbpC2M9uRANzAKw7F7VmsyN7Hr1GXmtU
clOfAsp3WOcFoI+jPXhssKFMNeWS1bb56leCBSmflLwfqavSF4JhzWOF99tfu+1giXUcBjimAdWI
bpE6Hu2yuqXlyMfmcJOg2S0dwu27plY8j13alZHNdTM/5hXNsAshh4IUWogbGBPRzIBFjr7RBs5R
NUZ4uki6Sd53hcmt3wYW6b3BjIadJePiqYCsxa/mdLT6xkmWPOl56bOfC1o6FAwiy9zzQV2kXywC
9cX3sQB3VncOWdfEaUBVRmb/LXX70sezoVmflO2RfghUvUvy0ScnO/hhu0hkFLzUXfMcUX+7tszQ
95fA8cr6M2J/q92F9MwbO1cP3OsOH8bSRr5fB31fEo+zpw0dLsXDpOiFIq1u9g+dVaW3tl981xOi
NcQhz3FDmxTrKphMXQF1NNtC/+o3gf91CsP+DlAq3xx3fLQuu5jsvOk72Dy6IGTiXCa1c7CtEOD/
0CPaL2ubdXwZt7Xf7xo1iKNZ5uOprBvj1p6GUFtUKcmUhc23EC3Z7KhHLesA7gyywe5YVeZ5Cqkz
LXGT3qahWy6rXNavqKcJpu/JeKFzqzs2dkF+xPJ0iDg0rYdLOnrxmZD0hsVQJiwXCjY0qCzzMPbd
i4cf4A5uW0wEvgUcGPrWl7i3Y39ZgR7mWZmh8ZSM8ghdjuGpGqgZ1lSvSBh0fv2Mi6igZcBQpPWZ
2UpbaGBnmhpmh2TJ29B03yLtS133ECU8ZyB+kRn3NmbfXZcB9CvCwLsSYztdmgBTvur8/qlNGEOu
RV2b4WFAcbNAYAjiaa5HAOfaHkRfbFXQ1uRMMu0qcqb8gTgzZm+mj0TEdM0R8a7l4rnuecJ/l11Z
n9oCPNHAg/CYRTXon0IFGAeJjBj7gMVtS/iIgt6CnYWGsdDpLr7e9WDsIo9Ees2S9xQPDd0vY2Jd
QTNiGSU/AbS+LLqsXzHybwE+ksQ/NSDeLKKOJXhGN3FMFkRJKk+n2AeJpcTuV0DcxcqLuSOxp13d
OuFtjXf5Aa5K/egm0EG7YWLsGRFAih0CdCYllXMGMXJWMEkcbFreFGBRw+gJZ4rGLY/RKb4HPqqb
buKcQiu3Uy0tKp3PUNeHB1H1FGWGDaJOOOs77pvUk82qD2kNi5iHHqp623LtfveSYPhUEFV67ela
/9rbjR1uRGG39bKm/iBZRnnCENabJafpTX2q3pQosgXfrVmcqt90qmmWrIw39SrPM6Kvb5qW6VTV
Mp6FLi1B8tLf1C81C2H+myYm3vQx600ri2fZjKxx95kuMbQ0Z5bVxJvC5s1iW/amu2WzBBdoiLA8
s2dwSvonRmUgbIkd9+0E9T8Q3G9moTrjOk6L/+wVOIU1EO86xL7+fhr618/9mIa6f0hhSjZotF0z
E7X5K3/YBiS2gXkmoDOh+JFw5x//8gcYmA0cJltK6aaau9PcfzX2dD+euugQoPxFuoZtcPL+2+GU
dprS4ngX7wE8TSfHj6eNptcYoae0cFeYTcWuKS3Jo1Y21KrINyt7hzvliqq68QHSCfocTA8dc1Ns
I10pOQuQsacPN1VoxuxsNU66RVyxFNdRSNGgFzpju87q2dMlm+mkHMp5+S0T2ucCc4ivuyDrvjmR
S9d4GYbTpgoAXi0iZre3Jc3k2Ai9Yev2Pf3t9PJtChgfW6czvUNuDWyPbbJVMJGJphFzzYpnQ2Xg
hYSKV9nc7Dm2JOkQj03OurtkLOgTvWMVaQF8QBOSi5FaROdr5xu+venx2uuPMyIsXKcUdxDpjAPN
egqEQsrlGAOB5EjKiHEuvB1CrjclG9dg4fhuTywbV5e7yeNR+rc9ZvONSOK0xNHjp8Ld6DysBREX
YVh7ac7/T18Gyvk8EP/ItnZJztlndkcccgwq8PySMNlK9u5k4LeMbckBlCOTJ7AflBkhv2n0z51D
AjEXUwJLkpotfEZ+6X6e2qHR1jQzIORA1dy29rRq+F8cSbrq1YrK7tpxI1EvUUwNrAqGvEyhTpuN
53Wfq+QCtDDZouSKk6zdZOuqTVF14MY6zs3HKu03pVkWN2UAMsvCbikWDbn/pTYq4j2wih7iwoo/
i2DkqJBkkPqsNl82YWx9m233t26Nt65UQ7ki6qc2AU/ZfUPl3RPBeY6tQQB11KmyPcA4gNRestOl
TG4DmlEv3cB+Hw+yDwenL7ea7G0c9Nl+UOO9k1XUXaFK1i8Wz7bbNA4cINZGiCPaTteip08C5y5d
yYVJpGwKk4e8Q0QtaYLf+kOuXm0fFWxReVV001H78Ox30qJKrKBFWtFRFCww12mAN9GKKTnOxIXJ
3YidlPCVoSf3kVboT+DQC+A1ZvwaMpB5tF1uKrMH++aRkNj75O4Xdjmk+8oAQUQu8XkaYO4qKFqE
GwO/ea6meh1NYbUj8WQu4qI/dmZgnZMYLrHRMeVY2L5HYM83432upE3205FPg97S3upk6GZ63+xV
FCf4tUf6ac28vq+xmJwNkMy72EiNY09B9zV5vAlwQmGRywmY53ZFBL0miJ74RgHUDq1xpK452aG0
FdeMl5LXgrYHXD+V7xzCyphuSqvprtKmZNjOKKOjQArT6Bg1KYFXzWBZMYbwxEHeuKgJMX7Rc0vs
kqHytMXc+XHIbN84t0AQrrrKCD8NAAhgYY09lKa4C08NmuR9G7f9nBwtmFVS0KANoXqiVTV6rDq7
OeI4VNp6aJ3ogE900jcyDdIbiCPevpiGfttMxOoFuFQwCJ313eqqEgyiPX4aIlLhvpqPYAXEABK0
icizlUfj1zzoGNYy8/e6Ko6jJXDrKepQY7P9CrtWJ/qfJTtBDwQ8ggL6oaSOoAozZ6MHYlhNg12+
gMNvj4J8/AYjJDvvzOwvUW6V16CNR2rJW+Pijf34uYU5C0NRdnDpQu+MuN9+mpyRaL7Zpyvuk2aV
g7Lb9Qm0p8KMwLWlbR4/FGGVbPnauVu0vtwAmi++GprdbCc3HQBceMIgbDAzktKqucGskunQ4kZy
EDpUHbe29O+THiiN8zxW6VHQqKoY1RTErU6Bl95gZVTUJ+v+Z93l/p+wBGwGY2TOxL5WnGA1i5Nq
YnWt5al+GYcOFImsR3WV55JEZzKck7ItOORwox4ISZmryWSyvPT6ZtiHsfQPRR4B/3aJC/BhZKe2
5HDsGCw1WZIdNZtWXL005Z2NV0JfAmEB5VXaoKGjfqh40y7zgJaeu1091uULJm3sKlEMrznGhlbm
+pcIh8M+QbPflkCC7kl51rc+AdNr4gXDQmvLKVlApS4f6qxV14MFnaWrC+2ZhKrgiUYUPQk5swFh
qp2rrO/Hr7MLmwOMT6lulln9QfPTbusxEbjumsqgX1TPNm5Ylo89CUyORZhlRrObtkY4BBeebMWT
rdr8xW0y5/sYzkZ1G3sRiAH/aw9Mgn6ZSWEWKDZ97rbHcagBdEsw5Fo+07MV4/m9K+OIGUyd4F9K
XQkBUO8NXBmTFh0ABZRYnbJmTeou37tWCqvVsqP4e2bKcsMIr/wEJM6212bupy+G77vbjG3iqZWe
e+wYGC8SfKeY8NydamOdAZrO822REJu4bph3nyM3rU8xE5N1SyiVul2tOXkNc7PIjMEhJgBmtC5r
PyHrMHwtVMem2QTEAk6kby8FjrmrSVPjN2G0YAIVGd4MV2/pH7GUafdBYNlPJQ4rMn9abhKU1KJs
XrSx08OtBrEs3PzsxJlxHQqqT9uMHpWYEwMDLM9yt06Tv10TfWhwWtXgcuE3Ww654z7HggIFERrP
ZlvnJ83PrDvXn8nUYjCu+kaxb4b9fTOWk1j6HiXbfIGHMjEkvTvtssNJuMLRq59at4lAYuVzl2mW
3+TQsR4cDAzrwQG0WYJ53GrYmIhz2MaaBAXU8TgEbJ8bBZh1AZyBvhHyXxWWOdI++Bb7Tt1JKyo2
GRMjKooreW95UWAuU6giN0DMPNw23aAuiZ852z7gIdsL48r1KvibNpT6UynkqTHt4aAa3V1L8l/f
ghZO50Ibe7XzmpJ8uRYR4UhqhjXeWN+QlS5u4rFgDBDo+g5baLacLOTJvp/UtPVk5XxiL6DfD4aK
8AXhWPzuplr7lObYc0gzfbbKBOpspC6GXtUR70/M/uberXc6Sx5EgiYKmGBX2t7OQO8tUakpIKYY
anoNgcnS0xN6/UFvSS3kPN5GfPNcmqCH0ii2bjz2pkwjeVi36FREyrA1RmSdJ/YfA4vwteG35aou
q8dMVOm56zuT5rxJmFued9mmM9uYSjdt3GhkYnaMWtyzI5n50mgbPrFBs8lXwu/lXO/tCEZ6Sz+I
mZoCHZPx3kp8ueTKTm6IonTBsjKHiKGhyNm+krhbYy3qb+1qHipMOFZtMWbnJgbpvaBFs+LiUM5X
Nr7B2iQrBQuWZYWuUjbTAztVRlG66O86kfgPIs6TB1QAd2P6NbEuOMDlGY6TQo202a0A4dwLp4DG
5wuEVwxxPMEWbuftQwZ+02rwjegQNUrhu+ok06DQV/kuLUFHfTNSSKoKP30zSrdYGKV7BREypuDH
rQ6UKpUXW6uNk2lW47UqK7lScegvacEbDkHWTyQPGv/zBK4tMu173w77VasDWA0tybs0DykxiS8h
YvQ8EEiWpWcrtmSp/Rk+E80d2gxq7wO666ibWRfG9Ezz70voaBe3IHWsAlrBkkkGi7oMxTJvsn4L
7cBcxhyvB44IxzCR6TqJ/Ae+FmPTjq65VLV6KwvzFloSnjszNE5gZZ7kXIQDXQmPfBwnqzh2MUKm
CR9MysAnSUlWubh9F7lDkQ+VG8Yma91NQCjo4IbdOUCueDQqeDFLd4BQLGyKI+Zg03LShgnrIIx/
Bp+4FgkLwIDqwbNGxtOo6cM2Yrq2TJXLjNNyzoMdxEtop/Ep4/J71mpnrTuWd582tb0rGHzh6q3F
KUiTcMWQhy4Vt+IxVwfhPiwcdzPWDT1oDDuBQTIiBGDpX6Pg8WRHeDpbgjeHi3odTggzjF8x90Is
rf884P+jNvyzi8My8dXolmEguxsO3oaPjpjAMwn4tG64j9KaY502ON6hmlxWaZoa7DtTZOVrwV4K
q1Yr4tW7I/N/ccf8LMb/+eK20HWG9AiF0OB+1gInQmtEyYtwL4e8ouO2yq7gJARnN1bx7a9f6mdz
wdtLGbg3ZhsD5gLno1QalkBGB8ph97LABbjmHhkTeDZ+/u3Xr/PWpfpOk50/UMN0ELdpA8SkYn+Q
/JGWMILGjr9vC2/cBOA393Y76OsEUNlNWcWxuoLgIUBVmOlzwUTcZ1Xxg7PmBfPh2gv47X79K/39
K3YA65iS7ALyjOMwhHivEreicQMSev4eB+V0EmlFX0jUc4Jm5o/YLyBMvA5tx/csKRd+e+3/zY9+
Mz+iPlyH7v/P86Pjc1Y/1+9HR3/9yI+0ifkH/iZsv/DqTEZAksTHX6MjKfQ/hIUbDrueK+ch0n8m
SLM958cEidoAYtp85Tot49I25b+ZIEnzwwSJhIkCtEE/nm3RQo/56OerqPQaOqX9wT6mc2JwycxK
AqiQBChRQmqtaMqFA5WUhSxOjdy7zmGFWMvKwqcFjaTh+rxL0GS09FATHK2gXU0D+bqd6+EOXbYG
AjEO12Ti2BmYtuts0grUdX/diFnQYV9KtnBp1px3/E1TJ6l91Zll/Uoz/YVaFQfWMFPwJcqvw/FL
KZj1pU8acxrvNHea5BXh25DOESUzSKR4i6NpCyCUispskIkF5kiQM4fpEaK3lG5b3kSaF99V2GSe
6mQy2BVgYJ+xFF1UHHlmBN4aSP9nDadhzkuM9rQeVIISDkZdZJxowc7NwLZzXGbscR2nX2kq77+E
nYl722qcDVt8i/K7oAIe1+mQV3IjAJrS5BqtO1Oa7CP0tC92bZWf9drQc3oMQ/WaK/c1GWYlFnln
0cU0cvKHd+pa2ziHVih2irniuokMtRzmsOmio7H70kZZAB0KuAhhVIq7FgRaVLpALcVeDIZsXEDn
6HbQK9KbFjbwI4sliNlq7LeUPIwX4nYjMkhUAj4KmUDDmNTCHeOZ8CvXg3WJYvpz1kwMtXOQZu52
sOxqV+eDvCJ4lN0Hk4Pz0W3ZQE/EkMBPsE83cSOdTKvTP2l47Oj+KXXjnJt+u1IF0ZPUcUhrhhK0
SmNB1w1bs11LPWvX2uws7jVv2Bi9Me04J4OqQASbvoDeKTiQJdoWSX/am4E+vYpUd/YBusgdCXbv
utXK/CrX/JYs4KSN56GdbKKXm6EzG50E9I//Bg1vdsFJs/SioGJAQO+l1alTZlYdkCl9OpFTr+4T
esApYI7URq+0W1eTbi/YClGBNq1FAFn89X8r6v8nvUc5tc6a9M8r6kPzHLxfT//6gb/WUykUi6aY
Cew2tr+fmLPS/EOwDVEWw3rlirl75UeCj5UW9yMRvnejeczK/AcvCLZIfGUM8P+FI/nNPfpuvyBc
7M2GMEwcR3Bm/2ZJpicgDPLRHU+MrzVEMLcvxnHzZpJJU9OgJXD2q3W+XxzZ/dZf5TiGtIvg5h9n
61ZV9vlRn0XqqG2xd4VyuMWvad2Qka6FsciTIfRcQh29aCGVkC0zvf5Wc8YhY91WnavMBzgHKoUr
lOpksP2+I+0hEk87qxTC4CGvoqpWS8axufvdKJwxbHe9bTG22/sOpZ/eHpGTWYRy3LK7Kzo+5Dst
yx24Wtx+5tqPqHM58lma8AQIVdE7qJhH+cU8+U51f27cnsbmtkoZ0LZ9El5jWwuAcBFDxotie/dZ
qgf3U4OuzZvKOUe02kvPXu7ejUzi/UUaRBeOWtfNAGOMU62/CXKvfVZShIuqTulGDSFLLIlKGEuV
d2PiUIw+OXp2iFgJLYdUeQy8kfiD6MqjDuIik/SDuMN14MedtqcmFLRbHGs+D5NRthOkOz+OZk5i
gYNlqzPsabedJ/Km3Enho6sys4+7MsaJlyDUnoqBeTXfAnMtPe3+tHf+b4/12z0WRUm/WhGOxB7a
13h8vyqwEZp/6IdAJ/+gQJlbWM0R3FmK+9HQrf6wiPqy8UKFwz/6LtVrqD8kd6qc1wDs7yws7/dc
LCDslCw0P/zF/y7V+xYOeLc0mNj3sSq7cI4MxX5S/7DlQssLKnfy/EMnyRMtgWw7l176E0+9rNmG
JSJyJ14irYe8V5pmTzWGq2gU7JpdBU1oa5Sy3IoGEuhvjKfWGwD751+NN8dyKnQbU4j46ChmTjla
UPbsvdMxDj8rYm5nmHLs/tg2AYuVLW22yF0mjfbeovEBbmgFs8GUOKL31c0yeaml5ZbVuhid1Pk0
FZp/TS1I37CFq0FwBEFjVzRLFdOGqJvmrhIr0sU5hVFRayvTbjR3R8fjtDJFnAGEk0lv0p2Qw4yo
HoKx8wkmaWlET4eVlLTA1AkkJadGSNHiTB3ow5a03o3ReqjUPfu9AKuL6l3jZpJ2+6By5tigQ9Bt
2NMl/qLto/IlHVNBiaIBmKMzK/BarNwIOG5s0YPSeXqQHCARQkWj7RlsaNQa5oUZH21ufr/JKu+R
umkN1WCqDiU4k23bGvVryACQlZZ2LTuqj9LPmZLbNbpWONxINSB51m1z9LygOwxapyGSTezBEpIe
16VpjFeZHzD0ikCLBa3MbzVTPQkD/IaGCydfTVhIP2P+LpyFaK2eOWiuXahMoK/HCcZ63YfdcOU7
051o/eRcjeC4hkmBSMIcJ/2NG2vmC0toBJ8oQGKALTixVxehfQvHqrjtwsxYQoZBfukmh95Ng3na
idBgbTxEPgOzQWrheZrKNTFSfVOqpMe2JRBRAoD9g11Y2yRJs03hoPssZWW3y5qA8HqilIEhpVes
HYZ3C2MSMLcEE25zavqlLH37wqdeHpm3VpuI0uuDLw11QBhzD4Fk1LbyMpF8LhpZ3+cOsdKy5wGE
EUkjzFyHE31Z+nBldML56juBvaEkooQezLuv9K7Bf9dVaz0E1owTuoOkXva0dRRxETzHXPYLRqDD
EncmkXb2gbdQ1vtrhPzuaPV1u6a5Q23NMkjWjUaZhc5wmjeE5Slo0oqaBhRyvwoDLmm6Y71NTwBw
XE6laX+2+EuW2pCwu3ZBFVmql8+6H0Fnjcbxmw4D+VTS2bMC3FztqA/q+mVDPviJvflEJ5YTyL3e
2VG1Ajc0QuNuqATCEanzXHesGqihXqYOeFCFQXghQFKsEj/xgfTUnnZvIcU5C1NLEBKHSh5VYVFh
NPA57jtnqupFKpPgyieBekRA59MzWw9rcTcnzbtgk4y6BSHY9czXtDd7m+71vrqf+iK7Usk8sSym
Mj5ZADahQSlvOZMQubsCF6Xc5wTSwfJOjGRFRLm/OBlNElsnzu193FQPKuinF6ebhrXX1+Ze0Z8N
ZJVS81UhtfyalbB/okPUhbfo2qMA+TZlchWHVUzxRJ+B1c3ryvmSeQ4TRYsSpAgflHS7ayOlg2mQ
ZCkXjPUc9CxwHunVbMqGczJ23T737dxaISlBEogIllPNltsAZkNfP9cJCp9ddVQBkNTvOKRmdXI2
uTG2oJADtE8KWjVSrxLcSEGi+NpmOTimAbZJ+rqS9JGjUUmVpdHk64HC35NX9uWVRk9uvXKMUpxD
N8rvHQ5VyQr8qbkSOf/e5hpVaxBSwaGbrOrU60FwE+o9CmEqcfpaDfDZsaUPqwA8yvLM4ovGHr/i
fNeID5shLir8UPZNHY6J9nl2FcO0LUt1qxu9G64dkfp8KUVlVxtTpOpbNRnlYUxl/+S70Io6KDe3
sunKHdrlCoy6BpAQ1+9O6BGlUU0ZmMdAddHG6bvqzjLyKVp40g4ubMz1T3mXhrfsP6GEkVXwb0zT
LIDpgxfEcegE9ZcclT1dmBQfWdtqLj31bMarQYnBDEv/0J0a+IQwzGVvBVTFuDMUmZzrWcP+EK+s
jtKqReI33XfWdwXPKMC54Nj1F1tTvISvxHRFqZSxiUYj2lexPqzLHmYaa8Owj5zY+zxTH/mDi451
nps8plwavTQnY97O1faKEyVhcat0rqRvQZcmSRBQV1rL8qCGnh1xh53v2BDhevvadpoLH4v5AvZ/
lDu9k866DuxXRvz9qndRMuJyMB5D5KF9xPjgBvCh5FXTV70kzbeAOWycB624ijyW/slKrvzR9V7Z
U+6Vg1hgW9qM6E+1lSuyYl2gGV+PVu5sTUYJ/MA06GfwinynfYhFkM5FsdT1Vl+lwUgPIHwf6uOF
9gU+fHmpMNseTQt89rIGBvZkWqp77YykPsZ43QHw5sN23pe8JFqcv3KVWsaSupqQpSNyOnc9Bl5w
VedgjMkiGNXRcEvEacsIHGrf68kx1+2oUWfYp5UyNmOlhZhFp1Y82lHTZOvSLuMXs8GhtB5VRumV
b/q6Rw07PKRFkxA9g3vr9EzXcDJsizjsNMzQAvoQBYuPHOv4uoJnzYy6sybM+HYU9l08eNY2ilKK
boEEOxMt4AFaQojTbzFP5c5enJl7tlj5lzH3mk3TaukqbwTflyeiMedmibIvhlWm/J1h91WXGRBq
2zPnh2iVntyyllc1yxl3UT1OIAY6vVuw7wK7nbgNkWuGsvEzScanWoNaZo3SMJd9pIpD5HraDM50
NUAWNA3i7E5wM621vASYGlBDCQV4vJg21ZTDW0vlXLgEz3wur2xr5G3V87C2XOsUWDmRw5xb7Go2
oQC2HWB4LiFy0RBnpYDpwK91Kw9Mw2sfDeWLq8qC1PWkqYNjwvZmg2np1RqHmGI+PjV0MM5FnG40
d3KquZ6zeWvqZERPx+GgTQ4jPyo5rko5YRklvULHZ/XW98n2pPqkR5jCLh2eenPb8tC/cNdOKNlc
A95azfWhXVTxJECqz8pdXPJ5Yhv2Ao9Hq8n+K08M924YqCPN35pJzbmk1K1iFtpAGcXWze0kOqEz
xQMip5Nez0e2R1yx5S0IRudLCeFqm9s+87U4jCn0Inl3cHOnzLZlXYGfQcznhBzIiUdG6XCECzlf
3ug0uaUHtwgVLZBO8V1lwgyXifDFvnCjRCwzmt6Rt1tbrIaWFvrmaLujDmblf4Oe/8+gh6Cty0T7
nwc9V3lLbctz9jOr6c+f+nGuc/9g5P0uav7OeMmwx5zzeY5rkwlkfvOfaY9h/MFJRhcgl6E5wcpm
EPTXNF3nL1ScHCE8URjH1uhfTdPnPPu7qKslJTc4Myh4UpwUnb+lUMOx6nEByWpvceG6qyjS5K0A
500LeVhs8jJym4WFxe6l1hzv3glUBTA38w4aIbNDzfMfkJMjr3LES3zcNOTwTEnShct+/d4tUnYP
AR0XWAQbtZRBNJxlprXfokqXV9TXJI8mZOY1bhK4nYx5T7kwg2GV6Q5M5BK2jPTxT28bUK071iH7
rs3a4TdB9Q9yAp+AyUDPtPgY+Ez/Fl2kw6fioFoUe7aaxOG9Wm3ZszBmapr5ffF7v7tEfi81vr0e
AgZzP2QTLDQfZDldw/eBXlzse60yFoOfvMwgmCWzsb/wEf+oqHKRfPhuTcfQ58QpJ3ecvx9FTUga
BI/sBOIWZz+d5ZudpKVtieeEdx3R4y0EQO838iaTir+9KLXTzAu4mEgTzv/+XXaavpO6T9l97lt7
NmBqLRbWGlKYtSITU42Lf/1hMq7jMGVKF9jAx1izr9w+zNIo2UvRW8jfVTptBhuC1rlN1P2vX+tD
hnq+V3hj3K2uY8wYBfPDNzfEfhKksQj3ZTAkUIdIMRBiK9N85VYSItYYDOeW4/xVX8fdjq7opliH
tf07ofzvn7AlZvXUFEyEHPyCP3/CCb7cMW3ZMZZtnPKgxYO2wpPp3SsbG+dvPuC/X0MWc2ce1a4F
bwCp7+cXqzgoG01lR/tCTtMld6t6RSVZ+42SxDjYj3UIQcjJFGU1v/6w/9ubdGwpOSjbjMTEvG69
u4xiZrWhbxfRHp9tx6acb7M32r6nmQmz3796rVkoZ9w+z9H4ehkKf3gtM9R62QUKMwTn+RVAVGjh
hajGoz/2xsOvX+vDevv2WpacI9oupArrIzAiShvOKOzd9tM49XKVs1s4JKHRydWvX4fR3/vb8M/X
QW5V6P7z5ar//PnR1FJXNjU6e09YHWjTnvPEAoMSQKDOsO6CkLjhYqgaTOUTAyRvzUkrOP36d/hw
7cy/Awk+Fjqa5IlXf7x2OJzFmP0bfocOHHQhu5J5w6T5J88Ymeb7LsdZ2xh/s56/fYTvJ4K8LHgI
3rjhog8ja/z81ilDY3fn0Y8RQD34RII6PaB4jNcFwuO2MgpIq42WY4fqCXg7mELbsdtDvx++Qvkr
q9cCIN8h9jJv588iMcFi/pgi7fLrT+e//Z5z+SAiKCAahe7z8+8ZWwZYYkfTdgJDzMs4tma1JM7L
MYtmjN5GAeUIthgjzcHulvfxSXQ6VhEj87x9G+fmkS5Rbz+ErnE928qcjd2R5qb6Uznd9te/69+v
WhdnjIGIb7Ej+ZvkLnDC5xTUhPtUCdygse/CD87quln/+nU+3PVcMYhefGWcQmaDyMdnY6jhEAJK
EcLHzKcLYXK8IRD1rSOirHX369f6uJy/vZjjuDpPR4tZ+TyMf7/EjPiQa/x1LOd5hRvb9boVnKx2
mXCrgC3DRl8M/XiU7eA8aWnmbznSNL/5YKWw5jvx58sVE5iYuUJsCvh1PjxVkqrQdO4Mb+e0fTXu
nbfmLyKKuDb9tpgu6PrixQq8cBmGbYroXQSRzz/TQb2wU2Eda0AdB/oLxhsCqHqLsS0qqmWZEIpY
6nFKf1RQw8EMS/12Sgzveze0ySOmIwLcSYWrDA+efeeUA+T/1LWOHVAZYndpr9++Ga/soCCSQ9b/
KsDhSBy7CLV7ikCmC9h6gxwoA6dzWonmOYE38UKfoHfChcEhGXy79z11Nas4ZGkJ2i0DlLmbSIrV
jEoDYiuGU817hDw2QVeXuvkM00C+Qs43HnqcczCeaR/QlpQnmN+TrjFBHDQDXQw1mPOTb3BnmxZL
i6y68KUNWLzz2re+M1l29WWWsm3kOCZcf9mHyqdoizD+tjcFm6HMGeqvrtPqhF1LB/xJX7m30Pe4
3rj7/XgT54qXh9GNb1CvWTsFYcGnySS/icnbPznzz9YcdE/+aBkUG4d9DQERvf9e5cZ44jmTPJbl
2J/fPl7P7pu1Tlr5UhjkVg452XlqEaRvY92mYf1EgDVt1+U0lzw5b6sVkcRjRRWNswSzoH3J8pgr
MhcD7RFJIqcd/AY+u9Fyw3pZCRHcm5CBPrWVSLSl7ovsZu5knnF3/D1Yd4MTzc9wiEsnfKmE6skq
VdXob9WkEgrzSI3dRb5hPLhZV8Ew0vlsU0MPXxKU0Y0Ef/jMmGmmelh1QgQxTKeLBdsD0lpcDTfI
lcM5xHAerBxThl8Su2FpmmTyKEdBTbwxX4cphccHtwWHuBwDtwkJKxCYWMk0nzZZl3AtOSnxLL8f
SWZ5HL3GRQPg+kLxC8LR3KC+aoktj8uIN8AUOOonfPlcYORVg+I5mPMdVLJz9VoxEevKA/a6awNO
DFC5tXtMknxgwjfHE9j06IB7e60mBnW4f4YzpttyQ6G83Pn9lK/LNzekllcXEsfhXsyGScQTcwmL
NFzZs51SGtl0aIlN7YzZbOk3zjqf7ZflbMQk40+EajZnphPB/NmuWWakyMRs4XRnMycpoK2Y7Z0k
Z42VmC2f+mz+lLMNVM2GUMqv8YbyqeqPCr9oOBtHI0liabaSQnrND+h1qC1aW2B1wnJaprytZLah
Uk6WUMCNNVWfTaoNbtUKzenkp+H/sXcmy3Ej25b9lbKa4xl6wAc1iT6CwU5spQmMVIO+c7ij+/q3
wMwqU5K6kmXVtAZ3kHYziQgE4H78nL3XviZaKVyhkRk3/SJuZcNxdl6bPvgRwt+pQwJboIUl88Jb
N4s8Nheluc4XyWyCjwZFDDLaVCSfAIq8isZ+aRahLflbzmbywWnaiwzXMMPnlmY+WlynIU5lDNnV
8G9/WXgrGMosktTSq2QR9xLvdN/30UVdBfGzQie1TdwJKXBRsgC7S41EQNuVnzoOwUBde8tIuzsZ
i6B4nv0zaUgTImP3b80xiwgKZJCpzWGyakDzVdRHJBktcmULA6G1ivCEnLVX8IHqwkXa3E/2/ODN
rrMbhyIiRrC3xYWyrPaaQslNNoO/DM5wbj3IZoofaFkOd9ObnLruGpDrTT9Pl3kAqZzU7mDn5ir8
lpWpPI4FfHSaxSUXpYq+lLH5KfSGgaBeckidWevtsv+A+XzTeqdNW950iqZgwJtWHBlZUgrYOfQZ
iVY8zhGNV3mFftx/k5K7hILGbsSOEMQiODQZRx90STlJIujQsTzR63oTp8vGLq87Uz2C62g3FoO2
K/dNzh4XdZht1JvMnZkmgNFF+14tKnhTj93OD3T8pLJ4uHAQy6tFNZ8NiDhXNgEKX5xs7KKV9yax
71knj5WQyQm6JRJ8e1Hjz33Jg5lRO3BEKIzbYpLBtpzkc7Uo+bFQ95+1S3qJwjYDpLey7Hu79IKn
8c0IYC6egEljGoxqTT1Wje2hAeV2NRotEJ7FT+DUdbM2FB4DTtDiIEYL40Fjafm9wTe0bUjDOrXK
uQwWp4J4My24wjrTR64oYXA06KDA2/BmcyAI1uHwv5gfrAQfBBgMug+qECd+VHE3enCe2YSxTlRG
7wL/WPwUZGAdyWLoCAFu7Q2aXwYEiwFjimJvPyyuDH/xZzDJcB/yqatvYtU5qzKysmOU4ejgDqYb
h6T2to+sfb/4PgxRXfq0D9ZRKWxAMYV3oLvvnMXiGJHN7N1FXmttMNjX+2IxlhQzJj6o/dWahaZd
993iQAH4gxslX4wpCeYr9MUDo6G4i2JcC6NzpRczi7nYWlBb1gAm3twu05vzhYy2Yl/kVfDZy32a
OItFZjS8kFDbyC0Q2OOhURzHz2rx1ag3i43zZrdhns2eToKXXDqT3hUndvSDiOc4AFj1qVi8O6oH
gDJkZXHT+J66DrtxPDgtOQHrFOdPuViAhsUMhNAgvKgXg1CmEfG5cV++5nhJ/W1ObuSTCz975y/2
IvHmNGoW05Gx2I+arJCPQdd8KfnTW9nWjA+EN9sMEaK5fzEZSQwsAtiZ4mZxNoWLyalNCEd0sxmK
QoRhzqyZxns63eal/XUwRIPiryFaD30EdIw4ni4Z39WvgVX1p3nMmHYI9kAasPN+WoxXDN7UjWX2
3Wsmc9bstmDXYBGQeQzKxw2ArT0oU1dB9xU6JNmIpkvo54+EmFF8qh3ZJLGrKo5JyvjR+kl1OXqN
TQSqpx+MOOpfyRcMP8dagOmv8LAWm9FEKM+2B/GcuEI6ItUBmMl0Yt4qQAD5/dOkoMmauIE3Rrgk
7mbtMrkciOGlikLwYE/BRi35vI7dRkDBi9HhU6nx4FaZeekOMA6KfGDPYJQ1letCa9+nuqwTTcJY
S2Qi3rqTJctGbxShlQnb1hzfhU5mT+vRs+GMi5FtxKI7xHNJV36N78S4J4vQxGVQ87uxKewds1Gn
Zk7114az0TIdIazBKLkLMky/RPbyKNNRwsoQNDauD6bfB990ID8htHsx7Mb4YSP9OEfhFN971Uwc
T82fBRAlHiwYMytbE5QcLZHJjDDEmgn8A4Ux7q7INwEbt59855EQBvy1S+YynlkeqvLR9EhjNkPj
U0BuCrFg1bxGoLxDtOmv5JLgDPq5JOcMDk8QJERZVOQ3hZyxwQ4R/CxIgM4LO6nWBufklYbPxlYZ
HxCv2jtNbjQAEbHnLO+uW4YGuxwV4JJLc7K70oOv1JMOTPR0GAuALKFtbIKIx9nMRgt/KOndswXz
nT+c1Drc2xPB6OUSZE226njX+jYpGzqML7Oq/2E0jBlaVGULeMs+Yf4wt+TUjBhqp+IgTNoD9tjD
P2+k3sORM19zBQKaMz67DoXQydW1u+1E2u7KQUEYV2N2zq1xn/twYRwKrjWHah9h73g9IEsidnn0
D55sk7VZ9ljx2mZTaCIxbUrBm9HqmNEW+M9C1X1XSy54Y9Tz3vJTpuCt+EJATLmTE1niqqF3QIr8
MRu6W+0YL6nvkk5HDKmJf7JaUsiN9vNQztc6j07Afx8aGV2y5NIwWpLLfTn/yNr4EczBJ+R2+4Zq
ek1424swU3TFOU3KQIlXWAwdKXWL7tewvAdCz+XWrO3XcUlPL4yYRT6xj4Uv1UbYxJjoBgUC1Ccd
+1/LXjQr+y2U3TM4EcSDxk3rzF9HrKB+phGdkOY5rCcxxU8msl0iEGWIaVQy+5oI6E2XKHhr3vZt
+jwSEXrQKjl77YMZ9hphUCu2CRnywRImHwwiX+PI0s+GLcPtOCC06jnDnAn4Ng6oCpbXfDJPnpMG
z37nVgyUWj8kMXOQx7T1aY8O2XKcCEQy7mtw3VvEgWQGojmaz6r3DLlLYGt6tk/8oM/07GQ0BQ0d
gmO60Nzbi/Pzguk3KKJVi+DgprDl8vfsNs9eiDnwBxoXaMWOMeBtwfg9Z/xLV9PN1MrMCmtndeiu
Vzn10CFwdGBcKeDj6abD5dpioqdp6oP5POONWyy6dvQ5jPPoByQwXkCuyojBQwMhKUU4SG3ssOZY
FPPY603N8kKfaZlpTLWOPuuYA0K00F9AxHgXOKfGq5Y97jFso+nScInesrGHEfTb+uZVZnhpv1Vi
4tihA5aloUOrWVnL6cRKx/57NtvDdeZP1tm0YEFYscxPST5En+PSoMkdu4H1CSaf2hINxkmECaz5
WtfIVDGU98uRV6h6WicwLZ9IbaV0KAzf3DeWI4/U9vxpw6+MbQLvbYGoIbF7cw+aTIi/+EVpb1JJ
+bcC3nbjyXmd460+Vg3jTlSp8mjn6GPTzolOTuLRFMAvcBnqgB7BMql5u17fuMZ2QjlyjHyC0jgn
9HszcMvnt39FkLv8yfTxW9VBJvaB580QunIyyUrFGWyUNl2C0Bmuh5myx+Cwyaxnrvw7kXMzsRB4
KzNR7e6tUdwUhGTaYx1uNNS0TYFN31ylaSL2huAjlsmQn/xZwZ4ove6pBnV1JLaWv8g6MqPKg07s
4cZ7LrXJr17lJp8Z//VREhl3k4/UuzM0i8Oc6/kSSsKk1qPJ93JLeuGNx7Gvhalar70pa/eUapzt
NfGcctPn0ZCvUkh/YNZ4NxoNbysycYfUbu+1xzwyy5Ln35yNs6jj5oXmH0jbPKOjGM4XQsqOFIVC
KFoyuFEAYsVEt6l8GNxz0SrzCtyjR2juzIRs9mheRXNODCTPnZFCBgH8SjzyrIrHQhYzKZgdPId+
NJbPl5AkYjA8pinCMeu20Ms9KTRTNot/5LcaSTXtuW00Kdeu1cyXdmVV+3ppxXUaU1UwRQRHFEO4
qTH373yXJwD7NH9b9MsfLDL/DpuoscUISUZYgb5HBTAixiown0uT/wQFgjwG1fL/1oq7ZfkjD6zl
BNNlzx/aIvAS3qYdDPM5sTw32+Q48fdpx3OfGJTXVkCfdfPWeLIILPkxWy5NpYynyZn5o9lo1C+0
Eitnw3bePygbZ4awhujUJ1H9EgExuJnQujUrI+EVdh3NbHJQ0SlCcf2SBx2isHY0gC1ChjJRDRSR
9YnDAd+Q2EvaXxGxmVTAaBf2okrtM+cW+aTEcntLeCgnXXObwN/anwYiw6m0+OB2lyffSgg0Ly3O
zIatvOtPhZqio6LlWq50aHQv8E7WsUlHTrX8d0Km+QWL76v2OqKUcQyvGtV8rSCHE1hCMmTX42Ez
Fb+OIifzqR15AyMNEqMrK7FXslfbuPanS4cW+GVT9tFnOaBlXc/+bF0UsW1dwyyMMMw6fPKFgwsl
j+UQt6pH84OxKLSc5SkYMEGdvcajpYB/CzJgiLgPioTmKQlm8xUDb0PGQmjUaEQa3ulaetGm5nSK
ApD1keTYah/7sXG/+Nx/BBHwOLL9lmdQLoCrwGuiEyKzMqIOmOYDYVHhJggDnNWhn/TfQ59zMjgU
a3zu6nT8MvYhU6iOglzSSiWGMaGsYGdssvZsdX11lQxK36fmEH6DOxf9SInSO/VeQlRVPLAzuSlI
ickLJuAEBIoce9FGnzPfwwjaSZI+NgHJtf2maNJ6+qv9/P/163/SrwOzp/v9n4UOly9p9f0f4vW/
/ou/RQ4+Dj/H91zgs8wHeP6YH/wtXw+s/0KbzTiG8enf7pX/7WgJ/svF/8oGTVAU9HkTqcXfGgcX
+YO3OA4ZIwsGAsgf/oWx5f1QgWkCB2b+DrMo1Ov+u3nQhCPVUdOiIIhQcm296ZJMiJ/uxs1f3fr/
Qdv5pk4r1f2v//nxEog8PI98wmXyjZLin6MERkhLcSjmA8hscuRC8AckWPvc0v9zz/8vrrJ8ip9m
ooTcjGTWcZWg+tIZX+rxu/L+nTiBoeQ/v8i72TKJ1C5Hdy6h59vAvCXVtp1ff/8tLMwJ70YepC8w
rmfIY/NkWNZ79HlXGA1+FxDIJObJrzXj32HLgmBvqWvngxflxSf8gqyehWaL7ky9Gztn3BKoY+2h
vQx7OA7y0U5mxyJqFAaEVMGt7ZW9t6EWHc6CHFhOB9LcOGrsd1YfRXdo4Ki+glJn9xAfiI/Nguyi
83va6zXNgrDB4h5226K2+oMmQBJpMjAeNjRC7o0guSyaZlrlra5XfirBKUtNOWAWwYWJ24D5EOFH
q8SbkkuzNXzW7wIltUljFHoXYMi41OMKimGxQfKuz1qU80Oq+MekSWwyTtqvvl0GzBrJICc6tt90
eH/2rt2dATmoh7Ga3NsBf+reoGe1rR2ZUeaQkFNoy911eYj+bWwsEmhBAGeOOxKOOfafHAD5e5cN
4RzM2bSt59CG8gSqj5hu3Io1zYF1XOvkNsr64atQ5XQL4QnaoE885TogtX5vpDN50n70nDQoOSBM
F/MDw0nP2Qyz9V3K0SjWjNHUD6OF/bom1Vo9CjsNE2QYyr3tEbavg+UGo+K4rDmmqxVzmYY8GM9H
FhypM0lljkILjCYyIkyFILHOAjjjqQAFYmZcZbH7XXWoEodJ6W/ZPD64s/1dEM72ebRJFHK1kT4r
EDZHc6LxCxyltfbV4H5fKmKxSoZ2PmQtSn+I3fwIXjSrR23y98qRz5GNQX4qhdc9pgvpDSxrcFGG
OmFHHiKQ5RJzBIpEUohs4CsVWe1CNnKHqppoeZt45pUHcmstIJ9uwxHeOsjgMD55NO0PHKa4gD37
67bNyH0tw/yQeVl/l9ezvlMk6nDWFB0PRph6MFbQd+J2y0+MtQFPAt7Z9kyOr0PB7Vy1jkVINL3c
jc3aeaUGkWXHjDHNrilwmJIBmVrRWkuqIeTwMcO51LzLKp2Pq4ac2msbXus+iWNzb7kyeo0IWiAv
zjaiK3sQ9JihlQWEtVqVBmgTudcw4OzNFANtImAPXmkj23NrLIebcu6Pvmj8m8hwjD3SXAfEUxmf
B9d7jMqW+gjtNAJUrzeZvtCAOLYS3JDWI5FIWKijV8UEEh/HUKuVAyp2XzMO+uFmefiD9pZad0Y3
XEiQhK+JMEki1a1rkfUZmlujU0CKMB5zPyIiqDbWPH4rmNVk664fi22Cl+9gddZ0KENhLwnq7j1n
h3kbTSGEMAjM1j4E1Lb3MAY8h3bUI8X3kluzbM1DTzaSv3H1SFkfpD2NWrqcX60cmGZb6vJKO+Pw
Ih1wUZWOxTVifeeeQwAzJQwNYMBayyOLOJ5unJ6DIaL18CZLZfUyJd5wK6dpvBmzRF2NkKTO1kg5
TSKbd5E3nMKsFqQzaUL+XYOMnNSDaT5QYRN9DhySC7TWsngVdqRu5WxCOJnNKA9W4JS8DfP/Gs/P
YP5wU8jpq6Sok7sWc/g3b/a7g9WzCOVG2e15NBhe+sLbNRNoYVUPcbnpGhBB7CqIoU0ij4vBR7Oe
1C02Ryo+Um17lM68NAmcJYG3nZHifOLTxve2Vc+nKZ/aC2YH07qAnNuuM78yMzS+mThC+PB2aIZ9
JoKxOHqd4IzEWYLgpcV7lOQpmXK+wzNBl5BjriAM15ykPP51qkzacNohwTW2xClHmGDMQqz7SHEf
xnoeVzanpJuqkO3r0CrFMtbnt0W9RMVmINMUq8CXNBXztu6D4ADAGcCjyeHLRnVy8XZmGuq0CFch
IouXLq+tVywqDBwLavcf4F6Kx6kbGd5aZKm//et25XuEIXI2QjVS0ozyguUUjKKxIy+ecHZ4G1ue
YfCQE+x514qXycxySWZ/dFbowvRrPdnU7k6xNNZy1T0Fo+o21L78q650jC2kueny7Thvd0umezVS
+sI4f+zTstwroas9J/IIEotl4m9bQtVa2pjmuBT7tX7BEaiOIXiVHBtE5oEKz80DYnpAbZPsrwRN
Z06rCaFo0hLppZ/jYbAMBTyZadl4qOntk6JMM+KI+J5QL1pP5Yn4Rs4CQe2TakyPfD6oquEDmyTr
HkRKq8DCr/P8NqlN3aUz8ybn9Jqw2geDz+FlbjSXJUErOo1zCPhKcqBF/WzcN6mPpMsY+elDBzRC
HdAG0YWTfHs7EebLabWUvncRWTWyTL9DxtjCsebtN8I91ag8Oo2RPw4Co1NVtfQhWt8ARi0FMxA6
C/Fb/2jZ7DrBBMRY6PuDT7fHsTg61YJxTEJP6caRk/tiwWjeQuadTyjq89PME024u0saHfCZ7xl7
+JG5b3ff5T45AnEY3/iJEV+rTIu7KmOM47uIR1MJTTOUjv+sKEjVChxWdC6GKp7+OvnZkTHeKJXP
t7Nh9t/7KjIeyqCJ6ODAd9yEhv/375SrMfoxmXzY0XWGnemSO0A/xLiPCSy7wQnCZKGwYRB4Y/q5
0l14i6V43BnY654cPblPvTTcp8xrpit2Kn+XtImxmdLU2NBboIcYRfXlHBvyUw0nYWtLMBFG7oxX
b3ddeUzm6y4Mr+2clOGqAtEHbevCk8xQ2xpmQqXx6tQ8iLvRq82LgBnKthKZOpaTcrZNW4KulKbL
SxyI6aQ5R19HoRUfGfkzdnl7lokmQOVjuBAcOW9czGE6XgVdFW0ZYxAsQE5lu+Lcl1+bbVYeIXv6
zwJE6F5FSOtWYcpmaM4uP/+MYJkUnfnSwqaC0Uo44JQmzvTebC1tCSQPOcxJFoXpaDdRdR3Ied6k
tadj+gjN9Gii7fFWxOJl25mcOZpu0HGA0mQrnQfZtQOEdacdml+uJkIL4QGWyGCgryib8boNOrbu
IMEKGwDvQtQ7l0G+AeoB0j2EsQpUuuiPQjKmXEVuxwBMFRi7q6Cq7zVKtJ1mwaEGYiB0geNXXbe0
DWl7+j2qaBo402A1J0BXww65rwHdPK+M+840OWFjQKJidom7LXq6gMSM82oqr1kS2xdtZti3dPwB
Ze/pRBSPJq3WbUnWxskRqfX6JoZwSwbc7jCYr5MIaaCMKYg5w100Q0yNtynqUKZc6H2ACQFVH9xp
G6pJkh5q0ypxph6hTAn+fFypHiXPquqc+db0GYdgV4EYT9q0P967RhsDWaSzc9aK9JKIf/UmczCw
rOq5jQ6dlbn71HTmI04UH6ppul++0XWQjACxhJdcWTBiu7VOyzt7zOWW2XW1nZvE2IPhVHLleJP9
ZaqmMGNvaO+c3kEsl6fGBROzG425F44Wc4ghM76HLdATy62eQQECFcum6MzXgNtGVjYFXdzJXRjK
YVvThtkTStDT4YvUBeIfiTysNQMA/+RlMo0lOZhYFZteBGhtv/waVMZXen7Xo905O3scyqVua48Y
hUC8zen9UCfzmqCEGIhju+dG9GsEqaAomeMzBwufjQrVO8gU8hPSro02YH1JSXYYOJihYsbuNS6Q
/obviynNpaqygZQTa0kDNLpsqiRe5ySPbX2iNFIwLr0GmpIRPqF775DDlyFQRI8gA8O5vmvQxc8Y
1BBErQAbXCSZ39xUIEmfjTgnIcOeSmxCDcO4PkAhZiGT2RRhkx91P80nOxX53i0SfTASfMebOm7d
GzeU800W+/KuIelziwIgYP43SuIKZtiPYyAXgmuS7AsxZzu4BBzJiS87YUKeaLCr9lXIubywCMSl
r1t4Qm6GOnYGRkR6zPOLrnqlvIc361fhpSW0MtfS9urbvs2A5ti1Hm6ieaqPaqLLnBlEW6gQSYRd
liYaGRx4GJYkv+IGI9arC7NyWPcg1K9dS2W3lafqncYS8dmX1FdYhhP7agqF+ox3OTjl2BWfoikw
I/jH2nk0lx3St8qGlneYHMaq0hdJGrpw1jr1hM3WOxAWMZwKL+4vBmPKvyo3g6iYEGa0qrWKbvqg
Kb+VHbHJvW+5LwxTajx2WKRPFsiXs1S00338AjQ7ezCadPbhzkyGch+cKiAoKyLtAf5en1zVxvQ9
74Pw2a4DsJViDtdxXMw7xFrZOoO9imMa5PBaJiUTW22MEJMmyUqWFdkha/pi1fgB+NiC3fY0capA
RurMkHjCTdyBisRTdg/77nmsFJQMVvkVjZsQgDJzq9xqnqSTOZvcp6/L1Dho8bZSGe8JRSjv67ys
z2ou7KOUTHCp50v0EVj18ibUxsHpBqM8cFzyje+TKlCMDKTXWtoPH5XRVsSAM9TkFDOsbCONHuiG
qjObYnFDqZi9jMRZPGRt3j43uhmDfWNgaVulUZvm2I29yFvlOSWNa6jq1nWsoVq/9Shz6eOL03LI
Tr2tv8dDyAyP9s55hC934VDZfq2ggkDyCdDWG/nVXPcYlTvHKPYKydGaqVB9zvuGGFW8a+qKKX58
lVEMQQ0vsm4bhl6L4AdecSfJ5uX9/0YGLq5L9jSx0pjwmJaq+STqTt/kmCk2LuaCx1ESYmNOUJOs
qoxuO4I/Xh2j+eJm3fAFVdTdrNFz7QL6rhuDlus+a2dW9sZw4Ovq4g6OF9wC9GHykwdqGuKtj4wn
0eZu7ntNfzhxsYDW7j6BTnW2c58may41UKJScDbN7PiVFnTHzJQ8CM8x8N3HY3DPUYf9BIXil6gM
zE0Tiyd3dIcLk7jDPX/FRjTfqjs3db8FRSiv+1pNuFqiftfniF+4b1N2KcQ87HsZcMfI3d3DHQCl
awhuihMFT0GfuPdpX2Oi1ykvrBS4Nitqqinxxc4zvL1yEvuGM8jjkhJzPTazf2qRmK3UoPxtU1TR
Sy3g0xQ0xg9G62SEVUQM8j2DU4wtqW5BRbTkSwzVJ/J4Yipc47YsS3VU4VTeRqnh3wQtvGY/8+0r
K+mdH1ZMEnOdDc1W6jQ+RQSEX1femJwLL/fuXGCEFUrGmQz4z1mFUz7Ju33JcrvtGwc3shrN2yjS
PsnWqIprldf7CfvqnWLFXekRf6wQvbmXhb6PNcE8Y2D6Jyeup70a5JdEVMEhixN2LArBEwupcSgd
0Z8p5YLTQDzQVRe3OfVvXf3QKutTsKPNq4P493MXKo0KIEZp+lqbWWZeWI2OCGmMsg3dEmKp4Off
a9sYp7VB2qS4SgsZ22vCItpx5ci6IZyiGmeOZolkvD7JAvQNmM3Sm8Q+SRc1Py2se2SQ38cRkaEJ
uIp5tCPhYA9fA49Tg1fYRNB4HoekFkXBDDv4WKbCWtLgDwbClBPvv/cMuPOxRFGzdiNi6KkKiw3t
jq+dnTLJNacImQP76zQMBz36LwFHkDGbz540b6mhAEoHtIkMHVpfXVEMF25NFI3fOjRScoIu4N8c
emFEPxLf8W4AwNm33Sh+tKNrPMIr7R5sO5DJxuvqlvmYHKNNF1rByqi8em+KUUNeaKsNnDfQp3SH
/2BU+NgFxcAXED/nhsIK7fc+Hh+ffdWDkj4MLv273qAZlzY1z2S75zxe/kFp/qFFHS5XExYifgAz
JD78s3kcjN5InRTIw1THDGnRSa/SMiB7LG6Kze87vL+6FHazQISeDYfjvaLd7PyG9qPFF0vC+J6U
PbaMrLcuTUU2/e8v9d5iEvKtLBvbHoAcwvzeczutHD46pGR5qGSlz3mh8oMv4WRHPLyrNh7LPdnU
079tknNR23Ishz4cQJr3F/XSCMJfnXaHKecu2mjRVr6kZceZ9O/Uk/9o4Xtv41m+Hy80I4wAu6D7
geHJ4j83jSEP5ZQ40QoWVsbiFmbH3KajWdD+uGkmiw5iMSeXuhjHP9zf5an42Zzwdn3HYX6zIFnt
9zasKXabxMzj7hCWBg34ii/ot8PD73/ExeHw/iKOzYO5+NpMxgL/fDRHi+1CCZsoLEXrNhgSqog4
cKKrwjZnEpHtcdVr8uRrSZH8+0v/6vlxbKyKpmB4Yy1TsJ9HKsJzRwuOtlyaJBMaNI9082xpBAeG
WbQrtDbkCSUEY/3+sr969QGtUZvzy2KBZ/T182WdTvh1kHLZoM2Kk1X2Dz6Kk0NMFNVKBDy/v7/c
r15IjMJ4a6DrLvmj/7xcLFvTQg/E5Trl3bd2u+fwD2wiCsw/rDIfTDXLAwN1ynY5gbPQmO9v6Dz/
/Vv6sx6+dm/P5hTpb6Pi2TRIMcIvgd7FD2fzJYmWZtJAK/73X/dXD60jQp98JgcP6oeXJnAUmYOm
RJcfu7eEf9DNj1lif3+VX91UfsJlfAUx74O71sWTot2SpedtFeiziFGEAO5vufDOf3+pX30h9y1y
nPQeRozLR/lp8JePC20eiM1hGFq4NEP9xQ/rL/9v11ge2Z+ukXogJ9moyf2w1eXsS1L8yj853pYf
//2LzvMHAIlH0fsQuCtEFg7SVvLQULtextq0TzZ01vVMGvlzYrDCIFEyr2PJmAWGg3nEwPenFe3j
q+dgSmaEwvsnaF0s9/qn7+l6DfLBWpB5bkGZVpCV1oOVt+fCyFD+NKLa/Nv7yvXIiyM/ycOL/f7d
azlWhROmn0NZjRQo/nQLHCn4Qynx8Vl0mKEDh6O1ayOUffeCi5hYI5kX7SFVMeCqpk7XeArOATFm
f3gUf3ElvkToAc238DUF7x4T0ZGPNE1hfWBpQ7VkdBfOFNw3Mnv8/W37xc9kBa5tYphbqqOFhPnz
z+Q3Ze4IGdSHOTW3sngxQtLP8moRXP0Fhv6PW+xHglwIru6nS70z4NGj8hfnBlahXtC4r1yCXodA
YY8VPZasvpofJo96DHRfJDetS3ffhMb7GUooqsHZVtuM6e/e7mijldKhAV66CL68MGugsI0IzYdk
vowKzoFuWzmIRZkWca5S28JWmToFfTFeDbWmgz3h213TZgPY5KfzH74onOX3rx87OHM9kxfAwrvy
bm0mQtUgmkpzT7tEPYmyMq+sPvw0+X76Us6aqJSiYH5aoETC674LSGlgZu0fl0AA4JTN2mqbHDHx
QxlxMFJ+gsy//NQM4eVMuOWqrPN22yESX7WpE2Avyxx0mEONRqu3g5ORGXo9urV7YLY9bJTCo8d1
sg0tvOCcu2gZshwIy8h6vREx2atBPG5cFhjB3bJB4Ii5M1+DRdj1r581Gz8/Cg72LEr+d89aVPYt
1cfEfcmM7txbwjnyq4+HOJOI5MfIGQ6/v+DHgsdxsCi7Hg4eCB7vCx48CX0/NGV9EKGC+pXW5bYF
DnP2nUbtozBW54TW6z30tvhPqdcfHwGqOXOhRSL1+HDmkPHUG4n2yS9Jp+m59wfrS8u85x6jevb9
X39JBB6sRvQ6+N/70pG5KOfNSVeHspdMRTB0SNq1GtVoVsmj3+VpuO4YsMN7tmna//7iv1imqKtI
9QZPzk1+bz0P8hg2Ql1Vhy6q0307VPfx4vUOs0n+6zLAXRYpCwMvxytvwXP+vFDRA+pijKOkhIXh
0zQtgZThqHmLHOdfP6aUGwimEEZx+vjgF2+gKOq41wW6Aj1sZp/Gq5NdD4Pn72g8ffu3N9A1Hb6Y
bbkQGLz32xZZb03lFi1fyyudA3beqmaGyEynK5z8T0SLj4s9F6O0oTTwGGi/375atCGJr0u+meHe
J47xhD3tWzY69wgC/1CDLO/yP0sQLsWx1Oersea/ubF/2v5LJ0mnykCIgS1x69ArFbVXEBPXz5Dz
cPOQwPuHB+TXVxSUotDOeeneby9uE4QYkvNDa/WnXDQv9WTdOzJvUfv6BaxM+/zvfzoK74WRD9SC
ae8/n0gP2gru2yA/GFqfpqI/EAZznfrmHy7zsSglvwLHukuuNdXH+4ZCH5pjmvKnD71hL4ZwwGXN
yI74+y/zcankKpZJsQHKwf9g0schM1ZZZuUH6dDRotODplT/CCr/NmsVA/VwXjtT/YdVcglI+PCU
LAsH+nYPMsN7NENUzjgAEpoJwsPHPhSCNlzV5MjMBVP6uWKITdwYNgOiovJkDRq0YexlBns1ErRc
MEfeDZRF8+S1nxDiQhdoGoqDpSwgHcy7QBbnPwgbyAOOQO8Pn/6XPwzgD544C8/Q+x8GSUKypHEV
B7rT1TabRHYyRvqcv/9hPq6w/DDoKmkpgSb+UHKWbss2EtfFoVIBhLS6P5i5dR8G6k9Vy69+CoLX
UVUCnuAM++5pJj68aloi7+yxcRCyRMlx9M1x9/tv86sVyKcEAL/AoZx798+rzGCLxlgbOeIhHC19
wDaFARBNfVe8otf/91U0Z0ZkomwZCyPp/QkV77sP1ZFXdMqjb8u9k6l/W8ro6fff6lcvzwJGJlmd
/g0Iln9+q7HLK2uueXmK1AsJ3bIYsUXeN4Yt9U7GXviVaOzsSLew+8NW9as1DyGpS11Np+zDoYfW
qZk4bp8fYuCkqjJwUMS7JntssvmOF/EPV/vVA8+xx+Zh52T5oUkGDAEJKdblQxM3+b70veB2sHFl
/v5mfuC1wD8yuYmBzXbkIHN+t64KbY/ao+V+CPVgPqZEZu8MFMerKHP6gtlcMDxkVlivda3663aq
8iuvCJx9EqLpnDGxMVjOmv9m70yW40aybfsrZW+ONPTN4E0CiI4M9hQpcgKjOvQOd/TA178FZtZ9
EsUrWs1rkmYpiUQEGsfxc/ZeOzIUHnP8Gegx+j7/aHdrvHvmPXbYPJmwzN4WPk3c6s5YVbxtJpsx
QadejC4gksLy22Pm+Y/9RHfCkylDDGFlD8U4tMc4qJ9JPcV5sLovx8o+0kUKNi5BumBx+R5/PpHv
PGvMtClBPc+CLfD2hVh6fIZsotwexfJNLkZHxDViypjc13p++fOx3jkdxqvG2FkbtVTdvz4BJvQJ
nXAPSvvY+KbTcIgqR39p51IcvEDkmLTc7oMK452HzjCY2FHR8Mb6rcQemnKemqTm6+XO5zRLoHGg
2mGO0SwbC3fmJ9WMKkKNMRz+8+8Ko4x0SCobw3q7UtpkomSN39YH9mqXePwautLlDd34BGdr8jD7
TvJBafPelaRkow1A2nTAUvbm7LpMG1tb1QdNT1QIixdVgrC6mxHowYF8h4+O9847hy9IDUWAFv3a
1yf05+ItbmwyCDm105AwubCbMdJVrSILRewHX+3dQwW4332XghFc169fTXp21lWCLZoR1OIa6DJu
Ta9zz7PeMD5Yvt67R4k94/YkUHrtB/96qAFJnFjoDBzaqr+H6vHdcdQ9qS0NoXrqxsfU/h9vjljA
MF2YgMgYn7x9AI2JWZvZLuKwmAsaP2+8bfomkvQBPjjQOwszLXWdVDc6z9g41pP80/WSC249nVDQ
Q5k4j8lEhvai7v98068RU29LtV+O8XZV1vIit22OgaDf2EBwlWcgapxbs3eByJRjy1nUsUaNjYQ2
RqxfPTZwbh1mtT0IV5p/PWpIkTHptScUcJZhAGzADZ1ZXXO22HZ6YwYJXNcZh1YsdbGvWsRZ7G7n
EBlsfEwdnyGFPmFWNFaaEVRb43YJKsRWwoCnUVdts9cH4pvYQE3JFeBWqsN6NYfDBb9KJy/dG007
H0sMo5eDlVYXg9YMB78I7rO6aEPOcLGr6BU1mxSh4AFxInFJ4yK35AU7iIWLkWx0K4NylPe7P5/e
9+5N3uKewX1CLt7b9RP0iepml3sTmfCLmroXP5VXtqXtrKrGVAut/M/He++xo+am2KN9z0DozbPg
pLNQVjKLA+juted0OZrFcezEB8Xr72O1lXhqWjT+6BG4wZvDABxJrWYKxAER+Y0kzhjNoP9VFZ8Y
Ql8gSAl7x3xOCAH887ez3j8uXVrOKJvrtwVZIMFgydGhJ1LPy+d0Ip7Lb2ztBqOLXm7RzLDHUU4F
j6AYVFQSTsFwW7CQK3M4Oqj8HeLyjpbeazujs0UYIwzlhpN75p1MsIP8i2MAJB8npIAgaZIo6AyX
3ou3RIkR35kFPn5/cdQG56Nd4CrEnpfzeUA/yO94Poxrch6BWU9rqrNj8OfV4oRp2+VbD3bBgyKt
9YNL8d4VdwHQQrmlzWCt6XI/rxGZ3jqVKAZxACA2M13azKO+L4xu+ODOem8t+uk4bwujQQ5VWYO9
OvjOSk6m3xAS7bH98wV+74XoQutjrsC8DSrpr19GV+QfKbBNB4ZOfjivlkUdznwBgT9t5w9MZ+8e
jH4lexby9X4re92GxUiUPCta6hImAjiBKNodClC01F32wel7byFwafvztsCy91vxW86z5eaoqA5k
MN0ARHNDSCmPddl87zI0C6n7wZk03rsv1pk3G1gkBN7bOc3SypLzS52WTyU0kcU0zvylGY8mvfio
trT0YEuF41sG1i2JzOlhTjA1JBj4LvzEL3ZBbc+fPCxB2DNicp0+OB/vfjwWRNpI9G+DtwvjOMWt
VqSUOaOS360geUjN4a600JH8+Y569zge0VxUlO5qmfv1jmoHbU4lerwDO1FJN6d7EbM2RnXffPAi
fa9sXdG2tFjW/3hvnkNrDHBwoL08dHhGUhJk/VHcNLUDGN64Ii/xviqDDxoV793APx3ybcGaL3aJ
Rk+vDuQG7Ylt+B7YJeJ296yphw/2HNZ79+8K4qYXDW6bXtKv57Fbww2WyatYZsz5uUvlD5iAbggK
xw9p3ybhygcgFEgX20ytXgPNWJWZDaI/ksQfyfVLH2MF1ao3cSzgasNnlHbNXbIE4H8FQcRE8Pm7
yRv9B99h1QRo1SKY0tqJ6Ju1tVmbP/TRxM4CD2GS+nNe95dIceQW2v/3zB/GTTVb2bavZvNOIrrm
ZW86H9xN752FYHXq0uLgvn07nS9L2bYCf8Jhkctx6RZj0+n2I+bxc3qmj102jx8c8L1LvDqzEMp4
NFvfnnaZGwm55jwmmYI5MMi+kbtXOoGVANfZtKsm/c8PzKt24k2HF8UMAXYmjwvbzDdXOtFIVXP9
sjq41RKE6di7d3ZqDKGwZuc8rcvyAR4aHAIb5eSrXYBM2vKh6hfgVEj69toIWu+D0/DOeafYWC3Q
wOHZTrzZKAXu7MNBscoD6Eh7mzazeyFSysY5r9vHHHg0MVnplw9OxDtNTFQJdH3WVdv7be+bTM4i
44Enul1ipKxWYu8QpFq7Nm7aPcxla8OdgnLSAYNIQlI4M5PBeWF/hCK23lnDVl84cgyY2QzazF+f
PR1phFt1WYVvOQej8upryCzQF2irhXPOmfGOXY4aGYsVlLKSJrKhVcxR4YkM1yOBgbt5jsFNvPLl
u0X/TFks9unILYVjqtgh6nP2SPK/z4ixWbKHre3m6RatsB01mugOqau8LdF4XuQn52ZdWHeFJaYr
HltMaDMPwmPq98FZqXtPOlCwDzbm731/JmB40L11Qv+2cUS7LS/bzuL7l8V0B6YULao7ZY+ZoaW7
P1/09w6F8BqtAW50XhtvChCGTvDI19cSENI0kspf3XyTLM6CtEwe/3ys1+v29klbu79raDevwbfb
f6G5ZT9WGZuDARjPhhiqGbPXYhv7WNYDjNXSODdqPb7uJnO8NE0tuTE7DW6JVcq9FOBcXj/Qf/EN
H+AbkOX5rDj/gxKIXrqXf31/Tbi4fKm+/9//c/ECvutFfPuZ4PDPD/1DcPCcNYtiHQzrbCdpDrCQ
/5vgEPxF9YHuiNHc2ufnlvuH4ED+IBNe7uzAXkv3nwkOlvcXtQTbK5qttsfb0PpPCA5v3yLkXLi0
yQm90JHR/KZdFTqG/CotAB8khrNAMLfFiXnu/KkihAmjg/MRBmF9TH6+szmgB4uZNxaf/PeOMtjH
lMQ0dz5ME+Wurg14+9wx2/90Ea7//n0/UyPWkurNURDkr9pVh6Xxt5djx6RuUE46HeYOt9NoTuqm
qBuiIDxbbnVtLDdGS4vLVrl2247e9OnPhycD4rcPQJvSxIVIwCPX+O02GGQ0tJvZ6w5E4JQT/NN0
2ZVeihUaocRpMtPmbEKl3+7xQUAxlUAyVwhlRqXUMmW9g+NprEnxZMbikc+gXRlYkvxlLHazWfBv
cX9VVWiV2jJsJok5GCdxC+MGyf38g85CcWvlPiBX7EiH1MYDHXuugrjpqM+4ief9Sn/ONjIxZjoe
irVtQ8N1OehqMu7R5MnLBoLhPagDHJUWrIjRbeWLX1WZjs9jmH+kLd9oEOXwUPYE0LX5JE6xAbIA
Zx7R4WNtilNKWuozU2H5RNgIPzhOWXBqwfVsqcjj22AAShwNrdTrI6dKVORb6fxszOJr7U3Y28B4
vBZ2Bfa0+5kA3cib6vTKwZlBWyZAZIaLDH+NlzU3dTkQmTSsJo288+DhuSiDFmvKaERUY0QuR3NW
9Ka6AbcVnyHJmfauMsqjQma0NaxueMjh6D2ofHHvuDrmFkUMCGsTXm/vTurrXJMkknhUO9ko5k8I
V+snYv64Mor19uCueA1vhEtkdSI4uUQiHpRK5x8j/rhPesOPzHrTProYNE7xlNhHPHvGfQ9j9DHv
RnGa6jo4VRXFTEQAt51v7Ar3zsYliBYJcim3rYxLonIHcwsRtbiVborbBco1GIS6+WrH/G9SIBAM
E7gIyUGbmKQKu1dEiPE4+1o3792sL4+1z8WdPTkSbJQDeGstBN4kXZErIjGl0rmA/+vBHt1rRlzc
Jkj4YK2m6pLQDAekcTJ8L3TClARGW3pnus6iYdTP2aSGB8Ydy0WgBn6Vlc57SWrkxpj4xsGoycu4
WB92TTlXWqIPSDr5Lq6dB5suSKtwwE5UbYZUDN8JN5j3JJDbV4nNlYgRj21sIeeogv5XwSfqOa8F
9DCvDJyQOKkc1u4EAQxrVRzfunqsvjJ8Xi7EmM6fTF6ke8C4mBAbVexAqXbf9Nw17gnJGyOSckDN
aZzbNuE6EsfOqV5v0VKApJuJutwt+JwS2I5cCdvFQ2Ib3P9EVMmnMvHis7Itnkat7eHAN9VV4v+A
mwg9K9MqN2WDXJnkkjvPwAbUGtLZPyQm9yaWqyLbm7giI9sun+3YG0C/epIoBYebciVaTSkXCkN1
t4uVLa8kfOeroBudq36OjXuRtfKpd9z6GdMad6uHPb4x4/rZwklynsNjuJv8ld+s5WCzfDHWLwlk
KWR+1qzhyAiK6PXL+SkPQVu32u00S9FFU5YvF3Rp20fJNvx2rjsDpDVbCpC9Bi7zMq9Cd9SzQ1eb
Hj7keMr2uKTJdihdnctUFb23MsjVZyPD6AsxwMM3YlrqsnMxdpuPNF+Nwn0aajF2X7Omt58yHFlF
chisRdjILBdNbBHajf3FrMbYORsTq7dv8WTjzrWn+ZMBFCCs3T4VG8OZkA2qxd1xHzoQL2nKi009
dSxNvbjsazDPOAODM1srrju91W5qvbzVnP7SrmS1wzvm3Cww7zaOB7q3cRIQwPElvEuo4fT4Dom5
pMfKLD61DC63pLb1296ev2Q+QHl76L8VqVkdNZF8JWEiPaYL8yBh9PJUExO3LZ1hgoybdN8M/Kbb
JGvPp07FO9TGBm79IoiMuYGL4jkJIoYku7QX+OkgcYc5bLARu7l/phVSRVmpxLKRQayO6G5QKWsT
OFMdb0SVFfQkq7L8kcgF9Dg9RNDLrT2HJNjfzsLLtmalBec59I4LWvQjjjUeWCzfxnk2o1PvAz8h
L4ULaRqDftQhMB8qD2Ox7Cx/W4+aGUKP5bEUK+JER6hoapV+PjpZcOgT486q4mBHc6U9GSKwyq3J
uf/aynF0Q4dtKcpFYlVjNh7dcMDKS5CGMcLbj8FptoBWhan3aDgDgy5p4OIPjl0VzXH71arHfp84
Ce88XuD+DifpsElNhJ25cNUt41kDS2vR7lBtpUTFFRrYOH969klk2YxWMZ2LabUWlUXxhEup9kJ3
cuc9rHcwoUy0/Yi8DNQlg21RIVrMggwT6mzvWN6RPqOpRzOLCDCEQprtRvJcXdhlK8/B4sO9MHXz
iGaijaw05alqt3Dx1EbQcNkAA3bOpNtMn5bRIilvZRcwhDqMZWQNWg3H111eZKk7dNuq5V7mssaO
3waHaXGCY9XH83VWWEs0xL06Kypph65Z4vZyi2FTjgQmtrZl33gtLeY6XlUHSYMTWpf+TmkDM5Y1
cWB0LHKQAyv/7LkJNnl9Hgm/nXFlBoO2I7O2Rihb3ZSGxrscONQxyyyYxCgno0RLggcoO8a+zLjj
XatOj/4wEeU3xvZFTecP9vWo3ZIV4V8aapnP1oyvkpCDAM6Jcpvqu52oS+wH3imY0L2H9jhC7C3R
jSHSSYsL2S7GUTJtUSQru815ucTWU597s73xnBF5rjkSQ5nOQNnD3Mj17xInYUmss3CnSM/14bgo
FZAHrzX73iidp7HsM/IOiiw/2V3Sfq2s3CVBoLUHJnCGILzzCS+gjmOqaLHQ1gIVijaJYuelzvCl
zo067MpxrQukusFyV0aI9UW9hc+RnZPTi24XZ3LucftV6RH9fHMKVFvbKGxpHBL/6mQYlAmfDvOs
dq5mM84OSyrkF1OCNgwboiTWawO3by2R8tziPbSGTOROK06BGTsszrL75sOAl8xK2ELv9KLlhYP6
d/7BPhpa5KzFt5KpA88A6RknL9ZlHCXOSgtMswrGtnSuFvATt1otJV83s9JdTx4iFmMmQWFFkZeS
pz3JL5PsmW6liC0w/fN2RhZN6utr8aUy07jHLN5+kwC8/Mh0Ur6fUa3dpGmezS1lqHs3keHYYr1X
CrDFYBdRnprlkca9OJWQHw623hIlUo8sxk2e5JtKQr2OUqfl5R5UtXYrkqB/yEwruUoqKg3huPIy
WV4/RaA+WwTNZptYqXVRJpfiRwc7jEwEj/IkUMq4ZhkU3yzpsgvWiCPirU1Ei5uwEG2qho+zMif2
qaH1D2kGk3JjKM0XIJKbeZ9U7nyuD8SApP0wRsnqB60ptp7QmVZhO6/lL+6hJ6+bSnAkfAUaOwiv
qmn+gdEg209LXJNqkgXwakeINrMT62QdSKvENBaoD9QOxnt7iDXfif0Sc/nfdGCNCb07SbTukGim
Ootp4a7lsCdClasGIs9a3lvKjwYuzHM7N5jGR8HJ7jvnow2N8baHvTbJ109C3gY80t/cgH1t1RWY
ye5gZ1T+IRYk58pzO3ObdLBnZpuCMA04s12iT9deguw6bx1AA139nMSCG1OQLtxaw3wuRqk+971t
X0GFmj6NVNwfdGp+61OuH3b1YjHzR531m4uQ7k3hDZrVHrRsTaFogejOkgdNN3IShHvuOl5F3GDG
wB0PLAjXAe+pNQihfskldbMHjOeDxK7XfuyvW1Kic/FMrR8KgfpbYVqCbdgMMvx+VWUBg0ezsHpi
e3VaRm3YN02fRizNy3am0UQmbU8FlUs2r166PqYovm7z0VZnWCpACMZO/Y2IVu/GdxPMzh0gtlhr
arVRnfOROote6m+bWXRm/qp7hXK0Do/5+5/EBk6vIemdMUlNmL9DcoBlvlVVMO9q0kc4lyizg9Ty
fhCiNRyAZiU7zTBfMGk8wuaxGDZTLmnOmEQ9yvyLoTHtp0EC1sgWqzjX9cp6NtF6TljJpBjOYVj4
EJSNIiKTFcYT/OF9xVJySAJga7qRYhqfKurVsgpOFJDQpydrPke/MpJsiX67XlcYE3jd7ZA07p0G
8JSspETHUCpsm6T5ljUWRyh171iTptizgAHIpWZns8y+JCn4RwuRnmLTwKPC477W6pNY1I1At82a
gs0+suFzfQ7AK29sPaMRDsp5a06xvCyQ2JzyHir2QHoStvh0eEjIZsNl4Zjlc2P1hXvWlYtHqG48
JpykjFwPbWq7aeskRaqHvbTiEn6DlfcgSwD7aa0d8YWE+VDHANtaZYEK8dylTI6EI2dRvKx/EFPQ
x5HeMqwJ4wzB54AuzjfPmXC20AOsSfI2pqZv9DQXRE6kfONEBMSSswjDQJso5b0J/JU2U+SzndZx
NbIRaX27fdRBj4QwJpywdcjuCasAQvLUsHHzU1t+mfO+2DVZl+37gepKL0buSADUXZQKt3/osvLZ
a9g/kkskn/yxtLKomde4lPXcBSvK4GxZOPm8dLRbuA7W0eDFcVNYQ7aP0XOKkMjz8tgRlvEyzXCO
7dmgNjRL09zw2BY7q/Oba3ai/mlWOvCWkU2/W4r2URBu9EjCsHXUJ1ajbt3biTQow5SYlDG0l3IC
El+O/c5YkuoIiYldi/CsDbWTd1NZTf+gGyRSgVSuX5y2AVdts8OSBrvnqBELb4CuNtpHM6ehpFQp
L6Gtg2KIbVaTLhZ+ZPkdO6PYtjHU187CM9KSUGEAQeEvO31RX2sxcVaqhQwodocbJ7OXA3N0daak
oitnMlDDMrW+QtOK5dKZPRpAlak+I4X2T8ZImwVYYHBKDNmcZbMnTm7CiWPmOO+Fbjph7YvhgVEo
2/txzvb+2gFiUikvq4L+kJexTWYoufzweUqXbeYv8qlwq+th8uQX8PFst3UnIWDWBmczpkyobX6p
0NbCef3Uk71G8fgIyJqwZu53mq2R4ND1UZ3W9V0vijEifEI+O2oCOdpUOTgPZnbbfsjojKyb12zS
2cCnk61udNFwZeqcUuT1XSxFInBoJ+ZMPjlk5LXopa9jgaigscq3K735fEkAvE0D3bXX2xCXPIVE
IqAPTr02X9gJHQ+rndXNa8dHWNw+eNHK0IUiRbwTu2DAUdmhtCmoSuacpz52EWis7QEt0TgNyLK9
kIYjp35t5C0ZFL1C0hAa0/RH4xNVtPC4iXCaE4qRccV3+gndK11Oxa2SSKBgyxfBilt0ULKCS1M9
hCnYVlziZNRLUr34RsztTZo4C48gogpacDExcbR2dDKjenIcSN2mnUHjbtwKeJEhTnwQlAUIPQoe
vaHxxVCVmQ8dQQBe6vNi2TTKnG5UX0EFkKymd/MnAfpmE5tNedTW5gqONpY1dvSA7ddOzZpwsPEp
NYibWTJ+U2XS7FELS5xlcPjX/s3rS3Iq6N2KOrXJpdK+6/qylsuexuUrK4ol1SKw+vvWJBFlJ21a
Q6I24lvdKMVJ1mYRYVHxT37Xqs+1QQ+N9AJ6ash3xWnEUnI12Oy0gIN3LO6a2X7Ds1Y/TwnFTqOr
4DR6rLP1mHIKU4eESR2OKFiPojfwy1W0clzK8w5E+mm9n1WzLsMYl1piD0s6kkHmUfMWDT/OS3Q+
z5DT3Kdr15u6ZH0LsEF7NnxuCXvp22+9gqOeGnFy5ZEfuDOa9f4BXgSNiD5k6fJ14rX79Vre+gEd
UmhPxW01DnSRSJWKXORg96/vBqOjBdz7SXrlseTTd6KJOmiOfeUlmsOrYgz8kwooQ9RcmPdjAy48
qOAcuqRFHm22w2Hq5sa9dOGTZT0XEgs+EUKlLk5wZsXJMSliq/UapJSHTy2iR7lrlprifDRYzYj9
eZhHymRZ0J/T69K8J4mRxZZ17DN0OvmEhQbKPgPG8LUlOHQ0LX0Qb2eJSEdg85SfLauJDNnmFLs1
t3Kn6onipGOzU/Fgw5Wx6ILWJQ/FrA/1M3n2NKhHesZWFrNV6CicLaAHkUlzecvLnpvndZmdPM4G
nSNi+mo7eWRXPxP9ZFbrfoLEwrOpsabrhqbNJ+lRtWvLSMtiaAdOps7ylg48RwWJQo+6O0j2eBb3
mqbHt9NIv8wspyo7CttRZ6MsaSKuSyWGLXPbFFZxBckX+K+bOXS94HtaKuD9kNIy4Zls6E5jylhD
igycRsrrv3tr9FzHRydlseDBzQI2IcD/5RdwcZQcql3KYy54yDKZpVdAPp+HweGskU9qHU0/5VEZ
Cs5BV+rshoZRfaYqye1NP8Hq30ALCqhbeie7JBaARXYkE+ShrmMqyHmYo6Hngs8+/pnCpKX++r+v
D+Zc5bxiNCK7vjoj71TJS+Uolm66hkw776o0z0gnqXmgM6rKxHNYZJg1JleYqpBYLE62XEh3YUc2
ejOQ6OJHby+1S1AKG9jXRrFHEpQN5fZ2XKuAeVJsyciY6/c0EvjGI3mbOWwZ334i9iUF2kMx29FQ
2fYOtPxNQaTOWRd3/+gc/zuq/GhUiSCBYdv/Pqq8rKGa/St6IfLp5Zdx5d8/+M+4MnD/cpDm63iC
2K+gdme09s+4EmsBo0zCkqgY2EO9TjL/TZwP/sL67K5aOR3rH9PM/0+cdyDYA1L7Hxa98Z/MK23v
19EeKgdscUz60a1hXENt/UbyQA0jW3fyzNOCQTVZiMdI5o7UBZNFZ24v6IYHW1l5QB8H3yHxxret
5UmDP0yPMzMO7SC1UwwtfzsrIpDQ0BDeUC/tRZ2IQ0pxfuar0Yts+pHndS+0O0LoJPimRDvvGGyt
2ZLu3eDL6RN99U5s+jrX9oZUtGHbXIVuS1+A32fsTKUyQTRIbIESw3zN56ZR6SQHOM0XrlU1Z8z9
iZhU8Q2QzauprSOmvowYKmkcFHwyKPd+EXqle2bYcRT3NIzTRH3rHWOM+ly2Ie5fOoyWmC/iJkm2
Y6dH06B/TTU326iyBaGJvW8368uyd4iag7Ro7gEwiUdWjpx5UkHbrIR5ODVXMDztLWjC7gWIhMWk
svJD6Ug4H5XL8as14m5WdtQJPzjMbZ/deoQMRZVBI0uyr2XeN1PzSDlgu8uvmjnQQ9VCh65gZ296
JEXskjCZpUzDoyTTnM24YtuHmsDJIvMuUiOIN4ZV3QYM64gM8/ZB1R+kTZgMkUNkhgVUljY7ksiM
dcjpuREiaH5wOnrlQ7d+CVl0Udezpy7nPgkbR3O3pd9/qdogsqapOpMUd+eyycg2NOHdLN5Ow4i7
cxYwVGzItA2SaA+FsHsI4uCsm2s99AtTkmUTaw+ox+oN2mBn29aScqmfph1v0GBDzxXsaZ3m916O
7qtlzxV5HhLfdjKcndlqc9ROug3Nz8Gk5Cf7qQcqqSzX3pJ79SwnaZ/ToDrOIq7Y+1gq6plLgzFO
9qnVeysBD7FyqW2LXN3XrfvgT8spN0cPejQxXZoA4WDoS7r3ZPWyOPkzLRp7n9Ngh8Y5rrjCXDtT
ZvDdXjRmZANJJ9wTWCCmjTtyS/hNgjUoh82YFDPZtox5XoP0fGMJAQ7rNNmdozJz43m2FyMsGmYY
WvFlme0J0Y8vt3mWzwdH0D9b8G5utJJ7ISP4N/ISaR/SBaqinc5TqJf8WWE0n+GMV2R+AgRDxcfe
sp7V3vC5grUV2Ds3h0MUW/mnxnSTC7B+1c7yvyRBq59hMlehI8lNREdVQSt1U5vwyyy7rQZ6xaJ1
4TYX69QxC5p7XdCZQDNW3C5oeaK2XS7aril3fl6MWxPmNlO9voqgF3lbAaiIraSmX2eEmW11RIVb
o2U8QKfIjNLOyjdENrlHwwSxmSU+owwzYSs6mOctSOBIM1P5idEBZxGqChv1nHFDEowRdjG10R2Q
Ia2T65/m2KYrqrE7B4uw7FBKemHQoxRslkLcFZo1X8ey18+Mrh2dTeC6KcYDpLBbV/pMa7vKBdsv
iq01U2/xUfuTR1uNf6idBMTtfV24l5pdfMkG+BG58MvjoLxk0/sDuXbMpi7k0joHLy3zDX2xH1Oc
Ipekf31Gzqq5yd3uTvezI0AcFz2wl23sxrklt1NtR92ijAwmtVnGleNuTwSVquBr35W3GfD12Oiv
UQGs+WMZMRKZ9h0/7ryjH3zedN4pG/n3bCb2o8sMT9hC7ChyaSE0rWTaM7SbFC4KdJ/sRdUJ0av+
ctfW5nQgjonRQeFpm9HvuxBxwAw3rjbZdituqcRtLmbT2/WV+RLQEmEDSqDYULUkeZrgWisv2PYM
O4HV5AQVqu8DQeuwYuf40oGgsddLwzgj6qzY5aU5bGFytMxvChmNQeUfUku/oip+dt32RFBCfmyd
6cEfW48oarcLS1Tbx54t6z2owceSCNRISu+7m47Uc3HWhWNS3ptGf+7ZXXMpfSIBgWxtnLouL1BR
btBoXZdpTB/GSv2QhvcPWoB6RPlI8uvS13ucNzR2SNjaKnh8pxVStLcnksnJcQ8OZY4A3kqfA4R+
97Rf0ZkI43whDG9HF464Zb8cosnniGJZ7tVgZ9ewtU+5wUto0mKwZkzdyDhLyl3Tw2fWK+dOFkwJ
XMq081m1R9BWVISDpW2Srjc3ZcrrJSXq7gml3WcCM/qDN3vf6h7aJ5tk5g1mN9Ikm7Qdm3Un9Koh
uOrK4VpPaIYo8Fl88PFCkigQdo4pEfXekuNVb8Gx7EhYQPnrsoExUu2xD2AsK236ZoGhZi3se2ZQ
S8NaQ2bgHMcuwMIpO0sHe0RMzCo3+uwr+oY5pV+a1p62orNLvBFMcCktwCjS2Cde/jgOmXNcNP9+
7trztlDNRmrJD0sDCluKMt5ppPhubOkaO6f2/K1BDMiZL9cOP3jazcKqumvcpo6YyyyW+FK6reg+
YWaLW4CQRItgeplGLbNlyJzXr8eHDpGNx6MISzMv2QmU5FRcQToORrnxUrNYH7I6p4VoHZRZw/HA
Puqa8SerHwmoIoF8blo/2QJRZPXGvrIQN0FaGzOjW3QQnts8QSUXizhjKtV6QZgjLvFgbedlpqVs
SGSzNM3ffez/ltcflNcWtA70zv97eX0HVzj9V/jSEF0pfimw//nRf+sB/b8QC+gelnvyjNxV9PdP
fe1bfzG4dkCeAX/6+2/+LQd0/qKqXkENFqWB6fxUXlsmNTlyOs9h5o03Bl3qfxLo9CpM+2VMQTaU
g2CR3+nCYXyrYwepD96TSSZGUI8WU5AW1hgKQQhAKpTcuYI+dCiS3L8JMouBpJkJtqaET0RDmfp0
ZayejkqcWY9um87XtWuKu6F142fUy9O1XABOo5NanINs1pkdoxznPNMGit9C1GScTvRpok6bct4K
7CmsEymO6WVh1Bq7ctuxzvpFlWqrGKXgG53ht4cFpQBWgCEXP/B50j2Cim/vCprmV6mRk2eYxnao
1dNAFKfSrLMmnkW14RKIPNJA36ZHIkFZ62q046bWxDLszNg69pVlnY2Lbx1JmcW8MJVqeGJY4QWR
quLuO0ch+KSxBQspTkzyDnzmNQQhueW8DWbHOk6xcJuwcLu62Gba6BwyBiweAYV69SPjgpPH5EzX
rqDpugXBHn9bXAchXmGM7aNcSIQJYz7Zoy3JcBSjXtwGBdM1FDfp1djH4p5teH3VtQ1TtUlNCTnL
vQn0N049ZlhlVZJaoxuq1jdLKv2bqeBzKZdQhw35oTGqAbow0wb/hXezkKTxbCS+fx2XdAXA7De6
EcXsxUQUlGO98/yKZuviHSdZyavCUMG106ZZesrJJzu0nL/dUNOPo3Gi9kuajqe0D8zdlA6oFDNH
1HeGofwbzeZuoUqr6F74zqEiyoMXQWPcr8z6YzZzdWBhA27qvfqqaNSg3S12NW9dLzfO7JZ3K/OX
3o4y9ATEoGuo5ezesHaWyEgrWSr11PS1+Sj12aZBslDOh07itN8Qvftbtsedu/HHObiZJH3AebaD
O7PJkpvJWqZkG0wNEmpnYBwVM9vnZaI5ZtSl2vjiL5SYRWv8P/bOpLlOJWvX/+XOOUGbwOBOdq8t
aauzGmtCyI3oIUkgaX7996Dz1Q1bOmVf17iiIqpcccrFBpLMtd71NuGFlFgf7vrJjI/umFXA0D6A
MkOkyZ72adQbF6RQgOkMNjbijjkGFYCjg603atbco7gZZH9LAI+XXyTOGF5DErCcFbQQcV9ZEw7n
lJRDDLHTNYBgs6xGJSgsNTv7mAwkuiQjywbysgweBAaJXloHnxuNE5jRhUOzTgAEI96PMWjiwp2+
Gba08sEuRglh94eoVkZ37ARl5lnRNFP6aMs27I5w3j0U5iyfJz+KjTuGfS0Z1BEB76U+T3XXPiZN
eYpCJ74oesyGv2aeAZq8slGrusYxLk2/2vh2Yd5jkpYSzDIlWBd3xAMh3N2Zgv/aOUDczRwPD2ln
pxsjTOrLNkswNpPdbdZbCUQn9FjEh9lQznLW0AMs0ZjTniyQTwwSo32tONGwE3eIl4IpSnh4Zjcb
slaYOHbkunyD/2QXh8lM8YnSvd1vJswxz43AzM7q3vQ2U1jdktV10WVtdJZpq6Utr8fjIu/d+mNa
bN0uoVqpxz3emQYZF+w01HbrJpr3Y0AZCSvRWk2y808tnuEdbtd0OsM+6DLvwVI4bmV936/mqa+v
hsC8xejWXmnYXBh0hgkRtvRcuogoVaWId1HVrtvMq87NSrbfs8k/mTN5vI3KByqJprirhA6uMl23
iKLR2UFB0tdWj9CELAyoJ4xt9q6YTymBPvvCJW0dc7NiN1k5wyWDv2Xl5IGkCtfpDXOezzXRVGs0
PFezVJfdkEdraSfEWjq12jdRhUG4MMxLvOSHK+igIJZt/SVkt91XqRVsU4K4dmBM2Zr6rkXaZTdI
r2huCq2NY1amZGYXC8vIj59r8iTQxdLA5P5UbWwy3VcFoWGPQ9YMB7OMu/usV9hTiMHYx2p87ZUo
9lNClFqnGHpoy46endyDAUub4hLy7JbQdhCfnfWiHvCYKok+rZpU7sJQvRGZMSOTfe4eg4jBC5Gv
/k3PSIxikKMpK1uwR5wGWRVi9k9T21RYLOZzmm2DJu1uQwIhHkL0weSSoREGHkpOcxg0X6o6r/PV
PKb5k/SLcmf1ODFEKWQxkgjCfT3DApVDZD4SQYJlIazDdc0g7VQFdk0Zzcy8dMrghrSICgLeaFxR
0D34cbMEtodNv4vbWZzgbWI03I9dbh29MYsvwpyQLYZXXrMuupSxE8gyoRMNzoXEiRA54HWEn8Ne
cE4Oc9zVXCaL47sEv/fhjIMGEL1mqJgBpYx7auneeOik2T6y4ioIhf0gz01HLd1dfTPOnXlycIDc
LJZ5oi9YBi6hOARtrEcLW3ubvhcWhWucqcjPvjutW37vyyV4InHKGfwlol1VrpiOFcwRZ51Njbdh
7mLdk2Gvb5MwD76NQR9vZdgw1IjsZyPsX9O0ip/QWOFdO1UQ0VzvHkzeuOSbwgnRge+mLfa5eWqi
+1i5+9HJniPRfw3sxtvPtdut4OLptZNOTwDhIfg5jaHvq5emZIygHfMMSkG+VZYtv8fQa1d5ZtQ4
yDnZQdt9Va9tUIztLCLrumiF2ubtkN9UljhVcVddlLPqt2Vnm9MKIvrSziUKt/qWiLbTgjcCMTIO
yhJo6RtKKeoLug7QefxqDr6VzZuFGtSswmVzzT1SQBKYOuvOVS1cKgMgrIrSFzvPPxm2qDfO0JjP
ie2nhzoN/O/KUre9tl6JfAOhIfsrNPzPVWGZDMuYsI+56R/DKZovpNlDm3Oaz3U8o/4L++NQ5RF7
p5RbzTwCTZZ2kPlO5Zmj5Zk30czAfL5Phym/KFjzqwqeAHOsNtzbWZespZnt4fPJY92Nd+5MyIcF
l40AHPqrJJu/ddSfa/QA9V0UoA9JGW6A0JXwDVFL6y105G41VW25w2qyXCkj+BrF9pPVxNFns/Gc
KxwbkXMG3k1jdawr72tpl9ZZymxtKxlTncP/qM/7xv7ulwNpJta3NsibZNPzk9ZW1Q6HgGi/VesS
1ZI2SL810+A9FYt/S3hPvEmKIduZVI9XduVH1yqqj4qXjpZ6j6nQKZlad43bJkvUCuLNRP7NRlmZ
dXJkdj/mUtxGKNn2dFlevyLLvr7tk75eZ62x8rXg7uIaGHMMLoymFVhezA8dU5Sl2Gys6qr2O3yK
h/Acpfqrl8b0dCUmdIZ5FQ0twdHp0kNDCARByGT5rAqoynM7fhrIqZBWd9UZFSFLC1gkZkLfumhc
T1OfUwMCaE5LvIkXFKRTkDzvLZEGrndRQY67EGVTMQxUK3vyGU4beTlfEzmV/y0p/m/j95vGjzrc
xRnl3zd+l6THvHxN+vZ717U/DVb+/pv/SvIN/wrtQCBU9TzHt8wfk3ydv5auDyOlwEOC5TkQsP41
WLHf1F5YO9OXuZg0/DBYsf6yncWfAHKgWAzWxR91fu84XgTH4rOJsZXFvJ1f926sEjoTYSzSkIcg
LV4TKFR70kyiVRrg8PLD07n+u5f8UZv1UUhp+TbeUNhoMcb5MMApAADdhQZ0CGxCu0gPepZ0fqsh
SvrfmOT805W4RohHjo+LYrD88x94a3FnRLOSucQJPe/p0cyrVlNGiGZ++ONbgqBpY9vH5Uyu9fOF
NHJMBhSzZDSSv+ZF/hoZ6WvGf/4nl1mmXnirfBSVYQuMvbA3Srh+Q7ilPGlWLVP6dT6m/8GjY60i
PMV4FWniez+oWJqlS6CWJHa5VBej2bPN1zbcmir7zU2JjwsvEOgysPVw8LV7b+zh6xJtEojYAeQ0
R+803U7x+MB2/iA1ofa/foLvaays8gCVsBA49EIMfW8pa1hezbdZywMUbsjTjOgPWcAxWBvpixnQ
jKauohubiEr99YX/YSlid7V4zL8p599/XsCGsAxhhR+ACOq7nkCXlRcSr4g1uvOb7+u9wvLtHqGa
sitgQ8BX/fNinPusn/A9lpiUNpSfvZy2mW1Gd//BDf1wlYUz+sO3tShXtYFY6mCEI7GfanzQ5VAd
K/WfPbofrvRuZxpApWuEhiyQop82YsxeZrqf9f/H52V+fEuYHAYBK8MPXeyql7X6w03VUekFZS1L
ZNd2vZGmBiuh2Ruv30CIEDnjxgqVtWtQ9B5MtXQWhRPCEXGrI3pTXL4GeF2kFWMVrxA4fX2j5/sZ
aNKSbr7r/fx1YiB9Fs+WvpR+G6H5nFuxskO4u7XkfzIlUbmFPmkz4CLmzB+b8mZSof2Y+3Z95kVZ
9KxLiB9DOXpgD6Qk11MV7oeM9cxYjcDkduppmyAzwwxv4Ox0HV6lfV5UW9wAqjsSAt0jMWbD1yZi
l7c6wW8XFlfJ3Pp8CFqdrQGQkno7uYX5BbDGoM7j9xjMq1/KiJvOdSd3dRjLKwRS9YbGCpxF04lk
K6svQuJhHHojQYLjrjFRGWUNSgVDSWNdmtwdMA2xhuQLrdEd2AhT2VySOCVajzwtohtHa5mN1d1a
45x1dEvoOTj81eeW2WEIwkR5H4SlwWQcA6A40d75GDNLjYO6eBADTN2mdeTnRpT2Y8S9AwcOcE5l
6fYzv0lH1GS+DLu140x866NwaR8NOHIP7UCALWSm8sYw0u454tEQ3NfIK9Fnr6bFO+0JsHosg/R1
bIforhNzfTYsW2PStnR7xaLdUNB4Yr7tsEius1SMtwQFuGfs6B2FHEJEHRcAhZ4AKCRhtDqmMXkK
K7dH/xU7MrzKRFy9CsLRTxYh4nvaMTykbGNABfG27IuWyGgyioOLRPDI8pSHgFkZedfMWddlI+NP
wUyeGzEvaf4cki65KpuhZpKUZEgnyZGciRZduu0U9ZW8pKGVIZ1cpJ+SSBrhFiFYyzi1ztN5JWBi
XpDHMz8GEAc+oZopX20/qY/c47QlsC5aoS1vDm5mhQ81aSyfHDLuszUhUh6JeMiOc2wuE81kdISs
rfCZxUrL5hVQ3ebearQlJTW8AwMTRxE+tA3jFemas7FmuBPi7RkGsMjkErBG1FfygOFprPd9UGUv
4WAbu7DiOyJggAFuGupi3+pohI8U6qeZoeqeRIoORzhD2ekuk443b2dE0c1KtfHQr8SYW1/wF26/
2TPflmsgqNoUg9fea7+Tn+MMiMGfCvZQCMZ0uNDgj4j8U8RVQ2oArvAmvCTOn5vYro5jFFcQ01ub
KXn2CrErRA8tnCM/hA6LZL6NAeyA4BRZ6InwXMR3cbEkKfKGeoejrycCb50EMBu9JIzuMq2IV0zk
mHyvJBhrlQt4yiIR84Vr9U+ynfQe8I1M0rBnIcxDUJFdlr62yLvp+IlvbK1iDyzxveuVv0na8a5q
bGSb+kufTOmxrAT020iKc45C/ybp+SgR8Y1bqJn6Uncq3MIHkTs8PqOVDaDwCOA2nxPetStnurh4
HmW3Loec6Rfiq3TldAWLml1xvE4KxLpVn4VXDkUl8ie++rwvoKtpGa2cFphnVuxu5dBppv+cu9Ll
vu0ye0lbI7gKMPh8KUZydx3dWXj5AAllbuQcx54VRYhD9NyHcBXMgvZb4zDIjAygflUGDUPHqice
x1CFWsUte07i5sGNJVRD71a8eB4bpVLsH6CKC/BNALMNcLcBx4Vk7Dl9cAMYrWBVE4xE8BTLsA9V
sy/Mst9kU8YmZvf1RgxcWkF4PqRkwq0Jsxm+Jli4yaqoiHFsCZ7Ec36r0uLKkYRfJoMT8BIAz9tm
qatr8KHCkiwmGH19uiotF6yMp5NGMAdKAYH1bddF/P+5ywPruzmwWzGOLQgun61THnUg6R7IpwY2
Y4+jklgZRuedstjbtQhY1rpW9tpzZnbEjtGKnkV9j0w7vJp95s6j6UOpMYiT73nDGUxDpSDviOqT
lnG0DkRVHaO5L2/anr3HiNk9hpCPPtclzzys+52TYXcXVzoFhLLNL6HVd+dQWKlH6/4qyNviACdD
77ME06cyjIF2VHrlpI5+AsNur6Yx6S6jbH5MTWd4DHLk/cEEigfRxDvMYTpD02/KKyK6ousi/+w3
IE4I217reMkD6tJ7vucHpc34YOMCT0B92aw708FEcUJbyrEI20a4Xwyv7le2z6G3OASdGWlSPBAy
ytC0YscxywAhuGnJxaMXMuvfmyxp08ApvAPmHtgA5vDN1pzb1ZqsoLE/4B7lqj0igpUNxX1YdW3I
OH4qCjazjCavYYlkYbnG9SA/q8B2QvBeZr1VTszWZoL8oVZMptMSgVnTmcheh2bJ9rbvW/CQ49A4
5RE0wYR3hkAIyU/bb3oL96oCevGII/P5NNhjOXP4FIr9r/SH6LZBJYBpa54R2+umukyOQxY6RAcT
Nq+DI3LluloBoDm+A7wWYhW0momBeW2nLCGsXefldwnCsbLSmClP4EtMHKZQLQxYz4TIPbKvT8Fi
RLPuVNddVwJuicpcApZRiMQZFk+JclGk9ZZGTWe1z0Fu5ii1x+JuyJwRnwZLQOCluEZEKv1JH6si
yzepNL+4QX+QWQbCOzmw5D3Me2zB98XGoW88LzMuLadaCEx+CVzoMmnhO7Udhuew7foiAEtqsBQf
m+glZ8yy9fG23L6J68lCt57A8cZTzxkNLB4rc1O5dm+sw8KZT3yu8de48FHS5hY4T+GPzNELwzhL
R88MIKqU7G+uYPt2Y6oTuiV3WA0ulm7wPRJ1yFGaoIGZPP0bC5OPHkBYpTCvN83QQ8rG+PnnYrSd
59jtW7M4wPhlv7EHfUkEkekDCVIndJSWpwmzPqwEZuqKPFT1OR+8d945JapfK/xdo4bvjfxxMgzh
cxlPLok+5El8SCXwYzvmG+D3qNJ66E242QzoVoOfvlRFfxtNHHO/bjE+dIYMf01aQ9e1qMfxXnr3
AFztlYzLioNuKMKqqIciWHEcV1VSnxsuWcS/vt5HY8Tlgr63uKphaP3B5rlSFDiuyDHEhwNqLFHE
9SZtKy03mSpfOrKtQIlxaRVeMFy/HTsDTE+xT+zB2uGjYKwjgpVfCN3W+7HlXP/17/vo9sXvw1gY
ksDiJ/ShKZfE2ZCD2OeHpCzdY6/b8rV2SHtdDd3QmuUqdim2i6LgQ0oyqztpQa1pgQZfSYtCG3uK
F0qZ6giEHmwmm86zTSW2K1AmvXPXxpyF0b9CKdGGjDIYrqw6lIaHeAl6ceDo1FvXL6M74r/cF3gK
TP9D/m3PBNO/wZOCAziaRsx50zR7fjsVq4pwwPUw5/bvbN+spYt9txqhO5A1YgrhIdZ/tzjiHtcP
Tq/80OE8vPKMtl51jE7Wg+M+NSmJrmgWMQBAnbyDcOOtY/XH8Qmk8WF3iJEIr4Rl+u4XYN47CNwE
00NIv733jLg+h7D6u23gA2LBVQAqSNzx8er03wMxfdrrSEDvOwiX4lmQpEBcBvwzSJ30GSInUH7K
aB5QFumnX683++MzpkSBBR4szucfE8mYI7paFQN+oO0QR0ij0J4bURQ+lz2lcVsP3nQVGl74ULnT
Qx5OzashPei7k/bidVdXSbrst6qDjdwHDlJhSTnpMram/g4vMqT435rIirozI8JK/W/E5b949e/w
akBmOPP/Hq8+ff+iXtr8J4oSq3f5S//SAHh/cd4ARMPdQAngLv/oRw0AhpMmKQ1klCx5if9Cqh0k
ABxUuEv7oY89Fds5c9Iu+b//xzX/BJnGdffnb32xuIT95IKdmW8Om+/g1cLpDfKKE33BuDHUyeWc
K3wqyfnGv2uqLrSfupMsz1IdJd+T3gig0KT58MkLlDhr5y66K8ogmqFcOvYl8x5xZatWXIxZSCJR
VxiYmrQMVuAyKGOH3q1/ctuyPKnAb7KNZna9C7sgPdlj4KxzT8XdaiHMbiVermsyvZ1Th5MBMIbZ
7EwdlNd5blbX3TD0tyE9FmRbzCweFEHLR9dQQb8a0eY9mfiicIomhr2CKxjeQp4qbyHfP0D6h0ge
WOPet/z4WiAAXdRy6naEAbGDSSKu5gipsDE4jBZlOGOA5ORrIJwRqrWLMjTNm+JTn2bji++XBBe2
NTnd7iwQHDayvSbcM3ls8OmZ1mZNbIYTa3sXJr5153tNcuuNgpht09VokmFRX6h4sC+Cpr0vCyIQ
V0Qk+AqvEMdeU2vPn6qOEZVpjV/yETuzlaPz9oCrW3qB+gHOYgV36Tmt5gFWBe/wvsiz8hQMOoGw
kcxHVeLetkpw0NwUOvBhLaNGW2XA59d22BLIW8RXQ55lO/IWcTtIvIzpWBgezKEeLsaEYGKUjGx+
VimQtpbDdDd1TNXzMcxJ0cvtq4CO/MBRV136jTlcuG01HdBHOy+Z69THLLS6O/b4YlyXuZFj9yU7
YvoSOzjDeqW/nK3GZLbnG5sqKqobmmrnrpvc7jPpG8XrZLfmJ1tD04WBUl3BOzZODh43sWd2Tzwr
Oa2bsQqv6a/LJ0elemcFstpUTJW3zGnnPaJaY2s4avzWDG17ZXWyvsiIc11Tt9PEZyyceBUaYfh1
kYLDQlEW1gAG5FMYDkWS48VZJTfQ6E2A87DpIMeWWO6Ytd4F2LOtwGhftK2D82pR44FOy5OrrHjd
V2YJnDf3+I/HmNNZYLhbUrKzC4krP5ECMjiYFA/fM4h+1ybJnaypeL7KvUxKOpzI+BrUiy1QFEOJ
WjUDFncrmKf9OeNkn/0rSY5pjuoUhl+2yYzCe0qt0nxUYzZeCEhs28Rt+8vUl94I6tnoG3SZ82e0
09jyGoUcz1GrxZ9Q0nlXQeOuVCDjvdZ+dZ2abXdr68Te5p7TUftryPqsycqHWd30iEC7Ee5B2/l4
Uw+VMTDAEtGZk2XRGT78ihF4hqlJ0FjQaSJIc6BAKiof2Ebk9VQVyK7jxtzqvvRg7Enz0k+salg0
7US7YES0VcnUXJVxGV+pxLWxihHOc5EWIT2CocbHFu5djI1AP90JkTvxmv6CVKvMSg4eUZiQFzXE
k9KgYVtrnND0Dlsz8wqA2MKP3gNfOxn5whCxIFvCJKwhI7pNg1delcp5M5f1N2gAqMl7UY6XzuzD
BUlzL8WGhfjBh1i3lG4ZiSLRujDIeHRSK6OzzUB+duPYzHSZyJBu4GlZj6qNqn4dS1vJZlcI3IvG
S4tCCxoUfSnyHHungALKEFeaScBDZgrUmne4DNqTuI/9EtpW58DwONQNoGx1nCWClxkHwqwc5cbV
dj7cqWyMg69YKkQJQ2og28G7L3U2YBobSM/Ajq3vu+wbfnTSysF14VBxcHG4/bcO+F0dYFkhR/C/
rwMu069k5LxUP42s//5L/1sHBPZfbL/0XliT4loMJfn/1QGh+ZcLwy78sUT4VyEQ/EWGDOaXArMQ
k4HyD4WA9ZcIl2S7ZYRJ8Uz58Adk5feJTEy44M8tasCFYUOWzNJA/jCuaUYDon3RWueVdHXXrHVc
puNBeWx2mFtUWPfXyVSypy58SKAvcvQwE0kkIvlQei9+qivbwumLlKmR/AdoF3Ag3cLNzmO7gWCH
1RA1NgJAfDp/eNL/MANfftkP3YtNn8w8evEJp4GAtf3ulwdtP0ArnNU5krbx1koqY+0B11xM2jcR
+k4g5L++IA36h0uSprn07sz3BW/zXRGF2s2RRl/H50KEF3XnGxnEPXrMfeZi2YXJZGM0B0uZ+EcN
TYi+pne17x5CQQOy8+LEqs8iH3/S1azJAF1VImKeYndUFUGV4vFXVz3A76KfL2yrm/duVNXnWbtk
kzLboVe08kiJVaMaOGMeudtoxoeKZ20IPd4WMy2pbc3eS1fJul1lTcClQsYS8Vb50QI+ehGlwiAM
phOCNwLI1rV9vyMtYLqcBA6hynJYBINDC64cIJHJNUKCUTtpUcsxz1j7MSfqFjONhW+9/HIzcQsM
BJPY/mRhFzGvUr/l3lqFKZSBbO06hp9IE2OnwQgz0JafbT3kMyJ8u0muxqTkF70xvQE/kvFeYTlL
WEhjYCtkZ4nVYogNM+FEjIxv7IQ/CflkI85Pjp1qWX9xW8ycw76nb2dV2Z/IS7bHR0ntZzw7dseT
S1vighEl1WN9pmQA0qQJo57XkcBhBwxxEUjBeuTX2Zmmkx/nxoQKbGZZspihMFmsVbV4f1EipoQA
V95LRiv30E9gn7pX/HU8JgBWG1LyCO7g/9psGx5SOrm8BeFCeXlKcB2VBxfWernlOTr92ksdHktq
FMwzRg/3obtprhcq4BLUfY5xf5Ec5+WV+AsNPmzSnPcnnfo8bAxmLGnRGf56Jqn3MomH+QZ+LiZ+
DMrGw+K4FWCjklokBKqJj7DALhKgUfiocmttQ9GNfKpFr7EWr7hx+oQLVXeiCwWjLbMIh5KZiJCX
OOu8y2mKxYOBkOE0aFlcO04ev9gMSQ4MkN1gncISe6niXD9Kx8xGuG4s2WSAY68H3QXrJFuwvbKI
8uloj8LDn6f2wweD7J7uxk5nQ2w8mo8Zhq/P4x3SUqgrkwoEJ3gvNqjSyr5xrBn7piCZHc5o17C/
Mrnl3aUOYMHrlE29/Mwfy+yVaJjxNi1NRh0C9/R1HbNGWvwQKNPq0PqE7y+vp8iNRqwMKGUCDddc
ME71a4kQyObj8rOKjzKX9RDtWtOQ7VOLwuAWVI8PwUBuNB5SW9pin+MrcO7hbimpglpwf50xu8wi
e7ymTGwOfTJP44VT9Tx6v+65CsOybCbjsGVEiHUzzwWqJwKO3gN3rJLcVp/yeTaMB6P35+ais5Wh
rqcR38AdUjm235nqPLxPXbPMbyOdYSaFhV/DUNRxzma9gEnzVPIswZZ5lqM5AD+FYcyDgIuiDlER
4KPssqskR9lg/bx+W8j5aPDianwP1Ubo5aPoFEYSK3oi9tDKre1PaQ/Dfg0xJBFPI5pgm3ILs481
Lod5/dV3BuuUiAAQKShKrmnkcYb0MIpV9gwRE4Omlddj4ulEQZc/KnYIK8H2dPbUVV1WFX3HGBtR
uPULNI1bOyfxAmWFmR3bxuedd4WyTlk3O+Nj0EdN/t3zKxtmqDtBityWprbtq5LzZ25Wdo/H0llU
2UGJ5qwWpnmW2A6zAs9a5vwGaVvY7M40eIhQTxWm+E+e7iPGubRuOh6HtVXW/T1GyeiFuzbZsDDa
tdPHyZlThBEeyBHysTIlD8NyrMnbJH7pHZgAiSXlKmuMlHE6kPMOwYmoEL3KKYL7KeszKQPzofWk
vXZK89lg5LPqKpif+YToM02GMThYuR1/KdrI/770qdigqgr5n7joB9VM27xQ442oYYZ7jq62JYfU
BvjHuYV8Uz1bLjpfuzIZO/lziRix89V1GMNd92UOSmnPeXGZyri4tzPYkyFNwG42OkYBeiQ+TGFZ
BPlEXuliLi88Jh3bHmefG7Z1+ZyFfXKn3eJ68M0RcmvTwtacmhGtal3tdVqnd3ErinuyGdt4p7oK
U0YOsE2RN/OxMMJ8h8d3utLNUC3GP0xxUu3Unzh05FPllTLZZHNb7YLUrB8TIZZHizwC7b4HFVz4
/XiSYnRWMROZDTTk9jVVvtoU+N8d7CW6cyhs++TFre9uEMdXE/RgyoFNq2zNYLas90HRTAvbxanP
fAirdJfWTRbVcm/CVd0o7vEJAxumUHgGi7MKHFZvp9LvTyjBo7tQJmJvtHO+8wxCWUiKnwMiHwRK
4aRrztmwpwNZR9PZYFghuSWoo6dWKRRQyLyafsrwJ2rFJ53q+ZuJiPs8DEJUvZUKi99Qs96NFyiJ
CK3kX29YvwMG/66Yq0snyArsZcYO34GchnttDg6H0AKabDD+rM8jvvLDr+uid2Spt6uibYENRqXr
E6n681XdaE78ZPDCY4Nly2ccodkYJFKS4M/4X2/XwUCRAFyqvYX9+PN1dFKLvg3j6OgyL2dPNRV7
9uL65Y0RG8avb+odjentYkB0GDVSINPkv3uUFt+wEVMEHoOC6XW9uDO98QSNtA+3v77Ux0KWWQnG
YdTiJlEo7wl1TRz60hhNcXTEZJ3ecAaPvCMmgl193i6BPH98vUU0abFMTOF6wTtymxVgVlAVpXec
xyR6+PsIqhKTE8OrFnZFm0483l9fc3lcPxfr3NyS3YS6kpf3vlifytjtQtW5R3A7qivfMCl+2FA5
gauR6SrjQf7W2ig1fzaZbY9/vEghBHk8Z5OUKtsz3910XbmNORa4BvZ9qg7DgHHQaA2/i+b++Clw
FWJUMBZgskJn8vMSLSJ7QJTQimOMNdVhQte594Pfxhb901VoKAPkqow1PsxtROeg3zC4lzcGpkhh
kmDw9R8sEy+EYewEdDu0m++eWL4AEhI73qMdYVdG2A2LQk8EPQCRQSjp5Kjn37R0H/cv9nT2MG6L
sFEu+/Pjq0CfJ9wR3KNRR+LJwtoLmpamFOkJx9tWOKrZK9HOLJFfr86PHzuZNFBn0eqCOn74Iog6
T81ZejbpBnzdUc0+2SEb28wZHna/vtQ/3CKLA4ozNTj5T+83Sx8LAi5V2vhvLY5PpVWfzy1MqcJd
BuFLBzcuq+bXF/2n+yOOLoDg7jHqc97t0BqLBScJhXUsBHTWqoQ9WZhBsqfR+e2X/jZN+/lTD0En
CPHCd4gZxocvbaFfmewnsLZaLLsyq0SyyTikuAXyV6eawARIFBNl8jhQ18EBmtqTbnDI3jGMdGku
aohLeDh+YzjgUHXOFTzAIBfyd8ncHzdezJYcf+FNw2S23lPOq9QbkMtij28jU8Z2LMLkLVtEfytC
1ReZT0hZ/+s3YX38dpdUdepKRpLw3d/TY+MCvCTijDsagUGtyzyE/gGBJe7VyuLITGS0rHdMQE5N
XzSftfZmCwwyHG+b1m6KfRP3c7OjSkKNh39n8seHAyQBFBTw1R3e3ds88wc8yGwAvXXAV1/OAUW3
iR+OFUPaawm6T3FOM38H43xYm4IRMF8DUA5L1H1/wSZtl6J/mo/ajdyXFo/UbDU1Fct0XObqv378
/3QxcCOHgXfIVvN+bcLqDMmCDieccKDYMSkJL8w2oMvxTEmX9OuLfXjV3FlALLtlolBlO3v31TEN
sWQbmdNR4FchKF87VhYfIl3iry9kLzSWnz45aPGIJjgRuDkBLvbzvlk4SToK6Q9UECppr016uH5t
BG1HZCzJm+25zDRIiBtjE5kMCQSgQvqOYqa8HIN1M94maQ5OYAw0S/COsC6dfahspiGAskC9nJ1Z
LOjH0OQ0xwMsluuuwsq+/NONWDCjJLqVNHQ0zh9KobQibcMv2/aIsDDYDJBHzvFKTfexOf1x1cWl
WAO4NMArxBvn3fGGybbd6REDSYWsCFNGRiyIlptwa9hjfe5W42/xw+X0+uEtuRxrSCaWnLXAQoj0
/i1Vc+lYjfLco2hG97sQtj4qNwof3gAR4begOs1cePf1ONq/OQDs90vEXcQaiDYcrryQXzzn5yXi
FnAdodxmR4tMkXImBiAQhExPuJAzhiQwNPiCXXTublBKW+0pjGFlVo6K04Pd4ay1su1sujX7EhRx
zhe8plH+0lj0ij+/+TCqEosW8gSs9NrvJqPi/wkR4CGEmgxjLQ+c+sbLWuiGy/JiYkz1MHXKkket
Ftcg/CvHa28YgcbaCB7ZeQ5wBJWz0fGSiwcb7dIzjVxtTCsvbwbQhpMSnYEpUSqu68ky5n3tV8yQ
dEfSh+kTQHEBLG1W65apWrhKXCUvutzFEcIvyP7e4Jo100DP6RHnZGuNrarXY3psJZjQrPom9Tqw
b1MT+uIw/EFdVVgZ4FEvrcL6NqggBxQ3Mr6XcJQLGMqEOrnW08iffaOB1o6Qc4kyVCHxr0LndEVV
M/NP58b/3+JT5xHIS1gsdU0j+daSqvCInqpaIjYwFlokLpNiEHsWB8Z4K0dEytcQlov6Io8b3d20
8IDLDcxivu7aKmWOMt/kvFB9ZzU7mGHjbW4iOYqFqP+HvTNZjhzJsuyv1A8gBIpZe9ELwGYjjaRx
cKdvIKQPmCfFjK+vA3pmVISnVEandNWiRGoRi4ggaWYwQPXpe/eem13RI7bfJuRwCx3e1F6+m07Z
W7eqEWsrasz5mgEI84t8dPvNBoS/PNYYnJBsGal1M6zREXQ0YAfskqzLpp1TQ7ne0Aehc9UtMY1w
r5gdc4uPgb8IcyBEHD6a5bGZ0l57nCBsLUGTLexaUkdB2PhxbrbGXTkOdncVEHfaTcbtEt9zXoVW
J2aXQAecBNZxGDB9Zpu+G7RgqUtAxI7BEm4vEXdQWYJHQaA6Ju6NNYRiPMagg0P2VYGytlI5PS2v
7lsABIDPDIArki4jQsBJPYnSVjk0Z5sbjNRLx7hoiWJv+KgD6Nlz94FFptUQO6hxTiD+AaUjVJiQ
SCxzNf2Q3RLeAz3H4fLRgrPznjdjxpN4slLDfkvCOMYO37f4s34+VvCJ1hgC1t7RJWHsrbQTWm8o
gcSTwC2OGopdsQmMDo1loBybu6jxnFX3nttcV6Nde+Zm2vbvmJTGYTfhkbj/OZoRnvUW2uZaSEQW
tZ1XuRhORLp2YhXteb9OOf4AKKcD/7H9uU5PkzGmd+Xe2C7zCD+D/JDuSEbQ2zOSYx7TotaYNOSz
xYW1iLczd8g+ouShLRveiNDpnezq3GivJcP+6Us/uaZG1IprZ9kVXcbU39pTLp6cNC2toCfcbP7u
aUwytvjGDOthFjVd4HimNjZ5/ka3YD9mDBBXfky7gnvFYpqDQ8TqTPcThXmGhsJWHaERfp7Aokz9
MES/GaxT8vSUq5Zu/ZzTlMSVXS4eLQmE76dC1ydabXTIO48G2dIzQv254//vnPQv56Q8NX+oWf4x
4jEpy+/tr9BU9Lj81t8HpQQ5ems2BuPQ1cT4h4xH6X64dNFLfcxCP2aofx+Uyt9IQFwpq/SEOLr9
gepkmSRDShRWnOrIsOAv/0uDUhIP/7x/g7jjEGy49DB4g7rxIaf8Q2lsIg8siLXXz6WuVXHTB8Jy
tM0kypDELTHV28wyQfHOYALUbtLoK0Ed7Mzv05SjKCoWAGikrrW3QIktWWHwQrc/QQ+1XoSkutqM
rXiPPCN6LkD3AEl07E8DwPtbYqq6+4U42XCXVKlNpCGui9to5H8iWZpkvdfSODtAFSnPaHwWvDb2
Q646810bySw6M42aSBVzjO5mSAm1ejazsHdv2qVZyEnInbFHL16Y/bf0Y3hrtBOzMYhHZJHslpko
miVr542pdBP1gdm/YiwZmTX1pB/eZhjp11qgcOtdxnf7CP4SxqKJ8T/b1nmYPAvUHn7E/GsJVJLS
XrUcYEJEVzePDqylY+t28d6Y0m85dfk2cZM1vbFJ4BLQ1t+nRvI0g5S+d1ImmAd+xLwlSSiEbzUB
xu5Ks1NwM2xz2wntbcosRDR6WoxHdgs2ilKa24ajP84NKNGIn9zG3i4cM69Cz+1bWJ4TU8zeFcde
yoZT/yLDl6Xw3MfatcMn1c3ImLBjmtombWs7B3lusTK7Kkw/DzCbUR4ZkEWQ83EN6sFv+qk8ObLK
z12NxKvsizFZK5uQ2TCcrXPXd5EXaFEdbyEgLtemjKxE34cR05lMIMfr0Lj5UADJXh4XaEDePMSB
FTbpzoPad7CqwvgMAIwUgwWdyJPM3Rz9XTSCvQB25OUvCeq48jnyXOTP2549dtKg2uaybffMRma9
PcaRDbqrSHPoIm+wU1TEN5cL37ZzuS2gOxiA9i8LhgrUKiGOQgxi6AKXqxeHDjAzC3NKVo0pSCpS
qSyEK5ATZIe3q2s9P180M/Fb2yC8bQmHQE1e7Zea+5QhKips4xj16taevdRfxsV3k+piNUuzYkIh
MxbhCYTZrqQyfda0GKaUcH3Fy+yiBf4lns1XoY/LjhFCuAuH+ZFuentsSDsBQtKkN02h6cfatrJd
FzbGSRKu7GeUs9tWw99TWBAPLVpJu9GryKXK5+WoNzyahpMbz3I2vpSdRyqciKBLxJ2GQSYddlXp
dsCdUI8dqcreFdXESSVWdG6YTGyWpdC35FPtGZ/BX6n7nbXUXB8NQkyhlUHUaFLDtZHGQRTH3+2l
+Yw3k6A1pg+Y6HWY+ZaCiwW3gACYfo5uSnsCS0ng557Uh8cu0VpfVInwGTOEgaVScc+7T8+pPWtQ
dGj0HxF49N+hsM8bLza5ODxsh6YesLKyQZbRQoBq0+ChsR8bM79mXnKziJC6tNfJvVyeIHHuK72V
JyBM11aCdV8KY+Pp8zYisUtFgFC9wXpum2bvzdNtSnQeKSz9tFN13m2HcIFrHFovDiYpfyyLdiOK
/DskJQWHfnRw98b9YwKXA8GYCGQHVp6AHRbBxLu1aqx3KJ2YJCFb8lG1Wg86oYTbYlIlw9Fh5N6q
iWHn+3D21D1toMWyP3gq/7q4xDlT5MuTw3J56hUTswns7SWWXQoynYBpngrxEMXNw5C2W8BHG2+p
ysvkWelbvq5mWR+6YKRgk5zr2rCuidE4p6peGS4ipaSZaollKv6say3ljDH9iLtCHCK35YiSNLnv
EKMY2AwuT6jXzW3Lsv7QmYApyeKSxyx1r6GjHhiD6zuWCe8M5np0Axii3SfWlX5jDG44+LXZpZfU
6Ieg6bJur/NF7XSEeEy07PgKeFneqklH3aABakuLV+JNjICRHOavYlcSkOpPae36S9leW6dkdcHO
Aqch3RGTZvL2KustthIidWJ2hyYMcGyCdEq7Jzi4zs4olvBxzKCKao2CVdSlz8hanm2CgvxcG97a
RX52IrL6eujLtehr8kpRKmLX2LWjOlZOupdGGnIVG+tiiKjZj576WqLp3dpqQcfaGU916ELTGjIm
GUWcD2e7GQHJCPMKpRSETvyCypSEFoKb9MoC/0WQAe7dL5YcGb1adpCta2mtefdea+5bRLnXia8O
Hd4QkYDnLN6XLIzE59z2HNiJ0EIjDQKs4Q63OKS2Q5OdOB13O3tojLMiEtJvhhoiEEmrcZDNubfH
kLYc46o7dHV6GpIw25MkkASR1IBXk/fHZpYHCyg/yHfEtAAz7a2vlsb3ReCH5l3mRbce4mINu3BV
c0uanhbM41BtSSKN3+vJsYLR6G+mBF5qOebPwhoOJXmIcljYWFOJY1h1jwN9UGwXxVeApAfpzZ9T
N8u3A58H4UCVBZbtJudhJtYH99DOItPKCCLbXi4T0SPkFIVNvek5hZ3txI52EJJmv+0j8zWs+vpK
9ygrfY3hbL31MlamoTDL+0gbsGZVKiaggn2tJpf3MFd2uhFC1Luyr/sbAxQtKg+DwwuoXj80tWdo
fuv2TBhV5cDv9uzLCNDjBbFGeadH9TBtrDm3MFDNS9pfyxQ4twRkfpoG89ma9PpdU4MWHcICbcTO
BjKL5jkXI5JoqyLZh33W2A6d/Fpow72IXcxy1thdW7u8R46qcYDUHoo57u9gdnxqlal2/eRUJyJM
P3mtlT8BGjsZGuIXGpfDxiBv6gvLq3UYsc29pYtQW3RQ6mhOmrFNqyHeOxAXfc+rMxTMFh+2HV5l
FLXbUve02wi10gte9xEOfev9cHqiRnvG+L4dm/lb5bnzoztqCEl67xXaGlBer3BfiNQAzxc6eoDX
O4W8V+roKWieAm/CsmhCAJis9SHiC0t9oiMJ/mD+zXPN24s4wWyL9FutsvdZ19yrlOXwyWwHWORA
1XDHQ+Eb2LIBpguMc4myYg7FyvJrXeVnXG8VYShgrZiqR7cCml+XhRnaWJfgiF5WV8QRQPTwV/cP
5LR6h8V1mk/aIg9VN09PA/b4nZCJTMA/ZskNKcXfmsz7yuqcg21w5IYzXP8MQP7slKbc1xLrr43I
a4sTmg2Cw/WmM8iQiW2D9otWpQZKCxM1jmE34JPbBY5dO98U1igPYyUmEhibr3lUiKCf8oR8wnoQ
jyyQLYKx3gSi53RjnO+tMkJXUVgZm1erla8No8tz5Mz2LqcWfNFHZc64PXNv9TfO5mMRm+Kdhorz
DnsY7fzSQZsPYyy+tM239L2ynYGzHq0TenkQCSe3X2DYQ5AuTQPGMEwjnttSkdwdM6ovqDzwlidD
FAdFKOhLnhUaiV1WDNGj1ChExS2FVlAQE6XkcsRt+I0xlrNvSAPZFMzLsIpHqzilMvxlsiUsVn3P
t3ayU0hskpPsJq+qlCSo/svQWRiil7pH/Q8P3c7xO6uwYf/LKrLIS6JcwhoThSfyg4nQwI9VihlU
H4FFmpc0Tk1kQo7a57XjnZO4QEbYMW/KXInMLN7lQ6OuCvrzXhfvPTL4XYceYpsW4TNdp8LPG2MT
apYJ1KCuNy1cS29IQ4a3c7l1m/ywlNx3Bb4A9PGGCCqtrMG+DBv0RQ3LCcEvCCgHQtawjy1Z/GWU
3Y1Dgb/TPS4xuWfPeOiqLTQllEFJcQZgPW9S4SGimygN0bYR1Bi5NXtiXh2ryrpKxCV7Miq/5mX/
jKqGAGxneegKzilGZ5Ougg4yUHW3qS04mWZtq1vE5ANxPZrxwtCtxaVSFM9T19JAMVK2ulmzGE4p
suwqtCExA1XfSCs6a8XyDAMCRRQ6rSCpwuRbpsRGTO6C1Z27fModf9YtgsUnL3x2RX6D+9y6KAsg
Rt8A0LUNonPidgvDrgpiLTP4Sgekjm28WyB/PisrTTY5vIod0BO5tSyKHaPxbH/W0vyWUG7Dn0G2
7KRuNxfHC9/1VkUbmU3YJMdsemhmpJCydcQKoqTqEXhZ9Tq9lNPcXwy9CoqqGYOlVWvPRJ8vBunN
mvB07NmVGbjDwABeuuMNU99vFecNUmxfDW95i2oHw0zb33DMhdmXZihrlmPoZcMWVdo+j39oXtP7
wmn1G9Gm9aHJ1H2TmAQFxyyPMXQ+TBL6rq453iKmM/dkwu+NyhZ0q9IzcZNsoKkO+cJ7Jr/G9M1k
eZvc/mvYR+9VlXH/VOZD390CYHyuhqWD51hGXzSNAL0esDkRQUsQme4NWMnPXg07QMpqn7E5Ahj0
CEcneMnXSl3cWFb9kMIYD7Q21YOuX4itxROgY/mv4Mcu2j2ZrQOE1GJa2BLSkI/LTtAgPajj3ex5
7VFxB3+ZVfzdzPCxmuE4wx80WuWPFgQQUkiK1xzweLVN8GVc2LJwQ0yVmVPgVbAijFiVDyOyysOg
Tc2K5sj2aaJFKsAsoMdBBRfiFc8rMj2anxxy6uZ57Ne8AbIOj1TVGbibuNxbsrR29bxEZygpzk6V
/dOsFhTVlbyTXp/el4kmQOW1/XmJE+dUm546GPmcnXrCjXf2aKknq8QH7injjTN8epuVFgf8SL/D
HD0EQ1tFNyYdu6BHwX5Ly5gM4mWa9mYF/CYdOC0NJNnvOqYaGzi/FAAlmq/StDYRukHAKMzrkraL
NvQ2NMZbOoHzPfLiOjW3RpyHdw4y4YObz+8kfku/MFxEuzlXjKL2tiSM4aDS+WirAdniOFyQ31FW
tDFC1Ex+wU6dbBrPRfdZ4C7DGllSBqllg6GJglsCXuDZiZyJco9T/84ySGXsJgPHPD3MmKTyI3Xj
0S1KlNp5gaeHHtKW1Xzmq7fLbQ7qJsXby2HKu/apZu05CtNxMaf0dcikpJK29OyWrZpdaOS0APZU
ngGAen6dpQRKQoP1+wwnEC1vf8W5QjtpdTymeXJoM0sESgHiR0mon7us6U5tZf5oFmLZkWH569nC
WJKLYHXfTiQn3qeKr5EMCkbPmbEVeT4GGqoy36mSbpOh5z6PVnqfGIgbs6q4jRz3pfJku6e+boKp
5vZviVUphb6PRvodeWdzliHlZU0y5k8h3ET42H1fqholYXc707/31RzS4TbRBDecswyzDApSzPyx
i/l45KSRjhagLWZVtvXwEAOC3BJiZ1O0zKeRJzXo13Rjve9YI22hyGEf3gc3fU9c++hZzf2E8vqY
4HjZcIQ8s0S/1OFQ7qx+2nLU4k6myx90QwsSQCT6ZRG9sfemkTbKwqZLzxfVtrgCDTl6EIaXwcmC
Blak5KCzlJ8aS6NtMo6jR1KBeGLtvBpzNPOJhm6bOSMnL2/EucxxsIMGvSwE49ER2IgwGU+xR//a
tsr3sqvkQxppfJGevW9GeJkoDpdnFBX37iK7zVQLg+hDfde1tutbSqVOQKGskY/pzj4HnPSpwDnp
iebSLsY585w3Uxh0xd86Uez7zvsBYbzmmJuA/xALFrwCBHpaBiKt0w1m9x91pzIMR9mXuNHibbO2
/lfySmZUYH8Xj17JkspoA0Ze+DFEUcIUwi9pld6rmAU6aKH/Tsh8LfeO3DgDcm3s1Mhqc/T+A4fy
oZkVP8ROjuCdGGm9brZlO5WKcBaXub5zrgm0hzkUOOnE7AbSeb+ji4MCJ+9tP1uE27BDz00PzGhR
ews+iMRdZaljkjcMQFjVOp/ZobJJ6IgbeBh4pZzuSQP80O4KD7XnTmnZqAKTEVt1djgjzCwfRg9X
yJKiMfySa2QDdlY4tGf9pscC895mk5t1YIDAwKr+57j5v7pfv/9eXd6K7+2HYeorxQXrXNz99E/9
/q/t736qtfv9p3+B4pR080P/Xc3X722f86tfp/8Tfa/Wn/x//Z//9v3jr/xVJ57WOeqA/9yxdPk+
/ttrpbI/OZZ+/tLfGvGu+A3nseH9wWD0d+eyK39zHd2gVew6qM+QL/2Hddn+DbDCKvdB/7YamOme
/25d/v9pxP8i4YBAuWY70G/Dz8z83vllbi8GNm5dj6rjwAwJNnYZ2XcmXOHLko//ogTu47VoPCFb
RAEqxK962gH9P4osUR4/FO7LgDwz7U35MnMFbppm+StNwq8KgVV4o6/QPCRCDBl+1SSotZtcI55i
w1oNG6NeMwGno4/abkKzVXYhw1Vz8sQTBbPx9If74P6nEOGPTNFflGnrh7V1Hlg0K6Ad0eP8WSHQ
aHo7Va0qjwv2gW9FXjDFzMXg3cxioeMSLvIFRNFffeRfNFgfr8rVMtlGVjPbetv80X/WtcSsjp5L
aHAhiJkA7/sNEw6aArlOYf913QdVGxIInZfj7tXhxa5v6A9TnFTX2CdbJQ+xFlZn10M3OccdnW/P
xDEUDs7rP7+svzrswH/a2OpWyIXk4iIs/vMLzi3hYlE4DYe+mhoQZU7IxHv5MBnRTULiNPeIvTyY
rkd3zsS1GezypayR89BXzxZIWG7rXplEGL2vBrunY1jH7Y2Y5PSZNuJf3AUksvF+/ihT4f1iQMdc
iBYLCyJhKH+6QGUhIREVXX+wXZxEJJrSeD63UY41P6rQJ1LxifEksAXm2Lw6m/j3Mpqvq33kQHSG
45ySlsCPYsYeGJktyif4qtxLbQiu60NVRvgGaKVBN/DEsOaLS0GfoKCvs0rdejIIqOJVwsY1Gyjt
MTiLi6Zc1HK9i+Wm1mbsfqv1LEwAmPmLGir73RtMGuBkj00D/a3GSM/A0QgGYZVwNgloJnlAvaB9
oh0tAT0pQ3HLEcxllj7KG8AjOCRiIb5zl05UuQL+ynTbWXKwHqZyHm/IUUMg5tgpIUvSshAHrguB
mgue02lAuqKN3XQvs0Z5OFua+rVPDVRUtJmPP7UfE9w28qnN4V6HokR4B1HAq0cnXc3Gyn7zFC7G
n1KFYggxNGHDvmqNJp7sDvRjsiRIMlDGl/gT5PRK+UaFgCIfEc6HQam3FJ+0zkArFXmL2AS7c/jC
IQ7JTO+NSCp7ruOHTiFUlnjqMYdcF6+RL2ODZdDR0IokEdbnxhwReEARQzMgJw154gcR8Oe9GqcR
Ap3YTEa859nUfstTuK/gpviwJNfX7b4dsZAEKPqy+CTdMCmOqyuy6HzH4LyyRdMQf4qHUb54Nevp
pst6FMXFbHGfDKVjvVUfublRzcPfwDuUgDtf6pzwep/cE+4MGONMZiI0WkpfPZ5mXU33fT+jCBkc
g0vK012/Uv6jlIgqFLW7v3n0aDgfgTxiTxppU10TOrm42Fed08f1J5DNxujjWds4c92N9BCjBE0p
9cvHz3RhSGGMoIh1Y4kPGp/1IXa7YTNGUu76puUGjtfHw8H/UR/aNg3DswArUHPEGnuK98mTdGFd
oUy/Qyzf05BgVHnpGofJou8VmTE91qjjGaqF1RQOuzyFnE+/lV8oaYvpx1F0Li7biMFSfGpbZkP7
We9TItMjBBLXui5twJyVbTNxi/suvDEWOb+iQR6/DbPWEOqM/iq5H2fNGD+1XP543yKd2bdGXI7+
onOO1jz0NRVeAF+zAdZbUftUm2G8nRK6KmEp550086CJm+k4mg0nUy81LwTK9wH94EMo5+ncRdX0
5BRA31ctK1+7Nl8sO3PQYcXic6uTNlLHs+PTahQ0ceLuOsZNS3pgONhfOiuTFvdXO5LfLZPpPBCE
fbC8Kir8XjcqdDPVcvFUH31rWpZNp0jcU5nEzqXWS5Jd+sWab8ANFJgypxVohD9ojfpeum8yiVdz
gwYmdMPNLU8WCBCieayhlb5w3fDFLNuu3AjNeuZcArFVNW+lcBnO5LptHZrRRP4k3NUUpz6E03PG
JDvG70vOAgOxK9sc97KBvQ7UkBaySy8o5+dV3m2LTr6sTWswg9EqP7GHYbp+GDDonYhLbYn6FfI1
iLchG9+mCoBBShTAuSDf+ynFjfopVQsP1odVNtTJ4sAwjG6xlqQVSVzWG7bR6skhfoNEDsxPfIxo
h5HKs092vujy09LW4kuhNG05LjFH9KNZKKKkAkSq085UQmUnxzDNd05OtrNVZXbKZR3ekGUe3StC
ZtCgySc3jpuXvFNvczGtq38iXjjJAHXsuU6TTFnn7VokJ1nVxpdeC3tCzHGD3tZydB8RAGfuBu/c
EfQcrXlzbJgIxsI9W4TqeJBIjfJu6g3i7RfLeClir95UU0tjBRTfyFDBaFzYFpY9+IUZlpfS1az3
XJj8fM2OpZ6Bfhrhu/TGBG1rU4fVbmHSm9MdIvCI7KFMu4HA0nPpCo4ZS2dHn2fXqw6JVXp3NKR0
pvyEQ7iCznswG2H7ShOEWqTubO/GXIGlmRj4WhsCU7YJWgAWCyuPFN7odj7OaLku2jSzLRR0hjYa
6XbfmFDLGzKqWN4yZ2GzaHrulDbSvbV/st5KPVngG5JgiVAwJGtp4xis6ank7wwG78bpwKC2I18N
LQzJOligDuc4uPpKktriP8TZ6qmZzEjSZK0TTHJGxnqvBnWY4zU8CpYU839ARd6NrHMtSMHS5ytm
kUUL5weZYiYv79jk5ew/aK1E1IArCxfrbZlTFvyPJdCNezRbLnpO7NSjjii/G0sPrWQ9Wjdj3+t7
N7fxoKpOa7+VJsw0jHyKO8IgROqNvsp03yY263TxoXcjNRhtFy0Kl4ph5oiy//m2xIcgj2QKKolQ
WxWfrmK1b3IEycOMQb4bqH0LD1uWWPISW/FokIPq9zMD/lv4iEgydSWr1xEhA2nh9ip9TopVTD4O
q/SwJMHWvVpNnbfsFg4xMDS8iQXOiAPy9MF1g2iyMAplaxhx0tjzIyJq+9WJBQvrrLT0ZqzVREMx
79PVGyqip9FdKmYPOmZNazG9lnXRFY95pemnuo+1H51qCH/rR2iovGeqnETDBG1MI7eFlyt28kZ2
4slUKzAuWhl6O+VaaPSiKVmvKJEWDE1swDzoTz1EK+R+duVjuH6jaWryNX0oc/OWr1ETRKv5nbHo
YBpteggJKb5EqbzAgwdXxXWitHx0zETrH5EP5Q6t+zGOYu+aZx6ogs0KRFqTQCOyrXZzRtNSENRM
tQwMdOxs3xU2sAG9Au+iW8yVUPwkGyLpCS92ZmNfaJIaxDVwgGSWii9m0ZFyAgpgyz8NYy+cgnm6
1Ld8/c21Ai93zIZY+zxpMjlpXbTm5MRsPbNXHCLDISpqot2d96PN52icTakT46G78gyjNAyawnyI
PJZ0tMo9itcI8esiyE0B1XKsBpSCUZeLa4nrGckVi4QPFBi0Y0ZF0jlF9gNxqb3zhio8SPz3mHJJ
AtvwBI4MNMofpQLIls93crLGI/c1hUHf6Heyq/U7u5iHzQAGyGnn4jD1drOlNg4fJ6efdymb6CZt
YkQ0lnVn6Z11Oxl9+cC3zb5cTvmJna/YW7gEfJSgXeAVzjaS+S35S4xDuVR3+lxHz0gj+1dVGeal
InehCoBdUEBOsHRlXmLXvjcLcaXyK7cArvUfEHLsk2mSVQoO15DIn/3SRQXmHbR0+W43+AMuVs8j
vCNhY4w3Ra/nFYW2NqCzZQcmvZUWPitIrLNCsF+xGnbpR56MdnTMualv2yznJi1iVpvEUdyRCzzw
EClKjvVgzsY0CYbVPPXPj1HrqeNPp5I1dpNoDRoLghbEr8f+ZWCIwY4H/B8wD0X/MKGZVqsz/5+/
zj+cfnBsrD4wWpUw0zi4/fn0g1a769Oqqw956bAY964rnppWYQ6wJrxaDjbr+PSxHP7z1/2Hoz+v
i98UexYnU4uT4p9flyN5bqbVVB+mNHfgZCIIK9oJu/7oxqxf2OTnK2x31uIGKNBfWVXo2/x6del8
cyrmAedN/EpInNuU7olwqsNPQsjCsOAJ7BdTww+YBxwu1ny9VhxL1srbgMVQ//f04iDuqKqtfnS/
NuPoqP3ei/u//5M6dtxpND3+847dbcJ5EBvFnzp2P3/pP6SzAG4lGJSVL0TD7G+gQWn/5rqoGz8g
Qb8zBvXfHNQbPENwlw2dLvTvjTrTAT/Iqd/lB3QP89K/loNq/vIsYXThYbX01aGKjdr+1Q2rhENq
QRPBMYGL1fiwnZ2hIywzNGiZOxZJoFHhgh2xq2tSz+Vl1bj6jQe+Iyhln26Fm+iPaZct81YZU3YX
ExEIpU2DqyBdtZ9ITz1BKhcIAxMy3m0PN51fhdLiqAIuhhwIOz4PRG/e6BHiXr8y8ht4w9m9C3lt
X+gy3odu6O6tLGfazrEq3LTk2O+XJFZHxLzObd+uwxESYzT2edwqfjF6xtmdqvFLVjhztpmAXAQr
wAsI/TrrKysimRuLDZCw0unY6+9ZtlRvCHk8kItmaLIxeR0jX3wgI7vvLgsn524MJ9hgwpG5HsRh
pR9XwPMBQqP2dazYgVzy2O9M4siPxGuo79FkhMRUFrW4T+K6h+5vqqvVWuMpzVwdy0iWzhR2qfE9
1Ss0JTbUEfSBJsoHYC6XSC+jc1sv2tfSAenqA+7G9LA05XFOms8DGeXXlJJqn8Xe8BzXXfcoZTdR
I2mLel/JMZ/p42cSzSZTYgceNWGNpcS06JXYSjEH+YaeKLI6ZeYyaxfEyeGK6QPDGj85hsMcqC/z
d0iIHVtu0u0Em9XXRe/zm0RXd9oS2adMdTUZs8tyrsN8CErbbXfu5LVkjaEUYPufe0PxfUbZZ3Qq
SOC4Sj1/rdDandGa+XkWbkh8SOHwQTmW+DCU+huR2NohtfV4D+U6f8ITHn/KuiTOUHnUhEzOU1Vt
C3o8AukOjkBUbmYGKoR7D5EpLMPekksb9JVukmkiYDrFC3tEHiGrDcaWMj4nwA5vgpzGH8Rqghus
p9U2WeZYT+o0Br4HAce3GODfRKoi4W6ZAasrr7ityRS5MTRTzEFWjCjJUMIxWbKrOnohosRwiCiI
rPdmGq3aZ/zGpD5Hu0DeSXFY6gWXCmNaJqdeKS7wP+RDFM5xMHoaoXAFUhxKFUfZlySXw9fSNbOj
rhB8jSky283Q9jPqmng6Lwv6TNwdXfksqzT8rBVOpJ3Q0jbpVpauALKot70f62N/HZaRseVAy/K1
kzndkahs+gfRl80XhaEpkPUo3jLkWQyZ526+tvBEvIPFOL31lSc5dRlz68vCnCw/JDKUzTYU5os5
6PG5gSr1zoie8kVg/ogCl8PvoY5K70tK8/w2swlyPWKMkk8LukLUdsjDUbGjLsw3ddRWOy8uizfs
O/IZse67po/1xiEumawOZ/5u1wpReitEVW5DLyw/pxFDwSBXKbMwVGzqtXMRZfgozeujF1bdBika
KvnOtuVNbEyoTDr1gF1XWj5Ew27L3KyB7K6srYe3DHS9Cxl+6Fuq3TrZWGhWt8vYNaesEu7J1lvI
TWaMEFGhRd1Xfc+KhnjJDTRZ6/shtxIAjZq9rxI9m0h57UILbLTSX40sJtHDYjEdDB02pqRVnlKh
1fkxms3mgnwND5uszO6qvMTiwrpF+oloiWZmztqZaPmXsD+G0YRQ1NPG+svgzqBCLMyiBxj7FN+2
Prd3FhXP18p2kee2Ih3u52YmnjRbwPVXWirJy7CsYad5cfMF4v/4veGQ/zpbpbg124Sgim5svdk3
7VmFgQzN5i6eZUiUolGviZdjCJRHIw5H6PVjlLX1xsvkiDRTJZCiMtJoS/dk1XNHLkWZP0gCWTdD
lITHNGPZrITV7Ce9eCLbs9+3asQkiL8YtZGCCwN7aC6RGZM1CPBh+baYw1RsB+E0m8rsiQWq4gHq
l+6ld5NOSkd/tvLGKTuk1WOdfFq0CEXCTGZzpn/25gxlKtIqU3TdZ3qMbXoXTqHmU1g7dyKFy7QI
qLJOketXR0CaZVmEObvSZ4dofGGyXF4b5i3XXtD99vUkDV848pWf/529M9ttJEmz9KsM5t4Dvpkv
F3ND0rmI1K7QduNQxuL7Zr6aPX1/rszozszpalQBczUoIIHKrAhJJEWa/cs532GoB8S29mt20CvZ
NviE3JLNPD4E4MTvzHGp7iDfdft+5eIOWeFiyUT+jCoG0eInQNfittsulcpuxpWvi0oC1K6zUnfz
0OTheoWxtz6hvP3K5wWNh0zMoh+/gP0CgLsM9rUQNVBfufJ93QDSb74yf9m+BjjzVhKwow11S17M
WB0Go2swVKr4htlO+4hG3D8lPPFvSGlJUVBSHCAJjnuG3/q9IBEbZmZn6GNilXRDzG7QKQ1j1A3x
CFlJcB6x9tBneyAQmxBsREtzfteVI6imznZu44bxCodsET/MOl51xjYy6CZptrV21ySJsblLoHEd
1tfzSTaLdQlzLY8cF/4h76RxWxTThATFnjHDhDr9Hg9Ay7IFPQX99ALAEMSsulLoyO/tQs5kUIbh
abLG/pnMy+pussR05PPkKWwcjWTO7KP87WeSTPH9KXOH3SZFf+KE3T2TQTrHPnfCLZwwK0pFZh7z
rnRv0YbE19oPl1PPxYj9zp5v6jD4ZjbkP1u9Yzcb0YvuNUOE927OcXHqG6M94BI3yA6eOGp4+6Vc
0m7pMJ42TX+fTXlxh3Z5fm99f94Vg+W92WSe3tpEskdDuh6a4GPs7KDnmbgeCei5eWRp8AqrDV7W
lFK8w0XqRmtrkrGbbgE/hW+ZERePWKb77s6TfdYfHR/S3EbDYBVA4aD4XmwPBRZyT6s2O4B6adau
Dhte+cbW6lF2yW5hqan2Tur5+zb0/G0K3Cve5sl8ry0b18Igy746joORvorWEcS3enzEGbUVpogk
49JkHZOtwoFry1qWCWdCQjzTeMVb1mZA6bMiMPoPoqTfKHuXF4wW9bd8WuznEBfPEyGp7RXgu6eu
9lVUOV118rse7OxInIbfLA9eqd84AH+6WfqRD96bP87jbwCSqCBcibOqF+ObHxr5kQ1peddZZTS7
lXHhl4OBlBjEU42N96ejxVRvhrYrUJ50TgDPaszIdGjUcO+IuVBbxLeIyVqJjPgp8EYZVdrW96mm
3kExPovK+Hf39E/pHRzPXtuKf9w9vfzoh/+F6wk+ZvYXXPsfX/lL9OB/oXuCCgEEBieh6/BN/+ii
AvuLJ9hNuR4If2yJa4P1y31IL8WowMQTCMOCHv1PvZT/ZcUL8IFkzcwyH6nEL9XHH7t4BCO/q0D+
+O8/7+ZRV/y9QyeJEPMu61oLQgLT0L/OBxLl4s/OwdD1cMnOlHmCrZDd9me8YC5i0pUtUYyO9cDg
fwNuiUVJtqAyNa35WKQMLaMY099eDqF8DAP+Dnuc8JnapTykWPSRYiIMPzeL6PZwkYcCm0gqTn2s
feT1+RjDGzXcmSo0ECXq3kJ4uymkARJttRy72L2qg2JkUqkSIqOqIPlK1DD7mEmsFYCXv4bz/Mxt
FHsbF/rxVz1MestTUhxnBmepm4/3CVrwKyIPMhwt5BRHAynk01YbcfcgVJdd+BLi6qXpT4e2Me6z
uM37HcK0+SidrrnWs6o3S++YL1rK6Zw7pnqKW8UqU/bpikL3yJLW6zPH+NJHduVlO9DO5d4DHlpv
0llVj0kqxN52lpbAYv6YC9g6h1b2lQRzsUmCYboOXMW0sBy2RkeSYTI1MN77zB0eizb37+LGcu5j
8C8wuT22rPtGkRHkloGhGRzGMO38yY3sdkLSp7pyx2MuuLMHd0suRLWxDYyE8eK8jAWJq1aWXnwu
zoM1prcJm9thZ6M7Lnc+8G5kkLNLrZpo9zLgp4g3fe0NMPNQzcYVndVcD19dgonyTZtpKzImm6iq
XDmMRvta8PsQ40UHhJnl5hu9itiNPJeISKznuFbmVTjLr6pQLgsns36Xc66uyGnyN5UK0p0oMIdZ
g9iVeZI89G7tQHvwm/I6yKvupqxTQrfDskr9TVs1Hkb73rsrHNprI/Wnt1jG9j3T/zwSKDcvSrc/
sAsk3LNKe1HcZQlu17y/WtjPorNztg4010vpkcpdWl68G2sjvrec4ZU6v94KOOWn1JMxCtnBLKf7
BZN99yExcHChdoSk55N171WtOOdJ5zwWnpvvwISPF9H3Hb6XqeIlm9tKXo+2+T6jvr8xWtuI7Nn8
gTzj3Z/npt+iFu1OE1FNWM7RuCK8RkRYSRW8BUk6PmmwwFsgK2Xk0VqOW12NY3U03VHke8y0YEzL
ep7f00Q35s5C8UEOOgnYC4nq0tqwtLQj4Q9VlK0k+nsCBjFZmql5absQae7CPOB+au27WVhvug/f
TKRw0nRCuL4mKaWhl7Xh1sVGIQ8TSsuDyeD8RcTBUxK3P0x7RN+c+2UbIWo2j6KcpuA2LWkkKUWw
zaeefUw4cx74DnD1nD696bvsDP1uBpKGpY83s5tCM05YQ133Ya+TQxAvEgo+E8EKyPv4IAeFWdCk
eTTG+G4iHJ4qq2iv1eRMu36ddIxmCE7YYdpf6Km7Jy+QAT8tH3B0WO/5uQD4WUDrBfe+WdguXPfC
iSPfadJTit8i6tph3ni+YewsTA0vrqyU2AwaN7ZvELrWp4ciQJESs3Dei1gRrGOqeQ8dmRxHyG+v
iyBivcq7+RwQMODW4D1a0grHDaYhMJwyF/dpU+Fa9opp40HJ2aIacbc5HDRaHwdWyDi2h8llaTRZ
VXKNbHvmFci1fupYEJ/EEMjrxRyMZ4xR6VieRxIed2gx2nKTJU0QYQmviFA8e2p5tRn77BrZ26dF
xzoS/K0z+trm2iqdLkOTaiysMBv8jTsBb8M/FYzUOalkd0/umPMECQhbmId4KRUWZahqtTrE7Gj8
bVgWxRta0ZGJtT+fhYvdlAPine0OmUbTmMLp9kO5twW7lUVPN6VO1E9otYjaWX7tU5FgvvAzBktL
3H+jAqYh81Pw/KlXW7vGNmkgK3iaTRPLS1aO71ws3n4eSkxtmkiOTRk3hqY+mmdvW1XZ8M3Gh11G
PsEaF7eKw/2UWI8JEsOjY1TmOTP9divrID+UPqmrKVV8jwpuA2c9iGqfxZpVIwIgj908mQp+SxwW
6cmb3SWiTDPP3jCbG27sYN+3po1s1ArPS+1j1LBLHJgEwft94h/mNsSfDMvu55ipEZ8+AsgNAH48
PhZTg9Cxu1MXWqQ/5Ak9qLk4d9JqsC8tNi5PPqLXaUtIUAb5Y1uUiFCULsKdsDPrir1cvJ/H7rxU
VReZGl2MaOTCSLGdo7wsAc84TgJywk1PUoe/BeFQnRIhv3dhAmi1mH8jjGqMTEtZGLS4biyZngIS
fo7jXDq7Kg5uJit+GPraYZ1m15tgnMQ9EOYKSW1/k6j8YTR7435O87uF1/UqXgTbEbO8IWJA7xev
AGmDrEmgTJ96by/whuxQWiQ1OoRx2Ep3UV9dHOqbeeR1fehG6ANXOh8USvUesWVkc3Ni6M0WFoOD
6aiEgnlulBnhONVkUcRhqx+rzAyN17m3F7XLfD/Qu0yQ5YlWovYxRxTo2d3IHyxLscXJHoWPGXOn
J00pw1LJvZkKS/K2Eha4WpLsmo2J0/GHwiEGz3bU3a3d2IyrWpQQL047Li+4f5Yr9lPWGd8NkBSF
CItuhgjfraWK6cr0ipmjv6x5DaZ0OKrK1BGwG3LTC8P7UHmQ75i94/nEWEeatO1XD4EeM1ghSKaR
oEbM1+c9KjvkJvZoHPphFne9Cjos5J2FaoImcFPVHK8wdnmBCgUVJzWT5NnFn7XzUSVsaBsIxWPO
5R4zqTFJmVqMm7mBdLLhdtMzo77WQRg/VmkE8xlIz8ZWI+g8bi5zL3rutk2g0gDRuE/KJSDf9ApV
YZ3sdNBP48lM1XjGw2WcjK7zKPziNU/XdNzw1hIGOVfNoLtsXwjgVrgFNJJvZ/QA7XTmWy9grO+W
3Mzvg1Qy+A1zxnOhR0JhQ3IBbtsYo3dgeseVzg7goFgmk/Gr9PuNL9XwUpK8tYv70LpU+aprwSat
XrWTuXuvF/h/4rHbZHoY1Saowbt0RRZjkHGmY8KAHEdH1icoWo3qxlVrCBkVUAfy2wO74MK5folj
YnmTlpXvNhmdoMAK49aMegqyWTN0qq8c3hqsfO+d4Xv/5vq0ZApBZrXhNxqzcyhMhV1dFmk0s9hT
yC2EvR2IHSYUxEur27rrA2vrFSnSNJFet2Ju93jNBgQN+Bc8JChqW4PIvO9LsmQjTKirEdGTUcgv
7QqPYofNguyu7xC00ncUS9lXoj38c+ymtbfNCCO49Cal2Q6HchJeV6YgOlL5r0Pl9C9QbcgfS4S7
Z7aeAPEU5knaSqPUz3PvDab5NG/RwxGQyoKFu8QOr8tcqR+2wdphgPD+wXmaXWV4RCLVud7rRHYQ
E2R4HPHe6LI02A2mttmBV3IPaNphEtU4kfDmmnBPvwBZkoWHcKnGSCBQPGt/mrG4rCAAv2BVXs8L
6wNmYE3Rph+qm5k8YkjAHpo1w+oHb2XU2RMZtg2CCCceughFF67yyfS/g11fLm2fodfqdPvIONgX
RFM3+c9msPqnsDbL1wQOR7IjUSa8Imw0voJlij+sjbu9z/v1bHaJd+/oYd6ihW5OaBr4AVoYyLDc
NlJMpKn9TS8SIh63DSSRgqO5qvekyokDEZT1aTGpxduwnJ/QVjp7w5QRjXt+myUy3eR5Nd3kbLHO
HBIMpKqUD4s/saFAaHLtFMwjU6MD7FLlHlHeeJO2xcTkuKnwgRXY+M5tRo1SVmZHATWU39LCExqz
E2v/rBu9nxPN/ndiZtJg2xLqfQ3SZHH2s3Sb/WdT+//ayfD/3/YUmjAOgH/c/9+mWfOXzenvX/Br
c2p+WYGDpsnSk9mWcPBO/Gr73S8BiGRLsCYFDvrJI/rV9ltfQl+ADAU/wsKKL/uvFWrwxWEuS6fu
2Ex8V8vA39r8/6nt/7/SNInstNZ0Ex+JPJpsFrJ/0WLHM1HdaS3ECblDG+/sXBcP6Qr4Fszft44S
/UsIRmjfQuHbW1D8wFWjNgx7c/kq6qB9c728fzERNr4kCCaiP72S/81U4u+aBR6dbfL0eYDwLb11
k/xnKX04BhLWWuie8sltPkTqLncsbuoVYcJarMtKdWCfgTepbQr394HXP5yIOPZKLPyLIoT7F5sC
K2/mL97nxObPPz1ObczNY9axzYhfqy7GwTiPWXi9prh6LHuEf2F2xCHsrOfx4oawiHKZvS+61t/9
z4Obotm5Skqs/gW5HQdyBjjiEVt59/7nwQ9YRJzi9TawWofcRbPFU48fHE9GFa7IwL66TenJmTCi
C9wS486ehWPO342jJlYqQPvVbRy06hBlPfstCQAUNmgpceYHmA/Wu0s25fgAIL5mVrBebcawXnMJ
EsOU1Qm3H3ep+WJIaaBr95/GRVMjubrj5vC9tsZ2vCQoq9bLVK73qjKqeFsQcLbJP69d7c8TAKYY
jEub1ljX1wu6/ryrjfXaJjMnZjXIVR5gcGTbaZaU0+bnbc8vwDsGTqH2+O89Fu52tiU6mAqBMVn3
EI5Gfo8UNbN2tNYmfliTpqb2TQmJZgmjeXRktp8wrJCwxUcJE0mQLJv4s0rRbjo8WWOTYpDy5/EE
FJ+bAAXo8LBkI92N5cw9qx3PMve4YeJgU8dDQfkpvNYyYJnq1XcsTey8SWYTMM2SbUNlSIHVYuQ8
Cs5aA4u9h2NXiFc/VwFzea++K2q5sFbpWCCPZM0w+F2LuMRcrD2ZL5IRGTWeKm3jQIdK3Zfa0x4m
HgGG07Tjkxri7KdO1MjdUXKv1aNe68iAQcQHivD2CBJIR2HZUm9mLHn3gz0k6DVz6gLEO+jMt9Na
rSJmsM6xESxXzOMQH7MvPgZzCj4Gcl76w53N6db6rH2z2q9+QN5ffc4aJGQnMghOIbAVEBuf5TON
IaU0n71HhMsosrF7jogV4WR58yNFdLa0m86vm2kbO3GXbPMlri2QiEPxvc7TOCP4T+YH2+S2Ym1S
rbAWtsbpBtDiZF73XSizjymjkTlConDt276X8ZUe9cqRdvLpdfVMkLwk7OYD/tMw0qKNi+RT0RnD
N1KH8xKv9tDRsg6Nm0UDrl0jauJAXeMBqBXEL9qCaJwMnT0qp1HqSMI3qkgjrtEyNrWsEpiWadK+
A4UhFI+xv6jX2KBakqxWmEeNzISrYKgvMiX1ZNeZTvPRN4A2LakYWMLXb04KBfADRch6GKY8/wIk
222uR/+GNPoOQ6kd8tPk+txUGotHBAjWHHWij3taY7d/GTIvJ0qPzCsjWhJfH7sG3BoMxvYNDwaK
04kxI3CkCfpSOvNBjno2ecYG0OT4m4m514SOIYV5E8YzSq7WbpsP2ZchOdhGqZHWc5SHPHOQX/lo
RwOqS2SmxjDdLJmtn8ueyCBKkNmByEZzjj0XCQHRz+pDjKM026sA+z3/U+BJYLpTKitxySCx9Dy9
1gxBsp54e1F/IGVhX4WPvCfuWns3XW/xiJn/NQZt7AB8jcAIAFSBXd6qOsVzgAEZqAG74OWe3tC+
dclWkZssDspbKUoQYHVC+h3h89MEUNgfWHZOACcu5NP4ZCvzCHjvkgd5qrHZTTC/JIZi7VC27YgG
89+NqZ6ZUWUSXQkzzXXOEHjK3IwpW/VN2vnzW2MZDSkzKqx2gUdzGAeme0rshRzDuW9+663hq7PM
3mkKw1wc0NvP9yPhzeXOYItHwnK6xiBaQVaRUtoQ7ueKPN5bDGmuU2eiVTAMclBTUBFPdgFQZoPc
WXxjMuzBusGyum/mIsptJhvbEgHsxcX5ciZQNWXgAOkc3Sjm/aULWhEFi7TOjlEOp9C2NbGKfWw8
FdwzkHKdkBT0EKrFBpmub+Mo6plKjI2Nd1sNfq0OtEkoN/A55nLHOZ5s4UC5rFU58Pu1afh34fhP
GWUtPJ1/KndWK+4fFtvV6/t//vd1Uw8f9V9WRvbvX/NH7WiZ7heTugfh5BoU8lkF/lE7Iq/7Yq5l
JeF9bIdwdP7XyihEY2euFefvDtrVU8qI4TPi1/3ikMcR+sjy8CXi3fpXakd3rV3/XCChJTU9y+Ef
rmlsh38vHltAAnaMCujWb9nZ4i2v4DVA+BZbdMCFOvrkkNWQARJMUWuW1nVi4w0o8T5/72NQaThV
KrvdEiyG2yfVHVCApve9b1ra2CXrjPGZW7Xq0oABKV8y7XaXptfm9xyNKI6asSAZFK2pz9TVYBV/
yAyv+QpMzwf62IXTdAW1R87XEtNTlIITRm8DuIIZildct2CHt9YYDxvQDBcTzXrGICVI8MvX2t5h
Zn+fkICx3k9BFFAdKyRAgfUDiytudYVxcR8GlIhRPNcwEGj1s+sSIPVpLEf/aMhRnqamyvGaZ/Vy
P3XGwebEZbgZvsz14hxSPr0QbpJmfVRgrF4WwR4ZGhGILVK9UpZC+MaYiVkWLAryt3djU+bwcMCq
CyR1tc0sA1RCv+6vMM9v+M3zKpt6RLNnZ+LKzXV/17dz7p3Xvvgbr4g6F32Yx/JJe60+kcHVG+7Z
l8nCucOSoGX9trQHGbRpGXHszddN7paZW65wDQSd9R4SWkUZOrtpOjjHPFswpC3w5tpp9M8alook
6dhC9mQv0ZwWYw5SI8RtYE8nq4IKN53Juskz1kgLWsTgkzrt++2utYX7Njk2y8WeQD84PsbyHTlY
m/8MwTn9VLFpz86NXfeiIkaLYf0epcCKBwdM7b+2M1FNaO/D6TInBS4juGLr9Ig8UwA2Y37KgJw4
kSyLexRZMjIzZEdxWsy3vYJrZmLF5G0J5WWnkCFzS1vWVZAXTZQkpt7rLCsORZPeWlm7PAze6Gag
i0p7l4WSvNSyG5KrIEDPtXUdXu2tnQfx0cQwM0QlDdSpWky5ZzHffzR2W36zh85y9mHRe0BZOjAL
Q8AlxwAlX214FMxXvcMewnWS8ipHfGUd3Xp8T3OXIYhuXHFHBDD4I0Z6yXsiXfOc5G61h8hqHCbH
hejJj7suPac9WNpa7mtGISvUBzmSa8Ws17pgHjeFbRbnFaYHE8PuweIUXn2aiDq+yYY4R0kzlO4F
Arq+Qr4D1AKj4K4YkTRIB1CoCR1uLJMbL0XNuhtd72L6PhGESxG/IyYJ98QMskLFNhIVXVFfjZbf
fsUZeCNqX9yv7+zb2OpNtp8O9M/OutY5SkTUHpgUnBazRNZSO7tOa/5sLJJ3G1EkrwlbxrPsXGLQ
pqI89thKNirzkkOeT8WBTBwcAl3bf7dnSpfWk+Fj4hpiw1adZOzCf9a2eVs7GG58qGkXNkTigrAI
uWbezy+iawi/zotlhqHn2G+VUAsAWgITMclTgT54NuNzNs7OT8MP2NzgKk33BQPs08hUxgvcEPhs
3Ac7Y1RduCkmz31snXlJwbNNzTc3UMkTFK7EZNAlxW9gpTANwkzle7TGidg8UtuI/tx041SeZhPa
XLFQ9ARMqSOC+PDP1UlwXHBfbOa2Biw0evBn8Jcxy/UpqM5WyJJwQHu8LXl9njBw3PO2hsRmq0s4
Iy8WRRweDT9tg03gdP5VIA0i0EJWx98XEqrvwjLIjlPc1N8RRYfs9dHMsF01GX6pxjU3yrROsZc/
MOgLcKLB4Ct4dz9SM7WEO+OkBt/nxNt5AGpiInBViwBz6hPIjL2R9Xczms57Uya4h4l/3y2zxZp0
MT3xJnBa7Ryr1Q8Nimu2jHJ+gW7F6gDDwjVNOBLZyV++GUsNbNF2hp8JxCRS3jsdYfGhUGUk82pD
Fb3VFjrmaQk0OdGi2VtlMtzZUra0QbP5iDVWF9u+k0W3bxrmwn3TmR9BO7KrWMbmIXeNZoCrmMIh
zkdj41pD8hNsjnmsp9p/c5CSGTvNWyvSHDnbdFAT7qoE52DdcPIHM3pZP5i8a7ujquIT6ezdxLK/
0mu3ZxzS6VUTyvausyDnDJ2JglCFqfqRKdiMAtRkvu3sON31piqRx1mAxOKFHEnLmuyTlkqNW4j2
P1h4OZG1NCHyR7u5hs2Zbw2nkxeCMed7NlzRqIrwuptskW1gmKZEa3sGRahpdTsLoe172U/2ExHb
7bXfBurRnC32xIxVwwc3XNCYB8NywiCcuWjd3Xk7pZl5S8p08VKFTffCjEHewVWKn9sizs7jQk5f
Ogf6qyVdFaXE1R8UnJUoZmlFG1+TcejybJstekBzOJHfPWFB88evrmviP87cvt4ZGdwlT7hNxHzH
vOt6H16QjzD2qp4NpPNVMauzQHReMJS37ChoXIfXcZhfWUGuXlfordBKQRkDINVXVmZ532y+P1bj
uM7ukoENppfjUVVagAx1NRd9UKMI3/RJn+29rPAuLCTbp9ifsEcbQsL8SWIUrrtgXi5j10h2fy5p
gf8ujv+p4tgxHQRI/3iqevNj+vj+19r49y/5VRtb1Mb4mBzChH4NT3/Vxjbz2l+DVJtimLxCpqgu
0AlmJ/9ZDDvwZKhgAxMXlm0HqyXpXxmk/n1aSCUM8dqzoapAcCAO+G/6qXRwl6mWrXPtx73/rGZX
cEpaBipQXZoQQKoOa2LbXHlW2Fm0zB2wTc1gcPaC8gCTosPEa472KxOj4qZBe49IfeFG39ptB9l6
5MP1jO1ueh2KSu6GROlN2hJytQ2nAIlQO+RApLwUt/04K+thdPrmrZ7i6VaTD7Kgxa7Xe19LFqVd
LOd9Bufy6MscFJMspnHjI4c+eESNNJs2zZdimyRkNuwM5Sx3rlIs4NMlmJMjHBs97giaNX/Lx7JX
DAGK4nvnGx0rDzFVm5ns3Ns45nzdYFbkuVdtpQommlnhnxolXUoqa6TQREfCnzprZOkVSWzqrktF
p05k8sKHrSq1GFcBD5CsnFiztocDXjn3Nli++xBT8oPOi+m2K2cSJ7D+7tBT8KGO+wanzCz9Y4UK
q9vmbqMTRLlYg2UwFpw0rlyGltWL/XVo28HX7W6OzWbojrElcG5XsQ0A8BAIUsX3viS2zWR7WSEN
gAQULDcO4ae1teXoN05ubzUsQtukA2+be25Q1+hLgtIolxdEGS7RqWymC5T3noXdVWTxtNwUTOhC
QmXLTIabtgGGiZeXxmMzIhr0aMYhicfUR8rYcxtb2ERFPzhU+5QG/sCuz5hwc3dQkpqj2c9WfLYl
FLxd5/bT+sZhaKQXslf2BsI1ZCcM6MrpahjQlpg3lqrywQFo3/fTrCvCiZm1Wq8JjYyt3xYG6rX8
PszdUMHYIiq4jO//feD9MweeI+i//qcD779VkP7+Rb8UpOILYCz+L5qhgH573Yb8WiU5XzwfdYvL
1ghEFhro/zwBHVIvhHAtZgJsUGzL/NMJ6H3huwGB8lGx2Dbq1H/lBGRj9NdxAP0/kwXyYT2SMMR6
rPLnfwIfUfg0DTtW6xgEquZzOTXBVuIrRMOtuks2O9FSx++qRuCJlStJv5pjm2xdBqkAZJPxxmmg
JIdyckA2x1aM9EwEd7gXWowb9eqmWmOiwEqdunh4iicsbZCNug/Tadmjgo6UyVdcJfWzvaJ72mrG
xTvZhvwu1pD7JmV+7FKUfqAtB3Ox2AR3O63HX1oDYZ8HrzF+gIJbvhZOUy0/SOMO/RzSkDvfpI0f
SbwR7BbyMxqyNjh4U1w/zY5L27ZJDOCs40DXCJSzMZ4MV7TDRnMUR9BL2KJQcDJZyzp35yP9vLHk
wrQa8xuKqRK3Xz9MAS8LE7qjRbjTBebyuMUmiGac8VCDgQiZ/R59PG6bvvjNrXR9TphBb0Sg3Z2Q
bvEq876OhBW7O8P3xLaMnfmZgZ96qBC7JBxU2Kyp01tk/dr0meym7slcJuNt6MtsBwd5+ZqaFGoY
eYh76JDP+c8s1mk5fQ/bfKTlmkK+5DGGkfgz79vX7mDfwmaFf2Mg9HqSHclAY+uy8PBK5tWfWXBc
3dbT7zHfv4dup2tIelgIvNXKnsEpfmbWlSAkkf04pbnumMj+7B2H4bw/9PTxDno9Mu3FBEoxSDEk
wf7p4Bd8hreh54HG8Pmvv6dnQYiWHmdlzd/j0uVrhKMK/9KuOb6IjIBVED4VP+dugMlZjPANhsll
Cg6gAWxCsojwOWBuNW6BoYXP1ggwABcVo2vemq71ZFvik5AxYQzxG7LqliF0TrCUxEe7lF1/cFHp
MUpaen0Oa8XP/4zgtMkxJxDJ1etgYn1RbPx+2BXWqCqSGhUPYCbaiGSvJAcD9QloKj/zyZIYnCIC
BjrvXbCQxrEL/Mazb2J8pwTID7GZnIZ2zTBNmnz4jqoJsAyLB/ZOEIgzcD0d8VNlnmOkB6M8kTTg
fYbjcl2xjAAdz18K9ICFU3+G18t5Xa5+ZohBVnRPy5Lya9E9a18P587WNVqeRIyW9Q5WtQcegp9I
VAXCpMkg6W4uGZRsaD94ffM5WQ1JBaQnx6Uf3LmzTd6TlJb7YSpFipS72r29NWm5sy0Ugp1YJNKd
XLj3+D4JBnO6tDllDPL6KPZGGCWdna0MC6fkaakqIHAwLr0XojSU8fz5KINSj8mRNKmsBgUpeLCi
9ZgVGbZj3YQScTaqnR4uV++tSxLw2sSQDTME/D3BZ/xKbXMNDw7WMJObQaFaD72+OStJiMVNqFZG
VBAmYEfgVGZMhgzeECFZtoffE87IQMDvVqG122cgQH5qUujhrXrG+p6Cld5sEmEEFa48ot/OvkUY
DyCjYtmuHMp5N4S2Pvbamx/MGXDKlCs88bzTYI6g6CL/BN+hRd9OssEQoElpBctPYUNf2vQ2dK2x
qhNniyTdv2GvHZ8/OS8dp3aK3sy3HvJUDaA+ZN++De7Yx3v2hsvjxLuYuimo9hhMV0VdItjDDP23
HMcoKVhcOs8AIZbHwDNwutg0YdhKZ8mT4QW4eKZr8OyqonE2uiHleTuwRQMrHtaYQHnJJn1cQuGD
yA/9bx0VGy1s3QQrFHYGfWCDsj0lTLJOuFl5fdUaHC1R+F08eq+JH1jNt7MlcClOic06Gqfhxu6A
dm4q6bYnh6nNoSmDNN1Kboz72mrrB8axXs2ikT3Kxi9SG8ep9vfGLNUP16+cqxgGzTGfAut7KXz9
HCTj4u8hUxHzggn4h4MV9mkUQp3aCt+Tyst422TGV5kb8jm13X5XdwVxTCUS54OyGH0ThVOCzQN1
hRSnBkVewWJlhEiHnxDB4sxlfw7EzL5qYuCFNlTHzhte6v48sBkHqGavOUFaFtfk2AiI9/OK6qJt
RueFT+Iiku4GD2P1A5do6kZAFCaUzFgnr+phCW7K2XiwKtIlI4bijtwWwdRbl/JTDK1XXTQixAO+
xWWvp1Uzvaqn51VHXayK6nqixV011vCekVtbNSbCZLZQgX3Ksacxcy4tHCD7awzM55l9vXwsZ/cu
JfXigVkRg7Kktx5iurBHEm3SDTi4IbjtVkE4oqs2MkF+vCb2vFDPB096FZCPq5QcS0gjD4QBNiGf
D2zkx0my2y+c+bi0Ie1Ja9/1Pfw8JPYpiJZVtT6v+nUVd4N536d4qhc2KFG5DrHxyEnmEewG2wid
QW3u0jid3+N2qUrytFa5vPkpnccdgYzesFwSMHB3bAOU1U92XZDmRoYrMYGrCn9c9fgVzO7T5KFx
2ZJq+L5wvZ+ZOI83zDPeZxl0122vFTP5eWm9rY+K4NJ7Ot9R59uPKmTGrpbcuid+afjJdl6+q08D
wfJpJoBwgrFgYDB1Ssqi3radfEWgF9+nqfUf7J1Jc9zGloX/yoveQ5GJGYveFGpikSxxEiV6g6BF
CfM849f3l5D1LFL95HavHY6wZMnFmoDMm/ee851giz0U8LRyJwydBM/UUtI4dnPqGdS+b5rO3rWr
sWFmfp91dCpq2Fy7wJr12yTuhic3xs4Q5pF941WeBfpqpCeXrvYJQVjDmV5oei2wXxcIyoV2iwLA
2jpmD1Qmz5zNYNrTqWrz4re470wfr/iHgGPEKRXNY6fcHJHydUBAf5J6eJHgqbjSZsv8NI4hNhAn
hQgsg1buAiJjLtvQDN8bkNyue6c5uv1IdJKjYz8UjGE2TllN5tXIMZp3iGBSj0wmq2Gl9x2bn3a2
lU9FYFgBkFAe9Ux+DBLT2YSZjd9EL02/GLt0C20oQ72P+6XVK9hZE/EhoeEFyzY06aQhq8QyozLJ
pw2BI8atG5r2jevRfyux37PRF7B5kM90frpMe83BjwPq1tpUffjBFnh1CrqmW4BgFWZ0ciE8Dkr3
tFnpbybK6aMXMt5OOqFRu0qouXxnWzgZ2yi6IXHI2GNBmB+Ecg/NykeEap4Fyg7La1aggWMqtsht
l3u3RidooBc9cZWdblaXRr7UdxDhsSvNyrnUryamSPmZeuVsimNbbJvAvkDz4V6VaTh/EKsXysr7
x6iPPiHUCHzLkm6AV2EIPwyVV8OlnADN161xspXJasLUsTG9CBtAD7RKKTbwY+VgLBbfdXobgaey
bA2re6tSRi5z9XQBvOR0SqjioRpN97HyeONDNTX3QVI6ezrRQbJjOxyPBCEBW88Q+rsBQG+G2Hck
fkHWapLI3C5ziFrAxMGxWQXHkxIxjquekcdM186qcnRYb16gfthf3VUEueohSWTKPmNWrY8ezY5d
tgonlYQyU2LKZdVVQni0d7ESWybFEOMIcfvrsQK6HcyYrdBEqDwrhJqpkmyinqqMD+xv6XVXkH48
+Dka1puki0kvTsGJ9NDp7LuMVA7lW8OvPnQYoVAgm7+nUhfh3rOLghtIUAum5N6+R0dwHw7ZdIU1
rN3NPT5uLGBucNtSBqgmN9angrHiJyeH8bFdjIQay/SeQvS0d0swMknMw2hPPPKMr8iyznWBGWfj
1bXGZNDqT4RMdJeTrOeDW8TTjbS69iEa8xOs8cvKXaZt7en1+7wt28+0r4AAdHVzkoMVHJrQfaRQ
G/cOov3BaczbZJgzIjKHNE33KNGYRBHaTdpl7C0L+jMT5LxfZgVRIrluL/SaRPX7lOaYY1jymKiB
QoObWeB8KWC8XaV9o+Wf52FqGV7Ny3u46k28Y6Bj9b+7XfVQ9XORYu6JezNQeC8WtwvsK4c6Mpy7
UmYfKyOboktydpzgyijEczd61fVEi2YTEwvVX6RjjL5iSeYUCVsSOXc40S3xMc75XTNumrQIbsqq
JXcWVh+oJR9I3MclMktGdo0bOjchTbYbdr8L8rdybTz+cJL/X2SMqvX3o5BQYYCh3UhMlaY0TVvJ
HH84GIfe2M96SF3rNI0J1pKTqBVH+sMyO+2L18j48Ovns956OTGEGtK1dNNwhEmp8EY3mUXDzJy6
LY9F3nhXXUTpDh3dekbpQ3KpXvafo0yY5jkc3B76fWMbARIpqUX5NSwXmFAaNzaTucJs3ueN4udq
6NlPjS5BBkawjEFiUACaSxFQthHL/CJCYXgc6M1uuddtDaBUPaWoyuk6PXWEVD2X1jB29y0qh3a/
4NAgeatQpKrfFs4TIN7ciQNbSLIstX7IWSRlxXjIHaN6wsPZvigU/1ccisW94YVU9N3KQ8W7Wz0J
qHzTVcjZSFNrp+CAJfHvLVrbt3tmpYTbrjitmf+xQVdUAQJsiBKedq10y6f1LJwzhTz/+ktQ3Y7X
Xzo9YJNOjWuZjD/f0q5JdNEDuxXl0ZrJavAtmJnQQ2XGce3XT6Sunp+eCJ4XZQD5pqg+Xl9dUBUI
CoOWd8yijK+4cnNM+kXN97PyFdtYobTQGXAIWdhln/7us7vCcCFPwzLzDAiPr58dVrJ0cECUhGxU
+oM9gkiP63imfoTWXE4az2p3DocAbcw5tv36yeUbBQoKGDRYiGzJAHIM76f3PiYWjrSgKY/oy/jp
JIb15rUDnfmhSFqOzaYkX4gyZiZ5M1wRY03Rc/ArQic7hgDXHtYX9I9K/mGukCw9v+RxsSVspYk/
d69E7xbk1h++u5/ETjdfikKJKZ7fmOTxAKoHfm9xmu9sj+sYB5kDtYTf/dniVEJ6GiN8yasgXnU/
/xzy8EdqksMBnvGL9UOLkzwB7PbK2S4ZyyiJ0t8Y8nyDAP54r7kOIydOyUInxl1yzb++2jPkcUte
iflokQQ/b9mbkSZbxEqf8VuW3o6kQsp0JrR09cfORgmgt01zAV4YkfFS43L2WXk1z6/bLrO2EfeT
htco7FGvfq6GLng/2vZ8mc9SbCmuJpy78HXhj2kUDYmcqZKIEq02msFqvXOWmUajTgi6vqOEWg4a
DIzHpp2b0wwZ8oyJQIBTXZYPAeAnINqZE+0ajySnHUbUGjIOINCjqD2o0nISzvOSENgOgraMEHXa
hj1uROWlMBwnTNFRwTluib9oUoafR7hU1xOP+WTNZdJvPZicV1GeBclGOmhSkSl5HFbIstN3pYbe
GeZ7djkYHsaYMuquh7HVDjJIFj8QAW7QshumHfpw6g06YAMzD4Q4E1AvnKUEepKsBdkUWrDYDJll
fHAbPmapQT3b9DocUDhj/a4ge+Co63WImZBPHnuXPI2Ll990mmHvcWTlt2LJypsEW8F7wg1NnfoM
eYrlIEJL3AVV+xg5ex1PAo5FkFm4f0KxY/SFNqRJK0JVCqoK5oDdVV+an1or7O5lS1bPAZ8CAW46
nSDKtN5ND4S6GY+YgvU9GHeXgPMwISJ4CYJrs0zj7WwIsgDLYgGQM7R3jg2ldGevaE0F2WwVbtOE
u+kMN2qOtW1HkESoR25M3Jsl/jZwnZIN7kkqhGcD4ur90CaW78H41Fq3860V+xkBADUUChR0fgCZ
NyluLQEoNDX1j/FoYtFTENHZBidaKLDo3IMYtTUrP45QR0UpOQelSXKHx46zsIKTBhOYUpS4B+KR
3B0Be2QI9HAKghVt6inKaeIFlkI8pF9BMnyWgaftyxWOGnVwUrnIkZkqdmqrKKpLRoAypQyYGUM3
4TJZtyVXmy/Br5aKw5orIiuk9E9LjuppUaTWCGMMqj3M3aPiuIY9UCnZw4TOFOXVdJzwolLkV4ui
+npGD0k6Z0u2DMjTXSOnwc9WauxQc92sKNnJ5mxZocje9JC1t8kKncX6gdAWIe7drJi04KFM+LS2
mTPh+OAG2RTvEWuNyi8gFxOqbfKNcYuGThFvZw0Y/b0OJ3m8xzwI33tj1WkkHyXCrYQOTRJf2qAm
bjtSj6OPk7ng5Ow5Qxr7wlPEeyIjZ55/iM8kdeq4cCqS6LJEQjtrAiNqdpD5NesTQJwiuRhLnX0u
K5dkpEsvFrM4NCWny/shjs3xvvum1g9X6T5n0CF5SlN6DgXm2NU6Gykb7VyRiLQdWvwb2EviMHzK
ZRyq6DoZ8/1oZQ75dfXkTvMiMejK1a3rjrMTAmooXHcHLLdLw+PcueYTZ9Sx++yknkxt8OSLB70j
67vyhIie5ATcFmln8IsNkwiMoKWByBBA5R+KFISaL2pqHV/vGh1bkianb9aif3bqv9qp4c+A0fyV
8mL81+lL036ZX23w3x72fZ823hHcYTtA2NR2y7zv3/u0Y72j+2iQYS+Q75Ho9uc2LVEfszhiN6OR
6SDe+FOL4b5jX3fQY7C2Mqv8e1oMNuSfSmKCZvBuqRrCMQkefL1NM1spiJu3mqM3aJzYi8bodjNB
DOllRAbA5SSaergPUc2fSlpK/cUQF91tVGlDzrqGsdunQ0OKapQiR3OC3mDa0dDeraYQVURgxrck
tQIjTwtjE3rIthagX+cwlZEBeiMIHiYdAIpdDM8ZtEVO/fnDUGP36NJyuSUZ5gHmInFxBVkabLMZ
5g9EzHRBcGdc9whHsN8jNb5rbbrpXdWJT14KUA3/QKzfFcWYntoGcWmZg9awKx44Aq3YmZYznfOp
JHmMHfouWCCM5K3mfW11BhcoDfAubECRNBfhgJ6B6VBaPRsDKbbL2Hr+YrYJ+Vh8UCRaEMTnRL/z
/ePGIuNAMJsamgsrbRa2Oql7kEjy/mIhoM53jJ4HthamfJJwVdybnXu593FIcMz4BQkUdDS65dqu
Bs+3GMAdc6h5R/h9CKS1nmeXjDc3ZPjO+5bQBH+MSwMAJBghKEBxjAhxbI2F44Xb51u9CrWnvjes
expdaBQYCMkr2PieOIyWzB7nNCNFcKBp8qnJV2/LJPhpkGKm926VaV+XaPT8yaiDUxpN0YuWtdOZ
CQoDXfX6WvWquLIbnCL8+0IHHg/fGjUrc1BYenuwKMUBTt9ADGy17GNwATtAhN2uWOBebJwu1jmJ
goCMaP2l6XhlI+iLjkHG9O9oU1cb0C8cMgGNxSB2LUHYsim0Mj0tJnlTDSPVDZHw/b7DAvOp0tA+
7WU1u6S4puYC1iznWnCr9JT0bbvl2QnQbVsr3pFnZd2jus0eG83I7qOqmT/Bpm+vaMB4D8kC2iMy
9MbewhoxTmANw8ugBk7KcInhDjanS63iy8b2QjQg8DwIJAQl+wlO6J216G1xsAQoSiSXCpHi4cxG
dgjpDE/NwTVb75Axhv062sZY+UGT55hPDLInyAkA+MchXHTROc1KfpbXZ9XeZoAJndH8hhEfmtJJ
dh2cxrsg9+breBlT31Bl0tKJ4Dq3cZf54A5d5bmR+yaLjMdMFVm5O2lMLxAuZtupi3P3kErR3uMA
+2R1GSmjVGtoduZEtfeUvrdftIXeRXadh8HS0fGw7X2sCj9TlYA4dYoToj/qQvyBDRFKFIt08vPb
VhWQ4zznN5YqKglUwH6gCs1clZyLY3eUnOZyikzF+E/RqvujKlNRuYsNFHcXT6IqY0dV0JqqtMWG
GHNRqYK3UKWvXnZUwUIVxL0qjevKaK97VS4DYUwvC1VCo/YltprRBv/jWmNDR6TedlXpnXl13G9H
VZAPqjRnDBN+npskAYJWXjQzX/2iSvlireqTtcIneIFqX6yF/3oG0BJ1HgjV0aBeTwnjIKNdHw2c
HbS0WD5MFkCORR0tBqNqTouoykfNtuaDXjuYf40Z/SzhepXQdqCW0DzBsSLDEvMpOcsF55iRhUJu
egYz20EddMYANVc0LbiMef/GBUqvKWHeVjrt1l5CBh1BEvkaFSododFNO1gYqocn6h4EUuSUknlL
1fioAKIH22HW5k8ZGmi9yZNLWrKQ8oDxo6NIdLQlhl21fuMN0wGCRuHD43ouFwz/xDXogI9r5wxN
CyNVSpKnOlfglRunhEDbAs+zT0Rig4gMf4GDAHtbMoO6hS7IqtTaffC0riwMBIOvdIqJNim5Q5lo
S/DI6i6qbBatCZrnYzPmhPhogmV1UJmwaHTZYRpmlYcpZHlG7qCb3A6jfict9USouid8q0y2/GxI
l+tRjChoo1HzijPb9nwmh7ect2W5dDvIx8t1Q9l6+U9j4/+i26KjYNBp+HW5dP1lij+/hgB8e9h3
saow0Joq7ZYHK4IEPppk38WqArsWKiyqHsoitDn81R9tDcPhQdQ2nktz6029RCmle/Qf6HdwY9H3
+zttDUt1LX7oagiPfrGKVkQoJnHbm2/KpRqXzzKGRXLV6JCLnk1cJu2mMJ3O3AnYfSx2xqgAbUBC
yjbXLtRhw2p85vnFsRxjcQCZOb80BhRXXxOV5U8JrmEQSbbzBfEJiTw2Q8ulPhZdaGN8IdhknM17
jaGCy9ANn5WOcSNzCoy3Yg7JaaAIWZLIey9irXOglfWDNLiFuqaa742iCTrfHocOQzgz9XhmwqMh
F2qiUhT5KXa10Z9cB4rugI9jQci9WOkUXUECrSv3PtLJUqERI8jIIgKXANhFgUiqvH0gVs6WOzdh
9Mj0oHa6pT9gUHb1HANxXkCSknEKaVnUnyOtbfZOXc03lp4V4JbnMeGh9qwtv1UQw+Lrf27A/8sN
yOQEm+IvbsCPz20UFyHYxh/PK3887PsNiF2S8Ytl25brGcghOTB8vwF1852SLNJr/PGsokyUOjEZ
TG5o4q/Yju8mSg44aMm5lSVnC+Y5f8tE+XpSQzglfctv1E8pUGe+nRIs5VLTV+nt25xTwuIzuetv
QdiqAmus299++GBuvt3R/yr6/KbkvNL+93+9nhSsTwbugxWDWg2YxtuxUGhNqgPYmbeRhqioMEv9
Ye4G7zGNO9WmV8OUUDjmszckzfH/8dTQg4XK/mSrezMmiLVUEtMszdsFhflT4TWICod5JM2MwbJ8
MNyJeUUrGsR8IEFpf/z66dWP/3OFU+/c0U3Ery6QB764t0+vGzElG72V2yxXma6uxvTTF8S2V6e4
VE83KSHZr59Tfz2c+ONJuVRMfAccfNU+8uPYr6jgEoSVp98Sg8VAgvC2C5ig6CUd3fMeKxX5ZcYY
7mn79AypyIXpXqhQ4kOm0TT3ayzxh4pu6HRstQau8rIQl2W7WAX8wBqEvBwUXpDgxhIFVVtJRntT
VqCQ+/X7eH2Y/vY2VkkvwmOJ5+LN7uCOroEwKtJv0UJyrfQZksBMqf3clvkJy295Oamcul8/Kz37
n74x9iIPaTI3Br++/vCoj5xkshp5m8hBPhRwGw7wJaKvIpnq2zUw1jIreQY0iOB0VjFCv37+n29M
hxEqfQxbeFw3b+8VPP4F3sUJsOeaW6lumBnkxE04/OWk8M0Ua/2E2ci5s9Qojb7FmwleMDtdIUQv
b2FlTXcaFJV0P8QSaXJgGO3LlJrm8yBsdXcK9KuVM3KzaIkz3SQpzr6//8YN6gGDnoNl/HTV6njg
vBrC223f1dwkphNk5ZXOyXPYxEXq/T9uEodlj/uSf2AevZmoyCphjzcG/Za8MXdbzBHa7FUT2qso
1rxRksAB9SXQba5yj2izcz54NGLmRGrjRiZLeanZw3QXohwNd6nQEfSmA9FtHSrwKOLgx09NuMss
tyD03aPHmO1//ZHRnvrpYlX9LlNItgqPK/b1xZpkYdC7sydvgyBBIQ3SuCGf0SbUuMurp6bJsRe7
I+sexryrHLvjLowXhsLt7NXHao14BcBPNt4yLllDdLxoX9xGTHe/fp3/28uk7cbUh4k0Aog3L1Mj
H2ywA1PeWovDB7J+zADWqicpyJIk/+6vZuBqB311F9PX5qpmzxXSEi4mhNcfTN7RABDp3N6OaAYv
EV5bz4GHBj+ARILjReAtwhxDRRjEAZoBGtMRbPlx9u5jCDMVGpK5ezHKgStdsAIIjZuALAYWTnVN
rB9Ry66BRzJWGYYggglmMdwrWmXmhe7whsg/Kb+dhf4jGerb7P7H7cTmnfA9Mwg0GQT+NAZcSJPA
14rOtORR5JAA1Nsmjpa8r41s7nCLRmD1EmfAkqVbpDT68ZAH0d6LEDYTDSEM4c9oG7GK67jA8s7Z
D0uodcfIbmHmFzKcjQ0BMcjWhLEgrhIc9j5UWh52W+GUZAWMIdFDPn4MBGKgx7gzcDFjUEbpR3hL
gsbYdKviti+66NJtc4Jfcrc8Dwkq061bNsznKj3TPkkIfSCA5uyzSFu5JTEHZh3qQ9iFMzzLl9kq
Z/vUzRFD4Y79+4SbIwcPZCS4WAUzRH+KPCzJZomb23IAoCDec7TqkfwdUmONwHGI9qkjsalBntoI
9ZBZbXIrbIjftkneBdeju7/XWkaoMRjgLsW7tNAE43hv0n4jHxAlELqHKz3sGXBUQwBy0/PuZzoT
+AMQAze32mhIk6zJrrAYqxJg4hMdV1U3wCWyxp8Iawq2bkIeMBhltt2Ua4QTt+IiljNhxAR/hiBU
QR07skOAjmPCem49kzIB8qg8UwIqI0nF3dzGMw9DtEPGY2AUmu+2AXaJiamNozzmac/OLCPpqtiC
XjjViTC9ZL62jbK+0iYoTPtwLvMIy1g8wZ8MYxopqdd9htplo6RmkonEESqLZ+ThudFNWFFejPEN
1cYoxPKJQJj4pA/uBKDG1X+fu7JEWILpgJCuYK/TU/wt91rrU2ngfK/tKnrhQpm+hHRRlCElLLai
5+shAqpjQBRW1jaXzuBzYeUCfGxQTJO7meHUbNyyezExmeFijsPqQbPcOL0cChed9onIFC9/cHCn
CXqpUTaXzjZ3aLemm242QamlG4Zugc6vkjafVflAIDUZbeKZTg5wnVR61SctQlLLy02TotmiYc7d
PQHxFD8LI7cS5VlIZ3QoL0XoUgyxgpvPoAvQjbe4S2bEcEH2gQBevrE5wDGSzzP6+sFR+aXovOND
PHNVbiJXspmaRc3P8KQDua5p+WZtufClItzUfCEadztikQdWHeIJatOBJTs2w9sewCzMhZnM6AAt
9iaEIzztCFVmNcrJu14T6xEoti8tWrILRJMsPETxwFTP4Zc0Ud0ii4wwOWBc5MfPtbKOcOIgYtzB
F9FDXN6mc15eYhLUH2qhTDBzmaHY6phbbFjOkElmpgebSsqOPwkX+vsbssjkWRfKo7A4yrXgQs5/
bnR2aiKfOaJvkDclZ3KSWGLWTNYQNsaV55BPgR6DTT3WWFHXNZIazr0KLDbR1bYQlG77AiiEj3J1
u7Rtz2/XV5v3PcJ8ozanm5KyU2e2H883cJP4bZrZSKuQ/2PdCJGL9Si8zqvqZjX5DAz/AKlgR+pj
jhtGlmA/D3S2524irXVNOZ51PnuZK8cKtyTPlEZD+xKXXAxQRNqXoZmRfWGOwbiUDqSZQxLZIQZp
XyqV2wrnuH5K0pzqd4rb+W4tFJa0Jr11zTvUJ+p7ZXl/grnhoRd3kxdO+YjuY4eU47LWxBm6GUaW
MhA01LK0vOIy4rtDzEvxXtZsPC1R3msUukgERXgJ0mtnybR6IhOJ3XxOcZvtAjrBzzYyEbIJSnsu
L+q24ZUPPGbYgAkA7lJrzKf8tcDpVamiOBIv3w4/a/ohsFLSfUljNQHxaWlNpDPTaPN6ZOiNyMIy
wcAZyv2yNLzASp/Qyyl/b7Krchn8nqHjCzbFegvJwAIeMUyNKoPYebptM9665ki7xWv5jqrApbjj
P71QsgEXpsXaVqqjCny2+CBnrEosA2TM802f4V84F7yd8tLA6nMH5RqisxZlvFr8Ac0Rw4I8d+ry
hGIrzyJM2JlSU6X6JgPlqomnpr+uxlCLjnkUcAaUdsFVCxscKwhSOl4MmDPkfWaqRH7S9R6nIXYe
ktSts11XCyYna4bxqnWLchB2m6nKef/rIpBmBuP6uOBTydLYu7Jn9IS1xx1W2erp8xEj0upXyjpZ
PdEGx9vDXPBIuV8TMmHwrYIhc7cZGzmfw0gJuqbcIx2YbqY5tJ8bt+N+FQhSdnq8aPY2tLjjm6bl
laxXoonWv70cY5YAS1Kj7+RqUTPDOmxvPJhqgCJK9QUlNRlQe52+8zFvEFbG3QLVqOM42u4Wu6Mo
0l0w/ht9DPN7cuGxKyYJxjENgZ/vJRxDzMmVmBBVdqihz3Ig3ywh0mCOPWXVqrjRazwJN+s7ZCei
Rm4VArkpCQ1fD7wL2dtPizTkwxByRI1Zupn1caR96Gv+sKQ3aew6VaUtaHNIKF3NWmrbnOmBjdsq
0/C+uas/zKq8q0J3NaYseg5Lr+ckoz61phomD3GEBCXXqJcT2bwLKM3mc9V33K+FcmZifZjuBLTM
YOswG9v3bYbXyYLO8FLH5MH6sEtZHaO2sQx87yR4c4EH010UB7ZB0CHS7zm28AlaDJisu6kZAfeh
xsZ0pzXCev7DCxdj6SuI5XrA+2FepHWplTuPOO/slA82j876SK/vkX/BF8mClA96UZtLnKxr36Qn
GnlBBJ8DLhyYBO8wQXJeiXKuiUV9AN/WInVwHxKddUEtrE3IwA+WMtcusWhsa/jPm+PkxPPvDdvQ
7Xp9mkQoHBIaAQealGZ67fQul4greqxkFqDxKJwb948LImeA8LVyhhRVekMEt5YU3i6bK+s5hKH6
sF4VNgZ9RiZ6QOq2WXAj18T2JZbqNgALR0KEPF0SMWStPskl1Xyn1mlCNOhSlk2s3tA3wSY0wcxv
zJG/mymEmi3rvTwjYmmOXHLywYrsctwq0IrLqLxmh8HjauzLiouGnFtWeyOW75FYLcSsLVzUApFa
r+xhzXFdAc0UoMG2DBw+bAJZ1PbN3Ia8GGdUzSA2IABZoTGPPtIhFgUc8+Qi1hqujV2xBpUnfcdt
ZtQzzxtW83SXzyZHgoqj2qOn0tJDK+R9M7WF+T/qZqdtEygActNQCy33A8i+6dj1QwHiCS9LeUEv
WJ4bqPIkLbokUrHzl1ztQgZL89BZPUVIqKXeoyDQjf7wpN4vGHfEWbpz37tT/l43LDrEAZAaEuvJ
w6jFxlFpt2MaJl9D0AzEV9cBAymO1IxaDW5geuZ3SVyxI83xuPgdLU+PCmW2Hwnb5HOOK77Q0hqX
6aD1ibEnWYsIirBm4gY/Mb+AXpJcGyAJpM+uSS6VoU9H5YObfXRQxXVQGiWjqYx6wdYnFkOKTMWi
1Dt3N01tJ061WvxPSRDSiPSwH53z3iSZkPZ2dqGVOl0YumzEA2dY9u7DROfrafKKfxNqwIdkWMt0
QwdwhC80NkcDn1yGDZQaJ1clXR25010aEvueTbXm9zXmx/WgnKJdvhwNj1vVi2pE0oJo7Rv8bjSb
9JL6AIsgr3RaN5MgYt1erLhMv5RrTnPqVd4OOyEcTo3wO8IWuYLWg2HIjK86ZVlSseR1rGmlTZgq
uCwlxMeHfBV7IWr8ypPn1fUrtQ561DIznDOUG5HLCS2WrbN/NqjIj30eslotdqw/DCRE++u66cGM
ulnQwxjg0QvuiUzVm1XguVdwksi5DiraV2S+VE9phgCjJGnxucHqeu4yLp440NIT2e97O1Qr87KQ
FOZztouOuhXFX8zBFu2lVfXccZ2GZ9pKa+8KiqiqMGpCs5XfNodLYV7AfRDOBQc2AD4t5xvQwH1z
KLu232eKf8JZBYuygBT3QD41LTvCU2OfPg8fiZNobBtBoHOSWJXwNv6Bh4iO9Xa1AVfWxP2whGxG
30pmS+RfbRwtG7pkudiHae64O3vu9D3PHD1ETT99mCJ7uYrMOf6AeSrdgkr1WJ057SxM8PUeNJSd
E+I5m5V2Q7x4OfnB4hXuzmiM6ahjkf3cV4b1knj98iWjqvxaZlP7CK8Clwl1lX4pq1aQuNqWiA/c
8ROyIrvZ9kGQRZu6LpJ6Bzu1PllYQ88xnKNtmNjxR+I4wnubGp+wmTwDatZa4jC71nxGYBd8iJCU
fi7rmZ9kFSJuqZQLj7SgQuPEinR/ZN7cCbRATJHtb0r6fxRpf6FI43Qu6Xj+5xHrvaJX/mv7nJbd
86sZz7cH/jHj8ex3tLbk9wmPrbqo32c8CqSJ+BuL+R8Z1v8esprWO+x+hK8ZKo16FbJ9n/Po7+jM
6mpawaSV/tXfomOs0PgfWmHIY/gRHMpQjaNhFzRXX7fC8KUAFAhq7ZKGwnDLMDanemjAA2ZLunMq
olwFGfR3RmaDki3hdsth9i5cSRoWFuvxgajQ/NJoGUXKunOPhBYO1iZIksIvSpmgTyoiYi/Du7Ay
juypA+4xxfE2i8exT2/UtoeCInR9LdVRbtrIkYPWBACXk4ZEPpHAwmdm+j3OEYqbSlcBsiGhGePQ
Mrrwok3LOHg79032IrR+M7vGh6RMvhpUmRskcrezN3d3SWlbh3q0zGJjJH1+F8M+PpWVW1/ODrqV
DUi7FErhgsY2KwjmQrh2kYfEpyagxE8mIuo9C5bhw15cqKz5OPE7Y2imJiUme5go9TfOVBsRNLpi
Pi6iETuQ6YFfWbV1xUH+iA7prhJEcRtIha5hTl4WwZRvkwl2d+h2oHyjlKTa2g32nahgQXgwx4g0
JgsJqNwmHll+U7zTfFn55cIxZO9YmnPKScvwcZogCzGdaj/h5iqOU8Gkybda1XbOlvuaAK/tOEeP
HqfjD2Nu2ReT6QxPhSyJeG1rbysgTwdntFk6ZuUyAgDk1xrLLI2VwFjuUd+lTJfjsXS1z+wWElQT
7HZt2fd2mwATL6Cf+sIqTSDuINU6yjeKhtooXLJbPUQ3ZMagqG2U2umQ4zw4wqkiLjYvigI+uum8
n3Lo59haRccpQSONAvJDawybLoytKwI5EKtIOE07LV1UN2fwcjqLvZmetTkGT7jV8gmNCiiRhgg8
8KBZzOlvk5Yurf0NP6h1PMq0qViKkxMUnd08lRzo7pqlGuN047X45wlYb7oSa+kttPX8UNSl6+AL
dpZhGPfw6MnhOYDJaLo7D3f4bH8YRd+Ke40tycX4zxSPPC89zPtJ3wtmKUCLkICVlpiux7iYq3pf
t0HR+zit5EdUetMtmSKgjuaEJtBeJ5APwLUWTkTzUUD4Gko6b0eMivYYpVacbvXFAazfkalxjZpM
QIX36hdrCWvyucDz3RVZRAeNlaQGf05oyWOADzE/a8msSx9arXi/DKM9ELiCuosyJyqJmO6KAkuG
jI4EtWm7eHGM0B/dnkzTIHKodbWGqFGis1NE4nTF6sjUt1mYh+/raK7f20RA77qhqnw7ksUIO7YS
14torV0OCAqqTgYjfC6qG7ttCkremtORU0sTBMhMz2PDAJpmapKQiuzawYVbOUxOoEo5SCO6yVKC
UZAQQmJYJQIxzWmmGt28kQN4W7Aw3V0/OMVN7VbhwQFxHeEafe8lQ/gQZNV0iWNfp9uohcs/GyJq
u7ib/2pDxAPF7vCfN8SPNImRPLzaC7895rveQW14lqEzvGRqj+Cb0fP3vVBK/kod3P+94X23UQHE
42RrEHXhmEw9FUTq+14o3pGyhO1JaWIIw8B89TdsVG/lRq6wGJThFZQoLDhmqKHRD3bYoB9lbAX1
eO7zl5Dk7Sj7/YdP4+ZnnYPaSv8czzBoevMEb2bHzWRkeTXxBC6q6chl0fae4+Ece5zU/2JMvc6B
Xz2XxOCJFMQwTJRTP83UZmjHmZWZEuNsRpMG+w+YGUGmM7KutLZ+a5MpdD9HRBF0NPcrvQXvXtLa
i4sTY6A6zF9o76sVEOdiJDznEDShqkiL/kvsCk4QV32zcpqZ/y4XWbvym114vJfYPsvgYa67faJ4
zy1pDzcJoZdw95OgJnAc1QFHIaMBF60PtjaiPx0MD5xCltdRisRTDwcmMGSCOOWWF4EBJaawRvrV
66cGQ+WHmUH/ZRbUPdUAlvBxn5PRYOSXDhvP1prs5exKDC6/aaVA1KWFOdQcAsZ8xPmm8d7UnGq5
TDov0u5HutVmsTOGED9Q5Xdp0k3BAcph3B7WL/+fMvovVg1A7ErW8p9XjePz+BzHPy4afzzk+6Jh
me9cZdpwgNVZ1Ls/LBq2UOw5JXZy8RHg6/h3Aa3r79BIoljBcYG1XXcRcvyxakhcHQwEXdYU4Uj+
5u8ppZQK4s87zWTFoihmXIEr03Up9d8sG8z9siVBAn3ftlXFAHPJgU8OUIQaf6EmuKpMhoFRnDWQ
IBinROTV3WEEJO/ARL0Bdt79H+7OrTltZdvCfyV13kXpfnk4u+pgbIxjx7FXYu88UdgmSCAk0AVJ
/PrztSQnINtZ8erUPqqjWg9ZgbSkpnv2vIwxJsJoKVrHwKzDYqTYqDiyFk+tkoJPqqqMYyuICw2p
OgWfgUJvVkOFJNIkRtj6LCeIPt1oS+9SV1SSmF5UjALwxeNYr1ZoUUJR8BZwMXxNyecROHOaSpiF
ea2UgX/NCY2X4qdZMYO9Xs0cw6+CEXo49Jr0F6LWk8CtOHNClYC1UjYPgI+XMyDA1WdlBcSHakX1
jW4aYC43i5VzYlT7bI5QrTZEUZxUBWfAzcK3b0SRiHphmOpfc6Pcr0YH6+UVu1ojljo/gS2ouaK9
ANVKQc89tNzrvWkulWlq/7VPDG9iQbE5JRVLrs2D6b0iCb3NnGGgr73PsbPRL6NC59XopRpbSJKh
aLL3lxUdD6144u3z3dV+avmfdJJMT8Aqlftoa6W3fqWUp5Dll1e5lVEzdGEN3oXh1B0v/GRDXtiI
r103+UqhyzpHxuHSASj9Rff1MR1EEQaxt39zmHjHpwnrDrCEWMAuBGOggF2I3oZS62KqbqK/zHg9
/aaJX38Rx9q/Od0ootGLaEI6Lpmsl0V2Sk++tc4RQJIjFWyeMi/Vh81KYxo8qyivF5G5uihioODT
ij9BcdPn+ibWPi4Uvbj2gcJdGott+dlyp3fQ0/WxFwTh3SoqdnQQDBFSiooI9y9RxqudYY+qOIFA
o65Z00Ix5qO6N54iO78sUGogozm1zmlukmZ0xDZGQYk6RmkVOhGT56OE8S3ceMsL04yLx8CHaRSi
qfW4gVs4cSq4+0lGQQHyyg6HXhBSivKWTbn65Oyw3yFF1POV8aQiUJ8MbUFuGJFwtj665mKNWJVb
5qMgSLdDmB3eWN0n+okOp2LkRKT5y4hfaZhFwfJq7Rvbywr18/sqizZzl0YvyTAi2WwPLYuSTLl3
tLPIT9NzYIPBxzDL1KupqCoQsu2uyIbxcrqRk7nf+vvleZX4S0FlWui3CoCF6zTTmFA9WJwFoPfP
C0vsTWIb0JZFem8SlD14i9Xi0jQJxdRFWf6NBoR1bLPwBlwaswOaAw7u8Vt6UN0PNwwH7HS62DnK
rZ+p+5vMgz2k0KT8rirRSUicnJ7Knlg7dHF6LHR3f5JmKf0gTcLIp+UmhpsEgegCmavtPZ73ZkTZ
Sx3jiEP7NFejLSzbr+sto6x2pOmHy50RjUN++8uYtpZDla5Q9JNclKfUmPVbWG/wzZyKV4XlUF2B
i6D7oAbvaoeGiDCo8JASa0OfJCtT9NNAzbeMWaJZC79gf1Mv282SNkaoDVVXydbS6FoWT0nMQfJy
lTUkDkpf92D1tp+CNCBLhmAXoEQDTbeHSF2NUdFWqHsSi/tDI8/tsQk62zld0Tnn2lW3cXX6a3ul
C3jRT3slph/PzHWgSQEhtFxHbO0DT7PYailhSTK91ZONjToIQE2aEm2Vv5Z7eEaJttTVE3ubKl+W
VQARwwKTg65MEvnl2CX7Vw0N9mA+1EP4Yi64gBm6/nDDvG2BcOlGS6bfEpOE51Al7TuBgKOcvf8F
0K4X+FGdc1kXfQAPXyCiDVOi+QvnNrQhd1BZLD9tN4vF2Rbd0gQZC+wMjjT2As2VYBj5EE1sN9rM
yOtaH7XCnn5n7xmiOhjPjNLRLu2iXF34+ianhBK60y9UwMmt+9EidIe/fvb6PO5MPoEEMgm6DvwE
YNzxsxdrFFn3ZmHdxojogepK0+l3VvPUPU+or99pSFRe0dCkvA6dXTTOarqeHkVoWG2C3UXNbiw8
PZmEVpFMYmerfCEo98ZeYWbBSYLC5zXdaYNLR+f9C1jyUOfg733fcUzwEwXmQzot6F2737u7k9WW
2kRuFqto7KBwdLJBIHlY6glmKM+n9zp4iXPFVdyLNNjS0gVU6Bm9sBZn8MjLb6jPIllZ7KaToIJ3
vY+cyD3JEKaaa4sUe6WvTUX0INS1072x8c6grj1oa6ACvhFth8Zqs5mE5m76LXLY6vgE1F7E1sMR
XjwlSKPtTu0Vf5lT0LzYl4l+G+ppldNJ3NghCbj1n1T05c6Wqj/9xsrbzc1wLSyImJqlM73IAyg/
pipQzOYay7cJEro16OvVF8KNPZJMWzuAg7l8RNcWNMLCL9FL0iFCgcai2V6oX/plkQLfCstPS23P
WfLrhYCT2N2GHsGRSqNJbLZwBztuA7Z6nZNyR8Es1DLnhNwdLcJr2xySmxmj4+efOMABECsFpHSG
K7aZ2TRbuNlr2KTTxTqd0ObQIVBchhd0fUwLRFXVgMqZsgzWtOeLzrItbWmH7CT1oSrU8CvmP3vQ
C3M3zwPHVEaeba2dUeq7lGYj3LGrXZSRPnHUinVgRhTgaOQ1Dc9CDVTTEJlYWuUtlHJU7TcOabz1
1xKtNZhgPiInNIgJxt7WVm5Qqa2KUZqr+dMWuewb1pc/SgjozkttjxQsu5beOYFwOcXvShIsu0/L
1bmlrHbVqARAAISluteoz40M1DCHPI+/RsOQDUFxisW61FPzhFy382iAKholtN+9IN1LPzovrJQh
3Z234/0W2eErvZzShGSTr/w7zoHgLlXoCz4k8Wa4wzhYL+9T1/QoYqy29uKcOodanqxpUIIysQ9O
TCH6v1V2hXBwKFReqOgxjZV0bY8SJALIUPlQdbPSX6u8Lr1P0BoQvOC0SPjzNMvZBpWvw6R07dQ0
R8B0oy+LRZZOpqrJqbPXlsaDb0wD6NCavVl9VLJMuD9edUNFMFZOya+pD+sQYjSVcvhx5JdhzinR
XrtcWDCe6cSycoeLAsCGYlY+sDfNMP6tAfRCBJqU4Q018GmO9siyJNuY784zUbgZpul+/x0gmjtx
4X5S3l+DQiQHpoHDSvbFqbmD9eumdkDjwITuOEUCKmoIos6IKTgis+9ZK2VooTsyQuk4/O44xW0W
b4WeE24rvVhWDh2ACvJ/jrP2P+trpzjhMPCYGYTObuqN9P8msm1fRGj/nNZ5rpt8nlS38zQPsx9N
acWnNT/lS/zPvvSceHp9oLbD2t/Fyp5J9HgUKtfPVD/wr4YIZ+Tv8iekkAxzgDtH4ZTuvvWFbxHG
EXrV9cdQ7LUBVD+IC3RJExdGjxsezNFbs/DrF2ym89ff+dUbNBnIydN//xdidAKoLjcLzsAC0OHa
FpQVceEAH86Ci2Y9bhdUCsH94Wqm/T8/C49xHmViMQLVOCKKkYL8vTnojHCwEryBBWjToXrYvCOO
zuEceHDJYJJQRmxXSnPD//wcvKneRUHS5aHlVgIpYgHwB2HUrATyQEezoA1IALlsGOim4urdLOCc
8Mxyk+AMaM5go2pPgkRcbPrDSdA0bwATTIc30M5SfcM+LQVVlV4J+sDB8um4/cdv79oDcin4RGpr
LJrp7tPbU5OQXQIkUTGDpEhZTuLqWEQPWAGAAotwtFki/1cW8U1rAFHyRcf7956OpjqAUY5gn9Pu
9s4suKwRKkyIAP20mf06HYFomLI7wdQHbHaOBYKf19aCg4tAqcqA9Nc3OwDqpVtMeO8aMEj/e4R8
QqCzvrrGUBVMakecjH17e4SjBM1V6iwAWWRwFJD3aA1Bxxra3kAHCySYeM3i6N2B6FAllp0EbWA5
1JJQCXt1DTjYARpwUlDunRl0iTAl357eS6QgaQr3vAQ6PhFaaYhB20KruVkCvZsEpMrV3/SPO+fJ
gX+sD4g06A8Nj/o1O+AaAPdwnk3q9vXVO3OAdISsNRDGUMXYaQbTeegSOqi8kN316MPVUzNAZ+cX
EjjvPQt0d0DqD3WZ5+CgsxPwB0wXb4A4pKdrAHScaHgmdyTQf92F568/e/8dr0ijqaVt4RYBYKlv
1SfXmGSB9GmgDiiKili4PfK6q8AbIAWAOgh6Hc3Vt1kwkARqfpqGLf4jCfWezJFFGEQEBIqhWevg
LA4tAmGSASRZxInN580x1KO1QEVK2iKQP0OQRTDom/SYCDsPZwG0/gDdDdHftXfvzyJ1+dGkbAG+
AVkCDxjLz1Pv8P1ZBbhFNBkkXK6v3lkEokSBlZCaBZPGla7FqfDsH3ZWARGSJbrq1ogTMQ3NtPdo
L5D+baO3f24RiBOJAmxSiHS8FldnFjyDDCOpNQ3djvpqQrMezYKOLpq0t0w4CEoC0Zk2Wu4ETA6n
A1BLavmtxejdLODeiNqm1I7AUUSgBTyd02ZGGPDQLnguPgT5ZDLOzRHZu9QBqOMXrW7f6y+aZEZ0
sDPItTVXx1MSdkEAskSBpb4a16xPO0LFoZVfCx7lFX7p4zXg2GTPkFn+UVHo39vT6kh2J2AVeUPd
FAnj+upYRaJnUDG0cH+uwPXOHujk+2WzaCb5ZFA0iEq1oVNnJ1BhA50ouhG3n/dwFhwBCpayiiZR
Mjkk8smvn5C0tSbJAKGAjlH1rfpkCSj2yHqLpogJPEGaaL3F7qlgDshZGgTqvXOQdJS/ZF/fIE1I
lyfnR1zYMYguvz7AcDLNrano3ybg8RorLeEmqpSWKC62S+BFdZFUEhh5V3gOPw5Ndl2vtgJbVNIU
4CAZNiKJat3TnoOBAY8cJFJJAA4gHLQGsYeB08sWHO92kEilEBt7UI+aw7EzCw6ZJLYLwP9mKfSv
3A4SwJY+FnADKaYbhIivzgLQCzAJDkoUbfmhf3YBmy2dUPIGrUrxz31/uCOgnGMeiZycNuPUeGY9
sgtk/F6IPL97RziUnFEtdeCn1FcnfKSUQWcagXlqDUfvZoHCuyAISDlKBkE0OgckE5oN0UWgeAC2
GhJnO0vNFuzRWgApLh860J+IRAGpZMQg6+v4jGjWAqahVgLv1xkp5DCkq02iPxPRIQFIsww6oZMr
PAnqbYAUm+npnV18TRTk3RaBFDN5KQiLb1gEFVYjUsfIe/QuaIAxJA9R1SgvGy6iKK8XXjkdkTAS
maaf4M2e7QUIpc3S/OdeM4l2AwwOSeTWJHY8pRqoS1MyXbf7twsInWT9ZRII0K0R+xcEnEO3AOwF
tCjRONVojEDvHGV4yNKZRLqoEHOgQE23svrq5E8cl5az1FspyzafNydwjw5Eg8BWtvJK0AQiE9+I
rGF9dZwjDgQbN5qI4ueB0TNTAPFYFonCVgCFTcyEukVzHe8I0gio4oFTQK+8vnq4Fl5Kg7z7WCSv
Sr9ugqI2l9Y1iCpbhq4VQszieZZ+dy38xrb5wQQ5gYv/VHNAgnn6GlXkrS88kx9eft4SHwS7QeD6
j74oKCHNvRsKhPj/fx2BlupMycGHz5mT+j7tP29f8OWtj+71/FbPf3kezJNZ8kh/2ZoX0z7mp9ka
Isn/hLOH2Xp2pMtQVwB/PsmLxtv8HM2B+DcDp6vOuALVKD1uQkeR6Hjgmk8jP/BqFqWz9PkRa5JK
jciWHflkFgbf46TTe7wB/EuPHYdxMns6av/VoGflR46i+WMWPObZ4ZQ0sEzZwUfzED2QZH44cgN5
lB657Q//If7+ASmbfP0QHC2WBk0ne5czZj14Ohq4BarJjjyex8ni+JFbGKTsyG8rsLwtC/VbW33y
NPOPFmCLVpN94Amy5VEcHO/IBggmPXT0FMw6VqSB1UiPHBfHy6JBaMgO+/GlbWrK/dIDM0D+uKoO
d2LLzZMd+jLOEVroTnPD9pId+2oWREfWowXNy4+bVOEsejqcDio7opguP3Sazh79PJ1n2dGabske
0uMHj36wmB3zC5sasPzQnAVpRwBVbyqL8mOnacB/m03wPMe1B9UU7v7E6HGedIcWdSDpoeMo6yxu
WmWKYrPsyJ/mDwmdPo7sSFuwkB96Nzs+t8hBiRqA/MDFh/PZepMiHHq0MVug3p8Y/+3G8JIn2Kd5
8eHtNqp/YPBvdHd/nuN6dTcIFelJQWHJ/3AyS2JOyuPl0kDi/swNXoofg7gTvdJkh7/2gyPHoSX/
SQ+7CvFIjqOatrwhPXQyX3Qp3HXFQHbgz/MoQr1jN+uECbTEEaV72eFv/fhp/mGSvjjbGric7PB/
1SLZry3EtqDwZ27wciG2mXrZ4b8w+/M0nR9ZrhZuLz92eRxVttl12XG/ZjP/eWEImwLfT6SrZYe9
mydrTrbngeqRm0Sw9MgBkU1nebdJVtmhf92GV9KA38/T7MPdaw/f5EalHz5IH+MoDY48N6PJOEqP
/bZY7y9n5bVM0w8wz8v807MuyGv/7Di5Jr7xGM5nyb/+FwAA//8=</cx:binary>
              </cx:geoCache>
            </cx:geography>
          </cx:layoutPr>
          <cx:valueColors>
            <cx:minColor>
              <a:schemeClr val="accent1">
                <a:lumMod val="20000"/>
                <a:lumOff val="80000"/>
              </a:schemeClr>
            </cx:minColor>
            <cx:maxColor>
              <a:schemeClr val="accent1">
                <a:lumMod val="50000"/>
              </a:schemeClr>
            </cx:maxColor>
          </cx:valueColors>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529167</xdr:colOff>
      <xdr:row>0</xdr:row>
      <xdr:rowOff>127000</xdr:rowOff>
    </xdr:from>
    <xdr:to>
      <xdr:col>26</xdr:col>
      <xdr:colOff>444500</xdr:colOff>
      <xdr:row>38</xdr:row>
      <xdr:rowOff>74084</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2984500" y="127000"/>
          <a:ext cx="13419667" cy="6783917"/>
        </a:xfrm>
        <a:prstGeom prst="roundRect">
          <a:avLst>
            <a:gd name="adj" fmla="val 4655"/>
          </a:avLst>
        </a:prstGeom>
        <a:solidFill>
          <a:srgbClr val="BDD7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67733</xdr:colOff>
      <xdr:row>2</xdr:row>
      <xdr:rowOff>21167</xdr:rowOff>
    </xdr:from>
    <xdr:to>
      <xdr:col>26</xdr:col>
      <xdr:colOff>296332</xdr:colOff>
      <xdr:row>37</xdr:row>
      <xdr:rowOff>42333</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3136900" y="381000"/>
          <a:ext cx="13119099" cy="6318250"/>
        </a:xfrm>
        <a:prstGeom prst="roundRect">
          <a:avLst>
            <a:gd name="adj" fmla="val 4551"/>
          </a:avLst>
        </a:prstGeom>
        <a:solidFill>
          <a:srgbClr val="DEEB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211665</xdr:colOff>
      <xdr:row>7</xdr:row>
      <xdr:rowOff>74084</xdr:rowOff>
    </xdr:from>
    <xdr:to>
      <xdr:col>11</xdr:col>
      <xdr:colOff>359832</xdr:colOff>
      <xdr:row>16</xdr:row>
      <xdr:rowOff>42334</xdr:rowOff>
    </xdr:to>
    <xdr:sp macro="" textlink="">
      <xdr:nvSpPr>
        <xdr:cNvPr id="4" name="Rounded Rectangle 3">
          <a:extLst>
            <a:ext uri="{FF2B5EF4-FFF2-40B4-BE49-F238E27FC236}">
              <a16:creationId xmlns:a16="http://schemas.microsoft.com/office/drawing/2014/main" id="{00000000-0008-0000-0200-000004000000}"/>
            </a:ext>
          </a:extLst>
        </xdr:cNvPr>
        <xdr:cNvSpPr/>
      </xdr:nvSpPr>
      <xdr:spPr>
        <a:xfrm>
          <a:off x="3280832" y="1333501"/>
          <a:ext cx="3831167" cy="1587500"/>
        </a:xfrm>
        <a:prstGeom prst="roundRect">
          <a:avLst>
            <a:gd name="adj" fmla="val 7778"/>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296334</xdr:colOff>
      <xdr:row>7</xdr:row>
      <xdr:rowOff>156633</xdr:rowOff>
    </xdr:from>
    <xdr:to>
      <xdr:col>7</xdr:col>
      <xdr:colOff>211667</xdr:colOff>
      <xdr:row>15</xdr:row>
      <xdr:rowOff>156633</xdr:rowOff>
    </xdr:to>
    <xdr:sp macro="" textlink="">
      <xdr:nvSpPr>
        <xdr:cNvPr id="5" name="Rounded Rectangle 4">
          <a:extLst>
            <a:ext uri="{FF2B5EF4-FFF2-40B4-BE49-F238E27FC236}">
              <a16:creationId xmlns:a16="http://schemas.microsoft.com/office/drawing/2014/main" id="{00000000-0008-0000-0200-000005000000}"/>
            </a:ext>
          </a:extLst>
        </xdr:cNvPr>
        <xdr:cNvSpPr/>
      </xdr:nvSpPr>
      <xdr:spPr>
        <a:xfrm>
          <a:off x="3365501" y="1416050"/>
          <a:ext cx="1142999" cy="1439333"/>
        </a:xfrm>
        <a:prstGeom prst="roundRect">
          <a:avLst>
            <a:gd name="adj" fmla="val 4551"/>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179916</xdr:colOff>
      <xdr:row>17</xdr:row>
      <xdr:rowOff>21168</xdr:rowOff>
    </xdr:from>
    <xdr:to>
      <xdr:col>11</xdr:col>
      <xdr:colOff>306916</xdr:colOff>
      <xdr:row>36</xdr:row>
      <xdr:rowOff>74083</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3249083" y="3079751"/>
          <a:ext cx="3810000" cy="3471332"/>
        </a:xfrm>
        <a:prstGeom prst="roundRect">
          <a:avLst>
            <a:gd name="adj" fmla="val 7778"/>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391583</xdr:colOff>
      <xdr:row>22</xdr:row>
      <xdr:rowOff>31750</xdr:rowOff>
    </xdr:from>
    <xdr:to>
      <xdr:col>19</xdr:col>
      <xdr:colOff>349250</xdr:colOff>
      <xdr:row>36</xdr:row>
      <xdr:rowOff>52917</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7143750" y="3989917"/>
          <a:ext cx="4868333" cy="2540000"/>
        </a:xfrm>
        <a:prstGeom prst="roundRect">
          <a:avLst>
            <a:gd name="adj" fmla="val 7778"/>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476251</xdr:colOff>
      <xdr:row>7</xdr:row>
      <xdr:rowOff>74084</xdr:rowOff>
    </xdr:from>
    <xdr:to>
      <xdr:col>19</xdr:col>
      <xdr:colOff>338667</xdr:colOff>
      <xdr:row>21</xdr:row>
      <xdr:rowOff>137583</xdr:rowOff>
    </xdr:to>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7228418" y="1333501"/>
          <a:ext cx="4773082" cy="2582332"/>
        </a:xfrm>
        <a:prstGeom prst="roundRect">
          <a:avLst>
            <a:gd name="adj" fmla="val 7778"/>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461430</xdr:colOff>
      <xdr:row>7</xdr:row>
      <xdr:rowOff>74084</xdr:rowOff>
    </xdr:from>
    <xdr:to>
      <xdr:col>26</xdr:col>
      <xdr:colOff>127000</xdr:colOff>
      <xdr:row>36</xdr:row>
      <xdr:rowOff>42333</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12124263" y="1333501"/>
          <a:ext cx="3962404" cy="5185832"/>
        </a:xfrm>
        <a:prstGeom prst="roundRect">
          <a:avLst>
            <a:gd name="adj" fmla="val 7778"/>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332318</xdr:colOff>
      <xdr:row>7</xdr:row>
      <xdr:rowOff>156633</xdr:rowOff>
    </xdr:from>
    <xdr:to>
      <xdr:col>9</xdr:col>
      <xdr:colOff>247650</xdr:colOff>
      <xdr:row>15</xdr:row>
      <xdr:rowOff>156633</xdr:rowOff>
    </xdr:to>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4629151" y="1416050"/>
          <a:ext cx="1142999" cy="1439333"/>
        </a:xfrm>
        <a:prstGeom prst="roundRect">
          <a:avLst>
            <a:gd name="adj" fmla="val 4551"/>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368302</xdr:colOff>
      <xdr:row>7</xdr:row>
      <xdr:rowOff>156633</xdr:rowOff>
    </xdr:from>
    <xdr:to>
      <xdr:col>11</xdr:col>
      <xdr:colOff>283634</xdr:colOff>
      <xdr:row>15</xdr:row>
      <xdr:rowOff>156633</xdr:rowOff>
    </xdr:to>
    <xdr:sp macro="" textlink="">
      <xdr:nvSpPr>
        <xdr:cNvPr id="15" name="Rounded Rectangle 14">
          <a:extLst>
            <a:ext uri="{FF2B5EF4-FFF2-40B4-BE49-F238E27FC236}">
              <a16:creationId xmlns:a16="http://schemas.microsoft.com/office/drawing/2014/main" id="{00000000-0008-0000-0200-00000F000000}"/>
            </a:ext>
          </a:extLst>
        </xdr:cNvPr>
        <xdr:cNvSpPr/>
      </xdr:nvSpPr>
      <xdr:spPr>
        <a:xfrm>
          <a:off x="5892802" y="1416050"/>
          <a:ext cx="1142999" cy="1439333"/>
        </a:xfrm>
        <a:prstGeom prst="roundRect">
          <a:avLst>
            <a:gd name="adj" fmla="val 4551"/>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539750</xdr:colOff>
      <xdr:row>8</xdr:row>
      <xdr:rowOff>78317</xdr:rowOff>
    </xdr:from>
    <xdr:to>
      <xdr:col>7</xdr:col>
      <xdr:colOff>95250</xdr:colOff>
      <xdr:row>10</xdr:row>
      <xdr:rowOff>74083</xdr:rowOff>
    </xdr:to>
    <xdr:sp macro="" textlink="">
      <xdr:nvSpPr>
        <xdr:cNvPr id="13" name="Rectangle 12">
          <a:extLst>
            <a:ext uri="{FF2B5EF4-FFF2-40B4-BE49-F238E27FC236}">
              <a16:creationId xmlns:a16="http://schemas.microsoft.com/office/drawing/2014/main" id="{00000000-0008-0000-0200-00000D000000}"/>
            </a:ext>
          </a:extLst>
        </xdr:cNvPr>
        <xdr:cNvSpPr/>
      </xdr:nvSpPr>
      <xdr:spPr>
        <a:xfrm>
          <a:off x="3608917" y="1517650"/>
          <a:ext cx="783166" cy="355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lumMod val="50000"/>
                  <a:lumOff val="50000"/>
                </a:schemeClr>
              </a:solidFill>
            </a:rPr>
            <a:t>Sales</a:t>
          </a:r>
        </a:p>
      </xdr:txBody>
    </xdr:sp>
    <xdr:clientData/>
  </xdr:twoCellAnchor>
  <xdr:twoCellAnchor>
    <xdr:from>
      <xdr:col>5</xdr:col>
      <xdr:colOff>349250</xdr:colOff>
      <xdr:row>10</xdr:row>
      <xdr:rowOff>152704</xdr:rowOff>
    </xdr:from>
    <xdr:to>
      <xdr:col>7</xdr:col>
      <xdr:colOff>211667</xdr:colOff>
      <xdr:row>14</xdr:row>
      <xdr:rowOff>36288</xdr:rowOff>
    </xdr:to>
    <xdr:sp macro="" textlink="sales_">
      <xdr:nvSpPr>
        <xdr:cNvPr id="16" name="Rectangle 15">
          <a:extLst>
            <a:ext uri="{FF2B5EF4-FFF2-40B4-BE49-F238E27FC236}">
              <a16:creationId xmlns:a16="http://schemas.microsoft.com/office/drawing/2014/main" id="{00000000-0008-0000-0200-000010000000}"/>
            </a:ext>
          </a:extLst>
        </xdr:cNvPr>
        <xdr:cNvSpPr/>
      </xdr:nvSpPr>
      <xdr:spPr>
        <a:xfrm>
          <a:off x="3388179" y="1966990"/>
          <a:ext cx="1077988" cy="6092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743F048-0947-4984-9F36-D8BE29CEF1F8}" type="TxLink">
            <a:rPr lang="en-US" sz="2000" b="0" i="0" u="none" strike="noStrike">
              <a:solidFill>
                <a:schemeClr val="accent1">
                  <a:lumMod val="75000"/>
                </a:schemeClr>
              </a:solidFill>
              <a:latin typeface="Calibri"/>
              <a:cs typeface="Calibri"/>
            </a:rPr>
            <a:pPr algn="l"/>
            <a:t>$10.7M</a:t>
          </a:fld>
          <a:endParaRPr lang="en-US" sz="2000">
            <a:solidFill>
              <a:schemeClr val="accent1">
                <a:lumMod val="75000"/>
              </a:schemeClr>
            </a:solidFill>
          </a:endParaRPr>
        </a:p>
      </xdr:txBody>
    </xdr:sp>
    <xdr:clientData/>
  </xdr:twoCellAnchor>
  <xdr:oneCellAnchor>
    <xdr:from>
      <xdr:col>2</xdr:col>
      <xdr:colOff>381000</xdr:colOff>
      <xdr:row>11</xdr:row>
      <xdr:rowOff>42334</xdr:rowOff>
    </xdr:from>
    <xdr:ext cx="184731" cy="264560"/>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608667" y="20214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412750</xdr:colOff>
      <xdr:row>11</xdr:row>
      <xdr:rowOff>127000</xdr:rowOff>
    </xdr:from>
    <xdr:ext cx="184731" cy="264560"/>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1026583" y="21060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11</xdr:col>
      <xdr:colOff>486833</xdr:colOff>
      <xdr:row>22</xdr:row>
      <xdr:rowOff>63500</xdr:rowOff>
    </xdr:from>
    <xdr:to>
      <xdr:col>14</xdr:col>
      <xdr:colOff>455084</xdr:colOff>
      <xdr:row>23</xdr:row>
      <xdr:rowOff>137584</xdr:rowOff>
    </xdr:to>
    <xdr:sp macro="" textlink="">
      <xdr:nvSpPr>
        <xdr:cNvPr id="20" name="Rectangle 19">
          <a:extLst>
            <a:ext uri="{FF2B5EF4-FFF2-40B4-BE49-F238E27FC236}">
              <a16:creationId xmlns:a16="http://schemas.microsoft.com/office/drawing/2014/main" id="{00000000-0008-0000-0200-000014000000}"/>
            </a:ext>
          </a:extLst>
        </xdr:cNvPr>
        <xdr:cNvSpPr/>
      </xdr:nvSpPr>
      <xdr:spPr>
        <a:xfrm>
          <a:off x="7239000" y="4021667"/>
          <a:ext cx="1809751"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75000"/>
                </a:schemeClr>
              </a:solidFill>
            </a:rPr>
            <a:t>Product Performance</a:t>
          </a:r>
        </a:p>
      </xdr:txBody>
    </xdr:sp>
    <xdr:clientData/>
  </xdr:twoCellAnchor>
  <xdr:twoCellAnchor>
    <xdr:from>
      <xdr:col>9</xdr:col>
      <xdr:colOff>442384</xdr:colOff>
      <xdr:row>8</xdr:row>
      <xdr:rowOff>78317</xdr:rowOff>
    </xdr:from>
    <xdr:to>
      <xdr:col>11</xdr:col>
      <xdr:colOff>254001</xdr:colOff>
      <xdr:row>10</xdr:row>
      <xdr:rowOff>101600</xdr:rowOff>
    </xdr:to>
    <xdr:sp macro="" textlink="">
      <xdr:nvSpPr>
        <xdr:cNvPr id="21" name="Rectangle 20">
          <a:extLst>
            <a:ext uri="{FF2B5EF4-FFF2-40B4-BE49-F238E27FC236}">
              <a16:creationId xmlns:a16="http://schemas.microsoft.com/office/drawing/2014/main" id="{00000000-0008-0000-0200-000015000000}"/>
            </a:ext>
          </a:extLst>
        </xdr:cNvPr>
        <xdr:cNvSpPr/>
      </xdr:nvSpPr>
      <xdr:spPr>
        <a:xfrm>
          <a:off x="5966884" y="1517650"/>
          <a:ext cx="1039284" cy="3831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lumMod val="50000"/>
                  <a:lumOff val="50000"/>
                </a:schemeClr>
              </a:solidFill>
            </a:rPr>
            <a:t>Quantity</a:t>
          </a:r>
          <a:endParaRPr lang="en-US" sz="1100">
            <a:solidFill>
              <a:schemeClr val="tx1">
                <a:lumMod val="50000"/>
                <a:lumOff val="50000"/>
              </a:schemeClr>
            </a:solidFill>
          </a:endParaRPr>
        </a:p>
      </xdr:txBody>
    </xdr:sp>
    <xdr:clientData/>
  </xdr:twoCellAnchor>
  <xdr:twoCellAnchor>
    <xdr:from>
      <xdr:col>7</xdr:col>
      <xdr:colOff>422275</xdr:colOff>
      <xdr:row>8</xdr:row>
      <xdr:rowOff>78317</xdr:rowOff>
    </xdr:from>
    <xdr:to>
      <xdr:col>9</xdr:col>
      <xdr:colOff>115358</xdr:colOff>
      <xdr:row>11</xdr:row>
      <xdr:rowOff>23283</xdr:rowOff>
    </xdr:to>
    <xdr:sp macro="" textlink="">
      <xdr:nvSpPr>
        <xdr:cNvPr id="22" name="Rectangle 21">
          <a:extLst>
            <a:ext uri="{FF2B5EF4-FFF2-40B4-BE49-F238E27FC236}">
              <a16:creationId xmlns:a16="http://schemas.microsoft.com/office/drawing/2014/main" id="{00000000-0008-0000-0200-000016000000}"/>
            </a:ext>
          </a:extLst>
        </xdr:cNvPr>
        <xdr:cNvSpPr/>
      </xdr:nvSpPr>
      <xdr:spPr>
        <a:xfrm>
          <a:off x="4719108" y="1517650"/>
          <a:ext cx="920750" cy="4847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lumMod val="50000"/>
                  <a:lumOff val="50000"/>
                </a:schemeClr>
              </a:solidFill>
            </a:rPr>
            <a:t>Profit</a:t>
          </a:r>
          <a:endParaRPr lang="en-US" sz="1100">
            <a:solidFill>
              <a:schemeClr val="tx1">
                <a:lumMod val="50000"/>
                <a:lumOff val="50000"/>
              </a:schemeClr>
            </a:solidFill>
          </a:endParaRPr>
        </a:p>
      </xdr:txBody>
    </xdr:sp>
    <xdr:clientData/>
  </xdr:twoCellAnchor>
  <xdr:twoCellAnchor>
    <xdr:from>
      <xdr:col>5</xdr:col>
      <xdr:colOff>349250</xdr:colOff>
      <xdr:row>13</xdr:row>
      <xdr:rowOff>163286</xdr:rowOff>
    </xdr:from>
    <xdr:to>
      <xdr:col>7</xdr:col>
      <xdr:colOff>158750</xdr:colOff>
      <xdr:row>15</xdr:row>
      <xdr:rowOff>81642</xdr:rowOff>
    </xdr:to>
    <xdr:sp macro="" textlink="yoy_sales_">
      <xdr:nvSpPr>
        <xdr:cNvPr id="23" name="Rectangle 22">
          <a:extLst>
            <a:ext uri="{FF2B5EF4-FFF2-40B4-BE49-F238E27FC236}">
              <a16:creationId xmlns:a16="http://schemas.microsoft.com/office/drawing/2014/main" id="{00000000-0008-0000-0200-000017000000}"/>
            </a:ext>
          </a:extLst>
        </xdr:cNvPr>
        <xdr:cNvSpPr/>
      </xdr:nvSpPr>
      <xdr:spPr>
        <a:xfrm>
          <a:off x="3388179" y="2521857"/>
          <a:ext cx="1025071" cy="2812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3454A71-1A1B-448D-B329-5B466B02BC77}" type="TxLink">
            <a:rPr lang="en-US" sz="1200" b="0" i="0" u="none" strike="noStrike">
              <a:solidFill>
                <a:schemeClr val="tx1">
                  <a:lumMod val="50000"/>
                  <a:lumOff val="50000"/>
                </a:schemeClr>
              </a:solidFill>
              <a:latin typeface="Calibri"/>
              <a:cs typeface="Calibri"/>
            </a:rPr>
            <a:pPr algn="l"/>
            <a:t>▼4.3% YoY</a:t>
          </a:fld>
          <a:endParaRPr lang="en-US" sz="1200">
            <a:solidFill>
              <a:schemeClr val="tx1">
                <a:lumMod val="50000"/>
                <a:lumOff val="50000"/>
              </a:schemeClr>
            </a:solidFill>
          </a:endParaRPr>
        </a:p>
      </xdr:txBody>
    </xdr:sp>
    <xdr:clientData/>
  </xdr:twoCellAnchor>
  <xdr:twoCellAnchor>
    <xdr:from>
      <xdr:col>12</xdr:col>
      <xdr:colOff>25400</xdr:colOff>
      <xdr:row>8</xdr:row>
      <xdr:rowOff>105835</xdr:rowOff>
    </xdr:from>
    <xdr:to>
      <xdr:col>17</xdr:col>
      <xdr:colOff>232833</xdr:colOff>
      <xdr:row>9</xdr:row>
      <xdr:rowOff>169334</xdr:rowOff>
    </xdr:to>
    <xdr:sp macro="" textlink="sales_trend">
      <xdr:nvSpPr>
        <xdr:cNvPr id="24" name="Rectangle 23">
          <a:extLst>
            <a:ext uri="{FF2B5EF4-FFF2-40B4-BE49-F238E27FC236}">
              <a16:creationId xmlns:a16="http://schemas.microsoft.com/office/drawing/2014/main" id="{00000000-0008-0000-0200-000018000000}"/>
            </a:ext>
          </a:extLst>
        </xdr:cNvPr>
        <xdr:cNvSpPr/>
      </xdr:nvSpPr>
      <xdr:spPr>
        <a:xfrm>
          <a:off x="7391400" y="1545168"/>
          <a:ext cx="3276600" cy="243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51313EE-2B25-4170-90EF-62E5960D6AC2}" type="TxLink">
            <a:rPr lang="en-US" sz="1100" b="0" i="0" u="none" strike="noStrike">
              <a:solidFill>
                <a:schemeClr val="tx1">
                  <a:lumMod val="50000"/>
                  <a:lumOff val="50000"/>
                </a:schemeClr>
              </a:solidFill>
              <a:latin typeface="Calibri"/>
              <a:cs typeface="Calibri"/>
            </a:rPr>
            <a:pPr algn="l"/>
            <a:t>Peak Sales Month: May with $1,034,687 in Sales</a:t>
          </a:fld>
          <a:endParaRPr lang="en-US" sz="1100">
            <a:solidFill>
              <a:schemeClr val="tx1">
                <a:lumMod val="50000"/>
                <a:lumOff val="50000"/>
              </a:schemeClr>
            </a:solidFill>
          </a:endParaRPr>
        </a:p>
      </xdr:txBody>
    </xdr:sp>
    <xdr:clientData/>
  </xdr:twoCellAnchor>
  <xdr:twoCellAnchor>
    <xdr:from>
      <xdr:col>12</xdr:col>
      <xdr:colOff>14514</xdr:colOff>
      <xdr:row>7</xdr:row>
      <xdr:rowOff>116417</xdr:rowOff>
    </xdr:from>
    <xdr:to>
      <xdr:col>14</xdr:col>
      <xdr:colOff>268514</xdr:colOff>
      <xdr:row>8</xdr:row>
      <xdr:rowOff>148167</xdr:rowOff>
    </xdr:to>
    <xdr:sp macro="" textlink="">
      <xdr:nvSpPr>
        <xdr:cNvPr id="25" name="Rectangle 24">
          <a:extLst>
            <a:ext uri="{FF2B5EF4-FFF2-40B4-BE49-F238E27FC236}">
              <a16:creationId xmlns:a16="http://schemas.microsoft.com/office/drawing/2014/main" id="{00000000-0008-0000-0200-000019000000}"/>
            </a:ext>
          </a:extLst>
        </xdr:cNvPr>
        <xdr:cNvSpPr/>
      </xdr:nvSpPr>
      <xdr:spPr>
        <a:xfrm>
          <a:off x="7380514" y="1375834"/>
          <a:ext cx="1481667" cy="2116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75000"/>
                </a:schemeClr>
              </a:solidFill>
            </a:rPr>
            <a:t>Sales Trend</a:t>
          </a:r>
        </a:p>
      </xdr:txBody>
    </xdr:sp>
    <xdr:clientData/>
  </xdr:twoCellAnchor>
  <xdr:twoCellAnchor>
    <xdr:from>
      <xdr:col>9</xdr:col>
      <xdr:colOff>420915</xdr:colOff>
      <xdr:row>14</xdr:row>
      <xdr:rowOff>9374</xdr:rowOff>
    </xdr:from>
    <xdr:to>
      <xdr:col>11</xdr:col>
      <xdr:colOff>226786</xdr:colOff>
      <xdr:row>15</xdr:row>
      <xdr:rowOff>81642</xdr:rowOff>
    </xdr:to>
    <xdr:sp macro="" textlink="yoy_quantity_">
      <xdr:nvSpPr>
        <xdr:cNvPr id="26" name="Rectangle 25">
          <a:extLst>
            <a:ext uri="{FF2B5EF4-FFF2-40B4-BE49-F238E27FC236}">
              <a16:creationId xmlns:a16="http://schemas.microsoft.com/office/drawing/2014/main" id="{00000000-0008-0000-0200-00001A000000}"/>
            </a:ext>
          </a:extLst>
        </xdr:cNvPr>
        <xdr:cNvSpPr/>
      </xdr:nvSpPr>
      <xdr:spPr>
        <a:xfrm>
          <a:off x="5890986" y="2549374"/>
          <a:ext cx="1021443" cy="2536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EC69B39-03D7-4FFC-9656-8548875325D0}" type="TxLink">
            <a:rPr lang="en-US" sz="1200" b="0" i="0" u="none" strike="noStrike">
              <a:solidFill>
                <a:schemeClr val="tx1">
                  <a:lumMod val="50000"/>
                  <a:lumOff val="50000"/>
                </a:schemeClr>
              </a:solidFill>
              <a:latin typeface="Calibri"/>
              <a:cs typeface="Calibri"/>
            </a:rPr>
            <a:pPr algn="l"/>
            <a:t>▲0.4% YoY</a:t>
          </a:fld>
          <a:endParaRPr lang="en-US" sz="1200">
            <a:solidFill>
              <a:schemeClr val="tx1">
                <a:lumMod val="50000"/>
                <a:lumOff val="50000"/>
              </a:schemeClr>
            </a:solidFill>
          </a:endParaRPr>
        </a:p>
      </xdr:txBody>
    </xdr:sp>
    <xdr:clientData/>
  </xdr:twoCellAnchor>
  <xdr:twoCellAnchor>
    <xdr:from>
      <xdr:col>9</xdr:col>
      <xdr:colOff>479577</xdr:colOff>
      <xdr:row>10</xdr:row>
      <xdr:rowOff>152704</xdr:rowOff>
    </xdr:from>
    <xdr:to>
      <xdr:col>11</xdr:col>
      <xdr:colOff>188231</xdr:colOff>
      <xdr:row>13</xdr:row>
      <xdr:rowOff>108859</xdr:rowOff>
    </xdr:to>
    <xdr:sp macro="" textlink="quantity_">
      <xdr:nvSpPr>
        <xdr:cNvPr id="27" name="Rectangle 26">
          <a:extLst>
            <a:ext uri="{FF2B5EF4-FFF2-40B4-BE49-F238E27FC236}">
              <a16:creationId xmlns:a16="http://schemas.microsoft.com/office/drawing/2014/main" id="{00000000-0008-0000-0200-00001B000000}"/>
            </a:ext>
          </a:extLst>
        </xdr:cNvPr>
        <xdr:cNvSpPr/>
      </xdr:nvSpPr>
      <xdr:spPr>
        <a:xfrm>
          <a:off x="5949648" y="1966990"/>
          <a:ext cx="924226" cy="5004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2FA1622-FEC2-4923-8E4D-88876A87F088}" type="TxLink">
            <a:rPr lang="en-US" sz="2000" b="0" i="0" u="none" strike="noStrike">
              <a:solidFill>
                <a:schemeClr val="accent1">
                  <a:lumMod val="75000"/>
                </a:schemeClr>
              </a:solidFill>
              <a:latin typeface="Calibri"/>
              <a:cs typeface="Calibri"/>
            </a:rPr>
            <a:pPr algn="l"/>
            <a:t>17.3K</a:t>
          </a:fld>
          <a:endParaRPr lang="en-US" sz="2000">
            <a:solidFill>
              <a:schemeClr val="accent1">
                <a:lumMod val="75000"/>
              </a:schemeClr>
            </a:solidFill>
          </a:endParaRPr>
        </a:p>
      </xdr:txBody>
    </xdr:sp>
    <xdr:clientData/>
  </xdr:twoCellAnchor>
  <xdr:twoCellAnchor>
    <xdr:from>
      <xdr:col>7</xdr:col>
      <xdr:colOff>342749</xdr:colOff>
      <xdr:row>13</xdr:row>
      <xdr:rowOff>138792</xdr:rowOff>
    </xdr:from>
    <xdr:to>
      <xdr:col>9</xdr:col>
      <xdr:colOff>236916</xdr:colOff>
      <xdr:row>15</xdr:row>
      <xdr:rowOff>81642</xdr:rowOff>
    </xdr:to>
    <xdr:sp macro="" textlink="yoy_profit_">
      <xdr:nvSpPr>
        <xdr:cNvPr id="28" name="Rectangle 27">
          <a:extLst>
            <a:ext uri="{FF2B5EF4-FFF2-40B4-BE49-F238E27FC236}">
              <a16:creationId xmlns:a16="http://schemas.microsoft.com/office/drawing/2014/main" id="{00000000-0008-0000-0200-00001C000000}"/>
            </a:ext>
          </a:extLst>
        </xdr:cNvPr>
        <xdr:cNvSpPr/>
      </xdr:nvSpPr>
      <xdr:spPr>
        <a:xfrm>
          <a:off x="4597249" y="2497363"/>
          <a:ext cx="1109738" cy="3057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F0032A5-6E7D-4EF5-BE70-5C327EE9BB89}" type="TxLink">
            <a:rPr lang="en-US" sz="1200" b="0" i="0" u="none" strike="noStrike">
              <a:solidFill>
                <a:schemeClr val="tx1">
                  <a:lumMod val="50000"/>
                  <a:lumOff val="50000"/>
                </a:schemeClr>
              </a:solidFill>
              <a:latin typeface="Calibri"/>
              <a:cs typeface="Calibri"/>
            </a:rPr>
            <a:pPr algn="l"/>
            <a:t>▼9.3% YoY</a:t>
          </a:fld>
          <a:endParaRPr lang="en-US" sz="1200">
            <a:solidFill>
              <a:schemeClr val="tx1">
                <a:lumMod val="50000"/>
                <a:lumOff val="50000"/>
              </a:schemeClr>
            </a:solidFill>
          </a:endParaRPr>
        </a:p>
      </xdr:txBody>
    </xdr:sp>
    <xdr:clientData/>
  </xdr:twoCellAnchor>
  <xdr:twoCellAnchor>
    <xdr:from>
      <xdr:col>7</xdr:col>
      <xdr:colOff>490614</xdr:colOff>
      <xdr:row>10</xdr:row>
      <xdr:rowOff>152704</xdr:rowOff>
    </xdr:from>
    <xdr:to>
      <xdr:col>9</xdr:col>
      <xdr:colOff>200631</xdr:colOff>
      <xdr:row>14</xdr:row>
      <xdr:rowOff>36288</xdr:rowOff>
    </xdr:to>
    <xdr:sp macro="" textlink="profit_">
      <xdr:nvSpPr>
        <xdr:cNvPr id="29" name="Rectangle 28">
          <a:extLst>
            <a:ext uri="{FF2B5EF4-FFF2-40B4-BE49-F238E27FC236}">
              <a16:creationId xmlns:a16="http://schemas.microsoft.com/office/drawing/2014/main" id="{00000000-0008-0000-0200-00001D000000}"/>
            </a:ext>
          </a:extLst>
        </xdr:cNvPr>
        <xdr:cNvSpPr/>
      </xdr:nvSpPr>
      <xdr:spPr>
        <a:xfrm>
          <a:off x="4745114" y="1966990"/>
          <a:ext cx="925588" cy="6092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B91DAEF-6A36-4A89-AC6C-987A377E87A1}" type="TxLink">
            <a:rPr lang="en-US" sz="2000" b="0" i="0" u="none" strike="noStrike">
              <a:solidFill>
                <a:schemeClr val="accent1">
                  <a:lumMod val="75000"/>
                </a:schemeClr>
              </a:solidFill>
              <a:latin typeface="Calibri"/>
              <a:cs typeface="Calibri"/>
            </a:rPr>
            <a:pPr algn="l"/>
            <a:t>$1.8M</a:t>
          </a:fld>
          <a:endParaRPr lang="en-US" sz="2000">
            <a:solidFill>
              <a:schemeClr val="accent1">
                <a:lumMod val="75000"/>
              </a:schemeClr>
            </a:solidFill>
          </a:endParaRPr>
        </a:p>
      </xdr:txBody>
    </xdr:sp>
    <xdr:clientData/>
  </xdr:twoCellAnchor>
  <xdr:twoCellAnchor>
    <xdr:from>
      <xdr:col>11</xdr:col>
      <xdr:colOff>518584</xdr:colOff>
      <xdr:row>9</xdr:row>
      <xdr:rowOff>52918</xdr:rowOff>
    </xdr:from>
    <xdr:to>
      <xdr:col>19</xdr:col>
      <xdr:colOff>285750</xdr:colOff>
      <xdr:row>21</xdr:row>
      <xdr:rowOff>105834</xdr:rowOff>
    </xdr:to>
    <xdr:graphicFrame macro="">
      <xdr:nvGraphicFramePr>
        <xdr:cNvPr id="30" name="Chart 29">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402167</xdr:colOff>
      <xdr:row>24</xdr:row>
      <xdr:rowOff>116417</xdr:rowOff>
    </xdr:from>
    <xdr:to>
      <xdr:col>19</xdr:col>
      <xdr:colOff>211667</xdr:colOff>
      <xdr:row>36</xdr:row>
      <xdr:rowOff>21167</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95249</xdr:colOff>
      <xdr:row>7</xdr:row>
      <xdr:rowOff>167218</xdr:rowOff>
    </xdr:from>
    <xdr:to>
      <xdr:col>23</xdr:col>
      <xdr:colOff>167216</xdr:colOff>
      <xdr:row>9</xdr:row>
      <xdr:rowOff>127001</xdr:rowOff>
    </xdr:to>
    <xdr:sp macro="" textlink="">
      <xdr:nvSpPr>
        <xdr:cNvPr id="33" name="Rectangle 32">
          <a:extLst>
            <a:ext uri="{FF2B5EF4-FFF2-40B4-BE49-F238E27FC236}">
              <a16:creationId xmlns:a16="http://schemas.microsoft.com/office/drawing/2014/main" id="{00000000-0008-0000-0200-000021000000}"/>
            </a:ext>
          </a:extLst>
        </xdr:cNvPr>
        <xdr:cNvSpPr/>
      </xdr:nvSpPr>
      <xdr:spPr>
        <a:xfrm>
          <a:off x="12371916" y="1426635"/>
          <a:ext cx="1913467" cy="3196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75000"/>
                </a:schemeClr>
              </a:solidFill>
            </a:rPr>
            <a:t>Sales Distribution</a:t>
          </a:r>
          <a:r>
            <a:rPr lang="en-US" sz="1200" baseline="0">
              <a:solidFill>
                <a:schemeClr val="accent1">
                  <a:lumMod val="75000"/>
                </a:schemeClr>
              </a:solidFill>
            </a:rPr>
            <a:t> by State</a:t>
          </a:r>
          <a:endParaRPr lang="en-US" sz="1200">
            <a:solidFill>
              <a:schemeClr val="accent1">
                <a:lumMod val="75000"/>
              </a:schemeClr>
            </a:solidFill>
          </a:endParaRPr>
        </a:p>
      </xdr:txBody>
    </xdr:sp>
    <xdr:clientData/>
  </xdr:twoCellAnchor>
  <xdr:twoCellAnchor>
    <xdr:from>
      <xdr:col>19</xdr:col>
      <xdr:colOff>508000</xdr:colOff>
      <xdr:row>23</xdr:row>
      <xdr:rowOff>0</xdr:rowOff>
    </xdr:from>
    <xdr:to>
      <xdr:col>24</xdr:col>
      <xdr:colOff>433918</xdr:colOff>
      <xdr:row>24</xdr:row>
      <xdr:rowOff>111125</xdr:rowOff>
    </xdr:to>
    <xdr:sp macro="" textlink="top_selling_cities">
      <xdr:nvSpPr>
        <xdr:cNvPr id="34" name="Rectangle 33">
          <a:extLst>
            <a:ext uri="{FF2B5EF4-FFF2-40B4-BE49-F238E27FC236}">
              <a16:creationId xmlns:a16="http://schemas.microsoft.com/office/drawing/2014/main" id="{00000000-0008-0000-0200-000022000000}"/>
            </a:ext>
          </a:extLst>
        </xdr:cNvPr>
        <xdr:cNvSpPr/>
      </xdr:nvSpPr>
      <xdr:spPr>
        <a:xfrm>
          <a:off x="11969750" y="4381500"/>
          <a:ext cx="2942168" cy="3016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41D5638-D99C-4843-B9CC-2B7F7038BC1D}" type="TxLink">
            <a:rPr lang="en-US" sz="1100" b="0" i="0" u="none" strike="noStrike">
              <a:solidFill>
                <a:schemeClr val="tx1">
                  <a:lumMod val="50000"/>
                  <a:lumOff val="50000"/>
                </a:schemeClr>
              </a:solidFill>
              <a:latin typeface="Calibri"/>
              <a:cs typeface="Calibri"/>
            </a:rPr>
            <a:pPr algn="l"/>
            <a:t>Top Selling City: New York City (1,004,712)</a:t>
          </a:fld>
          <a:endParaRPr lang="en-US" sz="1100">
            <a:solidFill>
              <a:schemeClr val="tx1">
                <a:lumMod val="50000"/>
                <a:lumOff val="50000"/>
              </a:schemeClr>
            </a:solidFill>
          </a:endParaRPr>
        </a:p>
      </xdr:txBody>
    </xdr:sp>
    <xdr:clientData/>
  </xdr:twoCellAnchor>
  <xdr:twoCellAnchor>
    <xdr:from>
      <xdr:col>11</xdr:col>
      <xdr:colOff>524931</xdr:colOff>
      <xdr:row>23</xdr:row>
      <xdr:rowOff>84667</xdr:rowOff>
    </xdr:from>
    <xdr:to>
      <xdr:col>15</xdr:col>
      <xdr:colOff>529167</xdr:colOff>
      <xdr:row>24</xdr:row>
      <xdr:rowOff>158750</xdr:rowOff>
    </xdr:to>
    <xdr:sp macro="" textlink="top_product">
      <xdr:nvSpPr>
        <xdr:cNvPr id="35" name="Rectangle 34">
          <a:extLst>
            <a:ext uri="{FF2B5EF4-FFF2-40B4-BE49-F238E27FC236}">
              <a16:creationId xmlns:a16="http://schemas.microsoft.com/office/drawing/2014/main" id="{00000000-0008-0000-0200-000023000000}"/>
            </a:ext>
          </a:extLst>
        </xdr:cNvPr>
        <xdr:cNvSpPr/>
      </xdr:nvSpPr>
      <xdr:spPr>
        <a:xfrm>
          <a:off x="7277098" y="4222750"/>
          <a:ext cx="2459569"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F03923F-8131-4CB7-B60F-F27D35DC487C}" type="TxLink">
            <a:rPr lang="en-US" sz="1100" b="0" i="0" u="none" strike="noStrike">
              <a:solidFill>
                <a:schemeClr val="tx1">
                  <a:lumMod val="50000"/>
                  <a:lumOff val="50000"/>
                </a:schemeClr>
              </a:solidFill>
              <a:latin typeface="Calibri"/>
              <a:cs typeface="Calibri"/>
            </a:rPr>
            <a:pPr algn="l"/>
            <a:t>Top Product: Camera (1,177,381)</a:t>
          </a:fld>
          <a:endParaRPr lang="en-US" sz="1100">
            <a:solidFill>
              <a:schemeClr val="tx1">
                <a:lumMod val="50000"/>
                <a:lumOff val="50000"/>
              </a:schemeClr>
            </a:solidFill>
          </a:endParaRPr>
        </a:p>
      </xdr:txBody>
    </xdr:sp>
    <xdr:clientData/>
  </xdr:twoCellAnchor>
  <xdr:twoCellAnchor>
    <xdr:from>
      <xdr:col>20</xdr:col>
      <xdr:colOff>29307</xdr:colOff>
      <xdr:row>24</xdr:row>
      <xdr:rowOff>111126</xdr:rowOff>
    </xdr:from>
    <xdr:to>
      <xdr:col>26</xdr:col>
      <xdr:colOff>158750</xdr:colOff>
      <xdr:row>36</xdr:row>
      <xdr:rowOff>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263769</xdr:colOff>
      <xdr:row>4</xdr:row>
      <xdr:rowOff>131886</xdr:rowOff>
    </xdr:from>
    <xdr:to>
      <xdr:col>12</xdr:col>
      <xdr:colOff>424962</xdr:colOff>
      <xdr:row>6</xdr:row>
      <xdr:rowOff>43962</xdr:rowOff>
    </xdr:to>
    <xdr:sp macro="" textlink="">
      <xdr:nvSpPr>
        <xdr:cNvPr id="37" name="Rectangle 36">
          <a:extLst>
            <a:ext uri="{FF2B5EF4-FFF2-40B4-BE49-F238E27FC236}">
              <a16:creationId xmlns:a16="http://schemas.microsoft.com/office/drawing/2014/main" id="{00000000-0008-0000-0200-000025000000}"/>
            </a:ext>
          </a:extLst>
        </xdr:cNvPr>
        <xdr:cNvSpPr/>
      </xdr:nvSpPr>
      <xdr:spPr>
        <a:xfrm>
          <a:off x="3341077" y="893886"/>
          <a:ext cx="4469423" cy="2930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i="1">
              <a:solidFill>
                <a:schemeClr val="tx1">
                  <a:lumMod val="50000"/>
                  <a:lumOff val="50000"/>
                </a:schemeClr>
              </a:solidFill>
            </a:rPr>
            <a:t>A Summary of Sales Perfomance,</a:t>
          </a:r>
          <a:r>
            <a:rPr lang="en-US" sz="1050" i="1" baseline="0">
              <a:solidFill>
                <a:schemeClr val="tx1">
                  <a:lumMod val="50000"/>
                  <a:lumOff val="50000"/>
                </a:schemeClr>
              </a:solidFill>
            </a:rPr>
            <a:t> trends and regional distribution across the US</a:t>
          </a:r>
          <a:endParaRPr lang="en-US" sz="1100" i="1">
            <a:solidFill>
              <a:schemeClr val="tx1">
                <a:lumMod val="50000"/>
                <a:lumOff val="50000"/>
              </a:schemeClr>
            </a:solidFill>
          </a:endParaRPr>
        </a:p>
      </xdr:txBody>
    </xdr:sp>
    <xdr:clientData/>
  </xdr:twoCellAnchor>
  <xdr:twoCellAnchor>
    <xdr:from>
      <xdr:col>5</xdr:col>
      <xdr:colOff>131885</xdr:colOff>
      <xdr:row>2</xdr:row>
      <xdr:rowOff>43963</xdr:rowOff>
    </xdr:from>
    <xdr:to>
      <xdr:col>15</xdr:col>
      <xdr:colOff>468924</xdr:colOff>
      <xdr:row>5</xdr:row>
      <xdr:rowOff>95251</xdr:rowOff>
    </xdr:to>
    <xdr:sp macro="" textlink="">
      <xdr:nvSpPr>
        <xdr:cNvPr id="38" name="Rectangle 37">
          <a:extLst>
            <a:ext uri="{FF2B5EF4-FFF2-40B4-BE49-F238E27FC236}">
              <a16:creationId xmlns:a16="http://schemas.microsoft.com/office/drawing/2014/main" id="{00000000-0008-0000-0200-000026000000}"/>
            </a:ext>
          </a:extLst>
        </xdr:cNvPr>
        <xdr:cNvSpPr/>
      </xdr:nvSpPr>
      <xdr:spPr>
        <a:xfrm>
          <a:off x="3209193" y="424963"/>
          <a:ext cx="6491654"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accent1">
                  <a:lumMod val="75000"/>
                </a:schemeClr>
              </a:solidFill>
            </a:rPr>
            <a:t>E-COMMERCE SALES PERFORMANCE DASHBOARD</a:t>
          </a:r>
        </a:p>
      </xdr:txBody>
    </xdr:sp>
    <xdr:clientData/>
  </xdr:twoCellAnchor>
  <xdr:twoCellAnchor>
    <xdr:from>
      <xdr:col>5</xdr:col>
      <xdr:colOff>211666</xdr:colOff>
      <xdr:row>27</xdr:row>
      <xdr:rowOff>84667</xdr:rowOff>
    </xdr:from>
    <xdr:to>
      <xdr:col>8</xdr:col>
      <xdr:colOff>370417</xdr:colOff>
      <xdr:row>29</xdr:row>
      <xdr:rowOff>10584</xdr:rowOff>
    </xdr:to>
    <xdr:sp macro="" textlink="top_region">
      <xdr:nvSpPr>
        <xdr:cNvPr id="39" name="Rectangle 38">
          <a:extLst>
            <a:ext uri="{FF2B5EF4-FFF2-40B4-BE49-F238E27FC236}">
              <a16:creationId xmlns:a16="http://schemas.microsoft.com/office/drawing/2014/main" id="{00000000-0008-0000-0200-000027000000}"/>
            </a:ext>
          </a:extLst>
        </xdr:cNvPr>
        <xdr:cNvSpPr/>
      </xdr:nvSpPr>
      <xdr:spPr>
        <a:xfrm>
          <a:off x="3280833" y="4942417"/>
          <a:ext cx="2000251"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1B04612-BB23-4B23-8583-3FA824757F63}" type="TxLink">
            <a:rPr lang="en-US" sz="1100" b="0" i="0" u="none" strike="noStrike">
              <a:solidFill>
                <a:schemeClr val="tx1">
                  <a:lumMod val="50000"/>
                  <a:lumOff val="50000"/>
                </a:schemeClr>
              </a:solidFill>
              <a:latin typeface="Calibri"/>
              <a:cs typeface="Calibri"/>
            </a:rPr>
            <a:pPr algn="l"/>
            <a:t>Top Region: West (3,463,500)</a:t>
          </a:fld>
          <a:endParaRPr lang="en-US" sz="1100">
            <a:solidFill>
              <a:schemeClr val="tx1">
                <a:lumMod val="50000"/>
                <a:lumOff val="50000"/>
              </a:schemeClr>
            </a:solidFill>
          </a:endParaRPr>
        </a:p>
      </xdr:txBody>
    </xdr:sp>
    <xdr:clientData/>
  </xdr:twoCellAnchor>
  <xdr:twoCellAnchor>
    <xdr:from>
      <xdr:col>5</xdr:col>
      <xdr:colOff>296332</xdr:colOff>
      <xdr:row>28</xdr:row>
      <xdr:rowOff>105832</xdr:rowOff>
    </xdr:from>
    <xdr:to>
      <xdr:col>11</xdr:col>
      <xdr:colOff>222249</xdr:colOff>
      <xdr:row>35</xdr:row>
      <xdr:rowOff>137583</xdr:rowOff>
    </xdr:to>
    <xdr:graphicFrame macro="">
      <xdr:nvGraphicFramePr>
        <xdr:cNvPr id="40" name="Chart 39">
          <a:extLst>
            <a:ext uri="{FF2B5EF4-FFF2-40B4-BE49-F238E27FC236}">
              <a16:creationId xmlns:a16="http://schemas.microsoft.com/office/drawing/2014/main" id="{00000000-0008-0000-02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283634</xdr:colOff>
      <xdr:row>17</xdr:row>
      <xdr:rowOff>68944</xdr:rowOff>
    </xdr:from>
    <xdr:to>
      <xdr:col>7</xdr:col>
      <xdr:colOff>536122</xdr:colOff>
      <xdr:row>18</xdr:row>
      <xdr:rowOff>163286</xdr:rowOff>
    </xdr:to>
    <xdr:sp macro="" textlink="">
      <xdr:nvSpPr>
        <xdr:cNvPr id="43" name="Rectangle 42">
          <a:extLst>
            <a:ext uri="{FF2B5EF4-FFF2-40B4-BE49-F238E27FC236}">
              <a16:creationId xmlns:a16="http://schemas.microsoft.com/office/drawing/2014/main" id="{00000000-0008-0000-0200-00002B000000}"/>
            </a:ext>
          </a:extLst>
        </xdr:cNvPr>
        <xdr:cNvSpPr/>
      </xdr:nvSpPr>
      <xdr:spPr>
        <a:xfrm>
          <a:off x="3345241" y="3307444"/>
          <a:ext cx="1477131" cy="2848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75000"/>
                </a:schemeClr>
              </a:solidFill>
            </a:rPr>
            <a:t>Sales by Category</a:t>
          </a:r>
        </a:p>
      </xdr:txBody>
    </xdr:sp>
    <xdr:clientData/>
  </xdr:twoCellAnchor>
  <xdr:twoCellAnchor>
    <xdr:from>
      <xdr:col>19</xdr:col>
      <xdr:colOff>523875</xdr:colOff>
      <xdr:row>9</xdr:row>
      <xdr:rowOff>127001</xdr:rowOff>
    </xdr:from>
    <xdr:to>
      <xdr:col>26</xdr:col>
      <xdr:colOff>222250</xdr:colOff>
      <xdr:row>22</xdr:row>
      <xdr:rowOff>95251</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9EE940D5-373A-4530-A505-9F821F2042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106275" y="1841501"/>
              <a:ext cx="3965575" cy="2444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222251</xdr:colOff>
      <xdr:row>18</xdr:row>
      <xdr:rowOff>174625</xdr:rowOff>
    </xdr:from>
    <xdr:to>
      <xdr:col>11</xdr:col>
      <xdr:colOff>238125</xdr:colOff>
      <xdr:row>27</xdr:row>
      <xdr:rowOff>127000</xdr:rowOff>
    </xdr:to>
    <xdr:graphicFrame macro="">
      <xdr:nvGraphicFramePr>
        <xdr:cNvPr id="17" name="Chart 16">
          <a:extLst>
            <a:ext uri="{FF2B5EF4-FFF2-40B4-BE49-F238E27FC236}">
              <a16:creationId xmlns:a16="http://schemas.microsoft.com/office/drawing/2014/main" id="{4D5B7E55-B07E-48F2-A014-CEF27AC38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498231</xdr:colOff>
      <xdr:row>4</xdr:row>
      <xdr:rowOff>146538</xdr:rowOff>
    </xdr:from>
    <xdr:to>
      <xdr:col>20</xdr:col>
      <xdr:colOff>498231</xdr:colOff>
      <xdr:row>6</xdr:row>
      <xdr:rowOff>175846</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9ACCACBF-822C-44EF-B4B2-FC6E9B1184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03424" y="571499"/>
              <a:ext cx="3341076" cy="42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527538</xdr:colOff>
      <xdr:row>4</xdr:row>
      <xdr:rowOff>131885</xdr:rowOff>
    </xdr:from>
    <xdr:to>
      <xdr:col>26</xdr:col>
      <xdr:colOff>87923</xdr:colOff>
      <xdr:row>6</xdr:row>
      <xdr:rowOff>131885</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39ECF9AD-98E7-4EAD-9EEB-F4AF628BE7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61731" y="571499"/>
              <a:ext cx="2906589" cy="439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1.428775925924" createdVersion="6" refreshedVersion="6" minRefreshableVersion="3" recordCount="3500" xr:uid="{00000000-000A-0000-FFFF-FFFF06000000}">
  <cacheSource type="worksheet">
    <worksheetSource name="ecommerce_sales_data__2"/>
  </cacheSource>
  <cacheFields count="12">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11" base="0">
        <rangePr groupBy="months" startDate="2022-01-01T00:00:00" endDate="2025-01-01T00:00:00"/>
        <groupItems count="14">
          <s v="&lt;1/1/2022"/>
          <s v="Jan"/>
          <s v="Feb"/>
          <s v="Mar"/>
          <s v="Apr"/>
          <s v="May"/>
          <s v="Jun"/>
          <s v="Jul"/>
          <s v="Aug"/>
          <s v="Sep"/>
          <s v="Oct"/>
          <s v="Nov"/>
          <s v="Dec"/>
          <s v="&gt;1/1/2025"/>
        </groupItems>
      </fieldGroup>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Quarters" numFmtId="0" databaseField="0">
      <fieldGroup base="0">
        <rangePr groupBy="quarters" startDate="2022-01-01T00:00:00" endDate="2025-01-01T00:00:00"/>
        <groupItems count="6">
          <s v="&lt;1/1/2022"/>
          <s v="Qtr1"/>
          <s v="Qtr2"/>
          <s v="Qtr3"/>
          <s v="Qtr4"/>
          <s v="&gt;1/1/2025"/>
        </groupItems>
      </fieldGroup>
    </cacheField>
    <cacheField name="Years" numFmtId="0" databaseField="0">
      <fieldGroup base="0">
        <rangePr groupBy="years" startDate="2022-01-01T00:00:00" endDate="2025-01-01T00:00:00"/>
        <groupItems count="6">
          <s v="&lt;1/1/2022"/>
          <s v="2022"/>
          <s v="2023"/>
          <s v="2024"/>
          <s v="2025"/>
          <s v="&gt;1/1/2025"/>
        </groupItems>
      </fieldGroup>
    </cacheField>
  </cacheFields>
  <extLst>
    <ext xmlns:x14="http://schemas.microsoft.com/office/spreadsheetml/2009/9/main" uri="{725AE2AE-9491-48be-B2B4-4EB974FC3084}">
      <x14:pivotCacheDefinition pivotCacheId="2041816860"/>
    </ext>
  </extLst>
</pivotCacheDefinition>
</file>

<file path=xl/pivotCache/pivotCacheRecords1.xml><?xml version="1.0" encoding="utf-8"?>
<pivotCacheRecords xmlns="http://schemas.openxmlformats.org/spreadsheetml/2006/main" xmlns:r="http://schemas.openxmlformats.org/officeDocument/2006/relationships" count="3500">
  <r>
    <x v="0"/>
    <x v="0"/>
    <x v="0"/>
    <s v="United States"/>
    <x v="0"/>
    <x v="0"/>
    <x v="0"/>
    <n v="4"/>
    <n v="3640"/>
    <n v="348.93"/>
  </r>
  <r>
    <x v="1"/>
    <x v="1"/>
    <x v="1"/>
    <s v="United States"/>
    <x v="0"/>
    <x v="0"/>
    <x v="0"/>
    <n v="7"/>
    <n v="1197"/>
    <n v="106.53"/>
  </r>
  <r>
    <x v="2"/>
    <x v="2"/>
    <x v="2"/>
    <s v="United States"/>
    <x v="1"/>
    <x v="1"/>
    <x v="0"/>
    <n v="5"/>
    <n v="5865"/>
    <n v="502.73"/>
  </r>
  <r>
    <x v="3"/>
    <x v="1"/>
    <x v="1"/>
    <s v="United States"/>
    <x v="2"/>
    <x v="2"/>
    <x v="1"/>
    <n v="2"/>
    <n v="786"/>
    <n v="202.87"/>
  </r>
  <r>
    <x v="4"/>
    <x v="1"/>
    <x v="1"/>
    <s v="United States"/>
    <x v="2"/>
    <x v="2"/>
    <x v="1"/>
    <n v="1"/>
    <n v="509"/>
    <n v="103.28"/>
  </r>
  <r>
    <x v="5"/>
    <x v="3"/>
    <x v="2"/>
    <s v="United States"/>
    <x v="3"/>
    <x v="3"/>
    <x v="2"/>
    <n v="1"/>
    <n v="524"/>
    <n v="106.35"/>
  </r>
  <r>
    <x v="6"/>
    <x v="4"/>
    <x v="1"/>
    <s v="United States"/>
    <x v="4"/>
    <x v="4"/>
    <x v="1"/>
    <n v="7"/>
    <n v="6167"/>
    <n v="1027.98"/>
  </r>
  <r>
    <x v="7"/>
    <x v="3"/>
    <x v="2"/>
    <s v="United States"/>
    <x v="3"/>
    <x v="3"/>
    <x v="2"/>
    <n v="7"/>
    <n v="3059"/>
    <n v="873.5"/>
  </r>
  <r>
    <x v="8"/>
    <x v="5"/>
    <x v="2"/>
    <s v="United States"/>
    <x v="3"/>
    <x v="3"/>
    <x v="2"/>
    <n v="9"/>
    <n v="5526"/>
    <n v="595.28"/>
  </r>
  <r>
    <x v="9"/>
    <x v="0"/>
    <x v="0"/>
    <s v="United States"/>
    <x v="5"/>
    <x v="5"/>
    <x v="3"/>
    <n v="8"/>
    <n v="672"/>
    <n v="186.37"/>
  </r>
  <r>
    <x v="10"/>
    <x v="6"/>
    <x v="1"/>
    <s v="United States"/>
    <x v="6"/>
    <x v="5"/>
    <x v="3"/>
    <n v="6"/>
    <n v="7074"/>
    <n v="1357.68"/>
  </r>
  <r>
    <x v="11"/>
    <x v="5"/>
    <x v="2"/>
    <s v="United States"/>
    <x v="6"/>
    <x v="5"/>
    <x v="3"/>
    <n v="2"/>
    <n v="502"/>
    <n v="137.4"/>
  </r>
  <r>
    <x v="12"/>
    <x v="2"/>
    <x v="2"/>
    <s v="United States"/>
    <x v="7"/>
    <x v="6"/>
    <x v="3"/>
    <n v="7"/>
    <n v="7462"/>
    <n v="2166.17"/>
  </r>
  <r>
    <x v="13"/>
    <x v="7"/>
    <x v="2"/>
    <s v="United States"/>
    <x v="7"/>
    <x v="6"/>
    <x v="3"/>
    <n v="5"/>
    <n v="4205"/>
    <n v="585.29"/>
  </r>
  <r>
    <x v="14"/>
    <x v="3"/>
    <x v="2"/>
    <s v="United States"/>
    <x v="8"/>
    <x v="7"/>
    <x v="2"/>
    <n v="1"/>
    <n v="570"/>
    <n v="138.54"/>
  </r>
  <r>
    <x v="15"/>
    <x v="4"/>
    <x v="1"/>
    <s v="United States"/>
    <x v="2"/>
    <x v="2"/>
    <x v="1"/>
    <n v="1"/>
    <n v="441"/>
    <n v="102.42"/>
  </r>
  <r>
    <x v="16"/>
    <x v="1"/>
    <x v="1"/>
    <s v="United States"/>
    <x v="9"/>
    <x v="8"/>
    <x v="3"/>
    <n v="7"/>
    <n v="7469"/>
    <n v="589.80999999999995"/>
  </r>
  <r>
    <x v="17"/>
    <x v="2"/>
    <x v="2"/>
    <s v="United States"/>
    <x v="10"/>
    <x v="9"/>
    <x v="0"/>
    <n v="2"/>
    <n v="2212"/>
    <n v="145.75"/>
  </r>
  <r>
    <x v="18"/>
    <x v="2"/>
    <x v="2"/>
    <s v="United States"/>
    <x v="10"/>
    <x v="9"/>
    <x v="0"/>
    <n v="5"/>
    <n v="740"/>
    <n v="146.38999999999999"/>
  </r>
  <r>
    <x v="19"/>
    <x v="4"/>
    <x v="1"/>
    <s v="United States"/>
    <x v="6"/>
    <x v="5"/>
    <x v="3"/>
    <n v="1"/>
    <n v="662"/>
    <n v="193.92"/>
  </r>
  <r>
    <x v="20"/>
    <x v="1"/>
    <x v="1"/>
    <s v="United States"/>
    <x v="6"/>
    <x v="5"/>
    <x v="3"/>
    <n v="7"/>
    <n v="5712"/>
    <n v="651.27"/>
  </r>
  <r>
    <x v="21"/>
    <x v="5"/>
    <x v="2"/>
    <s v="United States"/>
    <x v="11"/>
    <x v="10"/>
    <x v="0"/>
    <n v="3"/>
    <n v="2739"/>
    <n v="572.73"/>
  </r>
  <r>
    <x v="22"/>
    <x v="8"/>
    <x v="1"/>
    <s v="United States"/>
    <x v="12"/>
    <x v="11"/>
    <x v="3"/>
    <n v="5"/>
    <n v="1400"/>
    <n v="213.63"/>
  </r>
  <r>
    <x v="23"/>
    <x v="0"/>
    <x v="0"/>
    <s v="United States"/>
    <x v="13"/>
    <x v="7"/>
    <x v="2"/>
    <n v="3"/>
    <n v="3477"/>
    <n v="939.2"/>
  </r>
  <r>
    <x v="24"/>
    <x v="3"/>
    <x v="2"/>
    <s v="United States"/>
    <x v="14"/>
    <x v="12"/>
    <x v="1"/>
    <n v="5"/>
    <n v="3475"/>
    <n v="570.36"/>
  </r>
  <r>
    <x v="25"/>
    <x v="9"/>
    <x v="2"/>
    <s v="United States"/>
    <x v="13"/>
    <x v="7"/>
    <x v="2"/>
    <n v="9"/>
    <n v="6138"/>
    <n v="1562.14"/>
  </r>
  <r>
    <x v="26"/>
    <x v="3"/>
    <x v="2"/>
    <s v="United States"/>
    <x v="15"/>
    <x v="13"/>
    <x v="1"/>
    <n v="5"/>
    <n v="3665"/>
    <n v="406.93"/>
  </r>
  <r>
    <x v="27"/>
    <x v="0"/>
    <x v="0"/>
    <s v="United States"/>
    <x v="16"/>
    <x v="14"/>
    <x v="2"/>
    <n v="2"/>
    <n v="2372"/>
    <n v="206.42"/>
  </r>
  <r>
    <x v="28"/>
    <x v="9"/>
    <x v="2"/>
    <s v="United States"/>
    <x v="6"/>
    <x v="5"/>
    <x v="3"/>
    <n v="2"/>
    <n v="1382"/>
    <n v="211.11"/>
  </r>
  <r>
    <x v="29"/>
    <x v="9"/>
    <x v="2"/>
    <s v="United States"/>
    <x v="17"/>
    <x v="8"/>
    <x v="3"/>
    <n v="1"/>
    <n v="1126"/>
    <n v="194.08"/>
  </r>
  <r>
    <x v="30"/>
    <x v="0"/>
    <x v="0"/>
    <s v="United States"/>
    <x v="2"/>
    <x v="2"/>
    <x v="1"/>
    <n v="8"/>
    <n v="1376"/>
    <n v="152.1"/>
  </r>
  <r>
    <x v="31"/>
    <x v="1"/>
    <x v="1"/>
    <s v="United States"/>
    <x v="2"/>
    <x v="2"/>
    <x v="1"/>
    <n v="4"/>
    <n v="988"/>
    <n v="147.91"/>
  </r>
  <r>
    <x v="32"/>
    <x v="9"/>
    <x v="2"/>
    <s v="United States"/>
    <x v="18"/>
    <x v="2"/>
    <x v="1"/>
    <n v="9"/>
    <n v="10773"/>
    <n v="1907.36"/>
  </r>
  <r>
    <x v="33"/>
    <x v="4"/>
    <x v="1"/>
    <s v="United States"/>
    <x v="3"/>
    <x v="3"/>
    <x v="2"/>
    <n v="4"/>
    <n v="3252"/>
    <n v="713.46"/>
  </r>
  <r>
    <x v="34"/>
    <x v="4"/>
    <x v="1"/>
    <s v="United States"/>
    <x v="19"/>
    <x v="15"/>
    <x v="2"/>
    <n v="3"/>
    <n v="2739"/>
    <n v="202.81"/>
  </r>
  <r>
    <x v="35"/>
    <x v="2"/>
    <x v="2"/>
    <s v="United States"/>
    <x v="20"/>
    <x v="16"/>
    <x v="3"/>
    <n v="7"/>
    <n v="2709"/>
    <n v="702.79"/>
  </r>
  <r>
    <x v="36"/>
    <x v="0"/>
    <x v="0"/>
    <s v="United States"/>
    <x v="15"/>
    <x v="13"/>
    <x v="1"/>
    <n v="3"/>
    <n v="936"/>
    <n v="201.24"/>
  </r>
  <r>
    <x v="37"/>
    <x v="3"/>
    <x v="2"/>
    <s v="United States"/>
    <x v="21"/>
    <x v="5"/>
    <x v="3"/>
    <n v="4"/>
    <n v="3720"/>
    <n v="410.92"/>
  </r>
  <r>
    <x v="38"/>
    <x v="1"/>
    <x v="1"/>
    <s v="United States"/>
    <x v="2"/>
    <x v="2"/>
    <x v="1"/>
    <n v="5"/>
    <n v="5320"/>
    <n v="716.91"/>
  </r>
  <r>
    <x v="39"/>
    <x v="4"/>
    <x v="1"/>
    <s v="United States"/>
    <x v="19"/>
    <x v="15"/>
    <x v="2"/>
    <n v="4"/>
    <n v="804"/>
    <n v="121.51"/>
  </r>
  <r>
    <x v="40"/>
    <x v="9"/>
    <x v="2"/>
    <s v="United States"/>
    <x v="13"/>
    <x v="7"/>
    <x v="2"/>
    <n v="8"/>
    <n v="1224"/>
    <n v="246.77"/>
  </r>
  <r>
    <x v="41"/>
    <x v="4"/>
    <x v="1"/>
    <s v="United States"/>
    <x v="13"/>
    <x v="7"/>
    <x v="2"/>
    <n v="9"/>
    <n v="8667"/>
    <n v="781.78"/>
  </r>
  <r>
    <x v="42"/>
    <x v="6"/>
    <x v="1"/>
    <s v="United States"/>
    <x v="22"/>
    <x v="12"/>
    <x v="1"/>
    <n v="3"/>
    <n v="3018"/>
    <n v="320.11"/>
  </r>
  <r>
    <x v="43"/>
    <x v="9"/>
    <x v="2"/>
    <s v="United States"/>
    <x v="20"/>
    <x v="9"/>
    <x v="0"/>
    <n v="5"/>
    <n v="4325"/>
    <n v="1023.39"/>
  </r>
  <r>
    <x v="44"/>
    <x v="9"/>
    <x v="2"/>
    <s v="United States"/>
    <x v="23"/>
    <x v="15"/>
    <x v="2"/>
    <n v="3"/>
    <n v="1557"/>
    <n v="181.08"/>
  </r>
  <r>
    <x v="45"/>
    <x v="6"/>
    <x v="1"/>
    <s v="United States"/>
    <x v="24"/>
    <x v="15"/>
    <x v="2"/>
    <n v="6"/>
    <n v="3672"/>
    <n v="1002.5"/>
  </r>
  <r>
    <x v="46"/>
    <x v="1"/>
    <x v="1"/>
    <s v="United States"/>
    <x v="25"/>
    <x v="17"/>
    <x v="3"/>
    <n v="1"/>
    <n v="333"/>
    <n v="72.34"/>
  </r>
  <r>
    <x v="47"/>
    <x v="4"/>
    <x v="1"/>
    <s v="United States"/>
    <x v="11"/>
    <x v="9"/>
    <x v="0"/>
    <n v="4"/>
    <n v="2384"/>
    <n v="577.26"/>
  </r>
  <r>
    <x v="48"/>
    <x v="1"/>
    <x v="1"/>
    <s v="United States"/>
    <x v="11"/>
    <x v="9"/>
    <x v="0"/>
    <n v="6"/>
    <n v="888"/>
    <n v="210.39"/>
  </r>
  <r>
    <x v="49"/>
    <x v="9"/>
    <x v="2"/>
    <s v="United States"/>
    <x v="26"/>
    <x v="1"/>
    <x v="0"/>
    <n v="5"/>
    <n v="3280"/>
    <n v="954.17"/>
  </r>
  <r>
    <x v="50"/>
    <x v="1"/>
    <x v="1"/>
    <s v="United States"/>
    <x v="26"/>
    <x v="1"/>
    <x v="0"/>
    <n v="7"/>
    <n v="1239"/>
    <n v="177.39"/>
  </r>
  <r>
    <x v="51"/>
    <x v="4"/>
    <x v="1"/>
    <s v="United States"/>
    <x v="26"/>
    <x v="1"/>
    <x v="0"/>
    <n v="8"/>
    <n v="5880"/>
    <n v="436.85"/>
  </r>
  <r>
    <x v="52"/>
    <x v="7"/>
    <x v="2"/>
    <s v="United States"/>
    <x v="9"/>
    <x v="8"/>
    <x v="3"/>
    <n v="2"/>
    <n v="1668"/>
    <n v="437.3"/>
  </r>
  <r>
    <x v="53"/>
    <x v="0"/>
    <x v="0"/>
    <s v="United States"/>
    <x v="9"/>
    <x v="8"/>
    <x v="3"/>
    <n v="7"/>
    <n v="4109"/>
    <n v="1037.6400000000001"/>
  </r>
  <r>
    <x v="54"/>
    <x v="5"/>
    <x v="2"/>
    <s v="United States"/>
    <x v="9"/>
    <x v="8"/>
    <x v="3"/>
    <n v="7"/>
    <n v="595"/>
    <n v="148.5"/>
  </r>
  <r>
    <x v="55"/>
    <x v="4"/>
    <x v="1"/>
    <s v="United States"/>
    <x v="9"/>
    <x v="8"/>
    <x v="3"/>
    <n v="7"/>
    <n v="8155"/>
    <n v="1587.91"/>
  </r>
  <r>
    <x v="56"/>
    <x v="6"/>
    <x v="1"/>
    <s v="United States"/>
    <x v="27"/>
    <x v="11"/>
    <x v="3"/>
    <n v="3"/>
    <n v="1872"/>
    <n v="553.1"/>
  </r>
  <r>
    <x v="57"/>
    <x v="5"/>
    <x v="2"/>
    <s v="United States"/>
    <x v="28"/>
    <x v="2"/>
    <x v="1"/>
    <n v="6"/>
    <n v="2124"/>
    <n v="126.03"/>
  </r>
  <r>
    <x v="58"/>
    <x v="6"/>
    <x v="1"/>
    <s v="United States"/>
    <x v="9"/>
    <x v="8"/>
    <x v="3"/>
    <n v="5"/>
    <n v="5210"/>
    <n v="1338.8"/>
  </r>
  <r>
    <x v="59"/>
    <x v="1"/>
    <x v="1"/>
    <s v="United States"/>
    <x v="28"/>
    <x v="2"/>
    <x v="1"/>
    <n v="7"/>
    <n v="5761"/>
    <n v="362.48"/>
  </r>
  <r>
    <x v="60"/>
    <x v="4"/>
    <x v="1"/>
    <s v="United States"/>
    <x v="2"/>
    <x v="2"/>
    <x v="1"/>
    <n v="7"/>
    <n v="6895"/>
    <n v="1596.35"/>
  </r>
  <r>
    <x v="61"/>
    <x v="5"/>
    <x v="2"/>
    <s v="United States"/>
    <x v="29"/>
    <x v="15"/>
    <x v="2"/>
    <n v="3"/>
    <n v="2118"/>
    <n v="317.08"/>
  </r>
  <r>
    <x v="62"/>
    <x v="5"/>
    <x v="2"/>
    <s v="United States"/>
    <x v="30"/>
    <x v="12"/>
    <x v="1"/>
    <n v="5"/>
    <n v="830"/>
    <n v="58.28"/>
  </r>
  <r>
    <x v="63"/>
    <x v="5"/>
    <x v="2"/>
    <s v="United States"/>
    <x v="30"/>
    <x v="12"/>
    <x v="1"/>
    <n v="1"/>
    <n v="851"/>
    <n v="93.56"/>
  </r>
  <r>
    <x v="64"/>
    <x v="2"/>
    <x v="2"/>
    <s v="United States"/>
    <x v="30"/>
    <x v="12"/>
    <x v="1"/>
    <n v="5"/>
    <n v="4730"/>
    <n v="1365.63"/>
  </r>
  <r>
    <x v="65"/>
    <x v="1"/>
    <x v="1"/>
    <s v="United States"/>
    <x v="31"/>
    <x v="18"/>
    <x v="2"/>
    <n v="6"/>
    <n v="5460"/>
    <n v="845.75"/>
  </r>
  <r>
    <x v="66"/>
    <x v="4"/>
    <x v="1"/>
    <s v="United States"/>
    <x v="9"/>
    <x v="8"/>
    <x v="3"/>
    <n v="5"/>
    <n v="5795"/>
    <n v="310.60000000000002"/>
  </r>
  <r>
    <x v="67"/>
    <x v="9"/>
    <x v="2"/>
    <s v="United States"/>
    <x v="13"/>
    <x v="7"/>
    <x v="2"/>
    <n v="4"/>
    <n v="2008"/>
    <n v="338.44"/>
  </r>
  <r>
    <x v="68"/>
    <x v="1"/>
    <x v="1"/>
    <s v="United States"/>
    <x v="32"/>
    <x v="12"/>
    <x v="1"/>
    <n v="7"/>
    <n v="2842"/>
    <n v="425.24"/>
  </r>
  <r>
    <x v="69"/>
    <x v="1"/>
    <x v="1"/>
    <s v="United States"/>
    <x v="32"/>
    <x v="12"/>
    <x v="1"/>
    <n v="4"/>
    <n v="3404"/>
    <n v="392.22"/>
  </r>
  <r>
    <x v="70"/>
    <x v="5"/>
    <x v="2"/>
    <s v="United States"/>
    <x v="32"/>
    <x v="12"/>
    <x v="1"/>
    <n v="1"/>
    <n v="1065"/>
    <n v="228.63"/>
  </r>
  <r>
    <x v="71"/>
    <x v="2"/>
    <x v="2"/>
    <s v="United States"/>
    <x v="33"/>
    <x v="18"/>
    <x v="2"/>
    <n v="7"/>
    <n v="2149"/>
    <n v="121.69"/>
  </r>
  <r>
    <x v="72"/>
    <x v="8"/>
    <x v="1"/>
    <s v="United States"/>
    <x v="13"/>
    <x v="7"/>
    <x v="2"/>
    <n v="8"/>
    <n v="5912"/>
    <n v="1143.04"/>
  </r>
  <r>
    <x v="73"/>
    <x v="1"/>
    <x v="1"/>
    <s v="United States"/>
    <x v="34"/>
    <x v="9"/>
    <x v="0"/>
    <n v="3"/>
    <n v="3348"/>
    <n v="331.28"/>
  </r>
  <r>
    <x v="74"/>
    <x v="7"/>
    <x v="2"/>
    <s v="United States"/>
    <x v="3"/>
    <x v="3"/>
    <x v="2"/>
    <n v="3"/>
    <n v="2409"/>
    <n v="531.79"/>
  </r>
  <r>
    <x v="75"/>
    <x v="2"/>
    <x v="2"/>
    <s v="United States"/>
    <x v="28"/>
    <x v="2"/>
    <x v="1"/>
    <n v="2"/>
    <n v="328"/>
    <n v="39.51"/>
  </r>
  <r>
    <x v="76"/>
    <x v="7"/>
    <x v="2"/>
    <s v="United States"/>
    <x v="13"/>
    <x v="7"/>
    <x v="2"/>
    <n v="8"/>
    <n v="6224"/>
    <n v="1561.42"/>
  </r>
  <r>
    <x v="77"/>
    <x v="5"/>
    <x v="2"/>
    <s v="United States"/>
    <x v="13"/>
    <x v="7"/>
    <x v="2"/>
    <n v="5"/>
    <n v="2530"/>
    <n v="486.09"/>
  </r>
  <r>
    <x v="78"/>
    <x v="4"/>
    <x v="1"/>
    <s v="United States"/>
    <x v="13"/>
    <x v="7"/>
    <x v="2"/>
    <n v="4"/>
    <n v="4108"/>
    <n v="462.17"/>
  </r>
  <r>
    <x v="79"/>
    <x v="0"/>
    <x v="0"/>
    <s v="United States"/>
    <x v="35"/>
    <x v="19"/>
    <x v="2"/>
    <n v="5"/>
    <n v="1640"/>
    <n v="391.36"/>
  </r>
  <r>
    <x v="80"/>
    <x v="9"/>
    <x v="2"/>
    <s v="United States"/>
    <x v="20"/>
    <x v="20"/>
    <x v="2"/>
    <n v="1"/>
    <n v="111"/>
    <n v="19.329999999999998"/>
  </r>
  <r>
    <x v="81"/>
    <x v="4"/>
    <x v="1"/>
    <s v="United States"/>
    <x v="36"/>
    <x v="1"/>
    <x v="0"/>
    <n v="1"/>
    <n v="445"/>
    <n v="128.88999999999999"/>
  </r>
  <r>
    <x v="82"/>
    <x v="0"/>
    <x v="0"/>
    <s v="United States"/>
    <x v="3"/>
    <x v="3"/>
    <x v="2"/>
    <n v="4"/>
    <n v="3600"/>
    <n v="623.72"/>
  </r>
  <r>
    <x v="83"/>
    <x v="1"/>
    <x v="1"/>
    <s v="United States"/>
    <x v="6"/>
    <x v="5"/>
    <x v="3"/>
    <n v="3"/>
    <n v="1335"/>
    <n v="176.44"/>
  </r>
  <r>
    <x v="84"/>
    <x v="8"/>
    <x v="1"/>
    <s v="United States"/>
    <x v="28"/>
    <x v="2"/>
    <x v="1"/>
    <n v="5"/>
    <n v="3090"/>
    <n v="242.15"/>
  </r>
  <r>
    <x v="85"/>
    <x v="0"/>
    <x v="0"/>
    <s v="United States"/>
    <x v="28"/>
    <x v="2"/>
    <x v="1"/>
    <n v="5"/>
    <n v="3910"/>
    <n v="538.52"/>
  </r>
  <r>
    <x v="20"/>
    <x v="3"/>
    <x v="2"/>
    <s v="United States"/>
    <x v="28"/>
    <x v="2"/>
    <x v="1"/>
    <n v="1"/>
    <n v="219"/>
    <n v="32.67"/>
  </r>
  <r>
    <x v="86"/>
    <x v="7"/>
    <x v="2"/>
    <s v="United States"/>
    <x v="15"/>
    <x v="13"/>
    <x v="1"/>
    <n v="5"/>
    <n v="390"/>
    <n v="27.77"/>
  </r>
  <r>
    <x v="87"/>
    <x v="9"/>
    <x v="2"/>
    <s v="United States"/>
    <x v="2"/>
    <x v="2"/>
    <x v="1"/>
    <n v="6"/>
    <n v="3294"/>
    <n v="359.61"/>
  </r>
  <r>
    <x v="88"/>
    <x v="8"/>
    <x v="1"/>
    <s v="United States"/>
    <x v="37"/>
    <x v="20"/>
    <x v="2"/>
    <n v="4"/>
    <n v="4572"/>
    <n v="1038.05"/>
  </r>
  <r>
    <x v="89"/>
    <x v="6"/>
    <x v="1"/>
    <s v="United States"/>
    <x v="38"/>
    <x v="21"/>
    <x v="0"/>
    <n v="7"/>
    <n v="980"/>
    <n v="109.94"/>
  </r>
  <r>
    <x v="90"/>
    <x v="4"/>
    <x v="1"/>
    <s v="United States"/>
    <x v="39"/>
    <x v="17"/>
    <x v="3"/>
    <n v="2"/>
    <n v="2262"/>
    <n v="532.12"/>
  </r>
  <r>
    <x v="91"/>
    <x v="3"/>
    <x v="2"/>
    <s v="United States"/>
    <x v="13"/>
    <x v="7"/>
    <x v="2"/>
    <n v="7"/>
    <n v="7518"/>
    <n v="1655.91"/>
  </r>
  <r>
    <x v="92"/>
    <x v="3"/>
    <x v="2"/>
    <s v="United States"/>
    <x v="25"/>
    <x v="17"/>
    <x v="3"/>
    <n v="1"/>
    <n v="873"/>
    <n v="158.97"/>
  </r>
  <r>
    <x v="93"/>
    <x v="1"/>
    <x v="1"/>
    <s v="United States"/>
    <x v="25"/>
    <x v="17"/>
    <x v="3"/>
    <n v="6"/>
    <n v="1512"/>
    <n v="423.03"/>
  </r>
  <r>
    <x v="94"/>
    <x v="9"/>
    <x v="2"/>
    <s v="United States"/>
    <x v="29"/>
    <x v="6"/>
    <x v="3"/>
    <n v="1"/>
    <n v="705"/>
    <n v="165.16"/>
  </r>
  <r>
    <x v="95"/>
    <x v="5"/>
    <x v="2"/>
    <s v="United States"/>
    <x v="40"/>
    <x v="15"/>
    <x v="2"/>
    <n v="8"/>
    <n v="3256"/>
    <n v="533.70000000000005"/>
  </r>
  <r>
    <x v="96"/>
    <x v="2"/>
    <x v="2"/>
    <s v="United States"/>
    <x v="41"/>
    <x v="2"/>
    <x v="1"/>
    <n v="4"/>
    <n v="556"/>
    <n v="81.77"/>
  </r>
  <r>
    <x v="97"/>
    <x v="1"/>
    <x v="1"/>
    <s v="United States"/>
    <x v="42"/>
    <x v="8"/>
    <x v="3"/>
    <n v="9"/>
    <n v="7101"/>
    <n v="2105.8200000000002"/>
  </r>
  <r>
    <x v="98"/>
    <x v="9"/>
    <x v="2"/>
    <s v="United States"/>
    <x v="43"/>
    <x v="22"/>
    <x v="1"/>
    <n v="9"/>
    <n v="8802"/>
    <n v="1344.96"/>
  </r>
  <r>
    <x v="99"/>
    <x v="4"/>
    <x v="1"/>
    <s v="United States"/>
    <x v="43"/>
    <x v="22"/>
    <x v="1"/>
    <n v="6"/>
    <n v="5592"/>
    <n v="1294.1600000000001"/>
  </r>
  <r>
    <x v="100"/>
    <x v="2"/>
    <x v="2"/>
    <s v="United States"/>
    <x v="44"/>
    <x v="8"/>
    <x v="3"/>
    <n v="2"/>
    <n v="1852"/>
    <n v="168.92"/>
  </r>
  <r>
    <x v="101"/>
    <x v="6"/>
    <x v="1"/>
    <s v="United States"/>
    <x v="45"/>
    <x v="5"/>
    <x v="3"/>
    <n v="1"/>
    <n v="195"/>
    <n v="57.88"/>
  </r>
  <r>
    <x v="102"/>
    <x v="1"/>
    <x v="1"/>
    <s v="United States"/>
    <x v="28"/>
    <x v="2"/>
    <x v="1"/>
    <n v="9"/>
    <n v="7884"/>
    <n v="2054.02"/>
  </r>
  <r>
    <x v="103"/>
    <x v="9"/>
    <x v="2"/>
    <s v="United States"/>
    <x v="8"/>
    <x v="7"/>
    <x v="2"/>
    <n v="5"/>
    <n v="4360"/>
    <n v="1160.55"/>
  </r>
  <r>
    <x v="104"/>
    <x v="1"/>
    <x v="1"/>
    <s v="United States"/>
    <x v="2"/>
    <x v="2"/>
    <x v="1"/>
    <n v="6"/>
    <n v="4920"/>
    <n v="929.18"/>
  </r>
  <r>
    <x v="105"/>
    <x v="1"/>
    <x v="1"/>
    <s v="United States"/>
    <x v="10"/>
    <x v="9"/>
    <x v="0"/>
    <n v="3"/>
    <n v="3474"/>
    <n v="565"/>
  </r>
  <r>
    <x v="106"/>
    <x v="8"/>
    <x v="1"/>
    <s v="United States"/>
    <x v="46"/>
    <x v="2"/>
    <x v="1"/>
    <n v="1"/>
    <n v="930"/>
    <n v="222.5"/>
  </r>
  <r>
    <x v="107"/>
    <x v="2"/>
    <x v="2"/>
    <s v="United States"/>
    <x v="46"/>
    <x v="2"/>
    <x v="1"/>
    <n v="7"/>
    <n v="1421"/>
    <n v="248.02"/>
  </r>
  <r>
    <x v="108"/>
    <x v="4"/>
    <x v="1"/>
    <s v="United States"/>
    <x v="46"/>
    <x v="2"/>
    <x v="1"/>
    <n v="2"/>
    <n v="634"/>
    <n v="161.1"/>
  </r>
  <r>
    <x v="109"/>
    <x v="3"/>
    <x v="2"/>
    <s v="United States"/>
    <x v="47"/>
    <x v="12"/>
    <x v="1"/>
    <n v="1"/>
    <n v="673"/>
    <n v="114.42"/>
  </r>
  <r>
    <x v="110"/>
    <x v="1"/>
    <x v="1"/>
    <s v="United States"/>
    <x v="48"/>
    <x v="23"/>
    <x v="3"/>
    <n v="5"/>
    <n v="3135"/>
    <n v="787.7"/>
  </r>
  <r>
    <x v="111"/>
    <x v="7"/>
    <x v="2"/>
    <s v="United States"/>
    <x v="25"/>
    <x v="17"/>
    <x v="3"/>
    <n v="6"/>
    <n v="882"/>
    <n v="184.48"/>
  </r>
  <r>
    <x v="112"/>
    <x v="7"/>
    <x v="2"/>
    <s v="United States"/>
    <x v="49"/>
    <x v="1"/>
    <x v="0"/>
    <n v="4"/>
    <n v="1192"/>
    <n v="212.77"/>
  </r>
  <r>
    <x v="113"/>
    <x v="0"/>
    <x v="0"/>
    <s v="United States"/>
    <x v="49"/>
    <x v="1"/>
    <x v="0"/>
    <n v="3"/>
    <n v="390"/>
    <n v="112.08"/>
  </r>
  <r>
    <x v="112"/>
    <x v="2"/>
    <x v="2"/>
    <s v="United States"/>
    <x v="2"/>
    <x v="2"/>
    <x v="1"/>
    <n v="1"/>
    <n v="834"/>
    <n v="95.54"/>
  </r>
  <r>
    <x v="114"/>
    <x v="7"/>
    <x v="2"/>
    <s v="United States"/>
    <x v="2"/>
    <x v="2"/>
    <x v="1"/>
    <n v="6"/>
    <n v="612"/>
    <n v="83.75"/>
  </r>
  <r>
    <x v="113"/>
    <x v="4"/>
    <x v="1"/>
    <s v="United States"/>
    <x v="0"/>
    <x v="0"/>
    <x v="0"/>
    <n v="9"/>
    <n v="8073"/>
    <n v="710.23"/>
  </r>
  <r>
    <x v="115"/>
    <x v="8"/>
    <x v="1"/>
    <s v="United States"/>
    <x v="50"/>
    <x v="5"/>
    <x v="3"/>
    <n v="8"/>
    <n v="2640"/>
    <n v="723.88"/>
  </r>
  <r>
    <x v="23"/>
    <x v="7"/>
    <x v="2"/>
    <s v="United States"/>
    <x v="28"/>
    <x v="2"/>
    <x v="1"/>
    <n v="3"/>
    <n v="3234"/>
    <n v="440.7"/>
  </r>
  <r>
    <x v="116"/>
    <x v="6"/>
    <x v="1"/>
    <s v="United States"/>
    <x v="51"/>
    <x v="1"/>
    <x v="0"/>
    <n v="5"/>
    <n v="4435"/>
    <n v="355.51"/>
  </r>
  <r>
    <x v="117"/>
    <x v="5"/>
    <x v="2"/>
    <s v="United States"/>
    <x v="2"/>
    <x v="2"/>
    <x v="1"/>
    <n v="2"/>
    <n v="2302"/>
    <n v="305.07"/>
  </r>
  <r>
    <x v="118"/>
    <x v="3"/>
    <x v="2"/>
    <s v="United States"/>
    <x v="28"/>
    <x v="2"/>
    <x v="1"/>
    <n v="6"/>
    <n v="1728"/>
    <n v="307.44"/>
  </r>
  <r>
    <x v="119"/>
    <x v="9"/>
    <x v="2"/>
    <s v="United States"/>
    <x v="26"/>
    <x v="1"/>
    <x v="0"/>
    <n v="4"/>
    <n v="228"/>
    <n v="54.05"/>
  </r>
  <r>
    <x v="120"/>
    <x v="2"/>
    <x v="2"/>
    <s v="United States"/>
    <x v="15"/>
    <x v="13"/>
    <x v="1"/>
    <n v="6"/>
    <n v="3450"/>
    <n v="705.74"/>
  </r>
  <r>
    <x v="109"/>
    <x v="7"/>
    <x v="2"/>
    <s v="United States"/>
    <x v="9"/>
    <x v="8"/>
    <x v="3"/>
    <n v="8"/>
    <n v="7456"/>
    <n v="1702.48"/>
  </r>
  <r>
    <x v="121"/>
    <x v="7"/>
    <x v="2"/>
    <s v="United States"/>
    <x v="52"/>
    <x v="0"/>
    <x v="0"/>
    <n v="6"/>
    <n v="4728"/>
    <n v="705.85"/>
  </r>
  <r>
    <x v="122"/>
    <x v="5"/>
    <x v="2"/>
    <s v="United States"/>
    <x v="53"/>
    <x v="2"/>
    <x v="1"/>
    <n v="7"/>
    <n v="945"/>
    <n v="124.62"/>
  </r>
  <r>
    <x v="123"/>
    <x v="9"/>
    <x v="2"/>
    <s v="United States"/>
    <x v="26"/>
    <x v="1"/>
    <x v="0"/>
    <n v="4"/>
    <n v="296"/>
    <n v="65.05"/>
  </r>
  <r>
    <x v="124"/>
    <x v="7"/>
    <x v="2"/>
    <s v="United States"/>
    <x v="13"/>
    <x v="7"/>
    <x v="2"/>
    <n v="4"/>
    <n v="640"/>
    <n v="149.88999999999999"/>
  </r>
  <r>
    <x v="125"/>
    <x v="2"/>
    <x v="2"/>
    <s v="United States"/>
    <x v="13"/>
    <x v="7"/>
    <x v="2"/>
    <n v="1"/>
    <n v="797"/>
    <n v="65.27"/>
  </r>
  <r>
    <x v="126"/>
    <x v="6"/>
    <x v="1"/>
    <s v="United States"/>
    <x v="13"/>
    <x v="7"/>
    <x v="2"/>
    <n v="4"/>
    <n v="1456"/>
    <n v="431.89"/>
  </r>
  <r>
    <x v="127"/>
    <x v="6"/>
    <x v="1"/>
    <s v="United States"/>
    <x v="54"/>
    <x v="17"/>
    <x v="3"/>
    <n v="6"/>
    <n v="4038"/>
    <n v="364.11"/>
  </r>
  <r>
    <x v="128"/>
    <x v="2"/>
    <x v="2"/>
    <s v="United States"/>
    <x v="13"/>
    <x v="7"/>
    <x v="2"/>
    <n v="7"/>
    <n v="5656"/>
    <n v="355.81"/>
  </r>
  <r>
    <x v="129"/>
    <x v="1"/>
    <x v="1"/>
    <s v="United States"/>
    <x v="55"/>
    <x v="24"/>
    <x v="0"/>
    <n v="4"/>
    <n v="3876"/>
    <n v="302.37"/>
  </r>
  <r>
    <x v="130"/>
    <x v="8"/>
    <x v="1"/>
    <s v="United States"/>
    <x v="56"/>
    <x v="2"/>
    <x v="1"/>
    <n v="6"/>
    <n v="1002"/>
    <n v="114.7"/>
  </r>
  <r>
    <x v="131"/>
    <x v="4"/>
    <x v="1"/>
    <s v="United States"/>
    <x v="12"/>
    <x v="11"/>
    <x v="3"/>
    <n v="9"/>
    <n v="2187"/>
    <n v="413.76"/>
  </r>
  <r>
    <x v="132"/>
    <x v="1"/>
    <x v="1"/>
    <s v="United States"/>
    <x v="57"/>
    <x v="13"/>
    <x v="1"/>
    <n v="6"/>
    <n v="7146"/>
    <n v="1627.42"/>
  </r>
  <r>
    <x v="133"/>
    <x v="8"/>
    <x v="1"/>
    <s v="United States"/>
    <x v="14"/>
    <x v="8"/>
    <x v="3"/>
    <n v="1"/>
    <n v="189"/>
    <n v="14.88"/>
  </r>
  <r>
    <x v="134"/>
    <x v="6"/>
    <x v="1"/>
    <s v="United States"/>
    <x v="58"/>
    <x v="5"/>
    <x v="3"/>
    <n v="5"/>
    <n v="940"/>
    <n v="266.02"/>
  </r>
  <r>
    <x v="135"/>
    <x v="4"/>
    <x v="1"/>
    <s v="United States"/>
    <x v="59"/>
    <x v="15"/>
    <x v="2"/>
    <n v="1"/>
    <n v="951"/>
    <n v="127.58"/>
  </r>
  <r>
    <x v="54"/>
    <x v="0"/>
    <x v="0"/>
    <s v="United States"/>
    <x v="9"/>
    <x v="8"/>
    <x v="3"/>
    <n v="2"/>
    <n v="124"/>
    <n v="27.42"/>
  </r>
  <r>
    <x v="136"/>
    <x v="1"/>
    <x v="1"/>
    <s v="United States"/>
    <x v="9"/>
    <x v="8"/>
    <x v="3"/>
    <n v="9"/>
    <n v="7506"/>
    <n v="594.28"/>
  </r>
  <r>
    <x v="137"/>
    <x v="6"/>
    <x v="1"/>
    <s v="United States"/>
    <x v="60"/>
    <x v="5"/>
    <x v="3"/>
    <n v="7"/>
    <n v="8176"/>
    <n v="2308.7600000000002"/>
  </r>
  <r>
    <x v="138"/>
    <x v="7"/>
    <x v="2"/>
    <s v="United States"/>
    <x v="13"/>
    <x v="7"/>
    <x v="2"/>
    <n v="5"/>
    <n v="2125"/>
    <n v="632.67999999999995"/>
  </r>
  <r>
    <x v="79"/>
    <x v="4"/>
    <x v="1"/>
    <s v="United States"/>
    <x v="61"/>
    <x v="25"/>
    <x v="0"/>
    <n v="1"/>
    <n v="967"/>
    <n v="59.98"/>
  </r>
  <r>
    <x v="120"/>
    <x v="4"/>
    <x v="1"/>
    <s v="United States"/>
    <x v="59"/>
    <x v="15"/>
    <x v="2"/>
    <n v="5"/>
    <n v="270"/>
    <n v="29.41"/>
  </r>
  <r>
    <x v="139"/>
    <x v="8"/>
    <x v="1"/>
    <s v="United States"/>
    <x v="15"/>
    <x v="13"/>
    <x v="1"/>
    <n v="9"/>
    <n v="10035"/>
    <n v="1486.3"/>
  </r>
  <r>
    <x v="140"/>
    <x v="0"/>
    <x v="0"/>
    <s v="United States"/>
    <x v="62"/>
    <x v="2"/>
    <x v="1"/>
    <n v="8"/>
    <n v="6792"/>
    <n v="1125.23"/>
  </r>
  <r>
    <x v="141"/>
    <x v="0"/>
    <x v="0"/>
    <s v="United States"/>
    <x v="13"/>
    <x v="7"/>
    <x v="2"/>
    <n v="1"/>
    <n v="714"/>
    <n v="99.13"/>
  </r>
  <r>
    <x v="142"/>
    <x v="7"/>
    <x v="2"/>
    <s v="United States"/>
    <x v="63"/>
    <x v="14"/>
    <x v="2"/>
    <n v="5"/>
    <n v="765"/>
    <n v="157.63999999999999"/>
  </r>
  <r>
    <x v="143"/>
    <x v="4"/>
    <x v="1"/>
    <s v="United States"/>
    <x v="19"/>
    <x v="15"/>
    <x v="2"/>
    <n v="7"/>
    <n v="4221"/>
    <n v="358.02"/>
  </r>
  <r>
    <x v="144"/>
    <x v="9"/>
    <x v="2"/>
    <s v="United States"/>
    <x v="4"/>
    <x v="4"/>
    <x v="1"/>
    <n v="4"/>
    <n v="2108"/>
    <n v="576.48"/>
  </r>
  <r>
    <x v="145"/>
    <x v="6"/>
    <x v="1"/>
    <s v="United States"/>
    <x v="25"/>
    <x v="17"/>
    <x v="3"/>
    <n v="9"/>
    <n v="10530"/>
    <n v="2387.63"/>
  </r>
  <r>
    <x v="146"/>
    <x v="8"/>
    <x v="1"/>
    <s v="United States"/>
    <x v="3"/>
    <x v="3"/>
    <x v="2"/>
    <n v="6"/>
    <n v="3396"/>
    <n v="914.17"/>
  </r>
  <r>
    <x v="147"/>
    <x v="6"/>
    <x v="1"/>
    <s v="United States"/>
    <x v="64"/>
    <x v="7"/>
    <x v="2"/>
    <n v="4"/>
    <n v="1060"/>
    <n v="213.05"/>
  </r>
  <r>
    <x v="148"/>
    <x v="2"/>
    <x v="2"/>
    <s v="United States"/>
    <x v="64"/>
    <x v="7"/>
    <x v="2"/>
    <n v="5"/>
    <n v="480"/>
    <n v="73.069999999999993"/>
  </r>
  <r>
    <x v="149"/>
    <x v="4"/>
    <x v="1"/>
    <s v="United States"/>
    <x v="15"/>
    <x v="13"/>
    <x v="1"/>
    <n v="3"/>
    <n v="2529"/>
    <n v="285.64999999999998"/>
  </r>
  <r>
    <x v="150"/>
    <x v="5"/>
    <x v="2"/>
    <s v="United States"/>
    <x v="53"/>
    <x v="2"/>
    <x v="1"/>
    <n v="8"/>
    <n v="4792"/>
    <n v="511.97"/>
  </r>
  <r>
    <x v="49"/>
    <x v="5"/>
    <x v="2"/>
    <s v="United States"/>
    <x v="65"/>
    <x v="17"/>
    <x v="3"/>
    <n v="8"/>
    <n v="8056"/>
    <n v="605.79999999999995"/>
  </r>
  <r>
    <x v="151"/>
    <x v="2"/>
    <x v="2"/>
    <s v="United States"/>
    <x v="2"/>
    <x v="2"/>
    <x v="1"/>
    <n v="4"/>
    <n v="4228"/>
    <n v="947.76"/>
  </r>
  <r>
    <x v="152"/>
    <x v="2"/>
    <x v="2"/>
    <s v="United States"/>
    <x v="51"/>
    <x v="1"/>
    <x v="0"/>
    <n v="1"/>
    <n v="653"/>
    <n v="93.78"/>
  </r>
  <r>
    <x v="153"/>
    <x v="2"/>
    <x v="2"/>
    <s v="United States"/>
    <x v="66"/>
    <x v="1"/>
    <x v="0"/>
    <n v="9"/>
    <n v="7452"/>
    <n v="1212.51"/>
  </r>
  <r>
    <x v="154"/>
    <x v="1"/>
    <x v="1"/>
    <s v="United States"/>
    <x v="58"/>
    <x v="25"/>
    <x v="0"/>
    <n v="4"/>
    <n v="4128"/>
    <n v="1156.71"/>
  </r>
  <r>
    <x v="155"/>
    <x v="2"/>
    <x v="2"/>
    <s v="United States"/>
    <x v="67"/>
    <x v="26"/>
    <x v="3"/>
    <n v="5"/>
    <n v="5090"/>
    <n v="1201.56"/>
  </r>
  <r>
    <x v="156"/>
    <x v="3"/>
    <x v="2"/>
    <s v="United States"/>
    <x v="28"/>
    <x v="2"/>
    <x v="1"/>
    <n v="5"/>
    <n v="4930"/>
    <n v="387.33"/>
  </r>
  <r>
    <x v="157"/>
    <x v="5"/>
    <x v="2"/>
    <s v="United States"/>
    <x v="29"/>
    <x v="15"/>
    <x v="2"/>
    <n v="6"/>
    <n v="2610"/>
    <n v="434.37"/>
  </r>
  <r>
    <x v="25"/>
    <x v="9"/>
    <x v="2"/>
    <s v="United States"/>
    <x v="68"/>
    <x v="2"/>
    <x v="1"/>
    <n v="3"/>
    <n v="2139"/>
    <n v="415.84"/>
  </r>
  <r>
    <x v="158"/>
    <x v="2"/>
    <x v="2"/>
    <s v="United States"/>
    <x v="52"/>
    <x v="25"/>
    <x v="0"/>
    <n v="1"/>
    <n v="226"/>
    <n v="55.4"/>
  </r>
  <r>
    <x v="159"/>
    <x v="5"/>
    <x v="2"/>
    <s v="United States"/>
    <x v="69"/>
    <x v="2"/>
    <x v="1"/>
    <n v="2"/>
    <n v="2244"/>
    <n v="212.08"/>
  </r>
  <r>
    <x v="160"/>
    <x v="6"/>
    <x v="1"/>
    <s v="United States"/>
    <x v="53"/>
    <x v="2"/>
    <x v="1"/>
    <n v="6"/>
    <n v="3150"/>
    <n v="578.87"/>
  </r>
  <r>
    <x v="161"/>
    <x v="9"/>
    <x v="2"/>
    <s v="United States"/>
    <x v="28"/>
    <x v="2"/>
    <x v="1"/>
    <n v="7"/>
    <n v="3388"/>
    <n v="347.19"/>
  </r>
  <r>
    <x v="162"/>
    <x v="9"/>
    <x v="2"/>
    <s v="United States"/>
    <x v="70"/>
    <x v="27"/>
    <x v="3"/>
    <n v="8"/>
    <n v="8736"/>
    <n v="580.30999999999995"/>
  </r>
  <r>
    <x v="163"/>
    <x v="7"/>
    <x v="2"/>
    <s v="United States"/>
    <x v="71"/>
    <x v="13"/>
    <x v="1"/>
    <n v="2"/>
    <n v="1102"/>
    <n v="176.53"/>
  </r>
  <r>
    <x v="164"/>
    <x v="6"/>
    <x v="1"/>
    <s v="United States"/>
    <x v="72"/>
    <x v="2"/>
    <x v="1"/>
    <n v="3"/>
    <n v="2640"/>
    <n v="199.97"/>
  </r>
  <r>
    <x v="165"/>
    <x v="0"/>
    <x v="0"/>
    <s v="United States"/>
    <x v="3"/>
    <x v="3"/>
    <x v="2"/>
    <n v="3"/>
    <n v="2547"/>
    <n v="300.74"/>
  </r>
  <r>
    <x v="166"/>
    <x v="9"/>
    <x v="2"/>
    <s v="United States"/>
    <x v="73"/>
    <x v="0"/>
    <x v="0"/>
    <n v="7"/>
    <n v="728"/>
    <n v="64.819999999999993"/>
  </r>
  <r>
    <x v="167"/>
    <x v="3"/>
    <x v="2"/>
    <s v="United States"/>
    <x v="13"/>
    <x v="7"/>
    <x v="2"/>
    <n v="7"/>
    <n v="3444"/>
    <n v="607.44000000000005"/>
  </r>
  <r>
    <x v="141"/>
    <x v="3"/>
    <x v="2"/>
    <s v="United States"/>
    <x v="74"/>
    <x v="0"/>
    <x v="0"/>
    <n v="5"/>
    <n v="3140"/>
    <n v="853.66"/>
  </r>
  <r>
    <x v="153"/>
    <x v="7"/>
    <x v="2"/>
    <s v="United States"/>
    <x v="75"/>
    <x v="15"/>
    <x v="2"/>
    <n v="3"/>
    <n v="435"/>
    <n v="129.27000000000001"/>
  </r>
  <r>
    <x v="168"/>
    <x v="8"/>
    <x v="1"/>
    <s v="United States"/>
    <x v="13"/>
    <x v="7"/>
    <x v="2"/>
    <n v="4"/>
    <n v="856"/>
    <n v="72.989999999999995"/>
  </r>
  <r>
    <x v="169"/>
    <x v="0"/>
    <x v="0"/>
    <s v="United States"/>
    <x v="76"/>
    <x v="25"/>
    <x v="0"/>
    <n v="2"/>
    <n v="112"/>
    <n v="23.33"/>
  </r>
  <r>
    <x v="170"/>
    <x v="4"/>
    <x v="1"/>
    <s v="United States"/>
    <x v="41"/>
    <x v="28"/>
    <x v="2"/>
    <n v="3"/>
    <n v="2247"/>
    <n v="507.79"/>
  </r>
  <r>
    <x v="171"/>
    <x v="8"/>
    <x v="1"/>
    <s v="United States"/>
    <x v="13"/>
    <x v="7"/>
    <x v="2"/>
    <n v="2"/>
    <n v="1512"/>
    <n v="298.73"/>
  </r>
  <r>
    <x v="172"/>
    <x v="1"/>
    <x v="1"/>
    <s v="United States"/>
    <x v="25"/>
    <x v="17"/>
    <x v="3"/>
    <n v="5"/>
    <n v="4915"/>
    <n v="1196.5999999999999"/>
  </r>
  <r>
    <x v="173"/>
    <x v="1"/>
    <x v="1"/>
    <s v="United States"/>
    <x v="77"/>
    <x v="7"/>
    <x v="2"/>
    <n v="3"/>
    <n v="2709"/>
    <n v="663.54"/>
  </r>
  <r>
    <x v="174"/>
    <x v="2"/>
    <x v="2"/>
    <s v="United States"/>
    <x v="13"/>
    <x v="7"/>
    <x v="2"/>
    <n v="7"/>
    <n v="1239"/>
    <n v="118.36"/>
  </r>
  <r>
    <x v="175"/>
    <x v="2"/>
    <x v="2"/>
    <s v="United States"/>
    <x v="78"/>
    <x v="19"/>
    <x v="2"/>
    <n v="2"/>
    <n v="572"/>
    <n v="86.16"/>
  </r>
  <r>
    <x v="176"/>
    <x v="5"/>
    <x v="2"/>
    <s v="United States"/>
    <x v="79"/>
    <x v="16"/>
    <x v="3"/>
    <n v="2"/>
    <n v="1708"/>
    <n v="93.25"/>
  </r>
  <r>
    <x v="177"/>
    <x v="5"/>
    <x v="2"/>
    <s v="United States"/>
    <x v="21"/>
    <x v="5"/>
    <x v="3"/>
    <n v="4"/>
    <n v="360"/>
    <n v="42.66"/>
  </r>
  <r>
    <x v="178"/>
    <x v="3"/>
    <x v="2"/>
    <s v="United States"/>
    <x v="21"/>
    <x v="5"/>
    <x v="3"/>
    <n v="6"/>
    <n v="3822"/>
    <n v="388.34"/>
  </r>
  <r>
    <x v="179"/>
    <x v="3"/>
    <x v="2"/>
    <s v="United States"/>
    <x v="80"/>
    <x v="2"/>
    <x v="1"/>
    <n v="6"/>
    <n v="4680"/>
    <n v="932.97"/>
  </r>
  <r>
    <x v="180"/>
    <x v="3"/>
    <x v="2"/>
    <s v="United States"/>
    <x v="81"/>
    <x v="22"/>
    <x v="1"/>
    <n v="5"/>
    <n v="2520"/>
    <n v="487.18"/>
  </r>
  <r>
    <x v="181"/>
    <x v="5"/>
    <x v="2"/>
    <s v="United States"/>
    <x v="3"/>
    <x v="3"/>
    <x v="2"/>
    <n v="2"/>
    <n v="2138"/>
    <n v="619.29"/>
  </r>
  <r>
    <x v="182"/>
    <x v="8"/>
    <x v="1"/>
    <s v="United States"/>
    <x v="3"/>
    <x v="3"/>
    <x v="2"/>
    <n v="3"/>
    <n v="2529"/>
    <n v="169.6"/>
  </r>
  <r>
    <x v="183"/>
    <x v="8"/>
    <x v="1"/>
    <s v="United States"/>
    <x v="3"/>
    <x v="3"/>
    <x v="2"/>
    <n v="1"/>
    <n v="236"/>
    <n v="29.33"/>
  </r>
  <r>
    <x v="184"/>
    <x v="2"/>
    <x v="2"/>
    <s v="United States"/>
    <x v="3"/>
    <x v="3"/>
    <x v="2"/>
    <n v="6"/>
    <n v="2730"/>
    <n v="636.48"/>
  </r>
  <r>
    <x v="185"/>
    <x v="4"/>
    <x v="1"/>
    <s v="United States"/>
    <x v="82"/>
    <x v="5"/>
    <x v="3"/>
    <n v="3"/>
    <n v="3021"/>
    <n v="872.49"/>
  </r>
  <r>
    <x v="177"/>
    <x v="5"/>
    <x v="2"/>
    <s v="United States"/>
    <x v="64"/>
    <x v="2"/>
    <x v="1"/>
    <n v="2"/>
    <n v="244"/>
    <n v="16.78"/>
  </r>
  <r>
    <x v="2"/>
    <x v="3"/>
    <x v="2"/>
    <s v="United States"/>
    <x v="28"/>
    <x v="2"/>
    <x v="1"/>
    <n v="8"/>
    <n v="728"/>
    <n v="120.06"/>
  </r>
  <r>
    <x v="186"/>
    <x v="1"/>
    <x v="1"/>
    <s v="United States"/>
    <x v="3"/>
    <x v="3"/>
    <x v="2"/>
    <n v="3"/>
    <n v="453"/>
    <n v="89.49"/>
  </r>
  <r>
    <x v="187"/>
    <x v="9"/>
    <x v="2"/>
    <s v="United States"/>
    <x v="13"/>
    <x v="7"/>
    <x v="2"/>
    <n v="1"/>
    <n v="379"/>
    <n v="84.38"/>
  </r>
  <r>
    <x v="188"/>
    <x v="2"/>
    <x v="2"/>
    <s v="United States"/>
    <x v="74"/>
    <x v="12"/>
    <x v="1"/>
    <n v="3"/>
    <n v="2130"/>
    <n v="510.69"/>
  </r>
  <r>
    <x v="34"/>
    <x v="6"/>
    <x v="1"/>
    <s v="United States"/>
    <x v="83"/>
    <x v="7"/>
    <x v="2"/>
    <n v="8"/>
    <n v="4120"/>
    <n v="710.11"/>
  </r>
  <r>
    <x v="189"/>
    <x v="5"/>
    <x v="2"/>
    <s v="United States"/>
    <x v="51"/>
    <x v="1"/>
    <x v="0"/>
    <n v="7"/>
    <n v="3150"/>
    <n v="299.7"/>
  </r>
  <r>
    <x v="190"/>
    <x v="5"/>
    <x v="2"/>
    <s v="United States"/>
    <x v="0"/>
    <x v="0"/>
    <x v="0"/>
    <n v="7"/>
    <n v="2688"/>
    <n v="603.07000000000005"/>
  </r>
  <r>
    <x v="191"/>
    <x v="2"/>
    <x v="2"/>
    <s v="United States"/>
    <x v="0"/>
    <x v="0"/>
    <x v="0"/>
    <n v="2"/>
    <n v="1752"/>
    <n v="501.19"/>
  </r>
  <r>
    <x v="192"/>
    <x v="8"/>
    <x v="1"/>
    <s v="United States"/>
    <x v="13"/>
    <x v="7"/>
    <x v="2"/>
    <n v="7"/>
    <n v="7308"/>
    <n v="948.4"/>
  </r>
  <r>
    <x v="2"/>
    <x v="2"/>
    <x v="2"/>
    <s v="United States"/>
    <x v="53"/>
    <x v="2"/>
    <x v="1"/>
    <n v="3"/>
    <n v="2007"/>
    <n v="160.84"/>
  </r>
  <r>
    <x v="193"/>
    <x v="2"/>
    <x v="2"/>
    <s v="United States"/>
    <x v="84"/>
    <x v="13"/>
    <x v="1"/>
    <n v="7"/>
    <n v="7224"/>
    <n v="479.23"/>
  </r>
  <r>
    <x v="194"/>
    <x v="6"/>
    <x v="1"/>
    <s v="United States"/>
    <x v="15"/>
    <x v="13"/>
    <x v="1"/>
    <n v="9"/>
    <n v="6939"/>
    <n v="1249.31"/>
  </r>
  <r>
    <x v="195"/>
    <x v="7"/>
    <x v="2"/>
    <s v="United States"/>
    <x v="13"/>
    <x v="7"/>
    <x v="2"/>
    <n v="7"/>
    <n v="5516"/>
    <n v="1475.67"/>
  </r>
  <r>
    <x v="196"/>
    <x v="0"/>
    <x v="0"/>
    <s v="United States"/>
    <x v="13"/>
    <x v="7"/>
    <x v="2"/>
    <n v="2"/>
    <n v="2224"/>
    <n v="116.47"/>
  </r>
  <r>
    <x v="197"/>
    <x v="9"/>
    <x v="2"/>
    <s v="United States"/>
    <x v="85"/>
    <x v="29"/>
    <x v="2"/>
    <n v="5"/>
    <n v="3985"/>
    <n v="824.4"/>
  </r>
  <r>
    <x v="198"/>
    <x v="3"/>
    <x v="2"/>
    <s v="United States"/>
    <x v="33"/>
    <x v="18"/>
    <x v="2"/>
    <n v="7"/>
    <n v="2723"/>
    <n v="638.26"/>
  </r>
  <r>
    <x v="199"/>
    <x v="2"/>
    <x v="2"/>
    <s v="United States"/>
    <x v="33"/>
    <x v="18"/>
    <x v="2"/>
    <n v="2"/>
    <n v="746"/>
    <n v="170.75"/>
  </r>
  <r>
    <x v="200"/>
    <x v="9"/>
    <x v="2"/>
    <s v="United States"/>
    <x v="86"/>
    <x v="23"/>
    <x v="3"/>
    <n v="5"/>
    <n v="3170"/>
    <n v="245.25"/>
  </r>
  <r>
    <x v="25"/>
    <x v="5"/>
    <x v="2"/>
    <s v="United States"/>
    <x v="87"/>
    <x v="23"/>
    <x v="3"/>
    <n v="5"/>
    <n v="550"/>
    <n v="63.11"/>
  </r>
  <r>
    <x v="201"/>
    <x v="2"/>
    <x v="2"/>
    <s v="United States"/>
    <x v="13"/>
    <x v="7"/>
    <x v="2"/>
    <n v="8"/>
    <n v="480"/>
    <n v="132.44999999999999"/>
  </r>
  <r>
    <x v="202"/>
    <x v="0"/>
    <x v="0"/>
    <s v="United States"/>
    <x v="88"/>
    <x v="8"/>
    <x v="3"/>
    <n v="4"/>
    <n v="3284"/>
    <n v="354.4"/>
  </r>
  <r>
    <x v="203"/>
    <x v="5"/>
    <x v="2"/>
    <s v="United States"/>
    <x v="89"/>
    <x v="1"/>
    <x v="0"/>
    <n v="2"/>
    <n v="1748"/>
    <n v="183.75"/>
  </r>
  <r>
    <x v="159"/>
    <x v="4"/>
    <x v="1"/>
    <s v="United States"/>
    <x v="3"/>
    <x v="3"/>
    <x v="2"/>
    <n v="8"/>
    <n v="824"/>
    <n v="240.84"/>
  </r>
  <r>
    <x v="204"/>
    <x v="4"/>
    <x v="1"/>
    <s v="United States"/>
    <x v="3"/>
    <x v="3"/>
    <x v="2"/>
    <n v="4"/>
    <n v="1872"/>
    <n v="448.46"/>
  </r>
  <r>
    <x v="205"/>
    <x v="2"/>
    <x v="2"/>
    <s v="United States"/>
    <x v="13"/>
    <x v="7"/>
    <x v="2"/>
    <n v="3"/>
    <n v="627"/>
    <n v="103.98"/>
  </r>
  <r>
    <x v="27"/>
    <x v="3"/>
    <x v="2"/>
    <s v="United States"/>
    <x v="6"/>
    <x v="5"/>
    <x v="3"/>
    <n v="9"/>
    <n v="5661"/>
    <n v="1104.02"/>
  </r>
  <r>
    <x v="206"/>
    <x v="3"/>
    <x v="2"/>
    <s v="United States"/>
    <x v="28"/>
    <x v="2"/>
    <x v="1"/>
    <n v="3"/>
    <n v="2910"/>
    <n v="765.47"/>
  </r>
  <r>
    <x v="207"/>
    <x v="2"/>
    <x v="2"/>
    <s v="United States"/>
    <x v="25"/>
    <x v="17"/>
    <x v="3"/>
    <n v="9"/>
    <n v="9036"/>
    <n v="1087.46"/>
  </r>
  <r>
    <x v="208"/>
    <x v="2"/>
    <x v="2"/>
    <s v="United States"/>
    <x v="90"/>
    <x v="7"/>
    <x v="2"/>
    <n v="5"/>
    <n v="4815"/>
    <n v="338.31"/>
  </r>
  <r>
    <x v="209"/>
    <x v="1"/>
    <x v="1"/>
    <s v="United States"/>
    <x v="91"/>
    <x v="30"/>
    <x v="0"/>
    <n v="1"/>
    <n v="1187"/>
    <n v="206.28"/>
  </r>
  <r>
    <x v="210"/>
    <x v="4"/>
    <x v="1"/>
    <s v="United States"/>
    <x v="2"/>
    <x v="2"/>
    <x v="1"/>
    <n v="3"/>
    <n v="3339"/>
    <n v="732.92"/>
  </r>
  <r>
    <x v="205"/>
    <x v="2"/>
    <x v="2"/>
    <s v="United States"/>
    <x v="28"/>
    <x v="2"/>
    <x v="1"/>
    <n v="1"/>
    <n v="620"/>
    <n v="165.43"/>
  </r>
  <r>
    <x v="140"/>
    <x v="3"/>
    <x v="2"/>
    <s v="United States"/>
    <x v="6"/>
    <x v="5"/>
    <x v="3"/>
    <n v="5"/>
    <n v="2025"/>
    <n v="414.42"/>
  </r>
  <r>
    <x v="211"/>
    <x v="0"/>
    <x v="0"/>
    <s v="United States"/>
    <x v="92"/>
    <x v="2"/>
    <x v="1"/>
    <n v="5"/>
    <n v="3030"/>
    <n v="811.92"/>
  </r>
  <r>
    <x v="212"/>
    <x v="5"/>
    <x v="2"/>
    <s v="United States"/>
    <x v="93"/>
    <x v="31"/>
    <x v="0"/>
    <n v="5"/>
    <n v="655"/>
    <n v="166.69"/>
  </r>
  <r>
    <x v="47"/>
    <x v="0"/>
    <x v="0"/>
    <s v="United States"/>
    <x v="93"/>
    <x v="31"/>
    <x v="0"/>
    <n v="2"/>
    <n v="2238"/>
    <n v="294.54000000000002"/>
  </r>
  <r>
    <x v="213"/>
    <x v="7"/>
    <x v="2"/>
    <s v="United States"/>
    <x v="76"/>
    <x v="25"/>
    <x v="0"/>
    <n v="8"/>
    <n v="3312"/>
    <n v="811.31"/>
  </r>
  <r>
    <x v="214"/>
    <x v="0"/>
    <x v="0"/>
    <s v="United States"/>
    <x v="2"/>
    <x v="2"/>
    <x v="1"/>
    <n v="9"/>
    <n v="9387"/>
    <n v="1271.6400000000001"/>
  </r>
  <r>
    <x v="215"/>
    <x v="1"/>
    <x v="1"/>
    <s v="United States"/>
    <x v="94"/>
    <x v="15"/>
    <x v="2"/>
    <n v="6"/>
    <n v="5790"/>
    <n v="1285.21"/>
  </r>
  <r>
    <x v="216"/>
    <x v="9"/>
    <x v="2"/>
    <s v="United States"/>
    <x v="95"/>
    <x v="25"/>
    <x v="0"/>
    <n v="6"/>
    <n v="2700"/>
    <n v="527.97"/>
  </r>
  <r>
    <x v="64"/>
    <x v="5"/>
    <x v="2"/>
    <s v="United States"/>
    <x v="95"/>
    <x v="25"/>
    <x v="0"/>
    <n v="8"/>
    <n v="2072"/>
    <n v="555.05999999999995"/>
  </r>
  <r>
    <x v="217"/>
    <x v="8"/>
    <x v="1"/>
    <s v="United States"/>
    <x v="2"/>
    <x v="2"/>
    <x v="1"/>
    <n v="3"/>
    <n v="2991"/>
    <n v="716.54"/>
  </r>
  <r>
    <x v="218"/>
    <x v="9"/>
    <x v="2"/>
    <s v="United States"/>
    <x v="13"/>
    <x v="7"/>
    <x v="2"/>
    <n v="6"/>
    <n v="5568"/>
    <n v="958.59"/>
  </r>
  <r>
    <x v="73"/>
    <x v="5"/>
    <x v="2"/>
    <s v="United States"/>
    <x v="96"/>
    <x v="32"/>
    <x v="2"/>
    <n v="7"/>
    <n v="5509"/>
    <n v="1648.74"/>
  </r>
  <r>
    <x v="59"/>
    <x v="0"/>
    <x v="0"/>
    <s v="United States"/>
    <x v="2"/>
    <x v="2"/>
    <x v="1"/>
    <n v="7"/>
    <n v="5922"/>
    <n v="1323.1"/>
  </r>
  <r>
    <x v="74"/>
    <x v="7"/>
    <x v="2"/>
    <s v="United States"/>
    <x v="97"/>
    <x v="1"/>
    <x v="0"/>
    <n v="4"/>
    <n v="4380"/>
    <n v="362.81"/>
  </r>
  <r>
    <x v="219"/>
    <x v="2"/>
    <x v="2"/>
    <s v="United States"/>
    <x v="97"/>
    <x v="1"/>
    <x v="0"/>
    <n v="5"/>
    <n v="1760"/>
    <n v="272.68"/>
  </r>
  <r>
    <x v="220"/>
    <x v="4"/>
    <x v="1"/>
    <s v="United States"/>
    <x v="6"/>
    <x v="5"/>
    <x v="3"/>
    <n v="9"/>
    <n v="5571"/>
    <n v="1523.81"/>
  </r>
  <r>
    <x v="221"/>
    <x v="2"/>
    <x v="2"/>
    <s v="United States"/>
    <x v="22"/>
    <x v="12"/>
    <x v="1"/>
    <n v="2"/>
    <n v="1082"/>
    <n v="182.1"/>
  </r>
  <r>
    <x v="222"/>
    <x v="3"/>
    <x v="2"/>
    <s v="United States"/>
    <x v="22"/>
    <x v="12"/>
    <x v="1"/>
    <n v="1"/>
    <n v="569"/>
    <n v="138.11000000000001"/>
  </r>
  <r>
    <x v="223"/>
    <x v="1"/>
    <x v="1"/>
    <s v="United States"/>
    <x v="13"/>
    <x v="7"/>
    <x v="2"/>
    <n v="8"/>
    <n v="3416"/>
    <n v="697.42"/>
  </r>
  <r>
    <x v="224"/>
    <x v="0"/>
    <x v="0"/>
    <s v="United States"/>
    <x v="3"/>
    <x v="3"/>
    <x v="2"/>
    <n v="1"/>
    <n v="570"/>
    <n v="57.07"/>
  </r>
  <r>
    <x v="225"/>
    <x v="6"/>
    <x v="1"/>
    <s v="United States"/>
    <x v="3"/>
    <x v="3"/>
    <x v="2"/>
    <n v="6"/>
    <n v="3300"/>
    <n v="386.92"/>
  </r>
  <r>
    <x v="41"/>
    <x v="9"/>
    <x v="2"/>
    <s v="United States"/>
    <x v="13"/>
    <x v="7"/>
    <x v="2"/>
    <n v="8"/>
    <n v="2584"/>
    <n v="568.77"/>
  </r>
  <r>
    <x v="226"/>
    <x v="6"/>
    <x v="1"/>
    <s v="United States"/>
    <x v="2"/>
    <x v="2"/>
    <x v="1"/>
    <n v="9"/>
    <n v="7650"/>
    <n v="2204.44"/>
  </r>
  <r>
    <x v="227"/>
    <x v="4"/>
    <x v="1"/>
    <s v="United States"/>
    <x v="98"/>
    <x v="1"/>
    <x v="0"/>
    <n v="8"/>
    <n v="3600"/>
    <n v="272.51"/>
  </r>
  <r>
    <x v="228"/>
    <x v="6"/>
    <x v="1"/>
    <s v="United States"/>
    <x v="98"/>
    <x v="1"/>
    <x v="0"/>
    <n v="6"/>
    <n v="846"/>
    <n v="190.87"/>
  </r>
  <r>
    <x v="212"/>
    <x v="7"/>
    <x v="2"/>
    <s v="United States"/>
    <x v="98"/>
    <x v="1"/>
    <x v="0"/>
    <n v="1"/>
    <n v="51"/>
    <n v="9.36"/>
  </r>
  <r>
    <x v="229"/>
    <x v="5"/>
    <x v="2"/>
    <s v="United States"/>
    <x v="15"/>
    <x v="13"/>
    <x v="1"/>
    <n v="6"/>
    <n v="7056"/>
    <n v="586.91"/>
  </r>
  <r>
    <x v="230"/>
    <x v="5"/>
    <x v="2"/>
    <s v="United States"/>
    <x v="99"/>
    <x v="2"/>
    <x v="1"/>
    <n v="2"/>
    <n v="384"/>
    <n v="38.409999999999997"/>
  </r>
  <r>
    <x v="231"/>
    <x v="9"/>
    <x v="2"/>
    <s v="United States"/>
    <x v="99"/>
    <x v="2"/>
    <x v="1"/>
    <n v="8"/>
    <n v="2928"/>
    <n v="663.54"/>
  </r>
  <r>
    <x v="232"/>
    <x v="3"/>
    <x v="2"/>
    <s v="United States"/>
    <x v="99"/>
    <x v="2"/>
    <x v="1"/>
    <n v="7"/>
    <n v="1904"/>
    <n v="352.86"/>
  </r>
  <r>
    <x v="233"/>
    <x v="2"/>
    <x v="2"/>
    <s v="United States"/>
    <x v="13"/>
    <x v="7"/>
    <x v="2"/>
    <n v="2"/>
    <n v="2314"/>
    <n v="312.07"/>
  </r>
  <r>
    <x v="234"/>
    <x v="0"/>
    <x v="0"/>
    <s v="United States"/>
    <x v="100"/>
    <x v="3"/>
    <x v="2"/>
    <n v="4"/>
    <n v="1028"/>
    <n v="192.13"/>
  </r>
  <r>
    <x v="235"/>
    <x v="4"/>
    <x v="1"/>
    <s v="United States"/>
    <x v="100"/>
    <x v="3"/>
    <x v="2"/>
    <n v="9"/>
    <n v="8307"/>
    <n v="1326.23"/>
  </r>
  <r>
    <x v="44"/>
    <x v="0"/>
    <x v="0"/>
    <s v="United States"/>
    <x v="101"/>
    <x v="6"/>
    <x v="3"/>
    <n v="9"/>
    <n v="1539"/>
    <n v="203.54"/>
  </r>
  <r>
    <x v="236"/>
    <x v="2"/>
    <x v="2"/>
    <s v="United States"/>
    <x v="2"/>
    <x v="2"/>
    <x v="1"/>
    <n v="7"/>
    <n v="2506"/>
    <n v="537.98"/>
  </r>
  <r>
    <x v="237"/>
    <x v="7"/>
    <x v="2"/>
    <s v="United States"/>
    <x v="74"/>
    <x v="12"/>
    <x v="1"/>
    <n v="6"/>
    <n v="5778"/>
    <n v="1232.54"/>
  </r>
  <r>
    <x v="238"/>
    <x v="2"/>
    <x v="2"/>
    <s v="United States"/>
    <x v="50"/>
    <x v="5"/>
    <x v="3"/>
    <n v="9"/>
    <n v="10188"/>
    <n v="2165.7800000000002"/>
  </r>
  <r>
    <x v="239"/>
    <x v="6"/>
    <x v="1"/>
    <s v="United States"/>
    <x v="13"/>
    <x v="7"/>
    <x v="2"/>
    <n v="1"/>
    <n v="952"/>
    <n v="157.69999999999999"/>
  </r>
  <r>
    <x v="240"/>
    <x v="5"/>
    <x v="2"/>
    <s v="United States"/>
    <x v="76"/>
    <x v="25"/>
    <x v="0"/>
    <n v="8"/>
    <n v="3624"/>
    <n v="750.86"/>
  </r>
  <r>
    <x v="144"/>
    <x v="8"/>
    <x v="1"/>
    <s v="United States"/>
    <x v="76"/>
    <x v="25"/>
    <x v="0"/>
    <n v="8"/>
    <n v="7968"/>
    <n v="1551.12"/>
  </r>
  <r>
    <x v="241"/>
    <x v="1"/>
    <x v="1"/>
    <s v="United States"/>
    <x v="58"/>
    <x v="25"/>
    <x v="0"/>
    <n v="2"/>
    <n v="1254"/>
    <n v="250.09"/>
  </r>
  <r>
    <x v="242"/>
    <x v="0"/>
    <x v="0"/>
    <s v="United States"/>
    <x v="29"/>
    <x v="24"/>
    <x v="0"/>
    <n v="3"/>
    <n v="705"/>
    <n v="196.05"/>
  </r>
  <r>
    <x v="243"/>
    <x v="1"/>
    <x v="1"/>
    <s v="United States"/>
    <x v="102"/>
    <x v="2"/>
    <x v="1"/>
    <n v="1"/>
    <n v="916"/>
    <n v="223.5"/>
  </r>
  <r>
    <x v="244"/>
    <x v="0"/>
    <x v="0"/>
    <s v="United States"/>
    <x v="29"/>
    <x v="15"/>
    <x v="2"/>
    <n v="2"/>
    <n v="848"/>
    <n v="129.96"/>
  </r>
  <r>
    <x v="148"/>
    <x v="6"/>
    <x v="1"/>
    <s v="United States"/>
    <x v="2"/>
    <x v="2"/>
    <x v="1"/>
    <n v="8"/>
    <n v="2240"/>
    <n v="313.17"/>
  </r>
  <r>
    <x v="245"/>
    <x v="6"/>
    <x v="1"/>
    <s v="United States"/>
    <x v="3"/>
    <x v="3"/>
    <x v="2"/>
    <n v="1"/>
    <n v="940"/>
    <n v="120.35"/>
  </r>
  <r>
    <x v="246"/>
    <x v="4"/>
    <x v="1"/>
    <s v="United States"/>
    <x v="28"/>
    <x v="2"/>
    <x v="1"/>
    <n v="5"/>
    <n v="1550"/>
    <n v="203.51"/>
  </r>
  <r>
    <x v="247"/>
    <x v="8"/>
    <x v="1"/>
    <s v="United States"/>
    <x v="2"/>
    <x v="2"/>
    <x v="1"/>
    <n v="7"/>
    <n v="2352"/>
    <n v="256.39999999999998"/>
  </r>
  <r>
    <x v="248"/>
    <x v="5"/>
    <x v="2"/>
    <s v="United States"/>
    <x v="13"/>
    <x v="7"/>
    <x v="2"/>
    <n v="9"/>
    <n v="1638"/>
    <n v="183.75"/>
  </r>
  <r>
    <x v="249"/>
    <x v="3"/>
    <x v="2"/>
    <s v="United States"/>
    <x v="103"/>
    <x v="8"/>
    <x v="3"/>
    <n v="6"/>
    <n v="7164"/>
    <n v="1442.72"/>
  </r>
  <r>
    <x v="250"/>
    <x v="1"/>
    <x v="1"/>
    <s v="United States"/>
    <x v="28"/>
    <x v="2"/>
    <x v="1"/>
    <n v="1"/>
    <n v="205"/>
    <n v="54.54"/>
  </r>
  <r>
    <x v="251"/>
    <x v="8"/>
    <x v="1"/>
    <s v="United States"/>
    <x v="50"/>
    <x v="5"/>
    <x v="3"/>
    <n v="2"/>
    <n v="766"/>
    <n v="49.23"/>
  </r>
  <r>
    <x v="121"/>
    <x v="8"/>
    <x v="1"/>
    <s v="United States"/>
    <x v="2"/>
    <x v="2"/>
    <x v="1"/>
    <n v="1"/>
    <n v="168"/>
    <n v="17.84"/>
  </r>
  <r>
    <x v="252"/>
    <x v="1"/>
    <x v="1"/>
    <s v="United States"/>
    <x v="104"/>
    <x v="22"/>
    <x v="1"/>
    <n v="1"/>
    <n v="1058"/>
    <n v="207.55"/>
  </r>
  <r>
    <x v="114"/>
    <x v="8"/>
    <x v="1"/>
    <s v="United States"/>
    <x v="105"/>
    <x v="2"/>
    <x v="1"/>
    <n v="5"/>
    <n v="1455"/>
    <n v="423.81"/>
  </r>
  <r>
    <x v="253"/>
    <x v="3"/>
    <x v="2"/>
    <s v="United States"/>
    <x v="30"/>
    <x v="12"/>
    <x v="1"/>
    <n v="2"/>
    <n v="2224"/>
    <n v="364.04"/>
  </r>
  <r>
    <x v="254"/>
    <x v="7"/>
    <x v="2"/>
    <s v="United States"/>
    <x v="106"/>
    <x v="4"/>
    <x v="1"/>
    <n v="7"/>
    <n v="1400"/>
    <n v="80.489999999999995"/>
  </r>
  <r>
    <x v="255"/>
    <x v="7"/>
    <x v="2"/>
    <s v="United States"/>
    <x v="14"/>
    <x v="8"/>
    <x v="3"/>
    <n v="7"/>
    <n v="7567"/>
    <n v="2213.1799999999998"/>
  </r>
  <r>
    <x v="256"/>
    <x v="2"/>
    <x v="2"/>
    <s v="United States"/>
    <x v="107"/>
    <x v="24"/>
    <x v="0"/>
    <n v="6"/>
    <n v="3396"/>
    <n v="987.68"/>
  </r>
  <r>
    <x v="138"/>
    <x v="5"/>
    <x v="2"/>
    <s v="United States"/>
    <x v="107"/>
    <x v="24"/>
    <x v="0"/>
    <n v="2"/>
    <n v="704"/>
    <n v="135.63"/>
  </r>
  <r>
    <x v="257"/>
    <x v="2"/>
    <x v="2"/>
    <s v="United States"/>
    <x v="14"/>
    <x v="8"/>
    <x v="3"/>
    <n v="9"/>
    <n v="7767"/>
    <n v="2172.19"/>
  </r>
  <r>
    <x v="258"/>
    <x v="1"/>
    <x v="1"/>
    <s v="United States"/>
    <x v="14"/>
    <x v="8"/>
    <x v="3"/>
    <n v="5"/>
    <n v="2050"/>
    <n v="157.13"/>
  </r>
  <r>
    <x v="259"/>
    <x v="6"/>
    <x v="1"/>
    <s v="United States"/>
    <x v="29"/>
    <x v="15"/>
    <x v="2"/>
    <n v="9"/>
    <n v="10458"/>
    <n v="2799.48"/>
  </r>
  <r>
    <x v="260"/>
    <x v="3"/>
    <x v="2"/>
    <s v="United States"/>
    <x v="3"/>
    <x v="3"/>
    <x v="2"/>
    <n v="4"/>
    <n v="4700"/>
    <n v="619.26"/>
  </r>
  <r>
    <x v="261"/>
    <x v="7"/>
    <x v="2"/>
    <s v="United States"/>
    <x v="13"/>
    <x v="7"/>
    <x v="2"/>
    <n v="2"/>
    <n v="892"/>
    <n v="222.51"/>
  </r>
  <r>
    <x v="262"/>
    <x v="9"/>
    <x v="2"/>
    <s v="United States"/>
    <x v="43"/>
    <x v="22"/>
    <x v="1"/>
    <n v="8"/>
    <n v="6968"/>
    <n v="1479.09"/>
  </r>
  <r>
    <x v="263"/>
    <x v="9"/>
    <x v="2"/>
    <s v="United States"/>
    <x v="13"/>
    <x v="7"/>
    <x v="2"/>
    <n v="7"/>
    <n v="1344"/>
    <n v="300.88"/>
  </r>
  <r>
    <x v="264"/>
    <x v="3"/>
    <x v="2"/>
    <s v="United States"/>
    <x v="13"/>
    <x v="7"/>
    <x v="2"/>
    <n v="1"/>
    <n v="354"/>
    <n v="65.989999999999995"/>
  </r>
  <r>
    <x v="265"/>
    <x v="6"/>
    <x v="1"/>
    <s v="United States"/>
    <x v="46"/>
    <x v="2"/>
    <x v="1"/>
    <n v="3"/>
    <n v="3051"/>
    <n v="662.23"/>
  </r>
  <r>
    <x v="38"/>
    <x v="3"/>
    <x v="2"/>
    <s v="United States"/>
    <x v="6"/>
    <x v="5"/>
    <x v="3"/>
    <n v="3"/>
    <n v="402"/>
    <n v="106.87"/>
  </r>
  <r>
    <x v="266"/>
    <x v="6"/>
    <x v="1"/>
    <s v="United States"/>
    <x v="73"/>
    <x v="33"/>
    <x v="0"/>
    <n v="5"/>
    <n v="3570"/>
    <n v="517.82000000000005"/>
  </r>
  <r>
    <x v="267"/>
    <x v="8"/>
    <x v="1"/>
    <s v="United States"/>
    <x v="45"/>
    <x v="5"/>
    <x v="3"/>
    <n v="7"/>
    <n v="3829"/>
    <n v="876.35"/>
  </r>
  <r>
    <x v="268"/>
    <x v="1"/>
    <x v="1"/>
    <s v="United States"/>
    <x v="9"/>
    <x v="8"/>
    <x v="3"/>
    <n v="7"/>
    <n v="4676"/>
    <n v="242.64"/>
  </r>
  <r>
    <x v="269"/>
    <x v="8"/>
    <x v="1"/>
    <s v="United States"/>
    <x v="29"/>
    <x v="24"/>
    <x v="0"/>
    <n v="3"/>
    <n v="1119"/>
    <n v="317.36"/>
  </r>
  <r>
    <x v="175"/>
    <x v="7"/>
    <x v="2"/>
    <s v="United States"/>
    <x v="108"/>
    <x v="19"/>
    <x v="2"/>
    <n v="4"/>
    <n v="4228"/>
    <n v="764.3"/>
  </r>
  <r>
    <x v="270"/>
    <x v="4"/>
    <x v="1"/>
    <s v="United States"/>
    <x v="109"/>
    <x v="18"/>
    <x v="2"/>
    <n v="8"/>
    <n v="1240"/>
    <n v="251.2"/>
  </r>
  <r>
    <x v="271"/>
    <x v="8"/>
    <x v="1"/>
    <s v="United States"/>
    <x v="102"/>
    <x v="5"/>
    <x v="3"/>
    <n v="9"/>
    <n v="3591"/>
    <n v="342.18"/>
  </r>
  <r>
    <x v="272"/>
    <x v="0"/>
    <x v="0"/>
    <s v="United States"/>
    <x v="110"/>
    <x v="22"/>
    <x v="1"/>
    <n v="8"/>
    <n v="3952"/>
    <n v="451.08"/>
  </r>
  <r>
    <x v="230"/>
    <x v="8"/>
    <x v="1"/>
    <s v="United States"/>
    <x v="25"/>
    <x v="17"/>
    <x v="3"/>
    <n v="6"/>
    <n v="3648"/>
    <n v="1050.08"/>
  </r>
  <r>
    <x v="131"/>
    <x v="6"/>
    <x v="1"/>
    <s v="United States"/>
    <x v="6"/>
    <x v="5"/>
    <x v="3"/>
    <n v="5"/>
    <n v="3875"/>
    <n v="768.74"/>
  </r>
  <r>
    <x v="23"/>
    <x v="5"/>
    <x v="2"/>
    <s v="United States"/>
    <x v="2"/>
    <x v="2"/>
    <x v="1"/>
    <n v="8"/>
    <n v="3416"/>
    <n v="478.9"/>
  </r>
  <r>
    <x v="273"/>
    <x v="2"/>
    <x v="2"/>
    <s v="United States"/>
    <x v="13"/>
    <x v="7"/>
    <x v="2"/>
    <n v="1"/>
    <n v="908"/>
    <n v="222.58"/>
  </r>
  <r>
    <x v="274"/>
    <x v="4"/>
    <x v="1"/>
    <s v="United States"/>
    <x v="57"/>
    <x v="13"/>
    <x v="1"/>
    <n v="4"/>
    <n v="4532"/>
    <n v="987.32"/>
  </r>
  <r>
    <x v="275"/>
    <x v="4"/>
    <x v="1"/>
    <s v="United States"/>
    <x v="2"/>
    <x v="2"/>
    <x v="1"/>
    <n v="4"/>
    <n v="4168"/>
    <n v="650.15"/>
  </r>
  <r>
    <x v="276"/>
    <x v="9"/>
    <x v="2"/>
    <s v="United States"/>
    <x v="2"/>
    <x v="2"/>
    <x v="1"/>
    <n v="3"/>
    <n v="3543"/>
    <n v="941.37"/>
  </r>
  <r>
    <x v="277"/>
    <x v="9"/>
    <x v="2"/>
    <s v="United States"/>
    <x v="2"/>
    <x v="2"/>
    <x v="1"/>
    <n v="6"/>
    <n v="5124"/>
    <n v="1078.57"/>
  </r>
  <r>
    <x v="278"/>
    <x v="5"/>
    <x v="2"/>
    <s v="United States"/>
    <x v="3"/>
    <x v="3"/>
    <x v="2"/>
    <n v="9"/>
    <n v="5751"/>
    <n v="1196.23"/>
  </r>
  <r>
    <x v="279"/>
    <x v="3"/>
    <x v="2"/>
    <s v="United States"/>
    <x v="111"/>
    <x v="34"/>
    <x v="1"/>
    <n v="2"/>
    <n v="624"/>
    <n v="139.63999999999999"/>
  </r>
  <r>
    <x v="5"/>
    <x v="3"/>
    <x v="2"/>
    <s v="United States"/>
    <x v="104"/>
    <x v="22"/>
    <x v="1"/>
    <n v="1"/>
    <n v="508"/>
    <n v="151.29"/>
  </r>
  <r>
    <x v="280"/>
    <x v="4"/>
    <x v="1"/>
    <s v="United States"/>
    <x v="112"/>
    <x v="3"/>
    <x v="2"/>
    <n v="4"/>
    <n v="4700"/>
    <n v="914.6"/>
  </r>
  <r>
    <x v="281"/>
    <x v="8"/>
    <x v="1"/>
    <s v="United States"/>
    <x v="113"/>
    <x v="2"/>
    <x v="1"/>
    <n v="8"/>
    <n v="3216"/>
    <n v="639.78"/>
  </r>
  <r>
    <x v="160"/>
    <x v="9"/>
    <x v="2"/>
    <s v="United States"/>
    <x v="114"/>
    <x v="20"/>
    <x v="2"/>
    <n v="6"/>
    <n v="2844"/>
    <n v="581"/>
  </r>
  <r>
    <x v="282"/>
    <x v="7"/>
    <x v="2"/>
    <s v="United States"/>
    <x v="29"/>
    <x v="15"/>
    <x v="2"/>
    <n v="5"/>
    <n v="2385"/>
    <n v="258.60000000000002"/>
  </r>
  <r>
    <x v="283"/>
    <x v="6"/>
    <x v="1"/>
    <s v="United States"/>
    <x v="115"/>
    <x v="7"/>
    <x v="2"/>
    <n v="8"/>
    <n v="928"/>
    <n v="170.05"/>
  </r>
  <r>
    <x v="284"/>
    <x v="4"/>
    <x v="1"/>
    <s v="United States"/>
    <x v="15"/>
    <x v="13"/>
    <x v="1"/>
    <n v="6"/>
    <n v="4656"/>
    <n v="673.35"/>
  </r>
  <r>
    <x v="46"/>
    <x v="4"/>
    <x v="1"/>
    <s v="United States"/>
    <x v="13"/>
    <x v="7"/>
    <x v="2"/>
    <n v="2"/>
    <n v="330"/>
    <n v="21.46"/>
  </r>
  <r>
    <x v="285"/>
    <x v="3"/>
    <x v="2"/>
    <s v="United States"/>
    <x v="2"/>
    <x v="2"/>
    <x v="1"/>
    <n v="7"/>
    <n v="1799"/>
    <n v="274.11"/>
  </r>
  <r>
    <x v="286"/>
    <x v="0"/>
    <x v="0"/>
    <s v="United States"/>
    <x v="2"/>
    <x v="2"/>
    <x v="1"/>
    <n v="1"/>
    <n v="1029"/>
    <n v="173.61"/>
  </r>
  <r>
    <x v="287"/>
    <x v="4"/>
    <x v="1"/>
    <s v="United States"/>
    <x v="116"/>
    <x v="5"/>
    <x v="3"/>
    <n v="8"/>
    <n v="5432"/>
    <n v="1619.39"/>
  </r>
  <r>
    <x v="235"/>
    <x v="3"/>
    <x v="2"/>
    <s v="United States"/>
    <x v="13"/>
    <x v="7"/>
    <x v="2"/>
    <n v="5"/>
    <n v="5785"/>
    <n v="1191.1099999999999"/>
  </r>
  <r>
    <x v="288"/>
    <x v="0"/>
    <x v="0"/>
    <s v="United States"/>
    <x v="13"/>
    <x v="7"/>
    <x v="2"/>
    <n v="1"/>
    <n v="1062"/>
    <n v="272.42"/>
  </r>
  <r>
    <x v="289"/>
    <x v="8"/>
    <x v="1"/>
    <s v="United States"/>
    <x v="13"/>
    <x v="7"/>
    <x v="2"/>
    <n v="1"/>
    <n v="163"/>
    <n v="22.07"/>
  </r>
  <r>
    <x v="290"/>
    <x v="7"/>
    <x v="2"/>
    <s v="United States"/>
    <x v="117"/>
    <x v="8"/>
    <x v="3"/>
    <n v="9"/>
    <n v="9162"/>
    <n v="1625.62"/>
  </r>
  <r>
    <x v="291"/>
    <x v="0"/>
    <x v="0"/>
    <s v="United States"/>
    <x v="29"/>
    <x v="15"/>
    <x v="2"/>
    <n v="4"/>
    <n v="1440"/>
    <n v="130.24"/>
  </r>
  <r>
    <x v="160"/>
    <x v="6"/>
    <x v="1"/>
    <s v="United States"/>
    <x v="13"/>
    <x v="7"/>
    <x v="2"/>
    <n v="5"/>
    <n v="1465"/>
    <n v="149.62"/>
  </r>
  <r>
    <x v="217"/>
    <x v="6"/>
    <x v="1"/>
    <s v="United States"/>
    <x v="118"/>
    <x v="5"/>
    <x v="3"/>
    <n v="2"/>
    <n v="366"/>
    <n v="31.23"/>
  </r>
  <r>
    <x v="292"/>
    <x v="3"/>
    <x v="2"/>
    <s v="United States"/>
    <x v="63"/>
    <x v="14"/>
    <x v="2"/>
    <n v="5"/>
    <n v="3135"/>
    <n v="277.27999999999997"/>
  </r>
  <r>
    <x v="293"/>
    <x v="8"/>
    <x v="1"/>
    <s v="United States"/>
    <x v="2"/>
    <x v="2"/>
    <x v="1"/>
    <n v="2"/>
    <n v="630"/>
    <n v="161.04"/>
  </r>
  <r>
    <x v="294"/>
    <x v="6"/>
    <x v="1"/>
    <s v="United States"/>
    <x v="119"/>
    <x v="13"/>
    <x v="1"/>
    <n v="1"/>
    <n v="213"/>
    <n v="42.94"/>
  </r>
  <r>
    <x v="295"/>
    <x v="6"/>
    <x v="1"/>
    <s v="United States"/>
    <x v="120"/>
    <x v="35"/>
    <x v="0"/>
    <n v="4"/>
    <n v="3792"/>
    <n v="1092.8499999999999"/>
  </r>
  <r>
    <x v="296"/>
    <x v="1"/>
    <x v="1"/>
    <s v="United States"/>
    <x v="59"/>
    <x v="15"/>
    <x v="2"/>
    <n v="2"/>
    <n v="1932"/>
    <n v="109.07"/>
  </r>
  <r>
    <x v="297"/>
    <x v="8"/>
    <x v="1"/>
    <s v="United States"/>
    <x v="85"/>
    <x v="29"/>
    <x v="2"/>
    <n v="4"/>
    <n v="4152"/>
    <n v="317.27999999999997"/>
  </r>
  <r>
    <x v="298"/>
    <x v="7"/>
    <x v="2"/>
    <s v="United States"/>
    <x v="79"/>
    <x v="16"/>
    <x v="3"/>
    <n v="7"/>
    <n v="3612"/>
    <n v="529.57000000000005"/>
  </r>
  <r>
    <x v="299"/>
    <x v="7"/>
    <x v="2"/>
    <s v="United States"/>
    <x v="13"/>
    <x v="7"/>
    <x v="2"/>
    <n v="2"/>
    <n v="2258"/>
    <n v="280.76"/>
  </r>
  <r>
    <x v="24"/>
    <x v="3"/>
    <x v="2"/>
    <s v="United States"/>
    <x v="6"/>
    <x v="5"/>
    <x v="3"/>
    <n v="3"/>
    <n v="594"/>
    <n v="47.73"/>
  </r>
  <r>
    <x v="300"/>
    <x v="4"/>
    <x v="1"/>
    <s v="United States"/>
    <x v="3"/>
    <x v="3"/>
    <x v="2"/>
    <n v="7"/>
    <n v="8071"/>
    <n v="1799.06"/>
  </r>
  <r>
    <x v="301"/>
    <x v="8"/>
    <x v="1"/>
    <s v="United States"/>
    <x v="28"/>
    <x v="2"/>
    <x v="1"/>
    <n v="7"/>
    <n v="5838"/>
    <n v="631.45000000000005"/>
  </r>
  <r>
    <x v="302"/>
    <x v="8"/>
    <x v="1"/>
    <s v="United States"/>
    <x v="3"/>
    <x v="3"/>
    <x v="2"/>
    <n v="4"/>
    <n v="692"/>
    <n v="181.31"/>
  </r>
  <r>
    <x v="303"/>
    <x v="8"/>
    <x v="1"/>
    <s v="United States"/>
    <x v="3"/>
    <x v="3"/>
    <x v="2"/>
    <n v="3"/>
    <n v="1704"/>
    <n v="309.06"/>
  </r>
  <r>
    <x v="304"/>
    <x v="0"/>
    <x v="0"/>
    <s v="United States"/>
    <x v="29"/>
    <x v="15"/>
    <x v="2"/>
    <n v="5"/>
    <n v="3235"/>
    <n v="941.24"/>
  </r>
  <r>
    <x v="305"/>
    <x v="1"/>
    <x v="1"/>
    <s v="United States"/>
    <x v="15"/>
    <x v="13"/>
    <x v="1"/>
    <n v="6"/>
    <n v="4746"/>
    <n v="545.57000000000005"/>
  </r>
  <r>
    <x v="306"/>
    <x v="5"/>
    <x v="2"/>
    <s v="United States"/>
    <x v="13"/>
    <x v="7"/>
    <x v="2"/>
    <n v="8"/>
    <n v="7600"/>
    <n v="788.88"/>
  </r>
  <r>
    <x v="307"/>
    <x v="7"/>
    <x v="2"/>
    <s v="United States"/>
    <x v="28"/>
    <x v="2"/>
    <x v="1"/>
    <n v="5"/>
    <n v="1935"/>
    <n v="128.01"/>
  </r>
  <r>
    <x v="10"/>
    <x v="9"/>
    <x v="2"/>
    <s v="United States"/>
    <x v="9"/>
    <x v="8"/>
    <x v="3"/>
    <n v="3"/>
    <n v="1638"/>
    <n v="306.29000000000002"/>
  </r>
  <r>
    <x v="308"/>
    <x v="8"/>
    <x v="1"/>
    <s v="United States"/>
    <x v="28"/>
    <x v="2"/>
    <x v="1"/>
    <n v="7"/>
    <n v="4746"/>
    <n v="816.6"/>
  </r>
  <r>
    <x v="73"/>
    <x v="7"/>
    <x v="2"/>
    <s v="United States"/>
    <x v="13"/>
    <x v="7"/>
    <x v="2"/>
    <n v="8"/>
    <n v="4824"/>
    <n v="1187.93"/>
  </r>
  <r>
    <x v="255"/>
    <x v="3"/>
    <x v="2"/>
    <s v="United States"/>
    <x v="13"/>
    <x v="7"/>
    <x v="2"/>
    <n v="1"/>
    <n v="1193"/>
    <n v="153.72"/>
  </r>
  <r>
    <x v="309"/>
    <x v="9"/>
    <x v="2"/>
    <s v="United States"/>
    <x v="9"/>
    <x v="8"/>
    <x v="3"/>
    <n v="2"/>
    <n v="562"/>
    <n v="92.94"/>
  </r>
  <r>
    <x v="310"/>
    <x v="7"/>
    <x v="2"/>
    <s v="United States"/>
    <x v="24"/>
    <x v="15"/>
    <x v="2"/>
    <n v="8"/>
    <n v="6200"/>
    <n v="1296.8399999999999"/>
  </r>
  <r>
    <x v="311"/>
    <x v="0"/>
    <x v="0"/>
    <s v="United States"/>
    <x v="3"/>
    <x v="3"/>
    <x v="2"/>
    <n v="8"/>
    <n v="4128"/>
    <n v="315.48"/>
  </r>
  <r>
    <x v="312"/>
    <x v="0"/>
    <x v="0"/>
    <s v="United States"/>
    <x v="21"/>
    <x v="5"/>
    <x v="3"/>
    <n v="5"/>
    <n v="5405"/>
    <n v="326.56"/>
  </r>
  <r>
    <x v="177"/>
    <x v="9"/>
    <x v="2"/>
    <s v="United States"/>
    <x v="121"/>
    <x v="2"/>
    <x v="1"/>
    <n v="3"/>
    <n v="1371"/>
    <n v="104.66"/>
  </r>
  <r>
    <x v="313"/>
    <x v="8"/>
    <x v="1"/>
    <s v="United States"/>
    <x v="53"/>
    <x v="2"/>
    <x v="1"/>
    <n v="5"/>
    <n v="1405"/>
    <n v="194.33"/>
  </r>
  <r>
    <x v="26"/>
    <x v="8"/>
    <x v="1"/>
    <s v="United States"/>
    <x v="53"/>
    <x v="2"/>
    <x v="1"/>
    <n v="3"/>
    <n v="1644"/>
    <n v="158.32"/>
  </r>
  <r>
    <x v="314"/>
    <x v="1"/>
    <x v="1"/>
    <s v="United States"/>
    <x v="122"/>
    <x v="25"/>
    <x v="0"/>
    <n v="6"/>
    <n v="3414"/>
    <n v="396.92"/>
  </r>
  <r>
    <x v="315"/>
    <x v="9"/>
    <x v="2"/>
    <s v="United States"/>
    <x v="123"/>
    <x v="16"/>
    <x v="3"/>
    <n v="8"/>
    <n v="3272"/>
    <n v="674.57"/>
  </r>
  <r>
    <x v="316"/>
    <x v="7"/>
    <x v="2"/>
    <s v="United States"/>
    <x v="124"/>
    <x v="2"/>
    <x v="1"/>
    <n v="3"/>
    <n v="2655"/>
    <n v="646.91"/>
  </r>
  <r>
    <x v="282"/>
    <x v="5"/>
    <x v="2"/>
    <s v="United States"/>
    <x v="83"/>
    <x v="13"/>
    <x v="1"/>
    <n v="7"/>
    <n v="1673"/>
    <n v="458.32"/>
  </r>
  <r>
    <x v="317"/>
    <x v="2"/>
    <x v="2"/>
    <s v="United States"/>
    <x v="9"/>
    <x v="8"/>
    <x v="3"/>
    <n v="2"/>
    <n v="846"/>
    <n v="145.09"/>
  </r>
  <r>
    <x v="318"/>
    <x v="7"/>
    <x v="2"/>
    <s v="United States"/>
    <x v="95"/>
    <x v="25"/>
    <x v="0"/>
    <n v="1"/>
    <n v="985"/>
    <n v="196.64"/>
  </r>
  <r>
    <x v="319"/>
    <x v="5"/>
    <x v="2"/>
    <s v="United States"/>
    <x v="19"/>
    <x v="15"/>
    <x v="2"/>
    <n v="9"/>
    <n v="7551"/>
    <n v="894.4"/>
  </r>
  <r>
    <x v="89"/>
    <x v="2"/>
    <x v="2"/>
    <s v="United States"/>
    <x v="19"/>
    <x v="15"/>
    <x v="2"/>
    <n v="5"/>
    <n v="855"/>
    <n v="217.16"/>
  </r>
  <r>
    <x v="320"/>
    <x v="3"/>
    <x v="2"/>
    <s v="United States"/>
    <x v="2"/>
    <x v="2"/>
    <x v="1"/>
    <n v="2"/>
    <n v="396"/>
    <n v="94.55"/>
  </r>
  <r>
    <x v="108"/>
    <x v="2"/>
    <x v="2"/>
    <s v="United States"/>
    <x v="9"/>
    <x v="8"/>
    <x v="3"/>
    <n v="8"/>
    <n v="2296"/>
    <n v="560.48"/>
  </r>
  <r>
    <x v="321"/>
    <x v="6"/>
    <x v="1"/>
    <s v="United States"/>
    <x v="9"/>
    <x v="8"/>
    <x v="3"/>
    <n v="6"/>
    <n v="1704"/>
    <n v="199.94"/>
  </r>
  <r>
    <x v="322"/>
    <x v="7"/>
    <x v="2"/>
    <s v="United States"/>
    <x v="125"/>
    <x v="36"/>
    <x v="1"/>
    <n v="2"/>
    <n v="1180"/>
    <n v="261.16000000000003"/>
  </r>
  <r>
    <x v="323"/>
    <x v="7"/>
    <x v="2"/>
    <s v="United States"/>
    <x v="125"/>
    <x v="36"/>
    <x v="1"/>
    <n v="3"/>
    <n v="411"/>
    <n v="55.73"/>
  </r>
  <r>
    <x v="260"/>
    <x v="1"/>
    <x v="1"/>
    <s v="United States"/>
    <x v="126"/>
    <x v="37"/>
    <x v="3"/>
    <n v="1"/>
    <n v="745"/>
    <n v="151.22"/>
  </r>
  <r>
    <x v="255"/>
    <x v="0"/>
    <x v="0"/>
    <s v="United States"/>
    <x v="91"/>
    <x v="30"/>
    <x v="0"/>
    <n v="9"/>
    <n v="10656"/>
    <n v="961.3"/>
  </r>
  <r>
    <x v="324"/>
    <x v="1"/>
    <x v="1"/>
    <s v="United States"/>
    <x v="127"/>
    <x v="30"/>
    <x v="0"/>
    <n v="3"/>
    <n v="1494"/>
    <n v="178.5"/>
  </r>
  <r>
    <x v="325"/>
    <x v="3"/>
    <x v="2"/>
    <s v="United States"/>
    <x v="128"/>
    <x v="0"/>
    <x v="0"/>
    <n v="5"/>
    <n v="1755"/>
    <n v="358.01"/>
  </r>
  <r>
    <x v="326"/>
    <x v="3"/>
    <x v="2"/>
    <s v="United States"/>
    <x v="21"/>
    <x v="5"/>
    <x v="3"/>
    <n v="9"/>
    <n v="4941"/>
    <n v="894.52"/>
  </r>
  <r>
    <x v="327"/>
    <x v="5"/>
    <x v="2"/>
    <s v="United States"/>
    <x v="85"/>
    <x v="29"/>
    <x v="2"/>
    <n v="6"/>
    <n v="6510"/>
    <n v="1539.18"/>
  </r>
  <r>
    <x v="328"/>
    <x v="7"/>
    <x v="2"/>
    <s v="United States"/>
    <x v="2"/>
    <x v="2"/>
    <x v="1"/>
    <n v="5"/>
    <n v="5465"/>
    <n v="719.92"/>
  </r>
  <r>
    <x v="329"/>
    <x v="2"/>
    <x v="2"/>
    <s v="United States"/>
    <x v="13"/>
    <x v="7"/>
    <x v="2"/>
    <n v="3"/>
    <n v="3522"/>
    <n v="285.91000000000003"/>
  </r>
  <r>
    <x v="330"/>
    <x v="2"/>
    <x v="2"/>
    <s v="United States"/>
    <x v="14"/>
    <x v="12"/>
    <x v="1"/>
    <n v="6"/>
    <n v="1656"/>
    <n v="139.86000000000001"/>
  </r>
  <r>
    <x v="331"/>
    <x v="0"/>
    <x v="0"/>
    <s v="United States"/>
    <x v="14"/>
    <x v="12"/>
    <x v="1"/>
    <n v="5"/>
    <n v="1255"/>
    <n v="257.14999999999998"/>
  </r>
  <r>
    <x v="174"/>
    <x v="8"/>
    <x v="1"/>
    <s v="United States"/>
    <x v="0"/>
    <x v="34"/>
    <x v="1"/>
    <n v="1"/>
    <n v="1192"/>
    <n v="320.13"/>
  </r>
  <r>
    <x v="332"/>
    <x v="2"/>
    <x v="2"/>
    <s v="United States"/>
    <x v="28"/>
    <x v="2"/>
    <x v="1"/>
    <n v="5"/>
    <n v="1925"/>
    <n v="204.74"/>
  </r>
  <r>
    <x v="333"/>
    <x v="2"/>
    <x v="2"/>
    <s v="United States"/>
    <x v="28"/>
    <x v="2"/>
    <x v="1"/>
    <n v="8"/>
    <n v="1688"/>
    <n v="337.33"/>
  </r>
  <r>
    <x v="334"/>
    <x v="4"/>
    <x v="1"/>
    <s v="United States"/>
    <x v="129"/>
    <x v="13"/>
    <x v="1"/>
    <n v="1"/>
    <n v="260"/>
    <n v="16.809999999999999"/>
  </r>
  <r>
    <x v="260"/>
    <x v="6"/>
    <x v="1"/>
    <s v="United States"/>
    <x v="62"/>
    <x v="7"/>
    <x v="2"/>
    <n v="5"/>
    <n v="4880"/>
    <n v="1250.6600000000001"/>
  </r>
  <r>
    <x v="335"/>
    <x v="8"/>
    <x v="1"/>
    <s v="United States"/>
    <x v="2"/>
    <x v="2"/>
    <x v="1"/>
    <n v="7"/>
    <n v="1134"/>
    <n v="179.74"/>
  </r>
  <r>
    <x v="42"/>
    <x v="9"/>
    <x v="2"/>
    <s v="United States"/>
    <x v="13"/>
    <x v="7"/>
    <x v="2"/>
    <n v="9"/>
    <n v="9621"/>
    <n v="1201.29"/>
  </r>
  <r>
    <x v="268"/>
    <x v="6"/>
    <x v="1"/>
    <s v="United States"/>
    <x v="28"/>
    <x v="2"/>
    <x v="1"/>
    <n v="4"/>
    <n v="2836"/>
    <n v="698.83"/>
  </r>
  <r>
    <x v="332"/>
    <x v="0"/>
    <x v="0"/>
    <s v="United States"/>
    <x v="130"/>
    <x v="15"/>
    <x v="2"/>
    <n v="9"/>
    <n v="5859"/>
    <n v="1153.8900000000001"/>
  </r>
  <r>
    <x v="37"/>
    <x v="5"/>
    <x v="2"/>
    <s v="United States"/>
    <x v="89"/>
    <x v="1"/>
    <x v="0"/>
    <n v="2"/>
    <n v="2044"/>
    <n v="460.03"/>
  </r>
  <r>
    <x v="336"/>
    <x v="6"/>
    <x v="1"/>
    <s v="United States"/>
    <x v="76"/>
    <x v="36"/>
    <x v="1"/>
    <n v="1"/>
    <n v="612"/>
    <n v="174.52"/>
  </r>
  <r>
    <x v="337"/>
    <x v="5"/>
    <x v="2"/>
    <s v="United States"/>
    <x v="2"/>
    <x v="2"/>
    <x v="1"/>
    <n v="3"/>
    <n v="1890"/>
    <n v="492.31"/>
  </r>
  <r>
    <x v="338"/>
    <x v="5"/>
    <x v="2"/>
    <s v="United States"/>
    <x v="64"/>
    <x v="7"/>
    <x v="2"/>
    <n v="5"/>
    <n v="2025"/>
    <n v="168.82"/>
  </r>
  <r>
    <x v="339"/>
    <x v="0"/>
    <x v="0"/>
    <s v="United States"/>
    <x v="115"/>
    <x v="7"/>
    <x v="2"/>
    <n v="2"/>
    <n v="1960"/>
    <n v="312.06"/>
  </r>
  <r>
    <x v="331"/>
    <x v="3"/>
    <x v="2"/>
    <s v="United States"/>
    <x v="120"/>
    <x v="35"/>
    <x v="0"/>
    <n v="6"/>
    <n v="4410"/>
    <n v="893.27"/>
  </r>
  <r>
    <x v="340"/>
    <x v="8"/>
    <x v="1"/>
    <s v="United States"/>
    <x v="120"/>
    <x v="35"/>
    <x v="0"/>
    <n v="8"/>
    <n v="8272"/>
    <n v="2391.88"/>
  </r>
  <r>
    <x v="11"/>
    <x v="5"/>
    <x v="2"/>
    <s v="United States"/>
    <x v="28"/>
    <x v="2"/>
    <x v="1"/>
    <n v="6"/>
    <n v="5712"/>
    <n v="638.29"/>
  </r>
  <r>
    <x v="341"/>
    <x v="5"/>
    <x v="2"/>
    <s v="United States"/>
    <x v="131"/>
    <x v="12"/>
    <x v="1"/>
    <n v="6"/>
    <n v="1524"/>
    <n v="178.36"/>
  </r>
  <r>
    <x v="342"/>
    <x v="8"/>
    <x v="1"/>
    <s v="United States"/>
    <x v="13"/>
    <x v="7"/>
    <x v="2"/>
    <n v="8"/>
    <n v="5160"/>
    <n v="1057.4100000000001"/>
  </r>
  <r>
    <x v="343"/>
    <x v="1"/>
    <x v="1"/>
    <s v="United States"/>
    <x v="13"/>
    <x v="7"/>
    <x v="2"/>
    <n v="4"/>
    <n v="2956"/>
    <n v="451.6"/>
  </r>
  <r>
    <x v="344"/>
    <x v="7"/>
    <x v="2"/>
    <s v="United States"/>
    <x v="13"/>
    <x v="7"/>
    <x v="2"/>
    <n v="8"/>
    <n v="7944"/>
    <n v="2257.73"/>
  </r>
  <r>
    <x v="112"/>
    <x v="3"/>
    <x v="2"/>
    <s v="United States"/>
    <x v="132"/>
    <x v="33"/>
    <x v="0"/>
    <n v="5"/>
    <n v="1815"/>
    <n v="535.22"/>
  </r>
  <r>
    <x v="88"/>
    <x v="4"/>
    <x v="1"/>
    <s v="United States"/>
    <x v="110"/>
    <x v="22"/>
    <x v="1"/>
    <n v="3"/>
    <n v="2706"/>
    <n v="546.97"/>
  </r>
  <r>
    <x v="345"/>
    <x v="9"/>
    <x v="2"/>
    <s v="United States"/>
    <x v="133"/>
    <x v="2"/>
    <x v="1"/>
    <n v="2"/>
    <n v="1356"/>
    <n v="144.18"/>
  </r>
  <r>
    <x v="346"/>
    <x v="0"/>
    <x v="0"/>
    <s v="United States"/>
    <x v="76"/>
    <x v="23"/>
    <x v="3"/>
    <n v="6"/>
    <n v="6384"/>
    <n v="1189.19"/>
  </r>
  <r>
    <x v="347"/>
    <x v="5"/>
    <x v="2"/>
    <s v="United States"/>
    <x v="6"/>
    <x v="5"/>
    <x v="3"/>
    <n v="9"/>
    <n v="4248"/>
    <n v="964.12"/>
  </r>
  <r>
    <x v="348"/>
    <x v="6"/>
    <x v="1"/>
    <s v="United States"/>
    <x v="74"/>
    <x v="0"/>
    <x v="0"/>
    <n v="6"/>
    <n v="3954"/>
    <n v="676.82"/>
  </r>
  <r>
    <x v="265"/>
    <x v="7"/>
    <x v="2"/>
    <s v="United States"/>
    <x v="9"/>
    <x v="8"/>
    <x v="3"/>
    <n v="6"/>
    <n v="7110"/>
    <n v="739.6"/>
  </r>
  <r>
    <x v="349"/>
    <x v="4"/>
    <x v="1"/>
    <s v="United States"/>
    <x v="83"/>
    <x v="33"/>
    <x v="0"/>
    <n v="7"/>
    <n v="8113"/>
    <n v="995.03"/>
  </r>
  <r>
    <x v="350"/>
    <x v="4"/>
    <x v="1"/>
    <s v="United States"/>
    <x v="134"/>
    <x v="38"/>
    <x v="2"/>
    <n v="3"/>
    <n v="1830"/>
    <n v="183.62"/>
  </r>
  <r>
    <x v="351"/>
    <x v="8"/>
    <x v="1"/>
    <s v="United States"/>
    <x v="15"/>
    <x v="13"/>
    <x v="1"/>
    <n v="4"/>
    <n v="3732"/>
    <n v="671.19"/>
  </r>
  <r>
    <x v="352"/>
    <x v="1"/>
    <x v="1"/>
    <s v="United States"/>
    <x v="77"/>
    <x v="11"/>
    <x v="3"/>
    <n v="6"/>
    <n v="4062"/>
    <n v="1087.17"/>
  </r>
  <r>
    <x v="353"/>
    <x v="5"/>
    <x v="2"/>
    <s v="United States"/>
    <x v="117"/>
    <x v="22"/>
    <x v="1"/>
    <n v="1"/>
    <n v="496"/>
    <n v="93.31"/>
  </r>
  <r>
    <x v="354"/>
    <x v="5"/>
    <x v="2"/>
    <s v="United States"/>
    <x v="3"/>
    <x v="3"/>
    <x v="2"/>
    <n v="4"/>
    <n v="1104"/>
    <n v="84.31"/>
  </r>
  <r>
    <x v="130"/>
    <x v="7"/>
    <x v="2"/>
    <s v="United States"/>
    <x v="3"/>
    <x v="3"/>
    <x v="2"/>
    <n v="3"/>
    <n v="2274"/>
    <n v="662"/>
  </r>
  <r>
    <x v="355"/>
    <x v="5"/>
    <x v="2"/>
    <s v="United States"/>
    <x v="3"/>
    <x v="3"/>
    <x v="2"/>
    <n v="8"/>
    <n v="4456"/>
    <n v="1106.04"/>
  </r>
  <r>
    <x v="356"/>
    <x v="1"/>
    <x v="1"/>
    <s v="United States"/>
    <x v="52"/>
    <x v="6"/>
    <x v="3"/>
    <n v="8"/>
    <n v="4928"/>
    <n v="1038.18"/>
  </r>
  <r>
    <x v="357"/>
    <x v="7"/>
    <x v="2"/>
    <s v="United States"/>
    <x v="25"/>
    <x v="17"/>
    <x v="3"/>
    <n v="4"/>
    <n v="1740"/>
    <n v="224.79"/>
  </r>
  <r>
    <x v="358"/>
    <x v="4"/>
    <x v="1"/>
    <s v="United States"/>
    <x v="25"/>
    <x v="17"/>
    <x v="3"/>
    <n v="2"/>
    <n v="178"/>
    <n v="31.46"/>
  </r>
  <r>
    <x v="359"/>
    <x v="0"/>
    <x v="0"/>
    <s v="United States"/>
    <x v="2"/>
    <x v="2"/>
    <x v="1"/>
    <n v="8"/>
    <n v="5296"/>
    <n v="1234.81"/>
  </r>
  <r>
    <x v="360"/>
    <x v="1"/>
    <x v="1"/>
    <s v="United States"/>
    <x v="135"/>
    <x v="2"/>
    <x v="1"/>
    <n v="4"/>
    <n v="4156"/>
    <n v="847.09"/>
  </r>
  <r>
    <x v="62"/>
    <x v="0"/>
    <x v="0"/>
    <s v="United States"/>
    <x v="136"/>
    <x v="2"/>
    <x v="1"/>
    <n v="1"/>
    <n v="624"/>
    <n v="106.92"/>
  </r>
  <r>
    <x v="29"/>
    <x v="7"/>
    <x v="2"/>
    <s v="United States"/>
    <x v="28"/>
    <x v="2"/>
    <x v="1"/>
    <n v="4"/>
    <n v="3892"/>
    <n v="1052.72"/>
  </r>
  <r>
    <x v="361"/>
    <x v="1"/>
    <x v="1"/>
    <s v="United States"/>
    <x v="43"/>
    <x v="22"/>
    <x v="1"/>
    <n v="9"/>
    <n v="1620"/>
    <n v="294.60000000000002"/>
  </r>
  <r>
    <x v="362"/>
    <x v="1"/>
    <x v="1"/>
    <s v="United States"/>
    <x v="16"/>
    <x v="14"/>
    <x v="2"/>
    <n v="3"/>
    <n v="2250"/>
    <n v="301.97000000000003"/>
  </r>
  <r>
    <x v="363"/>
    <x v="6"/>
    <x v="1"/>
    <s v="United States"/>
    <x v="137"/>
    <x v="11"/>
    <x v="3"/>
    <n v="2"/>
    <n v="1390"/>
    <n v="316.31"/>
  </r>
  <r>
    <x v="364"/>
    <x v="3"/>
    <x v="2"/>
    <s v="United States"/>
    <x v="104"/>
    <x v="22"/>
    <x v="1"/>
    <n v="5"/>
    <n v="5155"/>
    <n v="1325.16"/>
  </r>
  <r>
    <x v="24"/>
    <x v="5"/>
    <x v="2"/>
    <s v="United States"/>
    <x v="138"/>
    <x v="2"/>
    <x v="1"/>
    <n v="5"/>
    <n v="1025"/>
    <n v="262.91000000000003"/>
  </r>
  <r>
    <x v="363"/>
    <x v="1"/>
    <x v="1"/>
    <s v="United States"/>
    <x v="138"/>
    <x v="2"/>
    <x v="1"/>
    <n v="3"/>
    <n v="1785"/>
    <n v="244.52"/>
  </r>
  <r>
    <x v="365"/>
    <x v="5"/>
    <x v="2"/>
    <s v="United States"/>
    <x v="77"/>
    <x v="7"/>
    <x v="2"/>
    <n v="9"/>
    <n v="2952"/>
    <n v="605.85"/>
  </r>
  <r>
    <x v="366"/>
    <x v="4"/>
    <x v="1"/>
    <s v="United States"/>
    <x v="139"/>
    <x v="2"/>
    <x v="1"/>
    <n v="1"/>
    <n v="773"/>
    <n v="181.52"/>
  </r>
  <r>
    <x v="367"/>
    <x v="2"/>
    <x v="2"/>
    <s v="United States"/>
    <x v="140"/>
    <x v="17"/>
    <x v="3"/>
    <n v="8"/>
    <n v="1640"/>
    <n v="361.48"/>
  </r>
  <r>
    <x v="368"/>
    <x v="8"/>
    <x v="1"/>
    <s v="United States"/>
    <x v="3"/>
    <x v="3"/>
    <x v="2"/>
    <n v="1"/>
    <n v="1017"/>
    <n v="69.33"/>
  </r>
  <r>
    <x v="369"/>
    <x v="4"/>
    <x v="1"/>
    <s v="United States"/>
    <x v="63"/>
    <x v="28"/>
    <x v="2"/>
    <n v="4"/>
    <n v="1964"/>
    <n v="349.91"/>
  </r>
  <r>
    <x v="246"/>
    <x v="1"/>
    <x v="1"/>
    <s v="United States"/>
    <x v="141"/>
    <x v="5"/>
    <x v="3"/>
    <n v="3"/>
    <n v="2994"/>
    <n v="638.59"/>
  </r>
  <r>
    <x v="370"/>
    <x v="0"/>
    <x v="0"/>
    <s v="United States"/>
    <x v="62"/>
    <x v="7"/>
    <x v="2"/>
    <n v="9"/>
    <n v="8046"/>
    <n v="2210.33"/>
  </r>
  <r>
    <x v="371"/>
    <x v="0"/>
    <x v="0"/>
    <s v="United States"/>
    <x v="142"/>
    <x v="3"/>
    <x v="2"/>
    <n v="2"/>
    <n v="1874"/>
    <n v="271.5"/>
  </r>
  <r>
    <x v="372"/>
    <x v="1"/>
    <x v="1"/>
    <s v="United States"/>
    <x v="41"/>
    <x v="2"/>
    <x v="1"/>
    <n v="8"/>
    <n v="6008"/>
    <n v="871.76"/>
  </r>
  <r>
    <x v="284"/>
    <x v="3"/>
    <x v="2"/>
    <s v="United States"/>
    <x v="143"/>
    <x v="5"/>
    <x v="3"/>
    <n v="8"/>
    <n v="7240"/>
    <n v="411.19"/>
  </r>
  <r>
    <x v="373"/>
    <x v="6"/>
    <x v="1"/>
    <s v="United States"/>
    <x v="144"/>
    <x v="5"/>
    <x v="3"/>
    <n v="9"/>
    <n v="1188"/>
    <n v="348.31"/>
  </r>
  <r>
    <x v="302"/>
    <x v="4"/>
    <x v="1"/>
    <s v="United States"/>
    <x v="145"/>
    <x v="15"/>
    <x v="2"/>
    <n v="9"/>
    <n v="2997"/>
    <n v="163.34"/>
  </r>
  <r>
    <x v="374"/>
    <x v="0"/>
    <x v="0"/>
    <s v="United States"/>
    <x v="146"/>
    <x v="5"/>
    <x v="3"/>
    <n v="9"/>
    <n v="7524"/>
    <n v="2017.85"/>
  </r>
  <r>
    <x v="375"/>
    <x v="6"/>
    <x v="1"/>
    <s v="United States"/>
    <x v="147"/>
    <x v="5"/>
    <x v="3"/>
    <n v="5"/>
    <n v="3625"/>
    <n v="268.73"/>
  </r>
  <r>
    <x v="376"/>
    <x v="9"/>
    <x v="2"/>
    <s v="United States"/>
    <x v="13"/>
    <x v="7"/>
    <x v="2"/>
    <n v="8"/>
    <n v="6952"/>
    <n v="871.2"/>
  </r>
  <r>
    <x v="377"/>
    <x v="3"/>
    <x v="2"/>
    <s v="United States"/>
    <x v="13"/>
    <x v="7"/>
    <x v="2"/>
    <n v="9"/>
    <n v="1053"/>
    <n v="283.58"/>
  </r>
  <r>
    <x v="378"/>
    <x v="6"/>
    <x v="1"/>
    <s v="United States"/>
    <x v="29"/>
    <x v="6"/>
    <x v="3"/>
    <n v="9"/>
    <n v="6696"/>
    <n v="1224.22"/>
  </r>
  <r>
    <x v="62"/>
    <x v="4"/>
    <x v="1"/>
    <s v="United States"/>
    <x v="148"/>
    <x v="31"/>
    <x v="0"/>
    <n v="2"/>
    <n v="1420"/>
    <n v="93.59"/>
  </r>
  <r>
    <x v="379"/>
    <x v="3"/>
    <x v="2"/>
    <s v="United States"/>
    <x v="15"/>
    <x v="13"/>
    <x v="1"/>
    <n v="9"/>
    <n v="9972"/>
    <n v="2566.0100000000002"/>
  </r>
  <r>
    <x v="380"/>
    <x v="9"/>
    <x v="2"/>
    <s v="United States"/>
    <x v="68"/>
    <x v="3"/>
    <x v="2"/>
    <n v="8"/>
    <n v="3136"/>
    <n v="494.26"/>
  </r>
  <r>
    <x v="291"/>
    <x v="3"/>
    <x v="2"/>
    <s v="United States"/>
    <x v="13"/>
    <x v="7"/>
    <x v="2"/>
    <n v="3"/>
    <n v="225"/>
    <n v="20.52"/>
  </r>
  <r>
    <x v="381"/>
    <x v="1"/>
    <x v="1"/>
    <s v="United States"/>
    <x v="124"/>
    <x v="2"/>
    <x v="1"/>
    <n v="3"/>
    <n v="1662"/>
    <n v="375.04"/>
  </r>
  <r>
    <x v="51"/>
    <x v="0"/>
    <x v="0"/>
    <s v="United States"/>
    <x v="149"/>
    <x v="15"/>
    <x v="2"/>
    <n v="4"/>
    <n v="500"/>
    <n v="85.96"/>
  </r>
  <r>
    <x v="382"/>
    <x v="7"/>
    <x v="2"/>
    <s v="United States"/>
    <x v="150"/>
    <x v="12"/>
    <x v="1"/>
    <n v="8"/>
    <n v="3168"/>
    <n v="747.33"/>
  </r>
  <r>
    <x v="383"/>
    <x v="7"/>
    <x v="2"/>
    <s v="United States"/>
    <x v="13"/>
    <x v="7"/>
    <x v="2"/>
    <n v="1"/>
    <n v="622"/>
    <n v="104.57"/>
  </r>
  <r>
    <x v="384"/>
    <x v="2"/>
    <x v="2"/>
    <s v="United States"/>
    <x v="101"/>
    <x v="6"/>
    <x v="3"/>
    <n v="3"/>
    <n v="1233"/>
    <n v="361.12"/>
  </r>
  <r>
    <x v="385"/>
    <x v="9"/>
    <x v="2"/>
    <s v="United States"/>
    <x v="9"/>
    <x v="8"/>
    <x v="3"/>
    <n v="3"/>
    <n v="573"/>
    <n v="116.14"/>
  </r>
  <r>
    <x v="337"/>
    <x v="2"/>
    <x v="2"/>
    <s v="United States"/>
    <x v="151"/>
    <x v="39"/>
    <x v="2"/>
    <n v="1"/>
    <n v="702"/>
    <n v="129.34"/>
  </r>
  <r>
    <x v="146"/>
    <x v="9"/>
    <x v="2"/>
    <s v="United States"/>
    <x v="28"/>
    <x v="2"/>
    <x v="1"/>
    <n v="8"/>
    <n v="4832"/>
    <n v="1261.06"/>
  </r>
  <r>
    <x v="386"/>
    <x v="0"/>
    <x v="0"/>
    <s v="United States"/>
    <x v="58"/>
    <x v="25"/>
    <x v="0"/>
    <n v="5"/>
    <n v="3765"/>
    <n v="670.8"/>
  </r>
  <r>
    <x v="387"/>
    <x v="3"/>
    <x v="2"/>
    <s v="United States"/>
    <x v="28"/>
    <x v="2"/>
    <x v="1"/>
    <n v="8"/>
    <n v="6928"/>
    <n v="1415.16"/>
  </r>
  <r>
    <x v="73"/>
    <x v="4"/>
    <x v="1"/>
    <s v="United States"/>
    <x v="2"/>
    <x v="2"/>
    <x v="1"/>
    <n v="7"/>
    <n v="1624"/>
    <n v="436.13"/>
  </r>
  <r>
    <x v="90"/>
    <x v="4"/>
    <x v="1"/>
    <s v="United States"/>
    <x v="2"/>
    <x v="2"/>
    <x v="1"/>
    <n v="1"/>
    <n v="68"/>
    <n v="10.39"/>
  </r>
  <r>
    <x v="388"/>
    <x v="1"/>
    <x v="1"/>
    <s v="United States"/>
    <x v="152"/>
    <x v="21"/>
    <x v="0"/>
    <n v="1"/>
    <n v="651"/>
    <n v="187.99"/>
  </r>
  <r>
    <x v="389"/>
    <x v="0"/>
    <x v="0"/>
    <s v="United States"/>
    <x v="15"/>
    <x v="13"/>
    <x v="1"/>
    <n v="7"/>
    <n v="6293"/>
    <n v="718.49"/>
  </r>
  <r>
    <x v="390"/>
    <x v="8"/>
    <x v="1"/>
    <s v="United States"/>
    <x v="15"/>
    <x v="13"/>
    <x v="1"/>
    <n v="2"/>
    <n v="1068"/>
    <n v="85.71"/>
  </r>
  <r>
    <x v="391"/>
    <x v="8"/>
    <x v="1"/>
    <s v="United States"/>
    <x v="15"/>
    <x v="13"/>
    <x v="1"/>
    <n v="1"/>
    <n v="381"/>
    <n v="26.69"/>
  </r>
  <r>
    <x v="155"/>
    <x v="0"/>
    <x v="0"/>
    <s v="United States"/>
    <x v="15"/>
    <x v="13"/>
    <x v="1"/>
    <n v="2"/>
    <n v="2016"/>
    <n v="426.43"/>
  </r>
  <r>
    <x v="392"/>
    <x v="4"/>
    <x v="1"/>
    <s v="United States"/>
    <x v="29"/>
    <x v="24"/>
    <x v="0"/>
    <n v="2"/>
    <n v="1224"/>
    <n v="340.67"/>
  </r>
  <r>
    <x v="139"/>
    <x v="6"/>
    <x v="1"/>
    <s v="United States"/>
    <x v="108"/>
    <x v="19"/>
    <x v="2"/>
    <n v="5"/>
    <n v="2180"/>
    <n v="400.01"/>
  </r>
  <r>
    <x v="393"/>
    <x v="9"/>
    <x v="2"/>
    <s v="United States"/>
    <x v="13"/>
    <x v="7"/>
    <x v="2"/>
    <n v="9"/>
    <n v="2853"/>
    <n v="353.09"/>
  </r>
  <r>
    <x v="394"/>
    <x v="1"/>
    <x v="1"/>
    <s v="United States"/>
    <x v="153"/>
    <x v="24"/>
    <x v="0"/>
    <n v="1"/>
    <n v="272"/>
    <n v="45.33"/>
  </r>
  <r>
    <x v="281"/>
    <x v="7"/>
    <x v="2"/>
    <s v="United States"/>
    <x v="9"/>
    <x v="8"/>
    <x v="3"/>
    <n v="4"/>
    <n v="2640"/>
    <n v="183.23"/>
  </r>
  <r>
    <x v="395"/>
    <x v="6"/>
    <x v="1"/>
    <s v="United States"/>
    <x v="117"/>
    <x v="22"/>
    <x v="1"/>
    <n v="2"/>
    <n v="488"/>
    <n v="129.02000000000001"/>
  </r>
  <r>
    <x v="396"/>
    <x v="0"/>
    <x v="0"/>
    <s v="United States"/>
    <x v="154"/>
    <x v="40"/>
    <x v="3"/>
    <n v="8"/>
    <n v="9184"/>
    <n v="1795.93"/>
  </r>
  <r>
    <x v="294"/>
    <x v="2"/>
    <x v="2"/>
    <s v="United States"/>
    <x v="13"/>
    <x v="7"/>
    <x v="2"/>
    <n v="5"/>
    <n v="280"/>
    <n v="23.98"/>
  </r>
  <r>
    <x v="141"/>
    <x v="8"/>
    <x v="1"/>
    <s v="United States"/>
    <x v="3"/>
    <x v="3"/>
    <x v="2"/>
    <n v="3"/>
    <n v="2889"/>
    <n v="604.45000000000005"/>
  </r>
  <r>
    <x v="361"/>
    <x v="9"/>
    <x v="2"/>
    <s v="United States"/>
    <x v="20"/>
    <x v="20"/>
    <x v="2"/>
    <n v="1"/>
    <n v="625"/>
    <n v="125.9"/>
  </r>
  <r>
    <x v="397"/>
    <x v="8"/>
    <x v="1"/>
    <s v="United States"/>
    <x v="21"/>
    <x v="5"/>
    <x v="3"/>
    <n v="8"/>
    <n v="7056"/>
    <n v="538.48"/>
  </r>
  <r>
    <x v="398"/>
    <x v="2"/>
    <x v="2"/>
    <s v="United States"/>
    <x v="28"/>
    <x v="2"/>
    <x v="1"/>
    <n v="8"/>
    <n v="3936"/>
    <n v="720.2"/>
  </r>
  <r>
    <x v="399"/>
    <x v="5"/>
    <x v="2"/>
    <s v="United States"/>
    <x v="13"/>
    <x v="7"/>
    <x v="2"/>
    <n v="6"/>
    <n v="2472"/>
    <n v="363.38"/>
  </r>
  <r>
    <x v="206"/>
    <x v="1"/>
    <x v="1"/>
    <s v="United States"/>
    <x v="13"/>
    <x v="7"/>
    <x v="2"/>
    <n v="5"/>
    <n v="855"/>
    <n v="67.569999999999993"/>
  </r>
  <r>
    <x v="400"/>
    <x v="1"/>
    <x v="1"/>
    <s v="United States"/>
    <x v="13"/>
    <x v="7"/>
    <x v="2"/>
    <n v="3"/>
    <n v="3480"/>
    <n v="560.39"/>
  </r>
  <r>
    <x v="401"/>
    <x v="3"/>
    <x v="2"/>
    <s v="United States"/>
    <x v="61"/>
    <x v="25"/>
    <x v="0"/>
    <n v="1"/>
    <n v="846"/>
    <n v="103.3"/>
  </r>
  <r>
    <x v="402"/>
    <x v="8"/>
    <x v="1"/>
    <s v="United States"/>
    <x v="155"/>
    <x v="2"/>
    <x v="1"/>
    <n v="1"/>
    <n v="158"/>
    <n v="46.24"/>
  </r>
  <r>
    <x v="403"/>
    <x v="1"/>
    <x v="1"/>
    <s v="United States"/>
    <x v="130"/>
    <x v="15"/>
    <x v="2"/>
    <n v="9"/>
    <n v="3186"/>
    <n v="583.24"/>
  </r>
  <r>
    <x v="69"/>
    <x v="1"/>
    <x v="1"/>
    <s v="United States"/>
    <x v="14"/>
    <x v="8"/>
    <x v="3"/>
    <n v="7"/>
    <n v="6972"/>
    <n v="969.43"/>
  </r>
  <r>
    <x v="404"/>
    <x v="1"/>
    <x v="1"/>
    <s v="United States"/>
    <x v="14"/>
    <x v="8"/>
    <x v="3"/>
    <n v="5"/>
    <n v="1745"/>
    <n v="449.64"/>
  </r>
  <r>
    <x v="405"/>
    <x v="9"/>
    <x v="2"/>
    <s v="United States"/>
    <x v="75"/>
    <x v="15"/>
    <x v="2"/>
    <n v="8"/>
    <n v="4256"/>
    <n v="372.95"/>
  </r>
  <r>
    <x v="406"/>
    <x v="8"/>
    <x v="1"/>
    <s v="United States"/>
    <x v="13"/>
    <x v="7"/>
    <x v="2"/>
    <n v="3"/>
    <n v="1674"/>
    <n v="499.63"/>
  </r>
  <r>
    <x v="407"/>
    <x v="3"/>
    <x v="2"/>
    <s v="United States"/>
    <x v="156"/>
    <x v="5"/>
    <x v="3"/>
    <n v="8"/>
    <n v="6488"/>
    <n v="1072.8599999999999"/>
  </r>
  <r>
    <x v="408"/>
    <x v="2"/>
    <x v="2"/>
    <s v="United States"/>
    <x v="28"/>
    <x v="2"/>
    <x v="1"/>
    <n v="5"/>
    <n v="3530"/>
    <n v="803.86"/>
  </r>
  <r>
    <x v="52"/>
    <x v="1"/>
    <x v="1"/>
    <s v="United States"/>
    <x v="2"/>
    <x v="2"/>
    <x v="1"/>
    <n v="2"/>
    <n v="632"/>
    <n v="87.45"/>
  </r>
  <r>
    <x v="329"/>
    <x v="6"/>
    <x v="1"/>
    <s v="United States"/>
    <x v="79"/>
    <x v="16"/>
    <x v="3"/>
    <n v="7"/>
    <n v="3675"/>
    <n v="236.8"/>
  </r>
  <r>
    <x v="250"/>
    <x v="5"/>
    <x v="2"/>
    <s v="United States"/>
    <x v="157"/>
    <x v="20"/>
    <x v="2"/>
    <n v="6"/>
    <n v="5592"/>
    <n v="926.42"/>
  </r>
  <r>
    <x v="17"/>
    <x v="8"/>
    <x v="1"/>
    <s v="United States"/>
    <x v="130"/>
    <x v="15"/>
    <x v="2"/>
    <n v="6"/>
    <n v="6432"/>
    <n v="807.94"/>
  </r>
  <r>
    <x v="409"/>
    <x v="3"/>
    <x v="2"/>
    <s v="United States"/>
    <x v="58"/>
    <x v="5"/>
    <x v="3"/>
    <n v="3"/>
    <n v="3069"/>
    <n v="503.3"/>
  </r>
  <r>
    <x v="251"/>
    <x v="8"/>
    <x v="1"/>
    <s v="United States"/>
    <x v="15"/>
    <x v="13"/>
    <x v="1"/>
    <n v="7"/>
    <n v="2898"/>
    <n v="490.11"/>
  </r>
  <r>
    <x v="410"/>
    <x v="2"/>
    <x v="2"/>
    <s v="United States"/>
    <x v="13"/>
    <x v="7"/>
    <x v="2"/>
    <n v="4"/>
    <n v="3960"/>
    <n v="632.76"/>
  </r>
  <r>
    <x v="363"/>
    <x v="2"/>
    <x v="2"/>
    <s v="United States"/>
    <x v="158"/>
    <x v="41"/>
    <x v="1"/>
    <n v="3"/>
    <n v="1476"/>
    <n v="85.16"/>
  </r>
  <r>
    <x v="411"/>
    <x v="0"/>
    <x v="0"/>
    <s v="United States"/>
    <x v="74"/>
    <x v="12"/>
    <x v="1"/>
    <n v="2"/>
    <n v="1058"/>
    <n v="298.69"/>
  </r>
  <r>
    <x v="412"/>
    <x v="6"/>
    <x v="1"/>
    <s v="United States"/>
    <x v="26"/>
    <x v="1"/>
    <x v="0"/>
    <n v="5"/>
    <n v="1215"/>
    <n v="162.02000000000001"/>
  </r>
  <r>
    <x v="117"/>
    <x v="3"/>
    <x v="2"/>
    <s v="United States"/>
    <x v="159"/>
    <x v="18"/>
    <x v="2"/>
    <n v="3"/>
    <n v="204"/>
    <n v="20.43"/>
  </r>
  <r>
    <x v="413"/>
    <x v="2"/>
    <x v="2"/>
    <s v="United States"/>
    <x v="3"/>
    <x v="3"/>
    <x v="2"/>
    <n v="7"/>
    <n v="4137"/>
    <n v="221.66"/>
  </r>
  <r>
    <x v="414"/>
    <x v="3"/>
    <x v="2"/>
    <s v="United States"/>
    <x v="160"/>
    <x v="30"/>
    <x v="0"/>
    <n v="5"/>
    <n v="250"/>
    <n v="16.809999999999999"/>
  </r>
  <r>
    <x v="415"/>
    <x v="2"/>
    <x v="2"/>
    <s v="United States"/>
    <x v="160"/>
    <x v="30"/>
    <x v="0"/>
    <n v="5"/>
    <n v="1185"/>
    <n v="254.34"/>
  </r>
  <r>
    <x v="416"/>
    <x v="4"/>
    <x v="1"/>
    <s v="United States"/>
    <x v="2"/>
    <x v="2"/>
    <x v="1"/>
    <n v="2"/>
    <n v="1504"/>
    <n v="108.52"/>
  </r>
  <r>
    <x v="168"/>
    <x v="8"/>
    <x v="1"/>
    <s v="United States"/>
    <x v="2"/>
    <x v="2"/>
    <x v="1"/>
    <n v="6"/>
    <n v="6888"/>
    <n v="945.07"/>
  </r>
  <r>
    <x v="366"/>
    <x v="7"/>
    <x v="2"/>
    <s v="United States"/>
    <x v="15"/>
    <x v="13"/>
    <x v="1"/>
    <n v="3"/>
    <n v="3588"/>
    <n v="958.84"/>
  </r>
  <r>
    <x v="417"/>
    <x v="9"/>
    <x v="2"/>
    <s v="United States"/>
    <x v="6"/>
    <x v="5"/>
    <x v="3"/>
    <n v="7"/>
    <n v="1477"/>
    <n v="367.22"/>
  </r>
  <r>
    <x v="418"/>
    <x v="5"/>
    <x v="2"/>
    <s v="United States"/>
    <x v="161"/>
    <x v="6"/>
    <x v="3"/>
    <n v="8"/>
    <n v="1280"/>
    <n v="131.56"/>
  </r>
  <r>
    <x v="419"/>
    <x v="2"/>
    <x v="2"/>
    <s v="United States"/>
    <x v="28"/>
    <x v="2"/>
    <x v="1"/>
    <n v="7"/>
    <n v="7161"/>
    <n v="630.76"/>
  </r>
  <r>
    <x v="420"/>
    <x v="0"/>
    <x v="0"/>
    <s v="United States"/>
    <x v="9"/>
    <x v="8"/>
    <x v="3"/>
    <n v="5"/>
    <n v="1850"/>
    <n v="346.4"/>
  </r>
  <r>
    <x v="18"/>
    <x v="1"/>
    <x v="1"/>
    <s v="United States"/>
    <x v="162"/>
    <x v="18"/>
    <x v="2"/>
    <n v="3"/>
    <n v="3378"/>
    <n v="520.30999999999995"/>
  </r>
  <r>
    <x v="421"/>
    <x v="9"/>
    <x v="2"/>
    <s v="United States"/>
    <x v="59"/>
    <x v="15"/>
    <x v="2"/>
    <n v="7"/>
    <n v="7672"/>
    <n v="2046.38"/>
  </r>
  <r>
    <x v="327"/>
    <x v="2"/>
    <x v="2"/>
    <s v="United States"/>
    <x v="28"/>
    <x v="2"/>
    <x v="1"/>
    <n v="6"/>
    <n v="4254"/>
    <n v="938.66"/>
  </r>
  <r>
    <x v="422"/>
    <x v="8"/>
    <x v="1"/>
    <s v="United States"/>
    <x v="28"/>
    <x v="2"/>
    <x v="1"/>
    <n v="5"/>
    <n v="2285"/>
    <n v="279.89999999999998"/>
  </r>
  <r>
    <x v="423"/>
    <x v="8"/>
    <x v="1"/>
    <s v="United States"/>
    <x v="163"/>
    <x v="22"/>
    <x v="1"/>
    <n v="7"/>
    <n v="5775"/>
    <n v="680.6"/>
  </r>
  <r>
    <x v="30"/>
    <x v="7"/>
    <x v="2"/>
    <s v="United States"/>
    <x v="164"/>
    <x v="20"/>
    <x v="2"/>
    <n v="9"/>
    <n v="9360"/>
    <n v="910.35"/>
  </r>
  <r>
    <x v="297"/>
    <x v="0"/>
    <x v="0"/>
    <s v="United States"/>
    <x v="124"/>
    <x v="2"/>
    <x v="1"/>
    <n v="8"/>
    <n v="6936"/>
    <n v="1156.52"/>
  </r>
  <r>
    <x v="190"/>
    <x v="3"/>
    <x v="2"/>
    <s v="United States"/>
    <x v="0"/>
    <x v="0"/>
    <x v="0"/>
    <n v="9"/>
    <n v="5634"/>
    <n v="464.71"/>
  </r>
  <r>
    <x v="181"/>
    <x v="7"/>
    <x v="2"/>
    <s v="United States"/>
    <x v="6"/>
    <x v="5"/>
    <x v="3"/>
    <n v="4"/>
    <n v="2644"/>
    <n v="731.86"/>
  </r>
  <r>
    <x v="424"/>
    <x v="4"/>
    <x v="1"/>
    <s v="United States"/>
    <x v="4"/>
    <x v="4"/>
    <x v="1"/>
    <n v="1"/>
    <n v="247"/>
    <n v="35.65"/>
  </r>
  <r>
    <x v="425"/>
    <x v="9"/>
    <x v="2"/>
    <s v="United States"/>
    <x v="165"/>
    <x v="13"/>
    <x v="1"/>
    <n v="7"/>
    <n v="1869"/>
    <n v="357.27"/>
  </r>
  <r>
    <x v="426"/>
    <x v="5"/>
    <x v="2"/>
    <s v="United States"/>
    <x v="120"/>
    <x v="6"/>
    <x v="3"/>
    <n v="7"/>
    <n v="1988"/>
    <n v="430.59"/>
  </r>
  <r>
    <x v="427"/>
    <x v="9"/>
    <x v="2"/>
    <s v="United States"/>
    <x v="166"/>
    <x v="25"/>
    <x v="0"/>
    <n v="4"/>
    <n v="1920"/>
    <n v="549.11"/>
  </r>
  <r>
    <x v="229"/>
    <x v="4"/>
    <x v="1"/>
    <s v="United States"/>
    <x v="166"/>
    <x v="25"/>
    <x v="0"/>
    <n v="3"/>
    <n v="2577"/>
    <n v="196.37"/>
  </r>
  <r>
    <x v="428"/>
    <x v="3"/>
    <x v="2"/>
    <s v="United States"/>
    <x v="13"/>
    <x v="7"/>
    <x v="2"/>
    <n v="3"/>
    <n v="828"/>
    <n v="117.95"/>
  </r>
  <r>
    <x v="429"/>
    <x v="3"/>
    <x v="2"/>
    <s v="United States"/>
    <x v="167"/>
    <x v="8"/>
    <x v="3"/>
    <n v="2"/>
    <n v="1580"/>
    <n v="403.76"/>
  </r>
  <r>
    <x v="280"/>
    <x v="3"/>
    <x v="2"/>
    <s v="United States"/>
    <x v="167"/>
    <x v="8"/>
    <x v="3"/>
    <n v="9"/>
    <n v="9009"/>
    <n v="1909.26"/>
  </r>
  <r>
    <x v="430"/>
    <x v="7"/>
    <x v="2"/>
    <s v="United States"/>
    <x v="13"/>
    <x v="7"/>
    <x v="2"/>
    <n v="9"/>
    <n v="7425"/>
    <n v="1580.86"/>
  </r>
  <r>
    <x v="413"/>
    <x v="6"/>
    <x v="1"/>
    <s v="United States"/>
    <x v="13"/>
    <x v="7"/>
    <x v="2"/>
    <n v="5"/>
    <n v="2945"/>
    <n v="672.35"/>
  </r>
  <r>
    <x v="431"/>
    <x v="1"/>
    <x v="1"/>
    <s v="United States"/>
    <x v="58"/>
    <x v="5"/>
    <x v="3"/>
    <n v="3"/>
    <n v="294"/>
    <n v="22.9"/>
  </r>
  <r>
    <x v="432"/>
    <x v="1"/>
    <x v="1"/>
    <s v="United States"/>
    <x v="58"/>
    <x v="5"/>
    <x v="3"/>
    <n v="5"/>
    <n v="5875"/>
    <n v="789.23"/>
  </r>
  <r>
    <x v="47"/>
    <x v="5"/>
    <x v="2"/>
    <s v="United States"/>
    <x v="2"/>
    <x v="2"/>
    <x v="1"/>
    <n v="3"/>
    <n v="1308"/>
    <n v="197.6"/>
  </r>
  <r>
    <x v="433"/>
    <x v="6"/>
    <x v="1"/>
    <s v="United States"/>
    <x v="2"/>
    <x v="2"/>
    <x v="1"/>
    <n v="4"/>
    <n v="2360"/>
    <n v="391.82"/>
  </r>
  <r>
    <x v="434"/>
    <x v="5"/>
    <x v="2"/>
    <s v="United States"/>
    <x v="15"/>
    <x v="13"/>
    <x v="1"/>
    <n v="6"/>
    <n v="1008"/>
    <n v="245.45"/>
  </r>
  <r>
    <x v="435"/>
    <x v="5"/>
    <x v="2"/>
    <s v="United States"/>
    <x v="15"/>
    <x v="13"/>
    <x v="1"/>
    <n v="6"/>
    <n v="1344"/>
    <n v="338.4"/>
  </r>
  <r>
    <x v="187"/>
    <x v="0"/>
    <x v="0"/>
    <s v="United States"/>
    <x v="15"/>
    <x v="13"/>
    <x v="1"/>
    <n v="7"/>
    <n v="5635"/>
    <n v="1185.97"/>
  </r>
  <r>
    <x v="124"/>
    <x v="1"/>
    <x v="1"/>
    <s v="United States"/>
    <x v="160"/>
    <x v="30"/>
    <x v="0"/>
    <n v="4"/>
    <n v="4088"/>
    <n v="1200.03"/>
  </r>
  <r>
    <x v="436"/>
    <x v="3"/>
    <x v="2"/>
    <s v="United States"/>
    <x v="13"/>
    <x v="7"/>
    <x v="2"/>
    <n v="8"/>
    <n v="2192"/>
    <n v="441.77"/>
  </r>
  <r>
    <x v="437"/>
    <x v="8"/>
    <x v="1"/>
    <s v="United States"/>
    <x v="168"/>
    <x v="30"/>
    <x v="0"/>
    <n v="8"/>
    <n v="1952"/>
    <n v="444.15"/>
  </r>
  <r>
    <x v="438"/>
    <x v="7"/>
    <x v="2"/>
    <s v="United States"/>
    <x v="169"/>
    <x v="37"/>
    <x v="3"/>
    <n v="7"/>
    <n v="3955"/>
    <n v="1144.76"/>
  </r>
  <r>
    <x v="96"/>
    <x v="1"/>
    <x v="1"/>
    <s v="United States"/>
    <x v="169"/>
    <x v="37"/>
    <x v="3"/>
    <n v="8"/>
    <n v="5256"/>
    <n v="1118.1600000000001"/>
  </r>
  <r>
    <x v="439"/>
    <x v="3"/>
    <x v="2"/>
    <s v="United States"/>
    <x v="170"/>
    <x v="2"/>
    <x v="1"/>
    <n v="1"/>
    <n v="1163"/>
    <n v="115.09"/>
  </r>
  <r>
    <x v="440"/>
    <x v="5"/>
    <x v="2"/>
    <s v="United States"/>
    <x v="106"/>
    <x v="4"/>
    <x v="1"/>
    <n v="9"/>
    <n v="5004"/>
    <n v="973.65"/>
  </r>
  <r>
    <x v="441"/>
    <x v="1"/>
    <x v="1"/>
    <s v="United States"/>
    <x v="171"/>
    <x v="22"/>
    <x v="1"/>
    <n v="8"/>
    <n v="9128"/>
    <n v="1342.19"/>
  </r>
  <r>
    <x v="442"/>
    <x v="9"/>
    <x v="2"/>
    <s v="United States"/>
    <x v="10"/>
    <x v="9"/>
    <x v="0"/>
    <n v="4"/>
    <n v="4700"/>
    <n v="576.34"/>
  </r>
  <r>
    <x v="443"/>
    <x v="3"/>
    <x v="2"/>
    <s v="United States"/>
    <x v="2"/>
    <x v="2"/>
    <x v="1"/>
    <n v="2"/>
    <n v="1686"/>
    <n v="146.38999999999999"/>
  </r>
  <r>
    <x v="444"/>
    <x v="8"/>
    <x v="1"/>
    <s v="United States"/>
    <x v="172"/>
    <x v="20"/>
    <x v="2"/>
    <n v="9"/>
    <n v="4572"/>
    <n v="279.54000000000002"/>
  </r>
  <r>
    <x v="445"/>
    <x v="7"/>
    <x v="2"/>
    <s v="United States"/>
    <x v="15"/>
    <x v="13"/>
    <x v="1"/>
    <n v="5"/>
    <n v="2510"/>
    <n v="515.12"/>
  </r>
  <r>
    <x v="388"/>
    <x v="7"/>
    <x v="2"/>
    <s v="United States"/>
    <x v="173"/>
    <x v="1"/>
    <x v="0"/>
    <n v="3"/>
    <n v="3117"/>
    <n v="829.09"/>
  </r>
  <r>
    <x v="446"/>
    <x v="9"/>
    <x v="2"/>
    <s v="United States"/>
    <x v="51"/>
    <x v="1"/>
    <x v="0"/>
    <n v="1"/>
    <n v="380"/>
    <n v="94.35"/>
  </r>
  <r>
    <x v="63"/>
    <x v="6"/>
    <x v="1"/>
    <s v="United States"/>
    <x v="51"/>
    <x v="1"/>
    <x v="0"/>
    <n v="9"/>
    <n v="2889"/>
    <n v="604.19000000000005"/>
  </r>
  <r>
    <x v="447"/>
    <x v="5"/>
    <x v="2"/>
    <s v="United States"/>
    <x v="2"/>
    <x v="2"/>
    <x v="1"/>
    <n v="9"/>
    <n v="3654"/>
    <n v="581.9"/>
  </r>
  <r>
    <x v="250"/>
    <x v="0"/>
    <x v="0"/>
    <s v="United States"/>
    <x v="174"/>
    <x v="15"/>
    <x v="2"/>
    <n v="6"/>
    <n v="5610"/>
    <n v="298.77"/>
  </r>
  <r>
    <x v="448"/>
    <x v="7"/>
    <x v="2"/>
    <s v="United States"/>
    <x v="6"/>
    <x v="5"/>
    <x v="3"/>
    <n v="1"/>
    <n v="668"/>
    <n v="99.4"/>
  </r>
  <r>
    <x v="449"/>
    <x v="7"/>
    <x v="2"/>
    <s v="United States"/>
    <x v="3"/>
    <x v="3"/>
    <x v="2"/>
    <n v="7"/>
    <n v="3983"/>
    <n v="360.13"/>
  </r>
  <r>
    <x v="450"/>
    <x v="8"/>
    <x v="1"/>
    <s v="United States"/>
    <x v="15"/>
    <x v="13"/>
    <x v="1"/>
    <n v="1"/>
    <n v="1112"/>
    <n v="272.81"/>
  </r>
  <r>
    <x v="451"/>
    <x v="6"/>
    <x v="1"/>
    <s v="United States"/>
    <x v="19"/>
    <x v="14"/>
    <x v="2"/>
    <n v="9"/>
    <n v="4230"/>
    <n v="221.06"/>
  </r>
  <r>
    <x v="452"/>
    <x v="2"/>
    <x v="2"/>
    <s v="United States"/>
    <x v="53"/>
    <x v="2"/>
    <x v="1"/>
    <n v="8"/>
    <n v="2968"/>
    <n v="530.29999999999995"/>
  </r>
  <r>
    <x v="135"/>
    <x v="6"/>
    <x v="1"/>
    <s v="United States"/>
    <x v="28"/>
    <x v="2"/>
    <x v="1"/>
    <n v="5"/>
    <n v="4690"/>
    <n v="706.74"/>
  </r>
  <r>
    <x v="255"/>
    <x v="3"/>
    <x v="2"/>
    <s v="United States"/>
    <x v="20"/>
    <x v="20"/>
    <x v="2"/>
    <n v="6"/>
    <n v="4296"/>
    <n v="1240.31"/>
  </r>
  <r>
    <x v="453"/>
    <x v="3"/>
    <x v="2"/>
    <s v="United States"/>
    <x v="15"/>
    <x v="13"/>
    <x v="1"/>
    <n v="7"/>
    <n v="7203"/>
    <n v="523.52"/>
  </r>
  <r>
    <x v="454"/>
    <x v="7"/>
    <x v="2"/>
    <s v="United States"/>
    <x v="2"/>
    <x v="2"/>
    <x v="1"/>
    <n v="4"/>
    <n v="3640"/>
    <n v="695.31"/>
  </r>
  <r>
    <x v="455"/>
    <x v="7"/>
    <x v="2"/>
    <s v="United States"/>
    <x v="29"/>
    <x v="24"/>
    <x v="0"/>
    <n v="1"/>
    <n v="1131"/>
    <n v="304.62"/>
  </r>
  <r>
    <x v="456"/>
    <x v="3"/>
    <x v="2"/>
    <s v="United States"/>
    <x v="1"/>
    <x v="1"/>
    <x v="0"/>
    <n v="9"/>
    <n v="3627"/>
    <n v="797.53"/>
  </r>
  <r>
    <x v="138"/>
    <x v="1"/>
    <x v="1"/>
    <s v="United States"/>
    <x v="175"/>
    <x v="2"/>
    <x v="1"/>
    <n v="8"/>
    <n v="7968"/>
    <n v="1249.98"/>
  </r>
  <r>
    <x v="457"/>
    <x v="4"/>
    <x v="1"/>
    <s v="United States"/>
    <x v="176"/>
    <x v="1"/>
    <x v="0"/>
    <n v="3"/>
    <n v="3546"/>
    <n v="490.28"/>
  </r>
  <r>
    <x v="458"/>
    <x v="2"/>
    <x v="2"/>
    <s v="United States"/>
    <x v="2"/>
    <x v="2"/>
    <x v="1"/>
    <n v="5"/>
    <n v="2270"/>
    <n v="546.55999999999995"/>
  </r>
  <r>
    <x v="459"/>
    <x v="8"/>
    <x v="1"/>
    <s v="United States"/>
    <x v="177"/>
    <x v="5"/>
    <x v="3"/>
    <n v="2"/>
    <n v="1354"/>
    <n v="136.91"/>
  </r>
  <r>
    <x v="157"/>
    <x v="4"/>
    <x v="1"/>
    <s v="United States"/>
    <x v="177"/>
    <x v="5"/>
    <x v="3"/>
    <n v="7"/>
    <n v="6811"/>
    <n v="1423.57"/>
  </r>
  <r>
    <x v="460"/>
    <x v="5"/>
    <x v="2"/>
    <s v="United States"/>
    <x v="178"/>
    <x v="2"/>
    <x v="1"/>
    <n v="3"/>
    <n v="1410"/>
    <n v="232.65"/>
  </r>
  <r>
    <x v="461"/>
    <x v="8"/>
    <x v="1"/>
    <s v="United States"/>
    <x v="179"/>
    <x v="41"/>
    <x v="1"/>
    <n v="2"/>
    <n v="1170"/>
    <n v="249.99"/>
  </r>
  <r>
    <x v="275"/>
    <x v="9"/>
    <x v="2"/>
    <s v="United States"/>
    <x v="116"/>
    <x v="5"/>
    <x v="3"/>
    <n v="7"/>
    <n v="4739"/>
    <n v="740.74"/>
  </r>
  <r>
    <x v="5"/>
    <x v="1"/>
    <x v="1"/>
    <s v="United States"/>
    <x v="15"/>
    <x v="13"/>
    <x v="1"/>
    <n v="9"/>
    <n v="7866"/>
    <n v="1554.38"/>
  </r>
  <r>
    <x v="462"/>
    <x v="6"/>
    <x v="1"/>
    <s v="United States"/>
    <x v="15"/>
    <x v="13"/>
    <x v="1"/>
    <n v="5"/>
    <n v="3645"/>
    <n v="388.31"/>
  </r>
  <r>
    <x v="144"/>
    <x v="4"/>
    <x v="1"/>
    <s v="United States"/>
    <x v="79"/>
    <x v="16"/>
    <x v="3"/>
    <n v="6"/>
    <n v="5358"/>
    <n v="568.34"/>
  </r>
  <r>
    <x v="463"/>
    <x v="3"/>
    <x v="2"/>
    <s v="United States"/>
    <x v="79"/>
    <x v="16"/>
    <x v="3"/>
    <n v="5"/>
    <n v="1775"/>
    <n v="486.37"/>
  </r>
  <r>
    <x v="130"/>
    <x v="4"/>
    <x v="1"/>
    <s v="United States"/>
    <x v="79"/>
    <x v="16"/>
    <x v="3"/>
    <n v="9"/>
    <n v="4905"/>
    <n v="1351.25"/>
  </r>
  <r>
    <x v="464"/>
    <x v="1"/>
    <x v="1"/>
    <s v="United States"/>
    <x v="20"/>
    <x v="20"/>
    <x v="2"/>
    <n v="6"/>
    <n v="4260"/>
    <n v="372.33"/>
  </r>
  <r>
    <x v="465"/>
    <x v="0"/>
    <x v="0"/>
    <s v="United States"/>
    <x v="20"/>
    <x v="20"/>
    <x v="2"/>
    <n v="2"/>
    <n v="1632"/>
    <n v="292.77999999999997"/>
  </r>
  <r>
    <x v="322"/>
    <x v="5"/>
    <x v="2"/>
    <s v="United States"/>
    <x v="92"/>
    <x v="2"/>
    <x v="1"/>
    <n v="6"/>
    <n v="3324"/>
    <n v="466.78"/>
  </r>
  <r>
    <x v="466"/>
    <x v="3"/>
    <x v="2"/>
    <s v="United States"/>
    <x v="6"/>
    <x v="5"/>
    <x v="3"/>
    <n v="5"/>
    <n v="4590"/>
    <n v="347.14"/>
  </r>
  <r>
    <x v="406"/>
    <x v="9"/>
    <x v="2"/>
    <s v="United States"/>
    <x v="180"/>
    <x v="25"/>
    <x v="0"/>
    <n v="9"/>
    <n v="8496"/>
    <n v="2182.42"/>
  </r>
  <r>
    <x v="467"/>
    <x v="0"/>
    <x v="0"/>
    <s v="United States"/>
    <x v="181"/>
    <x v="8"/>
    <x v="3"/>
    <n v="6"/>
    <n v="6444"/>
    <n v="518.79"/>
  </r>
  <r>
    <x v="281"/>
    <x v="3"/>
    <x v="2"/>
    <s v="United States"/>
    <x v="153"/>
    <x v="24"/>
    <x v="0"/>
    <n v="1"/>
    <n v="812"/>
    <n v="51.13"/>
  </r>
  <r>
    <x v="160"/>
    <x v="6"/>
    <x v="1"/>
    <s v="United States"/>
    <x v="64"/>
    <x v="7"/>
    <x v="2"/>
    <n v="6"/>
    <n v="1764"/>
    <n v="465.93"/>
  </r>
  <r>
    <x v="468"/>
    <x v="0"/>
    <x v="0"/>
    <s v="United States"/>
    <x v="64"/>
    <x v="7"/>
    <x v="2"/>
    <n v="1"/>
    <n v="1012"/>
    <n v="172.67"/>
  </r>
  <r>
    <x v="318"/>
    <x v="8"/>
    <x v="1"/>
    <s v="United States"/>
    <x v="53"/>
    <x v="2"/>
    <x v="1"/>
    <n v="2"/>
    <n v="836"/>
    <n v="47.07"/>
  </r>
  <r>
    <x v="379"/>
    <x v="5"/>
    <x v="2"/>
    <s v="United States"/>
    <x v="160"/>
    <x v="30"/>
    <x v="0"/>
    <n v="1"/>
    <n v="723"/>
    <n v="115.26"/>
  </r>
  <r>
    <x v="86"/>
    <x v="4"/>
    <x v="1"/>
    <s v="United States"/>
    <x v="182"/>
    <x v="24"/>
    <x v="0"/>
    <n v="6"/>
    <n v="5628"/>
    <n v="1033.1500000000001"/>
  </r>
  <r>
    <x v="469"/>
    <x v="9"/>
    <x v="2"/>
    <s v="United States"/>
    <x v="66"/>
    <x v="1"/>
    <x v="0"/>
    <n v="5"/>
    <n v="1660"/>
    <n v="283.14"/>
  </r>
  <r>
    <x v="470"/>
    <x v="4"/>
    <x v="1"/>
    <s v="United States"/>
    <x v="104"/>
    <x v="22"/>
    <x v="1"/>
    <n v="3"/>
    <n v="2295"/>
    <n v="244.83"/>
  </r>
  <r>
    <x v="471"/>
    <x v="0"/>
    <x v="0"/>
    <s v="United States"/>
    <x v="53"/>
    <x v="2"/>
    <x v="1"/>
    <n v="2"/>
    <n v="2190"/>
    <n v="477.8"/>
  </r>
  <r>
    <x v="328"/>
    <x v="2"/>
    <x v="2"/>
    <s v="United States"/>
    <x v="53"/>
    <x v="2"/>
    <x v="1"/>
    <n v="7"/>
    <n v="3500"/>
    <n v="919.35"/>
  </r>
  <r>
    <x v="472"/>
    <x v="4"/>
    <x v="1"/>
    <s v="United States"/>
    <x v="28"/>
    <x v="2"/>
    <x v="1"/>
    <n v="2"/>
    <n v="1098"/>
    <n v="239.92"/>
  </r>
  <r>
    <x v="473"/>
    <x v="1"/>
    <x v="1"/>
    <s v="United States"/>
    <x v="183"/>
    <x v="22"/>
    <x v="1"/>
    <n v="5"/>
    <n v="945"/>
    <n v="194.03"/>
  </r>
  <r>
    <x v="273"/>
    <x v="1"/>
    <x v="1"/>
    <s v="United States"/>
    <x v="184"/>
    <x v="35"/>
    <x v="0"/>
    <n v="6"/>
    <n v="5622"/>
    <n v="1382.67"/>
  </r>
  <r>
    <x v="442"/>
    <x v="3"/>
    <x v="2"/>
    <s v="United States"/>
    <x v="77"/>
    <x v="7"/>
    <x v="2"/>
    <n v="3"/>
    <n v="2325"/>
    <n v="309.49"/>
  </r>
  <r>
    <x v="474"/>
    <x v="8"/>
    <x v="1"/>
    <s v="United States"/>
    <x v="6"/>
    <x v="5"/>
    <x v="3"/>
    <n v="1"/>
    <n v="1157"/>
    <n v="252.08"/>
  </r>
  <r>
    <x v="475"/>
    <x v="0"/>
    <x v="0"/>
    <s v="United States"/>
    <x v="185"/>
    <x v="8"/>
    <x v="3"/>
    <n v="3"/>
    <n v="531"/>
    <n v="126.24"/>
  </r>
  <r>
    <x v="476"/>
    <x v="2"/>
    <x v="2"/>
    <s v="United States"/>
    <x v="3"/>
    <x v="3"/>
    <x v="2"/>
    <n v="2"/>
    <n v="1760"/>
    <n v="278.08999999999997"/>
  </r>
  <r>
    <x v="477"/>
    <x v="5"/>
    <x v="2"/>
    <s v="United States"/>
    <x v="3"/>
    <x v="3"/>
    <x v="2"/>
    <n v="1"/>
    <n v="371"/>
    <n v="108.58"/>
  </r>
  <r>
    <x v="478"/>
    <x v="7"/>
    <x v="2"/>
    <s v="United States"/>
    <x v="115"/>
    <x v="7"/>
    <x v="2"/>
    <n v="4"/>
    <n v="1896"/>
    <n v="191.7"/>
  </r>
  <r>
    <x v="479"/>
    <x v="5"/>
    <x v="2"/>
    <s v="United States"/>
    <x v="29"/>
    <x v="24"/>
    <x v="0"/>
    <n v="2"/>
    <n v="514"/>
    <n v="106.75"/>
  </r>
  <r>
    <x v="480"/>
    <x v="6"/>
    <x v="1"/>
    <s v="United States"/>
    <x v="186"/>
    <x v="17"/>
    <x v="3"/>
    <n v="7"/>
    <n v="1876"/>
    <n v="129.25"/>
  </r>
  <r>
    <x v="372"/>
    <x v="3"/>
    <x v="2"/>
    <s v="United States"/>
    <x v="28"/>
    <x v="2"/>
    <x v="1"/>
    <n v="6"/>
    <n v="1182"/>
    <n v="236.12"/>
  </r>
  <r>
    <x v="281"/>
    <x v="7"/>
    <x v="2"/>
    <s v="United States"/>
    <x v="79"/>
    <x v="16"/>
    <x v="3"/>
    <n v="5"/>
    <n v="4255"/>
    <n v="961.41"/>
  </r>
  <r>
    <x v="481"/>
    <x v="6"/>
    <x v="1"/>
    <s v="United States"/>
    <x v="79"/>
    <x v="16"/>
    <x v="3"/>
    <n v="9"/>
    <n v="1341"/>
    <n v="150.69999999999999"/>
  </r>
  <r>
    <x v="482"/>
    <x v="8"/>
    <x v="1"/>
    <s v="United States"/>
    <x v="79"/>
    <x v="16"/>
    <x v="3"/>
    <n v="1"/>
    <n v="644"/>
    <n v="49.25"/>
  </r>
  <r>
    <x v="432"/>
    <x v="6"/>
    <x v="1"/>
    <s v="United States"/>
    <x v="2"/>
    <x v="2"/>
    <x v="1"/>
    <n v="3"/>
    <n v="1827"/>
    <n v="94.4"/>
  </r>
  <r>
    <x v="217"/>
    <x v="3"/>
    <x v="2"/>
    <s v="United States"/>
    <x v="28"/>
    <x v="2"/>
    <x v="1"/>
    <n v="1"/>
    <n v="930"/>
    <n v="136.16"/>
  </r>
  <r>
    <x v="483"/>
    <x v="3"/>
    <x v="2"/>
    <s v="United States"/>
    <x v="53"/>
    <x v="2"/>
    <x v="1"/>
    <n v="4"/>
    <n v="528"/>
    <n v="152.80000000000001"/>
  </r>
  <r>
    <x v="484"/>
    <x v="6"/>
    <x v="1"/>
    <s v="United States"/>
    <x v="110"/>
    <x v="22"/>
    <x v="1"/>
    <n v="6"/>
    <n v="4236"/>
    <n v="739.22"/>
  </r>
  <r>
    <x v="485"/>
    <x v="4"/>
    <x v="1"/>
    <s v="United States"/>
    <x v="110"/>
    <x v="22"/>
    <x v="1"/>
    <n v="4"/>
    <n v="1664"/>
    <n v="190.82"/>
  </r>
  <r>
    <x v="197"/>
    <x v="5"/>
    <x v="2"/>
    <s v="United States"/>
    <x v="115"/>
    <x v="7"/>
    <x v="2"/>
    <n v="3"/>
    <n v="2727"/>
    <n v="554.46"/>
  </r>
  <r>
    <x v="89"/>
    <x v="5"/>
    <x v="2"/>
    <s v="United States"/>
    <x v="64"/>
    <x v="2"/>
    <x v="1"/>
    <n v="2"/>
    <n v="522"/>
    <n v="52.73"/>
  </r>
  <r>
    <x v="486"/>
    <x v="1"/>
    <x v="1"/>
    <s v="United States"/>
    <x v="64"/>
    <x v="2"/>
    <x v="1"/>
    <n v="7"/>
    <n v="8288"/>
    <n v="1945.03"/>
  </r>
  <r>
    <x v="416"/>
    <x v="9"/>
    <x v="2"/>
    <s v="United States"/>
    <x v="64"/>
    <x v="2"/>
    <x v="1"/>
    <n v="9"/>
    <n v="1062"/>
    <n v="73.58"/>
  </r>
  <r>
    <x v="487"/>
    <x v="7"/>
    <x v="2"/>
    <s v="United States"/>
    <x v="187"/>
    <x v="8"/>
    <x v="3"/>
    <n v="3"/>
    <n v="1140"/>
    <n v="226.52"/>
  </r>
  <r>
    <x v="294"/>
    <x v="8"/>
    <x v="1"/>
    <s v="United States"/>
    <x v="160"/>
    <x v="30"/>
    <x v="0"/>
    <n v="8"/>
    <n v="3488"/>
    <n v="712.24"/>
  </r>
  <r>
    <x v="488"/>
    <x v="2"/>
    <x v="2"/>
    <s v="United States"/>
    <x v="188"/>
    <x v="5"/>
    <x v="3"/>
    <n v="8"/>
    <n v="5920"/>
    <n v="1436.7"/>
  </r>
  <r>
    <x v="489"/>
    <x v="6"/>
    <x v="1"/>
    <s v="United States"/>
    <x v="3"/>
    <x v="3"/>
    <x v="2"/>
    <n v="9"/>
    <n v="3096"/>
    <n v="362.89"/>
  </r>
  <r>
    <x v="348"/>
    <x v="6"/>
    <x v="1"/>
    <s v="United States"/>
    <x v="189"/>
    <x v="10"/>
    <x v="0"/>
    <n v="5"/>
    <n v="3490"/>
    <n v="205.04"/>
  </r>
  <r>
    <x v="8"/>
    <x v="5"/>
    <x v="2"/>
    <s v="United States"/>
    <x v="3"/>
    <x v="3"/>
    <x v="2"/>
    <n v="6"/>
    <n v="4374"/>
    <n v="702.62"/>
  </r>
  <r>
    <x v="490"/>
    <x v="7"/>
    <x v="2"/>
    <s v="United States"/>
    <x v="15"/>
    <x v="13"/>
    <x v="1"/>
    <n v="6"/>
    <n v="3366"/>
    <n v="541.86"/>
  </r>
  <r>
    <x v="491"/>
    <x v="0"/>
    <x v="0"/>
    <s v="United States"/>
    <x v="76"/>
    <x v="36"/>
    <x v="1"/>
    <n v="6"/>
    <n v="822"/>
    <n v="231.62"/>
  </r>
  <r>
    <x v="492"/>
    <x v="6"/>
    <x v="1"/>
    <s v="United States"/>
    <x v="29"/>
    <x v="24"/>
    <x v="0"/>
    <n v="2"/>
    <n v="340"/>
    <n v="39.119999999999997"/>
  </r>
  <r>
    <x v="493"/>
    <x v="1"/>
    <x v="1"/>
    <s v="United States"/>
    <x v="3"/>
    <x v="3"/>
    <x v="2"/>
    <n v="1"/>
    <n v="763"/>
    <n v="217.94"/>
  </r>
  <r>
    <x v="494"/>
    <x v="4"/>
    <x v="1"/>
    <s v="United States"/>
    <x v="190"/>
    <x v="0"/>
    <x v="0"/>
    <n v="4"/>
    <n v="3408"/>
    <n v="856.98"/>
  </r>
  <r>
    <x v="495"/>
    <x v="2"/>
    <x v="2"/>
    <s v="United States"/>
    <x v="13"/>
    <x v="7"/>
    <x v="2"/>
    <n v="7"/>
    <n v="2282"/>
    <n v="537.71"/>
  </r>
  <r>
    <x v="496"/>
    <x v="3"/>
    <x v="2"/>
    <s v="United States"/>
    <x v="191"/>
    <x v="5"/>
    <x v="3"/>
    <n v="7"/>
    <n v="4151"/>
    <n v="1047.43"/>
  </r>
  <r>
    <x v="497"/>
    <x v="9"/>
    <x v="2"/>
    <s v="United States"/>
    <x v="192"/>
    <x v="4"/>
    <x v="1"/>
    <n v="7"/>
    <n v="6279"/>
    <n v="1689.55"/>
  </r>
  <r>
    <x v="126"/>
    <x v="6"/>
    <x v="1"/>
    <s v="United States"/>
    <x v="193"/>
    <x v="5"/>
    <x v="3"/>
    <n v="3"/>
    <n v="474"/>
    <n v="83.32"/>
  </r>
  <r>
    <x v="498"/>
    <x v="6"/>
    <x v="1"/>
    <s v="United States"/>
    <x v="3"/>
    <x v="3"/>
    <x v="2"/>
    <n v="5"/>
    <n v="680"/>
    <n v="176.44"/>
  </r>
  <r>
    <x v="499"/>
    <x v="4"/>
    <x v="1"/>
    <s v="United States"/>
    <x v="180"/>
    <x v="25"/>
    <x v="0"/>
    <n v="9"/>
    <n v="8496"/>
    <n v="1721.6"/>
  </r>
  <r>
    <x v="500"/>
    <x v="8"/>
    <x v="1"/>
    <s v="United States"/>
    <x v="194"/>
    <x v="17"/>
    <x v="3"/>
    <n v="7"/>
    <n v="7826"/>
    <n v="714.68"/>
  </r>
  <r>
    <x v="126"/>
    <x v="1"/>
    <x v="1"/>
    <s v="United States"/>
    <x v="195"/>
    <x v="36"/>
    <x v="1"/>
    <n v="6"/>
    <n v="4014"/>
    <n v="717.44"/>
  </r>
  <r>
    <x v="501"/>
    <x v="9"/>
    <x v="2"/>
    <s v="United States"/>
    <x v="91"/>
    <x v="35"/>
    <x v="0"/>
    <n v="1"/>
    <n v="687"/>
    <n v="62.82"/>
  </r>
  <r>
    <x v="502"/>
    <x v="5"/>
    <x v="2"/>
    <s v="United States"/>
    <x v="102"/>
    <x v="2"/>
    <x v="1"/>
    <n v="3"/>
    <n v="2943"/>
    <n v="234.27"/>
  </r>
  <r>
    <x v="503"/>
    <x v="0"/>
    <x v="0"/>
    <s v="United States"/>
    <x v="196"/>
    <x v="9"/>
    <x v="0"/>
    <n v="7"/>
    <n v="5649"/>
    <n v="660.37"/>
  </r>
  <r>
    <x v="504"/>
    <x v="2"/>
    <x v="2"/>
    <s v="United States"/>
    <x v="62"/>
    <x v="2"/>
    <x v="1"/>
    <n v="8"/>
    <n v="3296"/>
    <n v="623.66999999999996"/>
  </r>
  <r>
    <x v="505"/>
    <x v="4"/>
    <x v="1"/>
    <s v="United States"/>
    <x v="29"/>
    <x v="24"/>
    <x v="0"/>
    <n v="3"/>
    <n v="1137"/>
    <n v="173.92"/>
  </r>
  <r>
    <x v="361"/>
    <x v="7"/>
    <x v="2"/>
    <s v="United States"/>
    <x v="197"/>
    <x v="42"/>
    <x v="1"/>
    <n v="2"/>
    <n v="380"/>
    <n v="101.7"/>
  </r>
  <r>
    <x v="418"/>
    <x v="9"/>
    <x v="2"/>
    <s v="United States"/>
    <x v="28"/>
    <x v="2"/>
    <x v="1"/>
    <n v="5"/>
    <n v="4405"/>
    <n v="1247.8599999999999"/>
  </r>
  <r>
    <x v="506"/>
    <x v="2"/>
    <x v="2"/>
    <s v="United States"/>
    <x v="28"/>
    <x v="2"/>
    <x v="1"/>
    <n v="1"/>
    <n v="120"/>
    <n v="9.43"/>
  </r>
  <r>
    <x v="347"/>
    <x v="0"/>
    <x v="0"/>
    <s v="United States"/>
    <x v="19"/>
    <x v="14"/>
    <x v="2"/>
    <n v="1"/>
    <n v="1176"/>
    <n v="182.07"/>
  </r>
  <r>
    <x v="507"/>
    <x v="3"/>
    <x v="2"/>
    <s v="United States"/>
    <x v="2"/>
    <x v="2"/>
    <x v="1"/>
    <n v="3"/>
    <n v="1770"/>
    <n v="366.58"/>
  </r>
  <r>
    <x v="508"/>
    <x v="3"/>
    <x v="2"/>
    <s v="United States"/>
    <x v="144"/>
    <x v="5"/>
    <x v="3"/>
    <n v="6"/>
    <n v="4302"/>
    <n v="965.02"/>
  </r>
  <r>
    <x v="453"/>
    <x v="3"/>
    <x v="2"/>
    <s v="United States"/>
    <x v="144"/>
    <x v="5"/>
    <x v="3"/>
    <n v="3"/>
    <n v="2988"/>
    <n v="362.68"/>
  </r>
  <r>
    <x v="373"/>
    <x v="4"/>
    <x v="1"/>
    <s v="United States"/>
    <x v="6"/>
    <x v="5"/>
    <x v="3"/>
    <n v="3"/>
    <n v="3033"/>
    <n v="458.41"/>
  </r>
  <r>
    <x v="63"/>
    <x v="1"/>
    <x v="1"/>
    <s v="United States"/>
    <x v="0"/>
    <x v="0"/>
    <x v="0"/>
    <n v="9"/>
    <n v="6363"/>
    <n v="1752.65"/>
  </r>
  <r>
    <x v="509"/>
    <x v="2"/>
    <x v="2"/>
    <s v="United States"/>
    <x v="50"/>
    <x v="5"/>
    <x v="3"/>
    <n v="6"/>
    <n v="3402"/>
    <n v="501.29"/>
  </r>
  <r>
    <x v="510"/>
    <x v="8"/>
    <x v="1"/>
    <s v="United States"/>
    <x v="13"/>
    <x v="7"/>
    <x v="2"/>
    <n v="4"/>
    <n v="3496"/>
    <n v="1032.81"/>
  </r>
  <r>
    <x v="511"/>
    <x v="6"/>
    <x v="1"/>
    <s v="United States"/>
    <x v="134"/>
    <x v="38"/>
    <x v="2"/>
    <n v="4"/>
    <n v="1080"/>
    <n v="204.95"/>
  </r>
  <r>
    <x v="512"/>
    <x v="4"/>
    <x v="1"/>
    <s v="United States"/>
    <x v="15"/>
    <x v="13"/>
    <x v="1"/>
    <n v="6"/>
    <n v="1530"/>
    <n v="218.99"/>
  </r>
  <r>
    <x v="513"/>
    <x v="8"/>
    <x v="1"/>
    <s v="United States"/>
    <x v="49"/>
    <x v="1"/>
    <x v="0"/>
    <n v="4"/>
    <n v="3568"/>
    <n v="764.2"/>
  </r>
  <r>
    <x v="514"/>
    <x v="7"/>
    <x v="2"/>
    <s v="United States"/>
    <x v="49"/>
    <x v="1"/>
    <x v="0"/>
    <n v="1"/>
    <n v="954"/>
    <n v="48.97"/>
  </r>
  <r>
    <x v="515"/>
    <x v="3"/>
    <x v="2"/>
    <s v="United States"/>
    <x v="2"/>
    <x v="2"/>
    <x v="1"/>
    <n v="4"/>
    <n v="1196"/>
    <n v="223.66"/>
  </r>
  <r>
    <x v="516"/>
    <x v="5"/>
    <x v="2"/>
    <s v="United States"/>
    <x v="2"/>
    <x v="2"/>
    <x v="1"/>
    <n v="4"/>
    <n v="2136"/>
    <n v="217.47"/>
  </r>
  <r>
    <x v="164"/>
    <x v="0"/>
    <x v="0"/>
    <s v="United States"/>
    <x v="64"/>
    <x v="7"/>
    <x v="2"/>
    <n v="9"/>
    <n v="8496"/>
    <n v="2316.0300000000002"/>
  </r>
  <r>
    <x v="517"/>
    <x v="9"/>
    <x v="2"/>
    <s v="United States"/>
    <x v="144"/>
    <x v="5"/>
    <x v="3"/>
    <n v="7"/>
    <n v="7280"/>
    <n v="1450.82"/>
  </r>
  <r>
    <x v="440"/>
    <x v="5"/>
    <x v="2"/>
    <s v="United States"/>
    <x v="198"/>
    <x v="5"/>
    <x v="3"/>
    <n v="5"/>
    <n v="4935"/>
    <n v="625.39"/>
  </r>
  <r>
    <x v="518"/>
    <x v="2"/>
    <x v="2"/>
    <s v="United States"/>
    <x v="15"/>
    <x v="13"/>
    <x v="1"/>
    <n v="8"/>
    <n v="9056"/>
    <n v="872.48"/>
  </r>
  <r>
    <x v="519"/>
    <x v="5"/>
    <x v="2"/>
    <s v="United States"/>
    <x v="19"/>
    <x v="15"/>
    <x v="2"/>
    <n v="1"/>
    <n v="563"/>
    <n v="46.96"/>
  </r>
  <r>
    <x v="204"/>
    <x v="0"/>
    <x v="0"/>
    <s v="United States"/>
    <x v="13"/>
    <x v="7"/>
    <x v="2"/>
    <n v="2"/>
    <n v="1570"/>
    <n v="247.7"/>
  </r>
  <r>
    <x v="520"/>
    <x v="3"/>
    <x v="2"/>
    <s v="United States"/>
    <x v="140"/>
    <x v="17"/>
    <x v="3"/>
    <n v="3"/>
    <n v="2181"/>
    <n v="517.02"/>
  </r>
  <r>
    <x v="407"/>
    <x v="1"/>
    <x v="1"/>
    <s v="United States"/>
    <x v="199"/>
    <x v="1"/>
    <x v="0"/>
    <n v="4"/>
    <n v="3808"/>
    <n v="442.33"/>
  </r>
  <r>
    <x v="521"/>
    <x v="8"/>
    <x v="1"/>
    <s v="United States"/>
    <x v="9"/>
    <x v="8"/>
    <x v="3"/>
    <n v="7"/>
    <n v="6552"/>
    <n v="635.09"/>
  </r>
  <r>
    <x v="522"/>
    <x v="9"/>
    <x v="2"/>
    <s v="United States"/>
    <x v="200"/>
    <x v="12"/>
    <x v="1"/>
    <n v="8"/>
    <n v="6544"/>
    <n v="1086.29"/>
  </r>
  <r>
    <x v="523"/>
    <x v="1"/>
    <x v="1"/>
    <s v="United States"/>
    <x v="13"/>
    <x v="7"/>
    <x v="2"/>
    <n v="3"/>
    <n v="2631"/>
    <n v="157.19"/>
  </r>
  <r>
    <x v="524"/>
    <x v="6"/>
    <x v="1"/>
    <s v="United States"/>
    <x v="13"/>
    <x v="7"/>
    <x v="2"/>
    <n v="9"/>
    <n v="945"/>
    <n v="94.75"/>
  </r>
  <r>
    <x v="525"/>
    <x v="6"/>
    <x v="1"/>
    <s v="United States"/>
    <x v="40"/>
    <x v="15"/>
    <x v="2"/>
    <n v="2"/>
    <n v="760"/>
    <n v="192.42"/>
  </r>
  <r>
    <x v="526"/>
    <x v="6"/>
    <x v="1"/>
    <s v="United States"/>
    <x v="53"/>
    <x v="2"/>
    <x v="1"/>
    <n v="4"/>
    <n v="1392"/>
    <n v="394.48"/>
  </r>
  <r>
    <x v="527"/>
    <x v="5"/>
    <x v="2"/>
    <s v="United States"/>
    <x v="53"/>
    <x v="2"/>
    <x v="1"/>
    <n v="3"/>
    <n v="1242"/>
    <n v="206.74"/>
  </r>
  <r>
    <x v="528"/>
    <x v="9"/>
    <x v="2"/>
    <s v="United States"/>
    <x v="13"/>
    <x v="7"/>
    <x v="2"/>
    <n v="3"/>
    <n v="3183"/>
    <n v="868.73"/>
  </r>
  <r>
    <x v="529"/>
    <x v="6"/>
    <x v="1"/>
    <s v="United States"/>
    <x v="130"/>
    <x v="19"/>
    <x v="2"/>
    <n v="5"/>
    <n v="4260"/>
    <n v="229.77"/>
  </r>
  <r>
    <x v="530"/>
    <x v="7"/>
    <x v="2"/>
    <s v="United States"/>
    <x v="6"/>
    <x v="5"/>
    <x v="3"/>
    <n v="1"/>
    <n v="1041"/>
    <n v="132.46"/>
  </r>
  <r>
    <x v="531"/>
    <x v="5"/>
    <x v="2"/>
    <s v="United States"/>
    <x v="6"/>
    <x v="5"/>
    <x v="3"/>
    <n v="3"/>
    <n v="1692"/>
    <n v="348.81"/>
  </r>
  <r>
    <x v="532"/>
    <x v="3"/>
    <x v="2"/>
    <s v="United States"/>
    <x v="141"/>
    <x v="5"/>
    <x v="3"/>
    <n v="4"/>
    <n v="1728"/>
    <n v="403.06"/>
  </r>
  <r>
    <x v="533"/>
    <x v="3"/>
    <x v="2"/>
    <s v="United States"/>
    <x v="15"/>
    <x v="13"/>
    <x v="1"/>
    <n v="4"/>
    <n v="4484"/>
    <n v="893.27"/>
  </r>
  <r>
    <x v="534"/>
    <x v="7"/>
    <x v="2"/>
    <s v="United States"/>
    <x v="3"/>
    <x v="3"/>
    <x v="2"/>
    <n v="7"/>
    <n v="4123"/>
    <n v="750.05"/>
  </r>
  <r>
    <x v="327"/>
    <x v="1"/>
    <x v="1"/>
    <s v="United States"/>
    <x v="20"/>
    <x v="9"/>
    <x v="0"/>
    <n v="2"/>
    <n v="2372"/>
    <n v="392.07"/>
  </r>
  <r>
    <x v="498"/>
    <x v="7"/>
    <x v="2"/>
    <s v="United States"/>
    <x v="2"/>
    <x v="2"/>
    <x v="1"/>
    <n v="7"/>
    <n v="5201"/>
    <n v="745.2"/>
  </r>
  <r>
    <x v="352"/>
    <x v="1"/>
    <x v="1"/>
    <s v="United States"/>
    <x v="13"/>
    <x v="7"/>
    <x v="2"/>
    <n v="5"/>
    <n v="3100"/>
    <n v="695.28"/>
  </r>
  <r>
    <x v="535"/>
    <x v="5"/>
    <x v="2"/>
    <s v="United States"/>
    <x v="53"/>
    <x v="2"/>
    <x v="1"/>
    <n v="6"/>
    <n v="5292"/>
    <n v="1105.95"/>
  </r>
  <r>
    <x v="536"/>
    <x v="2"/>
    <x v="2"/>
    <s v="United States"/>
    <x v="3"/>
    <x v="3"/>
    <x v="2"/>
    <n v="6"/>
    <n v="5952"/>
    <n v="971.53"/>
  </r>
  <r>
    <x v="537"/>
    <x v="7"/>
    <x v="2"/>
    <s v="United States"/>
    <x v="201"/>
    <x v="21"/>
    <x v="0"/>
    <n v="4"/>
    <n v="1932"/>
    <n v="472.91"/>
  </r>
  <r>
    <x v="19"/>
    <x v="2"/>
    <x v="2"/>
    <s v="United States"/>
    <x v="53"/>
    <x v="2"/>
    <x v="1"/>
    <n v="6"/>
    <n v="3486"/>
    <n v="1011.74"/>
  </r>
  <r>
    <x v="538"/>
    <x v="2"/>
    <x v="2"/>
    <s v="United States"/>
    <x v="64"/>
    <x v="7"/>
    <x v="2"/>
    <n v="2"/>
    <n v="1708"/>
    <n v="441.43"/>
  </r>
  <r>
    <x v="393"/>
    <x v="6"/>
    <x v="1"/>
    <s v="United States"/>
    <x v="82"/>
    <x v="5"/>
    <x v="3"/>
    <n v="4"/>
    <n v="4324"/>
    <n v="288.12"/>
  </r>
  <r>
    <x v="539"/>
    <x v="9"/>
    <x v="2"/>
    <s v="United States"/>
    <x v="11"/>
    <x v="9"/>
    <x v="0"/>
    <n v="4"/>
    <n v="2708"/>
    <n v="302.14"/>
  </r>
  <r>
    <x v="540"/>
    <x v="0"/>
    <x v="0"/>
    <s v="United States"/>
    <x v="13"/>
    <x v="7"/>
    <x v="2"/>
    <n v="8"/>
    <n v="7944"/>
    <n v="1142.83"/>
  </r>
  <r>
    <x v="434"/>
    <x v="3"/>
    <x v="2"/>
    <s v="United States"/>
    <x v="9"/>
    <x v="8"/>
    <x v="3"/>
    <n v="3"/>
    <n v="684"/>
    <n v="39.33"/>
  </r>
  <r>
    <x v="313"/>
    <x v="0"/>
    <x v="0"/>
    <s v="United States"/>
    <x v="121"/>
    <x v="2"/>
    <x v="1"/>
    <n v="9"/>
    <n v="5904"/>
    <n v="1440.45"/>
  </r>
  <r>
    <x v="541"/>
    <x v="0"/>
    <x v="0"/>
    <s v="United States"/>
    <x v="121"/>
    <x v="2"/>
    <x v="1"/>
    <n v="5"/>
    <n v="4970"/>
    <n v="1080.1199999999999"/>
  </r>
  <r>
    <x v="542"/>
    <x v="4"/>
    <x v="1"/>
    <s v="United States"/>
    <x v="202"/>
    <x v="20"/>
    <x v="2"/>
    <n v="2"/>
    <n v="2288"/>
    <n v="234.97"/>
  </r>
  <r>
    <x v="21"/>
    <x v="7"/>
    <x v="2"/>
    <s v="United States"/>
    <x v="53"/>
    <x v="2"/>
    <x v="1"/>
    <n v="6"/>
    <n v="4662"/>
    <n v="350.79"/>
  </r>
  <r>
    <x v="543"/>
    <x v="1"/>
    <x v="1"/>
    <s v="United States"/>
    <x v="203"/>
    <x v="19"/>
    <x v="2"/>
    <n v="4"/>
    <n v="2532"/>
    <n v="404.96"/>
  </r>
  <r>
    <x v="221"/>
    <x v="2"/>
    <x v="2"/>
    <s v="United States"/>
    <x v="13"/>
    <x v="7"/>
    <x v="2"/>
    <n v="8"/>
    <n v="9328"/>
    <n v="1008.6"/>
  </r>
  <r>
    <x v="272"/>
    <x v="0"/>
    <x v="0"/>
    <s v="United States"/>
    <x v="6"/>
    <x v="5"/>
    <x v="3"/>
    <n v="1"/>
    <n v="686"/>
    <n v="86.18"/>
  </r>
  <r>
    <x v="544"/>
    <x v="5"/>
    <x v="2"/>
    <s v="United States"/>
    <x v="204"/>
    <x v="2"/>
    <x v="1"/>
    <n v="6"/>
    <n v="1290"/>
    <n v="343.35"/>
  </r>
  <r>
    <x v="356"/>
    <x v="0"/>
    <x v="0"/>
    <s v="United States"/>
    <x v="205"/>
    <x v="34"/>
    <x v="1"/>
    <n v="5"/>
    <n v="1205"/>
    <n v="235.19"/>
  </r>
  <r>
    <x v="545"/>
    <x v="4"/>
    <x v="1"/>
    <s v="United States"/>
    <x v="206"/>
    <x v="7"/>
    <x v="2"/>
    <n v="7"/>
    <n v="7966"/>
    <n v="1313.56"/>
  </r>
  <r>
    <x v="201"/>
    <x v="3"/>
    <x v="2"/>
    <s v="United States"/>
    <x v="206"/>
    <x v="7"/>
    <x v="2"/>
    <n v="7"/>
    <n v="1085"/>
    <n v="130.72"/>
  </r>
  <r>
    <x v="248"/>
    <x v="6"/>
    <x v="1"/>
    <s v="United States"/>
    <x v="206"/>
    <x v="7"/>
    <x v="2"/>
    <n v="9"/>
    <n v="6633"/>
    <n v="1239.1099999999999"/>
  </r>
  <r>
    <x v="546"/>
    <x v="9"/>
    <x v="2"/>
    <s v="United States"/>
    <x v="3"/>
    <x v="3"/>
    <x v="2"/>
    <n v="7"/>
    <n v="5096"/>
    <n v="971.5"/>
  </r>
  <r>
    <x v="547"/>
    <x v="2"/>
    <x v="2"/>
    <s v="United States"/>
    <x v="13"/>
    <x v="7"/>
    <x v="2"/>
    <n v="4"/>
    <n v="4120"/>
    <n v="710.07"/>
  </r>
  <r>
    <x v="548"/>
    <x v="6"/>
    <x v="1"/>
    <s v="United States"/>
    <x v="127"/>
    <x v="30"/>
    <x v="0"/>
    <n v="3"/>
    <n v="1479"/>
    <n v="207.58"/>
  </r>
  <r>
    <x v="549"/>
    <x v="7"/>
    <x v="2"/>
    <s v="United States"/>
    <x v="207"/>
    <x v="8"/>
    <x v="3"/>
    <n v="7"/>
    <n v="1652"/>
    <n v="397.49"/>
  </r>
  <r>
    <x v="331"/>
    <x v="9"/>
    <x v="2"/>
    <s v="United States"/>
    <x v="6"/>
    <x v="5"/>
    <x v="3"/>
    <n v="1"/>
    <n v="1028"/>
    <n v="240.61"/>
  </r>
  <r>
    <x v="550"/>
    <x v="6"/>
    <x v="1"/>
    <s v="United States"/>
    <x v="29"/>
    <x v="15"/>
    <x v="2"/>
    <n v="4"/>
    <n v="4580"/>
    <n v="655.14"/>
  </r>
  <r>
    <x v="551"/>
    <x v="6"/>
    <x v="1"/>
    <s v="United States"/>
    <x v="29"/>
    <x v="15"/>
    <x v="2"/>
    <n v="8"/>
    <n v="2152"/>
    <n v="196.53"/>
  </r>
  <r>
    <x v="509"/>
    <x v="6"/>
    <x v="1"/>
    <s v="United States"/>
    <x v="29"/>
    <x v="15"/>
    <x v="2"/>
    <n v="6"/>
    <n v="4566"/>
    <n v="866.13"/>
  </r>
  <r>
    <x v="552"/>
    <x v="4"/>
    <x v="1"/>
    <s v="United States"/>
    <x v="13"/>
    <x v="7"/>
    <x v="2"/>
    <n v="3"/>
    <n v="2244"/>
    <n v="301.52999999999997"/>
  </r>
  <r>
    <x v="69"/>
    <x v="1"/>
    <x v="1"/>
    <s v="United States"/>
    <x v="208"/>
    <x v="26"/>
    <x v="3"/>
    <n v="4"/>
    <n v="1344"/>
    <n v="140.52000000000001"/>
  </r>
  <r>
    <x v="487"/>
    <x v="0"/>
    <x v="0"/>
    <s v="United States"/>
    <x v="68"/>
    <x v="15"/>
    <x v="2"/>
    <n v="6"/>
    <n v="2622"/>
    <n v="131.53"/>
  </r>
  <r>
    <x v="553"/>
    <x v="7"/>
    <x v="2"/>
    <s v="United States"/>
    <x v="209"/>
    <x v="2"/>
    <x v="1"/>
    <n v="1"/>
    <n v="325"/>
    <n v="46.84"/>
  </r>
  <r>
    <x v="61"/>
    <x v="8"/>
    <x v="1"/>
    <s v="United States"/>
    <x v="9"/>
    <x v="8"/>
    <x v="3"/>
    <n v="1"/>
    <n v="960"/>
    <n v="95.88"/>
  </r>
  <r>
    <x v="554"/>
    <x v="7"/>
    <x v="2"/>
    <s v="United States"/>
    <x v="144"/>
    <x v="5"/>
    <x v="3"/>
    <n v="7"/>
    <n v="2639"/>
    <n v="268.88"/>
  </r>
  <r>
    <x v="230"/>
    <x v="0"/>
    <x v="0"/>
    <s v="United States"/>
    <x v="144"/>
    <x v="5"/>
    <x v="3"/>
    <n v="5"/>
    <n v="1025"/>
    <n v="246.15"/>
  </r>
  <r>
    <x v="555"/>
    <x v="6"/>
    <x v="1"/>
    <s v="United States"/>
    <x v="3"/>
    <x v="3"/>
    <x v="2"/>
    <n v="2"/>
    <n v="1924"/>
    <n v="434.86"/>
  </r>
  <r>
    <x v="556"/>
    <x v="7"/>
    <x v="2"/>
    <s v="United States"/>
    <x v="210"/>
    <x v="20"/>
    <x v="2"/>
    <n v="2"/>
    <n v="1660"/>
    <n v="362.88"/>
  </r>
  <r>
    <x v="369"/>
    <x v="0"/>
    <x v="0"/>
    <s v="United States"/>
    <x v="38"/>
    <x v="21"/>
    <x v="0"/>
    <n v="1"/>
    <n v="985"/>
    <n v="105.09"/>
  </r>
  <r>
    <x v="340"/>
    <x v="8"/>
    <x v="1"/>
    <s v="United States"/>
    <x v="28"/>
    <x v="2"/>
    <x v="1"/>
    <n v="5"/>
    <n v="2600"/>
    <n v="537.11"/>
  </r>
  <r>
    <x v="257"/>
    <x v="3"/>
    <x v="2"/>
    <s v="United States"/>
    <x v="211"/>
    <x v="17"/>
    <x v="3"/>
    <n v="4"/>
    <n v="2792"/>
    <n v="725.35"/>
  </r>
  <r>
    <x v="557"/>
    <x v="4"/>
    <x v="1"/>
    <s v="United States"/>
    <x v="28"/>
    <x v="2"/>
    <x v="1"/>
    <n v="2"/>
    <n v="378"/>
    <n v="87.37"/>
  </r>
  <r>
    <x v="118"/>
    <x v="3"/>
    <x v="2"/>
    <s v="United States"/>
    <x v="212"/>
    <x v="33"/>
    <x v="0"/>
    <n v="8"/>
    <n v="968"/>
    <n v="271.61"/>
  </r>
  <r>
    <x v="446"/>
    <x v="5"/>
    <x v="2"/>
    <s v="United States"/>
    <x v="76"/>
    <x v="25"/>
    <x v="0"/>
    <n v="3"/>
    <n v="564"/>
    <n v="108.35"/>
  </r>
  <r>
    <x v="297"/>
    <x v="9"/>
    <x v="2"/>
    <s v="United States"/>
    <x v="76"/>
    <x v="25"/>
    <x v="0"/>
    <n v="5"/>
    <n v="2365"/>
    <n v="667.61"/>
  </r>
  <r>
    <x v="330"/>
    <x v="7"/>
    <x v="2"/>
    <s v="United States"/>
    <x v="213"/>
    <x v="8"/>
    <x v="3"/>
    <n v="6"/>
    <n v="3252"/>
    <n v="834.84"/>
  </r>
  <r>
    <x v="387"/>
    <x v="3"/>
    <x v="2"/>
    <s v="United States"/>
    <x v="213"/>
    <x v="8"/>
    <x v="3"/>
    <n v="1"/>
    <n v="276"/>
    <n v="42.68"/>
  </r>
  <r>
    <x v="229"/>
    <x v="1"/>
    <x v="1"/>
    <s v="United States"/>
    <x v="214"/>
    <x v="11"/>
    <x v="3"/>
    <n v="3"/>
    <n v="3408"/>
    <n v="205.76"/>
  </r>
  <r>
    <x v="199"/>
    <x v="9"/>
    <x v="2"/>
    <s v="United States"/>
    <x v="2"/>
    <x v="2"/>
    <x v="1"/>
    <n v="6"/>
    <n v="1398"/>
    <n v="180.88"/>
  </r>
  <r>
    <x v="558"/>
    <x v="8"/>
    <x v="1"/>
    <s v="United States"/>
    <x v="215"/>
    <x v="5"/>
    <x v="3"/>
    <n v="4"/>
    <n v="904"/>
    <n v="108.85"/>
  </r>
  <r>
    <x v="5"/>
    <x v="8"/>
    <x v="1"/>
    <s v="United States"/>
    <x v="9"/>
    <x v="8"/>
    <x v="3"/>
    <n v="1"/>
    <n v="1178"/>
    <n v="161.06"/>
  </r>
  <r>
    <x v="559"/>
    <x v="4"/>
    <x v="1"/>
    <s v="United States"/>
    <x v="14"/>
    <x v="8"/>
    <x v="3"/>
    <n v="3"/>
    <n v="2535"/>
    <n v="292.19"/>
  </r>
  <r>
    <x v="560"/>
    <x v="2"/>
    <x v="2"/>
    <s v="United States"/>
    <x v="29"/>
    <x v="15"/>
    <x v="2"/>
    <n v="1"/>
    <n v="496"/>
    <n v="146.91999999999999"/>
  </r>
  <r>
    <x v="561"/>
    <x v="7"/>
    <x v="2"/>
    <s v="United States"/>
    <x v="29"/>
    <x v="15"/>
    <x v="2"/>
    <n v="4"/>
    <n v="3888"/>
    <n v="284.17"/>
  </r>
  <r>
    <x v="416"/>
    <x v="2"/>
    <x v="2"/>
    <s v="United States"/>
    <x v="52"/>
    <x v="0"/>
    <x v="0"/>
    <n v="7"/>
    <n v="4921"/>
    <n v="798.16"/>
  </r>
  <r>
    <x v="562"/>
    <x v="5"/>
    <x v="2"/>
    <s v="United States"/>
    <x v="9"/>
    <x v="8"/>
    <x v="3"/>
    <n v="8"/>
    <n v="4472"/>
    <n v="290.79000000000002"/>
  </r>
  <r>
    <x v="32"/>
    <x v="2"/>
    <x v="2"/>
    <s v="United States"/>
    <x v="144"/>
    <x v="5"/>
    <x v="3"/>
    <n v="3"/>
    <n v="603"/>
    <n v="153.37"/>
  </r>
  <r>
    <x v="563"/>
    <x v="4"/>
    <x v="1"/>
    <s v="United States"/>
    <x v="38"/>
    <x v="21"/>
    <x v="0"/>
    <n v="9"/>
    <n v="1899"/>
    <n v="501.4"/>
  </r>
  <r>
    <x v="564"/>
    <x v="0"/>
    <x v="0"/>
    <s v="United States"/>
    <x v="38"/>
    <x v="17"/>
    <x v="3"/>
    <n v="4"/>
    <n v="544"/>
    <n v="67.84"/>
  </r>
  <r>
    <x v="282"/>
    <x v="6"/>
    <x v="1"/>
    <s v="United States"/>
    <x v="38"/>
    <x v="17"/>
    <x v="3"/>
    <n v="9"/>
    <n v="6471"/>
    <n v="1844.59"/>
  </r>
  <r>
    <x v="565"/>
    <x v="8"/>
    <x v="1"/>
    <s v="United States"/>
    <x v="3"/>
    <x v="3"/>
    <x v="2"/>
    <n v="1"/>
    <n v="677"/>
    <n v="54.14"/>
  </r>
  <r>
    <x v="566"/>
    <x v="9"/>
    <x v="2"/>
    <s v="United States"/>
    <x v="3"/>
    <x v="3"/>
    <x v="2"/>
    <n v="4"/>
    <n v="1372"/>
    <n v="302.58"/>
  </r>
  <r>
    <x v="567"/>
    <x v="8"/>
    <x v="1"/>
    <s v="United States"/>
    <x v="11"/>
    <x v="32"/>
    <x v="2"/>
    <n v="9"/>
    <n v="7542"/>
    <n v="1477.49"/>
  </r>
  <r>
    <x v="498"/>
    <x v="6"/>
    <x v="1"/>
    <s v="United States"/>
    <x v="11"/>
    <x v="32"/>
    <x v="2"/>
    <n v="1"/>
    <n v="924"/>
    <n v="125.65"/>
  </r>
  <r>
    <x v="568"/>
    <x v="7"/>
    <x v="2"/>
    <s v="United States"/>
    <x v="21"/>
    <x v="5"/>
    <x v="3"/>
    <n v="5"/>
    <n v="3940"/>
    <n v="755.11"/>
  </r>
  <r>
    <x v="220"/>
    <x v="2"/>
    <x v="2"/>
    <s v="United States"/>
    <x v="216"/>
    <x v="24"/>
    <x v="0"/>
    <n v="2"/>
    <n v="374"/>
    <n v="49.26"/>
  </r>
  <r>
    <x v="569"/>
    <x v="0"/>
    <x v="0"/>
    <s v="United States"/>
    <x v="28"/>
    <x v="2"/>
    <x v="1"/>
    <n v="5"/>
    <n v="1800"/>
    <n v="252.69"/>
  </r>
  <r>
    <x v="570"/>
    <x v="6"/>
    <x v="1"/>
    <s v="United States"/>
    <x v="76"/>
    <x v="15"/>
    <x v="2"/>
    <n v="5"/>
    <n v="3170"/>
    <n v="868.34"/>
  </r>
  <r>
    <x v="571"/>
    <x v="4"/>
    <x v="1"/>
    <s v="United States"/>
    <x v="217"/>
    <x v="1"/>
    <x v="0"/>
    <n v="7"/>
    <n v="5362"/>
    <n v="1029.47"/>
  </r>
  <r>
    <x v="572"/>
    <x v="6"/>
    <x v="1"/>
    <s v="United States"/>
    <x v="217"/>
    <x v="1"/>
    <x v="0"/>
    <n v="9"/>
    <n v="5976"/>
    <n v="1747.57"/>
  </r>
  <r>
    <x v="573"/>
    <x v="8"/>
    <x v="1"/>
    <s v="United States"/>
    <x v="3"/>
    <x v="3"/>
    <x v="2"/>
    <n v="9"/>
    <n v="8514"/>
    <n v="1400.4"/>
  </r>
  <r>
    <x v="574"/>
    <x v="9"/>
    <x v="2"/>
    <s v="United States"/>
    <x v="53"/>
    <x v="2"/>
    <x v="1"/>
    <n v="1"/>
    <n v="810"/>
    <n v="157.47"/>
  </r>
  <r>
    <x v="449"/>
    <x v="1"/>
    <x v="1"/>
    <s v="United States"/>
    <x v="218"/>
    <x v="32"/>
    <x v="2"/>
    <n v="1"/>
    <n v="71"/>
    <n v="12.02"/>
  </r>
  <r>
    <x v="575"/>
    <x v="9"/>
    <x v="2"/>
    <s v="United States"/>
    <x v="22"/>
    <x v="12"/>
    <x v="1"/>
    <n v="1"/>
    <n v="651"/>
    <n v="57.94"/>
  </r>
  <r>
    <x v="576"/>
    <x v="6"/>
    <x v="1"/>
    <s v="United States"/>
    <x v="15"/>
    <x v="13"/>
    <x v="1"/>
    <n v="3"/>
    <n v="1245"/>
    <n v="119.11"/>
  </r>
  <r>
    <x v="577"/>
    <x v="6"/>
    <x v="1"/>
    <s v="United States"/>
    <x v="77"/>
    <x v="7"/>
    <x v="2"/>
    <n v="1"/>
    <n v="464"/>
    <n v="58.38"/>
  </r>
  <r>
    <x v="17"/>
    <x v="6"/>
    <x v="1"/>
    <s v="United States"/>
    <x v="219"/>
    <x v="15"/>
    <x v="2"/>
    <n v="5"/>
    <n v="5155"/>
    <n v="356.43"/>
  </r>
  <r>
    <x v="25"/>
    <x v="7"/>
    <x v="2"/>
    <s v="United States"/>
    <x v="220"/>
    <x v="5"/>
    <x v="3"/>
    <n v="5"/>
    <n v="5175"/>
    <n v="786.27"/>
  </r>
  <r>
    <x v="555"/>
    <x v="7"/>
    <x v="2"/>
    <s v="United States"/>
    <x v="2"/>
    <x v="2"/>
    <x v="1"/>
    <n v="2"/>
    <n v="1668"/>
    <n v="470.42"/>
  </r>
  <r>
    <x v="58"/>
    <x v="0"/>
    <x v="0"/>
    <s v="United States"/>
    <x v="15"/>
    <x v="13"/>
    <x v="1"/>
    <n v="3"/>
    <n v="1872"/>
    <n v="532.80999999999995"/>
  </r>
  <r>
    <x v="283"/>
    <x v="9"/>
    <x v="2"/>
    <s v="United States"/>
    <x v="84"/>
    <x v="13"/>
    <x v="1"/>
    <n v="3"/>
    <n v="513"/>
    <n v="132.56"/>
  </r>
  <r>
    <x v="75"/>
    <x v="0"/>
    <x v="0"/>
    <s v="United States"/>
    <x v="38"/>
    <x v="21"/>
    <x v="0"/>
    <n v="2"/>
    <n v="2276"/>
    <n v="366.5"/>
  </r>
  <r>
    <x v="240"/>
    <x v="1"/>
    <x v="1"/>
    <s v="United States"/>
    <x v="13"/>
    <x v="7"/>
    <x v="2"/>
    <n v="4"/>
    <n v="3428"/>
    <n v="305.79000000000002"/>
  </r>
  <r>
    <x v="578"/>
    <x v="8"/>
    <x v="1"/>
    <s v="United States"/>
    <x v="29"/>
    <x v="24"/>
    <x v="0"/>
    <n v="2"/>
    <n v="1640"/>
    <n v="176.87"/>
  </r>
  <r>
    <x v="538"/>
    <x v="3"/>
    <x v="2"/>
    <s v="United States"/>
    <x v="209"/>
    <x v="2"/>
    <x v="1"/>
    <n v="7"/>
    <n v="7077"/>
    <n v="1921.73"/>
  </r>
  <r>
    <x v="85"/>
    <x v="0"/>
    <x v="0"/>
    <s v="United States"/>
    <x v="209"/>
    <x v="2"/>
    <x v="1"/>
    <n v="9"/>
    <n v="9225"/>
    <n v="1391.15"/>
  </r>
  <r>
    <x v="451"/>
    <x v="1"/>
    <x v="1"/>
    <s v="United States"/>
    <x v="221"/>
    <x v="5"/>
    <x v="3"/>
    <n v="5"/>
    <n v="3910"/>
    <n v="584.77"/>
  </r>
  <r>
    <x v="175"/>
    <x v="0"/>
    <x v="0"/>
    <s v="United States"/>
    <x v="2"/>
    <x v="2"/>
    <x v="1"/>
    <n v="5"/>
    <n v="1995"/>
    <n v="369.22"/>
  </r>
  <r>
    <x v="579"/>
    <x v="8"/>
    <x v="1"/>
    <s v="United States"/>
    <x v="222"/>
    <x v="16"/>
    <x v="3"/>
    <n v="7"/>
    <n v="385"/>
    <n v="43.43"/>
  </r>
  <r>
    <x v="580"/>
    <x v="1"/>
    <x v="1"/>
    <s v="United States"/>
    <x v="6"/>
    <x v="5"/>
    <x v="3"/>
    <n v="4"/>
    <n v="4316"/>
    <n v="566.70000000000005"/>
  </r>
  <r>
    <x v="74"/>
    <x v="5"/>
    <x v="2"/>
    <s v="United States"/>
    <x v="173"/>
    <x v="1"/>
    <x v="0"/>
    <n v="1"/>
    <n v="1169"/>
    <n v="340.69"/>
  </r>
  <r>
    <x v="367"/>
    <x v="4"/>
    <x v="1"/>
    <s v="United States"/>
    <x v="28"/>
    <x v="2"/>
    <x v="1"/>
    <n v="5"/>
    <n v="2325"/>
    <n v="506.32"/>
  </r>
  <r>
    <x v="226"/>
    <x v="6"/>
    <x v="1"/>
    <s v="United States"/>
    <x v="223"/>
    <x v="2"/>
    <x v="1"/>
    <n v="1"/>
    <n v="199"/>
    <n v="48.92"/>
  </r>
  <r>
    <x v="581"/>
    <x v="5"/>
    <x v="2"/>
    <s v="United States"/>
    <x v="53"/>
    <x v="2"/>
    <x v="1"/>
    <n v="3"/>
    <n v="375"/>
    <n v="80.58"/>
  </r>
  <r>
    <x v="582"/>
    <x v="9"/>
    <x v="2"/>
    <s v="United States"/>
    <x v="224"/>
    <x v="30"/>
    <x v="0"/>
    <n v="9"/>
    <n v="8010"/>
    <n v="763.32"/>
  </r>
  <r>
    <x v="564"/>
    <x v="1"/>
    <x v="1"/>
    <s v="United States"/>
    <x v="51"/>
    <x v="30"/>
    <x v="0"/>
    <n v="4"/>
    <n v="316"/>
    <n v="77.13"/>
  </r>
  <r>
    <x v="583"/>
    <x v="3"/>
    <x v="2"/>
    <s v="United States"/>
    <x v="217"/>
    <x v="1"/>
    <x v="0"/>
    <n v="9"/>
    <n v="5895"/>
    <n v="442.49"/>
  </r>
  <r>
    <x v="584"/>
    <x v="4"/>
    <x v="1"/>
    <s v="United States"/>
    <x v="217"/>
    <x v="1"/>
    <x v="0"/>
    <n v="4"/>
    <n v="388"/>
    <n v="35.21"/>
  </r>
  <r>
    <x v="585"/>
    <x v="1"/>
    <x v="1"/>
    <s v="United States"/>
    <x v="212"/>
    <x v="33"/>
    <x v="0"/>
    <n v="5"/>
    <n v="3670"/>
    <n v="462.97"/>
  </r>
  <r>
    <x v="478"/>
    <x v="7"/>
    <x v="2"/>
    <s v="United States"/>
    <x v="212"/>
    <x v="33"/>
    <x v="0"/>
    <n v="9"/>
    <n v="7731"/>
    <n v="2178.0500000000002"/>
  </r>
  <r>
    <x v="586"/>
    <x v="9"/>
    <x v="2"/>
    <s v="United States"/>
    <x v="13"/>
    <x v="7"/>
    <x v="2"/>
    <n v="3"/>
    <n v="1596"/>
    <n v="91.23"/>
  </r>
  <r>
    <x v="552"/>
    <x v="3"/>
    <x v="2"/>
    <s v="United States"/>
    <x v="25"/>
    <x v="17"/>
    <x v="3"/>
    <n v="4"/>
    <n v="4192"/>
    <n v="216.16"/>
  </r>
  <r>
    <x v="587"/>
    <x v="2"/>
    <x v="2"/>
    <s v="United States"/>
    <x v="25"/>
    <x v="17"/>
    <x v="3"/>
    <n v="7"/>
    <n v="5264"/>
    <n v="756.33"/>
  </r>
  <r>
    <x v="388"/>
    <x v="9"/>
    <x v="2"/>
    <s v="United States"/>
    <x v="25"/>
    <x v="17"/>
    <x v="3"/>
    <n v="1"/>
    <n v="425"/>
    <n v="48.81"/>
  </r>
  <r>
    <x v="81"/>
    <x v="5"/>
    <x v="2"/>
    <s v="United States"/>
    <x v="63"/>
    <x v="14"/>
    <x v="2"/>
    <n v="4"/>
    <n v="3380"/>
    <n v="211.72"/>
  </r>
  <r>
    <x v="588"/>
    <x v="0"/>
    <x v="0"/>
    <s v="United States"/>
    <x v="29"/>
    <x v="15"/>
    <x v="2"/>
    <n v="7"/>
    <n v="8379"/>
    <n v="2009.05"/>
  </r>
  <r>
    <x v="408"/>
    <x v="8"/>
    <x v="1"/>
    <s v="United States"/>
    <x v="111"/>
    <x v="34"/>
    <x v="1"/>
    <n v="4"/>
    <n v="2040"/>
    <n v="393.72"/>
  </r>
  <r>
    <x v="57"/>
    <x v="0"/>
    <x v="0"/>
    <s v="United States"/>
    <x v="111"/>
    <x v="34"/>
    <x v="1"/>
    <n v="4"/>
    <n v="1336"/>
    <n v="116.65"/>
  </r>
  <r>
    <x v="589"/>
    <x v="8"/>
    <x v="1"/>
    <s v="United States"/>
    <x v="203"/>
    <x v="9"/>
    <x v="0"/>
    <n v="2"/>
    <n v="1934"/>
    <n v="157.41"/>
  </r>
  <r>
    <x v="549"/>
    <x v="8"/>
    <x v="1"/>
    <s v="United States"/>
    <x v="2"/>
    <x v="2"/>
    <x v="1"/>
    <n v="3"/>
    <n v="1560"/>
    <n v="391.11"/>
  </r>
  <r>
    <x v="241"/>
    <x v="8"/>
    <x v="1"/>
    <s v="United States"/>
    <x v="202"/>
    <x v="20"/>
    <x v="2"/>
    <n v="6"/>
    <n v="4446"/>
    <n v="1217.8599999999999"/>
  </r>
  <r>
    <x v="278"/>
    <x v="0"/>
    <x v="0"/>
    <s v="United States"/>
    <x v="28"/>
    <x v="2"/>
    <x v="1"/>
    <n v="3"/>
    <n v="1893"/>
    <n v="508.8"/>
  </r>
  <r>
    <x v="562"/>
    <x v="3"/>
    <x v="2"/>
    <s v="United States"/>
    <x v="9"/>
    <x v="8"/>
    <x v="3"/>
    <n v="4"/>
    <n v="4492"/>
    <n v="670.42"/>
  </r>
  <r>
    <x v="212"/>
    <x v="1"/>
    <x v="1"/>
    <s v="United States"/>
    <x v="225"/>
    <x v="8"/>
    <x v="3"/>
    <n v="6"/>
    <n v="6228"/>
    <n v="1852.45"/>
  </r>
  <r>
    <x v="590"/>
    <x v="3"/>
    <x v="2"/>
    <s v="United States"/>
    <x v="53"/>
    <x v="2"/>
    <x v="1"/>
    <n v="7"/>
    <n v="4403"/>
    <n v="1295.8900000000001"/>
  </r>
  <r>
    <x v="591"/>
    <x v="4"/>
    <x v="1"/>
    <s v="United States"/>
    <x v="53"/>
    <x v="2"/>
    <x v="1"/>
    <n v="9"/>
    <n v="4176"/>
    <n v="510.97"/>
  </r>
  <r>
    <x v="82"/>
    <x v="8"/>
    <x v="1"/>
    <s v="United States"/>
    <x v="53"/>
    <x v="2"/>
    <x v="1"/>
    <n v="2"/>
    <n v="486"/>
    <n v="64.430000000000007"/>
  </r>
  <r>
    <x v="255"/>
    <x v="0"/>
    <x v="0"/>
    <s v="United States"/>
    <x v="171"/>
    <x v="22"/>
    <x v="1"/>
    <n v="5"/>
    <n v="4880"/>
    <n v="1084.69"/>
  </r>
  <r>
    <x v="592"/>
    <x v="0"/>
    <x v="0"/>
    <s v="United States"/>
    <x v="171"/>
    <x v="22"/>
    <x v="1"/>
    <n v="5"/>
    <n v="265"/>
    <n v="53.21"/>
  </r>
  <r>
    <x v="593"/>
    <x v="9"/>
    <x v="2"/>
    <s v="United States"/>
    <x v="2"/>
    <x v="2"/>
    <x v="1"/>
    <n v="1"/>
    <n v="1041"/>
    <n v="128.58000000000001"/>
  </r>
  <r>
    <x v="594"/>
    <x v="7"/>
    <x v="2"/>
    <s v="United States"/>
    <x v="3"/>
    <x v="3"/>
    <x v="2"/>
    <n v="8"/>
    <n v="9448"/>
    <n v="616.5"/>
  </r>
  <r>
    <x v="595"/>
    <x v="4"/>
    <x v="1"/>
    <s v="United States"/>
    <x v="3"/>
    <x v="3"/>
    <x v="2"/>
    <n v="3"/>
    <n v="1617"/>
    <n v="440.46"/>
  </r>
  <r>
    <x v="298"/>
    <x v="9"/>
    <x v="2"/>
    <s v="United States"/>
    <x v="3"/>
    <x v="3"/>
    <x v="2"/>
    <n v="2"/>
    <n v="1486"/>
    <n v="233.7"/>
  </r>
  <r>
    <x v="596"/>
    <x v="5"/>
    <x v="2"/>
    <s v="United States"/>
    <x v="13"/>
    <x v="7"/>
    <x v="2"/>
    <n v="8"/>
    <n v="7152"/>
    <n v="1539.72"/>
  </r>
  <r>
    <x v="597"/>
    <x v="1"/>
    <x v="1"/>
    <s v="United States"/>
    <x v="43"/>
    <x v="22"/>
    <x v="1"/>
    <n v="6"/>
    <n v="1404"/>
    <n v="368.36"/>
  </r>
  <r>
    <x v="138"/>
    <x v="3"/>
    <x v="2"/>
    <s v="United States"/>
    <x v="43"/>
    <x v="22"/>
    <x v="1"/>
    <n v="2"/>
    <n v="122"/>
    <n v="16.23"/>
  </r>
  <r>
    <x v="598"/>
    <x v="3"/>
    <x v="2"/>
    <s v="United States"/>
    <x v="43"/>
    <x v="22"/>
    <x v="1"/>
    <n v="9"/>
    <n v="7533"/>
    <n v="1285.72"/>
  </r>
  <r>
    <x v="476"/>
    <x v="4"/>
    <x v="1"/>
    <s v="United States"/>
    <x v="15"/>
    <x v="13"/>
    <x v="1"/>
    <n v="4"/>
    <n v="3888"/>
    <n v="810.08"/>
  </r>
  <r>
    <x v="528"/>
    <x v="7"/>
    <x v="2"/>
    <s v="United States"/>
    <x v="226"/>
    <x v="5"/>
    <x v="3"/>
    <n v="5"/>
    <n v="870"/>
    <n v="48.87"/>
  </r>
  <r>
    <x v="380"/>
    <x v="1"/>
    <x v="1"/>
    <s v="United States"/>
    <x v="141"/>
    <x v="5"/>
    <x v="3"/>
    <n v="2"/>
    <n v="1446"/>
    <n v="403.89"/>
  </r>
  <r>
    <x v="599"/>
    <x v="2"/>
    <x v="2"/>
    <s v="United States"/>
    <x v="227"/>
    <x v="6"/>
    <x v="3"/>
    <n v="6"/>
    <n v="510"/>
    <n v="151.91"/>
  </r>
  <r>
    <x v="600"/>
    <x v="8"/>
    <x v="1"/>
    <s v="United States"/>
    <x v="13"/>
    <x v="7"/>
    <x v="2"/>
    <n v="8"/>
    <n v="6224"/>
    <n v="790.27"/>
  </r>
  <r>
    <x v="526"/>
    <x v="8"/>
    <x v="1"/>
    <s v="United States"/>
    <x v="102"/>
    <x v="5"/>
    <x v="3"/>
    <n v="2"/>
    <n v="686"/>
    <n v="85.03"/>
  </r>
  <r>
    <x v="25"/>
    <x v="1"/>
    <x v="1"/>
    <s v="United States"/>
    <x v="25"/>
    <x v="17"/>
    <x v="3"/>
    <n v="4"/>
    <n v="2840"/>
    <n v="591.94000000000005"/>
  </r>
  <r>
    <x v="477"/>
    <x v="9"/>
    <x v="2"/>
    <s v="United States"/>
    <x v="28"/>
    <x v="2"/>
    <x v="1"/>
    <n v="7"/>
    <n v="2562"/>
    <n v="347.62"/>
  </r>
  <r>
    <x v="28"/>
    <x v="7"/>
    <x v="2"/>
    <s v="United States"/>
    <x v="228"/>
    <x v="9"/>
    <x v="0"/>
    <n v="5"/>
    <n v="790"/>
    <n v="216.12"/>
  </r>
  <r>
    <x v="24"/>
    <x v="9"/>
    <x v="2"/>
    <s v="United States"/>
    <x v="2"/>
    <x v="2"/>
    <x v="1"/>
    <n v="5"/>
    <n v="4170"/>
    <n v="786.42"/>
  </r>
  <r>
    <x v="601"/>
    <x v="2"/>
    <x v="2"/>
    <s v="United States"/>
    <x v="13"/>
    <x v="7"/>
    <x v="2"/>
    <n v="4"/>
    <n v="1360"/>
    <n v="373.59"/>
  </r>
  <r>
    <x v="576"/>
    <x v="3"/>
    <x v="2"/>
    <s v="United States"/>
    <x v="52"/>
    <x v="25"/>
    <x v="0"/>
    <n v="6"/>
    <n v="5316"/>
    <n v="782.42"/>
  </r>
  <r>
    <x v="50"/>
    <x v="9"/>
    <x v="2"/>
    <s v="United States"/>
    <x v="13"/>
    <x v="7"/>
    <x v="2"/>
    <n v="4"/>
    <n v="3956"/>
    <n v="293.38"/>
  </r>
  <r>
    <x v="255"/>
    <x v="6"/>
    <x v="1"/>
    <s v="United States"/>
    <x v="15"/>
    <x v="13"/>
    <x v="1"/>
    <n v="3"/>
    <n v="726"/>
    <n v="94.38"/>
  </r>
  <r>
    <x v="218"/>
    <x v="7"/>
    <x v="2"/>
    <s v="United States"/>
    <x v="2"/>
    <x v="2"/>
    <x v="1"/>
    <n v="4"/>
    <n v="228"/>
    <n v="29.37"/>
  </r>
  <r>
    <x v="462"/>
    <x v="4"/>
    <x v="1"/>
    <s v="United States"/>
    <x v="174"/>
    <x v="2"/>
    <x v="1"/>
    <n v="3"/>
    <n v="2274"/>
    <n v="442.57"/>
  </r>
  <r>
    <x v="602"/>
    <x v="8"/>
    <x v="1"/>
    <s v="United States"/>
    <x v="11"/>
    <x v="9"/>
    <x v="0"/>
    <n v="9"/>
    <n v="2628"/>
    <n v="459.87"/>
  </r>
  <r>
    <x v="603"/>
    <x v="3"/>
    <x v="2"/>
    <s v="United States"/>
    <x v="229"/>
    <x v="38"/>
    <x v="2"/>
    <n v="6"/>
    <n v="606"/>
    <n v="104.85"/>
  </r>
  <r>
    <x v="131"/>
    <x v="4"/>
    <x v="1"/>
    <s v="United States"/>
    <x v="26"/>
    <x v="1"/>
    <x v="0"/>
    <n v="8"/>
    <n v="7256"/>
    <n v="558.79"/>
  </r>
  <r>
    <x v="604"/>
    <x v="3"/>
    <x v="2"/>
    <s v="United States"/>
    <x v="230"/>
    <x v="16"/>
    <x v="3"/>
    <n v="4"/>
    <n v="1956"/>
    <n v="125.69"/>
  </r>
  <r>
    <x v="295"/>
    <x v="0"/>
    <x v="0"/>
    <s v="United States"/>
    <x v="230"/>
    <x v="16"/>
    <x v="3"/>
    <n v="6"/>
    <n v="3954"/>
    <n v="690.1"/>
  </r>
  <r>
    <x v="351"/>
    <x v="8"/>
    <x v="1"/>
    <s v="United States"/>
    <x v="230"/>
    <x v="16"/>
    <x v="3"/>
    <n v="6"/>
    <n v="2262"/>
    <n v="442.86"/>
  </r>
  <r>
    <x v="483"/>
    <x v="0"/>
    <x v="0"/>
    <s v="United States"/>
    <x v="231"/>
    <x v="1"/>
    <x v="0"/>
    <n v="4"/>
    <n v="2804"/>
    <n v="391.59"/>
  </r>
  <r>
    <x v="605"/>
    <x v="2"/>
    <x v="2"/>
    <s v="United States"/>
    <x v="15"/>
    <x v="13"/>
    <x v="1"/>
    <n v="9"/>
    <n v="5850"/>
    <n v="1511.06"/>
  </r>
  <r>
    <x v="606"/>
    <x v="8"/>
    <x v="1"/>
    <s v="United States"/>
    <x v="21"/>
    <x v="5"/>
    <x v="3"/>
    <n v="1"/>
    <n v="56"/>
    <n v="9.16"/>
  </r>
  <r>
    <x v="607"/>
    <x v="6"/>
    <x v="1"/>
    <s v="United States"/>
    <x v="2"/>
    <x v="2"/>
    <x v="1"/>
    <n v="9"/>
    <n v="4302"/>
    <n v="344.64"/>
  </r>
  <r>
    <x v="146"/>
    <x v="3"/>
    <x v="2"/>
    <s v="United States"/>
    <x v="100"/>
    <x v="3"/>
    <x v="2"/>
    <n v="9"/>
    <n v="10143"/>
    <n v="1690.66"/>
  </r>
  <r>
    <x v="332"/>
    <x v="4"/>
    <x v="1"/>
    <s v="United States"/>
    <x v="100"/>
    <x v="3"/>
    <x v="2"/>
    <n v="1"/>
    <n v="1012"/>
    <n v="164.89"/>
  </r>
  <r>
    <x v="608"/>
    <x v="2"/>
    <x v="2"/>
    <s v="United States"/>
    <x v="28"/>
    <x v="2"/>
    <x v="1"/>
    <n v="9"/>
    <n v="8964"/>
    <n v="448.62"/>
  </r>
  <r>
    <x v="87"/>
    <x v="1"/>
    <x v="1"/>
    <s v="United States"/>
    <x v="120"/>
    <x v="35"/>
    <x v="0"/>
    <n v="6"/>
    <n v="1758"/>
    <n v="262.36"/>
  </r>
  <r>
    <x v="305"/>
    <x v="0"/>
    <x v="0"/>
    <s v="United States"/>
    <x v="28"/>
    <x v="2"/>
    <x v="1"/>
    <n v="6"/>
    <n v="6348"/>
    <n v="557.72"/>
  </r>
  <r>
    <x v="609"/>
    <x v="0"/>
    <x v="0"/>
    <s v="United States"/>
    <x v="28"/>
    <x v="2"/>
    <x v="1"/>
    <n v="2"/>
    <n v="1582"/>
    <n v="422.46"/>
  </r>
  <r>
    <x v="97"/>
    <x v="1"/>
    <x v="1"/>
    <s v="United States"/>
    <x v="28"/>
    <x v="2"/>
    <x v="1"/>
    <n v="2"/>
    <n v="1924"/>
    <n v="394.4"/>
  </r>
  <r>
    <x v="610"/>
    <x v="8"/>
    <x v="1"/>
    <s v="United States"/>
    <x v="13"/>
    <x v="7"/>
    <x v="2"/>
    <n v="1"/>
    <n v="120"/>
    <n v="23.86"/>
  </r>
  <r>
    <x v="611"/>
    <x v="4"/>
    <x v="1"/>
    <s v="United States"/>
    <x v="13"/>
    <x v="7"/>
    <x v="2"/>
    <n v="8"/>
    <n v="7752"/>
    <n v="1943.84"/>
  </r>
  <r>
    <x v="442"/>
    <x v="3"/>
    <x v="2"/>
    <s v="United States"/>
    <x v="3"/>
    <x v="3"/>
    <x v="2"/>
    <n v="2"/>
    <n v="1114"/>
    <n v="300.44"/>
  </r>
  <r>
    <x v="271"/>
    <x v="8"/>
    <x v="1"/>
    <s v="United States"/>
    <x v="3"/>
    <x v="3"/>
    <x v="2"/>
    <n v="5"/>
    <n v="1765"/>
    <n v="229.06"/>
  </r>
  <r>
    <x v="612"/>
    <x v="8"/>
    <x v="1"/>
    <s v="United States"/>
    <x v="121"/>
    <x v="2"/>
    <x v="1"/>
    <n v="6"/>
    <n v="6834"/>
    <n v="1418.21"/>
  </r>
  <r>
    <x v="415"/>
    <x v="7"/>
    <x v="2"/>
    <s v="United States"/>
    <x v="144"/>
    <x v="5"/>
    <x v="3"/>
    <n v="5"/>
    <n v="1520"/>
    <n v="433.53"/>
  </r>
  <r>
    <x v="613"/>
    <x v="5"/>
    <x v="2"/>
    <s v="United States"/>
    <x v="232"/>
    <x v="1"/>
    <x v="0"/>
    <n v="7"/>
    <n v="8141"/>
    <n v="767.6"/>
  </r>
  <r>
    <x v="614"/>
    <x v="2"/>
    <x v="2"/>
    <s v="United States"/>
    <x v="232"/>
    <x v="1"/>
    <x v="0"/>
    <n v="8"/>
    <n v="5176"/>
    <n v="866.36"/>
  </r>
  <r>
    <x v="239"/>
    <x v="1"/>
    <x v="1"/>
    <s v="United States"/>
    <x v="93"/>
    <x v="31"/>
    <x v="0"/>
    <n v="9"/>
    <n v="738"/>
    <n v="64.42"/>
  </r>
  <r>
    <x v="607"/>
    <x v="0"/>
    <x v="0"/>
    <s v="United States"/>
    <x v="233"/>
    <x v="27"/>
    <x v="3"/>
    <n v="9"/>
    <n v="4086"/>
    <n v="217.48"/>
  </r>
  <r>
    <x v="615"/>
    <x v="1"/>
    <x v="1"/>
    <s v="United States"/>
    <x v="13"/>
    <x v="7"/>
    <x v="2"/>
    <n v="2"/>
    <n v="442"/>
    <n v="28.13"/>
  </r>
  <r>
    <x v="616"/>
    <x v="7"/>
    <x v="2"/>
    <s v="United States"/>
    <x v="25"/>
    <x v="17"/>
    <x v="3"/>
    <n v="6"/>
    <n v="2478"/>
    <n v="153.86000000000001"/>
  </r>
  <r>
    <x v="234"/>
    <x v="8"/>
    <x v="1"/>
    <s v="United States"/>
    <x v="51"/>
    <x v="1"/>
    <x v="0"/>
    <n v="2"/>
    <n v="1860"/>
    <n v="327.14999999999998"/>
  </r>
  <r>
    <x v="82"/>
    <x v="6"/>
    <x v="1"/>
    <s v="United States"/>
    <x v="3"/>
    <x v="3"/>
    <x v="2"/>
    <n v="9"/>
    <n v="4968"/>
    <n v="991.82"/>
  </r>
  <r>
    <x v="617"/>
    <x v="0"/>
    <x v="0"/>
    <s v="United States"/>
    <x v="28"/>
    <x v="2"/>
    <x v="1"/>
    <n v="3"/>
    <n v="1446"/>
    <n v="278.94"/>
  </r>
  <r>
    <x v="526"/>
    <x v="1"/>
    <x v="1"/>
    <s v="United States"/>
    <x v="234"/>
    <x v="7"/>
    <x v="2"/>
    <n v="7"/>
    <n v="1722"/>
    <n v="414.87"/>
  </r>
  <r>
    <x v="164"/>
    <x v="5"/>
    <x v="2"/>
    <s v="United States"/>
    <x v="102"/>
    <x v="2"/>
    <x v="1"/>
    <n v="7"/>
    <n v="6573"/>
    <n v="460.28"/>
  </r>
  <r>
    <x v="207"/>
    <x v="4"/>
    <x v="1"/>
    <s v="United States"/>
    <x v="20"/>
    <x v="20"/>
    <x v="2"/>
    <n v="3"/>
    <n v="2481"/>
    <n v="249.52"/>
  </r>
  <r>
    <x v="618"/>
    <x v="6"/>
    <x v="1"/>
    <s v="United States"/>
    <x v="235"/>
    <x v="42"/>
    <x v="1"/>
    <n v="6"/>
    <n v="3828"/>
    <n v="1102.8599999999999"/>
  </r>
  <r>
    <x v="500"/>
    <x v="2"/>
    <x v="2"/>
    <s v="United States"/>
    <x v="2"/>
    <x v="2"/>
    <x v="1"/>
    <n v="7"/>
    <n v="1197"/>
    <n v="103.34"/>
  </r>
  <r>
    <x v="231"/>
    <x v="2"/>
    <x v="2"/>
    <s v="United States"/>
    <x v="236"/>
    <x v="38"/>
    <x v="2"/>
    <n v="7"/>
    <n v="7623"/>
    <n v="1459.84"/>
  </r>
  <r>
    <x v="201"/>
    <x v="1"/>
    <x v="1"/>
    <s v="United States"/>
    <x v="236"/>
    <x v="38"/>
    <x v="2"/>
    <n v="9"/>
    <n v="3384"/>
    <n v="252.11"/>
  </r>
  <r>
    <x v="105"/>
    <x v="6"/>
    <x v="1"/>
    <s v="United States"/>
    <x v="236"/>
    <x v="38"/>
    <x v="2"/>
    <n v="8"/>
    <n v="1296"/>
    <n v="273.97000000000003"/>
  </r>
  <r>
    <x v="619"/>
    <x v="2"/>
    <x v="2"/>
    <s v="United States"/>
    <x v="236"/>
    <x v="38"/>
    <x v="2"/>
    <n v="8"/>
    <n v="2840"/>
    <n v="262.62"/>
  </r>
  <r>
    <x v="589"/>
    <x v="3"/>
    <x v="2"/>
    <s v="United States"/>
    <x v="28"/>
    <x v="2"/>
    <x v="1"/>
    <n v="7"/>
    <n v="1540"/>
    <n v="342.93"/>
  </r>
  <r>
    <x v="620"/>
    <x v="3"/>
    <x v="2"/>
    <s v="United States"/>
    <x v="15"/>
    <x v="13"/>
    <x v="1"/>
    <n v="2"/>
    <n v="1414"/>
    <n v="308.39"/>
  </r>
  <r>
    <x v="621"/>
    <x v="3"/>
    <x v="2"/>
    <s v="United States"/>
    <x v="9"/>
    <x v="8"/>
    <x v="3"/>
    <n v="8"/>
    <n v="8328"/>
    <n v="466.38"/>
  </r>
  <r>
    <x v="556"/>
    <x v="3"/>
    <x v="2"/>
    <s v="United States"/>
    <x v="15"/>
    <x v="13"/>
    <x v="1"/>
    <n v="2"/>
    <n v="744"/>
    <n v="217.21"/>
  </r>
  <r>
    <x v="622"/>
    <x v="1"/>
    <x v="1"/>
    <s v="United States"/>
    <x v="144"/>
    <x v="5"/>
    <x v="3"/>
    <n v="9"/>
    <n v="1773"/>
    <n v="168.01"/>
  </r>
  <r>
    <x v="138"/>
    <x v="7"/>
    <x v="2"/>
    <s v="United States"/>
    <x v="237"/>
    <x v="32"/>
    <x v="2"/>
    <n v="7"/>
    <n v="6034"/>
    <n v="1018.37"/>
  </r>
  <r>
    <x v="623"/>
    <x v="7"/>
    <x v="2"/>
    <s v="United States"/>
    <x v="237"/>
    <x v="32"/>
    <x v="2"/>
    <n v="9"/>
    <n v="756"/>
    <n v="99.21"/>
  </r>
  <r>
    <x v="624"/>
    <x v="6"/>
    <x v="1"/>
    <s v="United States"/>
    <x v="130"/>
    <x v="19"/>
    <x v="2"/>
    <n v="8"/>
    <n v="2256"/>
    <n v="468.52"/>
  </r>
  <r>
    <x v="554"/>
    <x v="6"/>
    <x v="1"/>
    <s v="United States"/>
    <x v="13"/>
    <x v="7"/>
    <x v="2"/>
    <n v="7"/>
    <n v="875"/>
    <n v="203.63"/>
  </r>
  <r>
    <x v="48"/>
    <x v="4"/>
    <x v="1"/>
    <s v="United States"/>
    <x v="234"/>
    <x v="8"/>
    <x v="3"/>
    <n v="4"/>
    <n v="1208"/>
    <n v="115.13"/>
  </r>
  <r>
    <x v="625"/>
    <x v="4"/>
    <x v="1"/>
    <s v="United States"/>
    <x v="15"/>
    <x v="13"/>
    <x v="1"/>
    <n v="2"/>
    <n v="352"/>
    <n v="54.19"/>
  </r>
  <r>
    <x v="626"/>
    <x v="0"/>
    <x v="0"/>
    <s v="United States"/>
    <x v="6"/>
    <x v="5"/>
    <x v="3"/>
    <n v="6"/>
    <n v="4266"/>
    <n v="357.51"/>
  </r>
  <r>
    <x v="627"/>
    <x v="2"/>
    <x v="2"/>
    <s v="United States"/>
    <x v="6"/>
    <x v="5"/>
    <x v="3"/>
    <n v="7"/>
    <n v="1841"/>
    <n v="496.89"/>
  </r>
  <r>
    <x v="624"/>
    <x v="3"/>
    <x v="2"/>
    <s v="United States"/>
    <x v="15"/>
    <x v="13"/>
    <x v="1"/>
    <n v="1"/>
    <n v="712"/>
    <n v="89.5"/>
  </r>
  <r>
    <x v="628"/>
    <x v="0"/>
    <x v="0"/>
    <s v="United States"/>
    <x v="38"/>
    <x v="9"/>
    <x v="0"/>
    <n v="2"/>
    <n v="724"/>
    <n v="72.19"/>
  </r>
  <r>
    <x v="629"/>
    <x v="7"/>
    <x v="2"/>
    <s v="United States"/>
    <x v="237"/>
    <x v="32"/>
    <x v="2"/>
    <n v="8"/>
    <n v="5832"/>
    <n v="662.72"/>
  </r>
  <r>
    <x v="427"/>
    <x v="8"/>
    <x v="1"/>
    <s v="United States"/>
    <x v="174"/>
    <x v="18"/>
    <x v="2"/>
    <n v="6"/>
    <n v="4188"/>
    <n v="989.14"/>
  </r>
  <r>
    <x v="630"/>
    <x v="2"/>
    <x v="2"/>
    <s v="United States"/>
    <x v="13"/>
    <x v="7"/>
    <x v="2"/>
    <n v="1"/>
    <n v="392"/>
    <n v="50.7"/>
  </r>
  <r>
    <x v="92"/>
    <x v="9"/>
    <x v="2"/>
    <s v="United States"/>
    <x v="238"/>
    <x v="5"/>
    <x v="3"/>
    <n v="9"/>
    <n v="963"/>
    <n v="49.71"/>
  </r>
  <r>
    <x v="631"/>
    <x v="3"/>
    <x v="2"/>
    <s v="United States"/>
    <x v="2"/>
    <x v="2"/>
    <x v="1"/>
    <n v="6"/>
    <n v="5706"/>
    <n v="319.45999999999998"/>
  </r>
  <r>
    <x v="525"/>
    <x v="4"/>
    <x v="1"/>
    <s v="United States"/>
    <x v="125"/>
    <x v="36"/>
    <x v="1"/>
    <n v="7"/>
    <n v="1365"/>
    <n v="312.04000000000002"/>
  </r>
  <r>
    <x v="632"/>
    <x v="4"/>
    <x v="1"/>
    <s v="United States"/>
    <x v="239"/>
    <x v="2"/>
    <x v="1"/>
    <n v="1"/>
    <n v="202"/>
    <n v="11.24"/>
  </r>
  <r>
    <x v="161"/>
    <x v="7"/>
    <x v="2"/>
    <s v="United States"/>
    <x v="199"/>
    <x v="1"/>
    <x v="0"/>
    <n v="9"/>
    <n v="2430"/>
    <n v="613.66999999999996"/>
  </r>
  <r>
    <x v="621"/>
    <x v="6"/>
    <x v="1"/>
    <s v="United States"/>
    <x v="15"/>
    <x v="13"/>
    <x v="1"/>
    <n v="3"/>
    <n v="2670"/>
    <n v="515.39"/>
  </r>
  <r>
    <x v="633"/>
    <x v="2"/>
    <x v="2"/>
    <s v="United States"/>
    <x v="2"/>
    <x v="2"/>
    <x v="1"/>
    <n v="7"/>
    <n v="2758"/>
    <n v="520.66"/>
  </r>
  <r>
    <x v="634"/>
    <x v="6"/>
    <x v="1"/>
    <s v="United States"/>
    <x v="52"/>
    <x v="25"/>
    <x v="0"/>
    <n v="9"/>
    <n v="873"/>
    <n v="82.35"/>
  </r>
  <r>
    <x v="635"/>
    <x v="5"/>
    <x v="2"/>
    <s v="United States"/>
    <x v="240"/>
    <x v="22"/>
    <x v="1"/>
    <n v="9"/>
    <n v="7245"/>
    <n v="1410.92"/>
  </r>
  <r>
    <x v="280"/>
    <x v="3"/>
    <x v="2"/>
    <s v="United States"/>
    <x v="241"/>
    <x v="7"/>
    <x v="2"/>
    <n v="4"/>
    <n v="960"/>
    <n v="255.24"/>
  </r>
  <r>
    <x v="66"/>
    <x v="5"/>
    <x v="2"/>
    <s v="United States"/>
    <x v="241"/>
    <x v="7"/>
    <x v="2"/>
    <n v="4"/>
    <n v="1284"/>
    <n v="171.02"/>
  </r>
  <r>
    <x v="636"/>
    <x v="1"/>
    <x v="1"/>
    <s v="United States"/>
    <x v="14"/>
    <x v="8"/>
    <x v="3"/>
    <n v="4"/>
    <n v="512"/>
    <n v="110.47"/>
  </r>
  <r>
    <x v="637"/>
    <x v="5"/>
    <x v="2"/>
    <s v="United States"/>
    <x v="14"/>
    <x v="8"/>
    <x v="3"/>
    <n v="9"/>
    <n v="9729"/>
    <n v="2039.41"/>
  </r>
  <r>
    <x v="351"/>
    <x v="3"/>
    <x v="2"/>
    <s v="United States"/>
    <x v="242"/>
    <x v="2"/>
    <x v="1"/>
    <n v="5"/>
    <n v="1580"/>
    <n v="166.16"/>
  </r>
  <r>
    <x v="214"/>
    <x v="1"/>
    <x v="1"/>
    <s v="United States"/>
    <x v="242"/>
    <x v="2"/>
    <x v="1"/>
    <n v="8"/>
    <n v="976"/>
    <n v="234.24"/>
  </r>
  <r>
    <x v="638"/>
    <x v="0"/>
    <x v="0"/>
    <s v="United States"/>
    <x v="28"/>
    <x v="2"/>
    <x v="1"/>
    <n v="8"/>
    <n v="1824"/>
    <n v="495.35"/>
  </r>
  <r>
    <x v="194"/>
    <x v="7"/>
    <x v="2"/>
    <s v="United States"/>
    <x v="185"/>
    <x v="8"/>
    <x v="3"/>
    <n v="4"/>
    <n v="3188"/>
    <n v="202.81"/>
  </r>
  <r>
    <x v="639"/>
    <x v="3"/>
    <x v="2"/>
    <s v="United States"/>
    <x v="185"/>
    <x v="8"/>
    <x v="3"/>
    <n v="7"/>
    <n v="5467"/>
    <n v="556.02"/>
  </r>
  <r>
    <x v="640"/>
    <x v="7"/>
    <x v="2"/>
    <s v="United States"/>
    <x v="13"/>
    <x v="7"/>
    <x v="2"/>
    <n v="6"/>
    <n v="5406"/>
    <n v="1277.46"/>
  </r>
  <r>
    <x v="145"/>
    <x v="4"/>
    <x v="1"/>
    <s v="United States"/>
    <x v="3"/>
    <x v="3"/>
    <x v="2"/>
    <n v="8"/>
    <n v="2984"/>
    <n v="742.31"/>
  </r>
  <r>
    <x v="213"/>
    <x v="0"/>
    <x v="0"/>
    <s v="United States"/>
    <x v="3"/>
    <x v="3"/>
    <x v="2"/>
    <n v="1"/>
    <n v="919"/>
    <n v="193.35"/>
  </r>
  <r>
    <x v="641"/>
    <x v="3"/>
    <x v="2"/>
    <s v="United States"/>
    <x v="11"/>
    <x v="32"/>
    <x v="2"/>
    <n v="6"/>
    <n v="1686"/>
    <n v="426.72"/>
  </r>
  <r>
    <x v="642"/>
    <x v="9"/>
    <x v="2"/>
    <s v="United States"/>
    <x v="243"/>
    <x v="15"/>
    <x v="2"/>
    <n v="7"/>
    <n v="4165"/>
    <n v="493.24"/>
  </r>
  <r>
    <x v="319"/>
    <x v="7"/>
    <x v="2"/>
    <s v="United States"/>
    <x v="244"/>
    <x v="24"/>
    <x v="0"/>
    <n v="7"/>
    <n v="1281"/>
    <n v="282.63"/>
  </r>
  <r>
    <x v="373"/>
    <x v="5"/>
    <x v="2"/>
    <s v="United States"/>
    <x v="169"/>
    <x v="37"/>
    <x v="3"/>
    <n v="3"/>
    <n v="2829"/>
    <n v="362.16"/>
  </r>
  <r>
    <x v="552"/>
    <x v="6"/>
    <x v="1"/>
    <s v="United States"/>
    <x v="0"/>
    <x v="0"/>
    <x v="0"/>
    <n v="3"/>
    <n v="2211"/>
    <n v="292.31"/>
  </r>
  <r>
    <x v="643"/>
    <x v="4"/>
    <x v="1"/>
    <s v="United States"/>
    <x v="0"/>
    <x v="0"/>
    <x v="0"/>
    <n v="4"/>
    <n v="4740"/>
    <n v="607.80999999999995"/>
  </r>
  <r>
    <x v="644"/>
    <x v="3"/>
    <x v="2"/>
    <s v="United States"/>
    <x v="2"/>
    <x v="2"/>
    <x v="1"/>
    <n v="1"/>
    <n v="718"/>
    <n v="169.09"/>
  </r>
  <r>
    <x v="645"/>
    <x v="4"/>
    <x v="1"/>
    <s v="United States"/>
    <x v="28"/>
    <x v="2"/>
    <x v="1"/>
    <n v="6"/>
    <n v="1716"/>
    <n v="108.81"/>
  </r>
  <r>
    <x v="127"/>
    <x v="6"/>
    <x v="1"/>
    <s v="United States"/>
    <x v="28"/>
    <x v="2"/>
    <x v="1"/>
    <n v="7"/>
    <n v="1547"/>
    <n v="152.59"/>
  </r>
  <r>
    <x v="646"/>
    <x v="1"/>
    <x v="1"/>
    <s v="United States"/>
    <x v="28"/>
    <x v="2"/>
    <x v="1"/>
    <n v="1"/>
    <n v="739"/>
    <n v="111.18"/>
  </r>
  <r>
    <x v="647"/>
    <x v="9"/>
    <x v="2"/>
    <s v="United States"/>
    <x v="14"/>
    <x v="12"/>
    <x v="1"/>
    <n v="3"/>
    <n v="819"/>
    <n v="231.88"/>
  </r>
  <r>
    <x v="453"/>
    <x v="9"/>
    <x v="2"/>
    <s v="United States"/>
    <x v="13"/>
    <x v="7"/>
    <x v="2"/>
    <n v="8"/>
    <n v="5696"/>
    <n v="1156.3"/>
  </r>
  <r>
    <x v="357"/>
    <x v="6"/>
    <x v="1"/>
    <s v="United States"/>
    <x v="3"/>
    <x v="3"/>
    <x v="2"/>
    <n v="2"/>
    <n v="1706"/>
    <n v="184.71"/>
  </r>
  <r>
    <x v="203"/>
    <x v="3"/>
    <x v="2"/>
    <s v="United States"/>
    <x v="245"/>
    <x v="15"/>
    <x v="2"/>
    <n v="2"/>
    <n v="2066"/>
    <n v="608.23"/>
  </r>
  <r>
    <x v="648"/>
    <x v="9"/>
    <x v="2"/>
    <s v="United States"/>
    <x v="245"/>
    <x v="15"/>
    <x v="2"/>
    <n v="2"/>
    <n v="256"/>
    <n v="35.659999999999997"/>
  </r>
  <r>
    <x v="649"/>
    <x v="7"/>
    <x v="2"/>
    <s v="United States"/>
    <x v="245"/>
    <x v="15"/>
    <x v="2"/>
    <n v="2"/>
    <n v="1102"/>
    <n v="182.54"/>
  </r>
  <r>
    <x v="557"/>
    <x v="6"/>
    <x v="1"/>
    <s v="United States"/>
    <x v="246"/>
    <x v="37"/>
    <x v="3"/>
    <n v="8"/>
    <n v="2872"/>
    <n v="483.94"/>
  </r>
  <r>
    <x v="599"/>
    <x v="2"/>
    <x v="2"/>
    <s v="United States"/>
    <x v="2"/>
    <x v="2"/>
    <x v="1"/>
    <n v="4"/>
    <n v="2584"/>
    <n v="394.52"/>
  </r>
  <r>
    <x v="624"/>
    <x v="1"/>
    <x v="1"/>
    <s v="United States"/>
    <x v="29"/>
    <x v="15"/>
    <x v="2"/>
    <n v="2"/>
    <n v="1366"/>
    <n v="298.32"/>
  </r>
  <r>
    <x v="239"/>
    <x v="5"/>
    <x v="2"/>
    <s v="United States"/>
    <x v="29"/>
    <x v="15"/>
    <x v="2"/>
    <n v="7"/>
    <n v="1253"/>
    <n v="354.23"/>
  </r>
  <r>
    <x v="650"/>
    <x v="9"/>
    <x v="2"/>
    <s v="United States"/>
    <x v="2"/>
    <x v="2"/>
    <x v="1"/>
    <n v="7"/>
    <n v="2618"/>
    <n v="300.81"/>
  </r>
  <r>
    <x v="362"/>
    <x v="4"/>
    <x v="1"/>
    <s v="United States"/>
    <x v="2"/>
    <x v="2"/>
    <x v="1"/>
    <n v="9"/>
    <n v="6822"/>
    <n v="1811.37"/>
  </r>
  <r>
    <x v="572"/>
    <x v="8"/>
    <x v="1"/>
    <s v="United States"/>
    <x v="2"/>
    <x v="2"/>
    <x v="1"/>
    <n v="6"/>
    <n v="5286"/>
    <n v="636.16"/>
  </r>
  <r>
    <x v="651"/>
    <x v="6"/>
    <x v="1"/>
    <s v="United States"/>
    <x v="76"/>
    <x v="23"/>
    <x v="3"/>
    <n v="1"/>
    <n v="579"/>
    <n v="133.57"/>
  </r>
  <r>
    <x v="512"/>
    <x v="9"/>
    <x v="2"/>
    <s v="United States"/>
    <x v="247"/>
    <x v="25"/>
    <x v="0"/>
    <n v="8"/>
    <n v="1392"/>
    <n v="190.99"/>
  </r>
  <r>
    <x v="137"/>
    <x v="9"/>
    <x v="2"/>
    <s v="United States"/>
    <x v="52"/>
    <x v="6"/>
    <x v="3"/>
    <n v="9"/>
    <n v="2493"/>
    <n v="696.69"/>
  </r>
  <r>
    <x v="652"/>
    <x v="7"/>
    <x v="2"/>
    <s v="United States"/>
    <x v="13"/>
    <x v="7"/>
    <x v="2"/>
    <n v="7"/>
    <n v="6461"/>
    <n v="766.45"/>
  </r>
  <r>
    <x v="653"/>
    <x v="2"/>
    <x v="2"/>
    <s v="United States"/>
    <x v="248"/>
    <x v="7"/>
    <x v="2"/>
    <n v="2"/>
    <n v="1486"/>
    <n v="201.07"/>
  </r>
  <r>
    <x v="654"/>
    <x v="0"/>
    <x v="0"/>
    <s v="United States"/>
    <x v="13"/>
    <x v="7"/>
    <x v="2"/>
    <n v="1"/>
    <n v="1152"/>
    <n v="280.27999999999997"/>
  </r>
  <r>
    <x v="655"/>
    <x v="5"/>
    <x v="2"/>
    <s v="United States"/>
    <x v="249"/>
    <x v="2"/>
    <x v="1"/>
    <n v="2"/>
    <n v="1750"/>
    <n v="103.99"/>
  </r>
  <r>
    <x v="535"/>
    <x v="7"/>
    <x v="2"/>
    <s v="United States"/>
    <x v="15"/>
    <x v="13"/>
    <x v="1"/>
    <n v="7"/>
    <n v="4417"/>
    <n v="495.37"/>
  </r>
  <r>
    <x v="528"/>
    <x v="9"/>
    <x v="2"/>
    <s v="United States"/>
    <x v="134"/>
    <x v="38"/>
    <x v="2"/>
    <n v="4"/>
    <n v="3724"/>
    <n v="276.85000000000002"/>
  </r>
  <r>
    <x v="656"/>
    <x v="3"/>
    <x v="2"/>
    <s v="United States"/>
    <x v="9"/>
    <x v="8"/>
    <x v="3"/>
    <n v="3"/>
    <n v="2220"/>
    <n v="121.14"/>
  </r>
  <r>
    <x v="657"/>
    <x v="6"/>
    <x v="1"/>
    <s v="United States"/>
    <x v="9"/>
    <x v="8"/>
    <x v="3"/>
    <n v="8"/>
    <n v="9104"/>
    <n v="2620.58"/>
  </r>
  <r>
    <x v="145"/>
    <x v="0"/>
    <x v="0"/>
    <s v="United States"/>
    <x v="2"/>
    <x v="2"/>
    <x v="1"/>
    <n v="3"/>
    <n v="3093"/>
    <n v="584.23"/>
  </r>
  <r>
    <x v="125"/>
    <x v="4"/>
    <x v="1"/>
    <s v="United States"/>
    <x v="28"/>
    <x v="2"/>
    <x v="1"/>
    <n v="6"/>
    <n v="3048"/>
    <n v="842.24"/>
  </r>
  <r>
    <x v="658"/>
    <x v="7"/>
    <x v="2"/>
    <s v="United States"/>
    <x v="21"/>
    <x v="5"/>
    <x v="3"/>
    <n v="1"/>
    <n v="161"/>
    <n v="36.58"/>
  </r>
  <r>
    <x v="476"/>
    <x v="6"/>
    <x v="1"/>
    <s v="United States"/>
    <x v="2"/>
    <x v="2"/>
    <x v="1"/>
    <n v="7"/>
    <n v="7238"/>
    <n v="1889.69"/>
  </r>
  <r>
    <x v="301"/>
    <x v="7"/>
    <x v="2"/>
    <s v="United States"/>
    <x v="232"/>
    <x v="1"/>
    <x v="0"/>
    <n v="3"/>
    <n v="3561"/>
    <n v="347.31"/>
  </r>
  <r>
    <x v="659"/>
    <x v="6"/>
    <x v="1"/>
    <s v="United States"/>
    <x v="124"/>
    <x v="2"/>
    <x v="1"/>
    <n v="5"/>
    <n v="1850"/>
    <n v="534.39"/>
  </r>
  <r>
    <x v="660"/>
    <x v="1"/>
    <x v="1"/>
    <s v="United States"/>
    <x v="38"/>
    <x v="17"/>
    <x v="3"/>
    <n v="6"/>
    <n v="3522"/>
    <n v="626.72"/>
  </r>
  <r>
    <x v="661"/>
    <x v="5"/>
    <x v="2"/>
    <s v="United States"/>
    <x v="3"/>
    <x v="3"/>
    <x v="2"/>
    <n v="1"/>
    <n v="584"/>
    <n v="172.4"/>
  </r>
  <r>
    <x v="579"/>
    <x v="7"/>
    <x v="2"/>
    <s v="United States"/>
    <x v="250"/>
    <x v="2"/>
    <x v="1"/>
    <n v="4"/>
    <n v="2556"/>
    <n v="412.44"/>
  </r>
  <r>
    <x v="662"/>
    <x v="7"/>
    <x v="2"/>
    <s v="United States"/>
    <x v="2"/>
    <x v="2"/>
    <x v="1"/>
    <n v="2"/>
    <n v="348"/>
    <n v="56.31"/>
  </r>
  <r>
    <x v="663"/>
    <x v="6"/>
    <x v="1"/>
    <s v="United States"/>
    <x v="2"/>
    <x v="2"/>
    <x v="1"/>
    <n v="9"/>
    <n v="1602"/>
    <n v="142.49"/>
  </r>
  <r>
    <x v="664"/>
    <x v="6"/>
    <x v="1"/>
    <s v="United States"/>
    <x v="237"/>
    <x v="32"/>
    <x v="2"/>
    <n v="3"/>
    <n v="2853"/>
    <n v="437.59"/>
  </r>
  <r>
    <x v="154"/>
    <x v="0"/>
    <x v="0"/>
    <s v="United States"/>
    <x v="64"/>
    <x v="2"/>
    <x v="1"/>
    <n v="1"/>
    <n v="1024"/>
    <n v="230.3"/>
  </r>
  <r>
    <x v="310"/>
    <x v="3"/>
    <x v="2"/>
    <s v="United States"/>
    <x v="114"/>
    <x v="20"/>
    <x v="2"/>
    <n v="5"/>
    <n v="4485"/>
    <n v="1324.49"/>
  </r>
  <r>
    <x v="665"/>
    <x v="0"/>
    <x v="0"/>
    <s v="United States"/>
    <x v="11"/>
    <x v="9"/>
    <x v="0"/>
    <n v="2"/>
    <n v="436"/>
    <n v="79.69"/>
  </r>
  <r>
    <x v="257"/>
    <x v="5"/>
    <x v="2"/>
    <s v="United States"/>
    <x v="189"/>
    <x v="17"/>
    <x v="3"/>
    <n v="2"/>
    <n v="2232"/>
    <n v="150.12"/>
  </r>
  <r>
    <x v="201"/>
    <x v="8"/>
    <x v="1"/>
    <s v="United States"/>
    <x v="28"/>
    <x v="2"/>
    <x v="1"/>
    <n v="6"/>
    <n v="7056"/>
    <n v="1445.01"/>
  </r>
  <r>
    <x v="532"/>
    <x v="8"/>
    <x v="1"/>
    <s v="United States"/>
    <x v="28"/>
    <x v="2"/>
    <x v="1"/>
    <n v="5"/>
    <n v="875"/>
    <n v="96.65"/>
  </r>
  <r>
    <x v="666"/>
    <x v="5"/>
    <x v="2"/>
    <s v="United States"/>
    <x v="200"/>
    <x v="12"/>
    <x v="1"/>
    <n v="3"/>
    <n v="315"/>
    <n v="61.94"/>
  </r>
  <r>
    <x v="163"/>
    <x v="9"/>
    <x v="2"/>
    <s v="United States"/>
    <x v="13"/>
    <x v="7"/>
    <x v="2"/>
    <n v="2"/>
    <n v="358"/>
    <n v="51.75"/>
  </r>
  <r>
    <x v="580"/>
    <x v="3"/>
    <x v="2"/>
    <s v="United States"/>
    <x v="13"/>
    <x v="7"/>
    <x v="2"/>
    <n v="7"/>
    <n v="3451"/>
    <n v="194.42"/>
  </r>
  <r>
    <x v="667"/>
    <x v="9"/>
    <x v="2"/>
    <s v="United States"/>
    <x v="3"/>
    <x v="3"/>
    <x v="2"/>
    <n v="9"/>
    <n v="1350"/>
    <n v="189.13"/>
  </r>
  <r>
    <x v="668"/>
    <x v="2"/>
    <x v="2"/>
    <s v="United States"/>
    <x v="15"/>
    <x v="13"/>
    <x v="1"/>
    <n v="8"/>
    <n v="3320"/>
    <n v="413.32"/>
  </r>
  <r>
    <x v="112"/>
    <x v="1"/>
    <x v="1"/>
    <s v="United States"/>
    <x v="50"/>
    <x v="5"/>
    <x v="3"/>
    <n v="9"/>
    <n v="8442"/>
    <n v="940.33"/>
  </r>
  <r>
    <x v="669"/>
    <x v="8"/>
    <x v="1"/>
    <s v="United States"/>
    <x v="25"/>
    <x v="17"/>
    <x v="3"/>
    <n v="1"/>
    <n v="166"/>
    <n v="31.97"/>
  </r>
  <r>
    <x v="479"/>
    <x v="1"/>
    <x v="1"/>
    <s v="United States"/>
    <x v="3"/>
    <x v="3"/>
    <x v="2"/>
    <n v="5"/>
    <n v="3720"/>
    <n v="448.6"/>
  </r>
  <r>
    <x v="398"/>
    <x v="9"/>
    <x v="2"/>
    <s v="United States"/>
    <x v="3"/>
    <x v="3"/>
    <x v="2"/>
    <n v="2"/>
    <n v="1090"/>
    <n v="136.65"/>
  </r>
  <r>
    <x v="638"/>
    <x v="9"/>
    <x v="2"/>
    <s v="United States"/>
    <x v="3"/>
    <x v="3"/>
    <x v="2"/>
    <n v="9"/>
    <n v="9783"/>
    <n v="2347.4899999999998"/>
  </r>
  <r>
    <x v="362"/>
    <x v="7"/>
    <x v="2"/>
    <s v="United States"/>
    <x v="104"/>
    <x v="22"/>
    <x v="1"/>
    <n v="4"/>
    <n v="2432"/>
    <n v="657.18"/>
  </r>
  <r>
    <x v="623"/>
    <x v="1"/>
    <x v="1"/>
    <s v="United States"/>
    <x v="104"/>
    <x v="22"/>
    <x v="1"/>
    <n v="7"/>
    <n v="4060"/>
    <n v="291.42"/>
  </r>
  <r>
    <x v="99"/>
    <x v="5"/>
    <x v="2"/>
    <s v="United States"/>
    <x v="25"/>
    <x v="17"/>
    <x v="3"/>
    <n v="1"/>
    <n v="387"/>
    <n v="99.59"/>
  </r>
  <r>
    <x v="138"/>
    <x v="5"/>
    <x v="2"/>
    <s v="United States"/>
    <x v="25"/>
    <x v="17"/>
    <x v="3"/>
    <n v="3"/>
    <n v="966"/>
    <n v="120.56"/>
  </r>
  <r>
    <x v="432"/>
    <x v="2"/>
    <x v="2"/>
    <s v="United States"/>
    <x v="25"/>
    <x v="17"/>
    <x v="3"/>
    <n v="3"/>
    <n v="3366"/>
    <n v="882.29"/>
  </r>
  <r>
    <x v="561"/>
    <x v="6"/>
    <x v="1"/>
    <s v="United States"/>
    <x v="25"/>
    <x v="17"/>
    <x v="3"/>
    <n v="7"/>
    <n v="7833"/>
    <n v="1843.94"/>
  </r>
  <r>
    <x v="32"/>
    <x v="6"/>
    <x v="1"/>
    <s v="United States"/>
    <x v="198"/>
    <x v="5"/>
    <x v="3"/>
    <n v="1"/>
    <n v="610"/>
    <n v="33.549999999999997"/>
  </r>
  <r>
    <x v="670"/>
    <x v="5"/>
    <x v="2"/>
    <s v="United States"/>
    <x v="251"/>
    <x v="19"/>
    <x v="2"/>
    <n v="8"/>
    <n v="4288"/>
    <n v="597.09"/>
  </r>
  <r>
    <x v="222"/>
    <x v="0"/>
    <x v="0"/>
    <s v="United States"/>
    <x v="156"/>
    <x v="5"/>
    <x v="3"/>
    <n v="9"/>
    <n v="7740"/>
    <n v="605.35"/>
  </r>
  <r>
    <x v="671"/>
    <x v="5"/>
    <x v="2"/>
    <s v="United States"/>
    <x v="15"/>
    <x v="13"/>
    <x v="1"/>
    <n v="9"/>
    <n v="3150"/>
    <n v="457.13"/>
  </r>
  <r>
    <x v="383"/>
    <x v="8"/>
    <x v="1"/>
    <s v="United States"/>
    <x v="14"/>
    <x v="8"/>
    <x v="3"/>
    <n v="2"/>
    <n v="894"/>
    <n v="224.75"/>
  </r>
  <r>
    <x v="672"/>
    <x v="9"/>
    <x v="2"/>
    <s v="United States"/>
    <x v="13"/>
    <x v="7"/>
    <x v="2"/>
    <n v="8"/>
    <n v="7544"/>
    <n v="1219.73"/>
  </r>
  <r>
    <x v="458"/>
    <x v="8"/>
    <x v="1"/>
    <s v="United States"/>
    <x v="53"/>
    <x v="2"/>
    <x v="1"/>
    <n v="8"/>
    <n v="6360"/>
    <n v="1871.88"/>
  </r>
  <r>
    <x v="120"/>
    <x v="7"/>
    <x v="2"/>
    <s v="United States"/>
    <x v="13"/>
    <x v="7"/>
    <x v="2"/>
    <n v="4"/>
    <n v="2428"/>
    <n v="485.75"/>
  </r>
  <r>
    <x v="323"/>
    <x v="4"/>
    <x v="1"/>
    <s v="United States"/>
    <x v="62"/>
    <x v="2"/>
    <x v="1"/>
    <n v="2"/>
    <n v="574"/>
    <n v="38.520000000000003"/>
  </r>
  <r>
    <x v="526"/>
    <x v="8"/>
    <x v="1"/>
    <s v="United States"/>
    <x v="28"/>
    <x v="2"/>
    <x v="1"/>
    <n v="6"/>
    <n v="6744"/>
    <n v="660.47"/>
  </r>
  <r>
    <x v="513"/>
    <x v="4"/>
    <x v="1"/>
    <s v="United States"/>
    <x v="38"/>
    <x v="9"/>
    <x v="0"/>
    <n v="6"/>
    <n v="798"/>
    <n v="213.4"/>
  </r>
  <r>
    <x v="616"/>
    <x v="0"/>
    <x v="0"/>
    <s v="United States"/>
    <x v="9"/>
    <x v="8"/>
    <x v="3"/>
    <n v="5"/>
    <n v="2860"/>
    <n v="339"/>
  </r>
  <r>
    <x v="384"/>
    <x v="0"/>
    <x v="0"/>
    <s v="United States"/>
    <x v="252"/>
    <x v="7"/>
    <x v="2"/>
    <n v="5"/>
    <n v="5410"/>
    <n v="1129.77"/>
  </r>
  <r>
    <x v="140"/>
    <x v="9"/>
    <x v="2"/>
    <s v="United States"/>
    <x v="6"/>
    <x v="5"/>
    <x v="3"/>
    <n v="5"/>
    <n v="4445"/>
    <n v="580.15"/>
  </r>
  <r>
    <x v="327"/>
    <x v="5"/>
    <x v="2"/>
    <s v="United States"/>
    <x v="30"/>
    <x v="12"/>
    <x v="1"/>
    <n v="8"/>
    <n v="7536"/>
    <n v="1197.0899999999999"/>
  </r>
  <r>
    <x v="673"/>
    <x v="6"/>
    <x v="1"/>
    <s v="United States"/>
    <x v="30"/>
    <x v="12"/>
    <x v="1"/>
    <n v="7"/>
    <n v="4165"/>
    <n v="263.26"/>
  </r>
  <r>
    <x v="674"/>
    <x v="9"/>
    <x v="2"/>
    <s v="United States"/>
    <x v="30"/>
    <x v="12"/>
    <x v="1"/>
    <n v="3"/>
    <n v="3021"/>
    <n v="763.99"/>
  </r>
  <r>
    <x v="423"/>
    <x v="8"/>
    <x v="1"/>
    <s v="United States"/>
    <x v="30"/>
    <x v="12"/>
    <x v="1"/>
    <n v="2"/>
    <n v="310"/>
    <n v="70.66"/>
  </r>
  <r>
    <x v="405"/>
    <x v="4"/>
    <x v="1"/>
    <s v="United States"/>
    <x v="2"/>
    <x v="2"/>
    <x v="1"/>
    <n v="2"/>
    <n v="2170"/>
    <n v="522"/>
  </r>
  <r>
    <x v="9"/>
    <x v="2"/>
    <x v="2"/>
    <s v="United States"/>
    <x v="51"/>
    <x v="1"/>
    <x v="0"/>
    <n v="3"/>
    <n v="2832"/>
    <n v="317.76"/>
  </r>
  <r>
    <x v="462"/>
    <x v="5"/>
    <x v="2"/>
    <s v="United States"/>
    <x v="3"/>
    <x v="3"/>
    <x v="2"/>
    <n v="5"/>
    <n v="3945"/>
    <n v="392.09"/>
  </r>
  <r>
    <x v="4"/>
    <x v="2"/>
    <x v="2"/>
    <s v="United States"/>
    <x v="3"/>
    <x v="3"/>
    <x v="2"/>
    <n v="4"/>
    <n v="2104"/>
    <n v="308"/>
  </r>
  <r>
    <x v="108"/>
    <x v="6"/>
    <x v="1"/>
    <s v="United States"/>
    <x v="3"/>
    <x v="3"/>
    <x v="2"/>
    <n v="2"/>
    <n v="2060"/>
    <n v="517.64"/>
  </r>
  <r>
    <x v="172"/>
    <x v="0"/>
    <x v="0"/>
    <s v="United States"/>
    <x v="29"/>
    <x v="15"/>
    <x v="2"/>
    <n v="4"/>
    <n v="1060"/>
    <n v="155.78"/>
  </r>
  <r>
    <x v="616"/>
    <x v="5"/>
    <x v="2"/>
    <s v="United States"/>
    <x v="29"/>
    <x v="15"/>
    <x v="2"/>
    <n v="6"/>
    <n v="810"/>
    <n v="108.61"/>
  </r>
  <r>
    <x v="482"/>
    <x v="9"/>
    <x v="2"/>
    <s v="United States"/>
    <x v="0"/>
    <x v="0"/>
    <x v="0"/>
    <n v="3"/>
    <n v="873"/>
    <n v="57.42"/>
  </r>
  <r>
    <x v="89"/>
    <x v="2"/>
    <x v="2"/>
    <s v="United States"/>
    <x v="253"/>
    <x v="13"/>
    <x v="1"/>
    <n v="5"/>
    <n v="595"/>
    <n v="121.11"/>
  </r>
  <r>
    <x v="675"/>
    <x v="9"/>
    <x v="2"/>
    <s v="United States"/>
    <x v="121"/>
    <x v="2"/>
    <x v="1"/>
    <n v="2"/>
    <n v="1562"/>
    <n v="119.56"/>
  </r>
  <r>
    <x v="676"/>
    <x v="5"/>
    <x v="2"/>
    <s v="United States"/>
    <x v="121"/>
    <x v="2"/>
    <x v="1"/>
    <n v="9"/>
    <n v="5337"/>
    <n v="1575.99"/>
  </r>
  <r>
    <x v="677"/>
    <x v="0"/>
    <x v="0"/>
    <s v="United States"/>
    <x v="2"/>
    <x v="2"/>
    <x v="1"/>
    <n v="2"/>
    <n v="212"/>
    <n v="13.4"/>
  </r>
  <r>
    <x v="242"/>
    <x v="0"/>
    <x v="0"/>
    <s v="United States"/>
    <x v="2"/>
    <x v="2"/>
    <x v="1"/>
    <n v="8"/>
    <n v="2704"/>
    <n v="705.74"/>
  </r>
  <r>
    <x v="678"/>
    <x v="9"/>
    <x v="2"/>
    <s v="United States"/>
    <x v="15"/>
    <x v="13"/>
    <x v="1"/>
    <n v="5"/>
    <n v="3225"/>
    <n v="523.32000000000005"/>
  </r>
  <r>
    <x v="225"/>
    <x v="6"/>
    <x v="1"/>
    <s v="United States"/>
    <x v="0"/>
    <x v="0"/>
    <x v="0"/>
    <n v="2"/>
    <n v="1342"/>
    <n v="184.59"/>
  </r>
  <r>
    <x v="679"/>
    <x v="1"/>
    <x v="1"/>
    <s v="United States"/>
    <x v="254"/>
    <x v="24"/>
    <x v="0"/>
    <n v="7"/>
    <n v="3395"/>
    <n v="1012.78"/>
  </r>
  <r>
    <x v="84"/>
    <x v="5"/>
    <x v="2"/>
    <s v="United States"/>
    <x v="255"/>
    <x v="15"/>
    <x v="2"/>
    <n v="4"/>
    <n v="3968"/>
    <n v="480.72"/>
  </r>
  <r>
    <x v="294"/>
    <x v="7"/>
    <x v="2"/>
    <s v="United States"/>
    <x v="6"/>
    <x v="5"/>
    <x v="3"/>
    <n v="5"/>
    <n v="4555"/>
    <n v="776.65"/>
  </r>
  <r>
    <x v="680"/>
    <x v="2"/>
    <x v="2"/>
    <s v="United States"/>
    <x v="256"/>
    <x v="5"/>
    <x v="3"/>
    <n v="2"/>
    <n v="2132"/>
    <n v="365.44"/>
  </r>
  <r>
    <x v="133"/>
    <x v="1"/>
    <x v="1"/>
    <s v="United States"/>
    <x v="257"/>
    <x v="32"/>
    <x v="2"/>
    <n v="6"/>
    <n v="6516"/>
    <n v="842.83"/>
  </r>
  <r>
    <x v="191"/>
    <x v="5"/>
    <x v="2"/>
    <s v="United States"/>
    <x v="9"/>
    <x v="8"/>
    <x v="3"/>
    <n v="2"/>
    <n v="2040"/>
    <n v="481.15"/>
  </r>
  <r>
    <x v="104"/>
    <x v="1"/>
    <x v="1"/>
    <s v="United States"/>
    <x v="130"/>
    <x v="19"/>
    <x v="2"/>
    <n v="6"/>
    <n v="6126"/>
    <n v="428.38"/>
  </r>
  <r>
    <x v="37"/>
    <x v="5"/>
    <x v="2"/>
    <s v="United States"/>
    <x v="28"/>
    <x v="2"/>
    <x v="1"/>
    <n v="8"/>
    <n v="520"/>
    <n v="30.58"/>
  </r>
  <r>
    <x v="313"/>
    <x v="3"/>
    <x v="2"/>
    <s v="United States"/>
    <x v="16"/>
    <x v="14"/>
    <x v="2"/>
    <n v="5"/>
    <n v="4470"/>
    <n v="526.96"/>
  </r>
  <r>
    <x v="681"/>
    <x v="5"/>
    <x v="2"/>
    <s v="United States"/>
    <x v="16"/>
    <x v="14"/>
    <x v="2"/>
    <n v="8"/>
    <n v="5504"/>
    <n v="1196.78"/>
  </r>
  <r>
    <x v="182"/>
    <x v="4"/>
    <x v="1"/>
    <s v="United States"/>
    <x v="2"/>
    <x v="2"/>
    <x v="1"/>
    <n v="4"/>
    <n v="3036"/>
    <n v="511.69"/>
  </r>
  <r>
    <x v="220"/>
    <x v="5"/>
    <x v="2"/>
    <s v="United States"/>
    <x v="111"/>
    <x v="34"/>
    <x v="1"/>
    <n v="5"/>
    <n v="2725"/>
    <n v="308.29000000000002"/>
  </r>
  <r>
    <x v="389"/>
    <x v="0"/>
    <x v="0"/>
    <s v="United States"/>
    <x v="15"/>
    <x v="13"/>
    <x v="1"/>
    <n v="8"/>
    <n v="4080"/>
    <n v="336.96"/>
  </r>
  <r>
    <x v="324"/>
    <x v="8"/>
    <x v="1"/>
    <s v="United States"/>
    <x v="134"/>
    <x v="38"/>
    <x v="2"/>
    <n v="8"/>
    <n v="3080"/>
    <n v="776.6"/>
  </r>
  <r>
    <x v="682"/>
    <x v="5"/>
    <x v="2"/>
    <s v="United States"/>
    <x v="51"/>
    <x v="1"/>
    <x v="0"/>
    <n v="5"/>
    <n v="1525"/>
    <n v="413.75"/>
  </r>
  <r>
    <x v="683"/>
    <x v="6"/>
    <x v="1"/>
    <s v="United States"/>
    <x v="51"/>
    <x v="1"/>
    <x v="0"/>
    <n v="4"/>
    <n v="1332"/>
    <n v="342.85"/>
  </r>
  <r>
    <x v="684"/>
    <x v="7"/>
    <x v="2"/>
    <s v="United States"/>
    <x v="30"/>
    <x v="12"/>
    <x v="1"/>
    <n v="7"/>
    <n v="4669"/>
    <n v="803.21"/>
  </r>
  <r>
    <x v="655"/>
    <x v="5"/>
    <x v="2"/>
    <s v="United States"/>
    <x v="10"/>
    <x v="9"/>
    <x v="0"/>
    <n v="6"/>
    <n v="5310"/>
    <n v="1099.8399999999999"/>
  </r>
  <r>
    <x v="197"/>
    <x v="3"/>
    <x v="2"/>
    <s v="United States"/>
    <x v="43"/>
    <x v="22"/>
    <x v="1"/>
    <n v="8"/>
    <n v="9392"/>
    <n v="2651.84"/>
  </r>
  <r>
    <x v="236"/>
    <x v="6"/>
    <x v="1"/>
    <s v="United States"/>
    <x v="219"/>
    <x v="15"/>
    <x v="2"/>
    <n v="5"/>
    <n v="1350"/>
    <n v="198.19"/>
  </r>
  <r>
    <x v="685"/>
    <x v="6"/>
    <x v="1"/>
    <s v="United States"/>
    <x v="2"/>
    <x v="2"/>
    <x v="1"/>
    <n v="4"/>
    <n v="3648"/>
    <n v="768.61"/>
  </r>
  <r>
    <x v="346"/>
    <x v="0"/>
    <x v="0"/>
    <s v="United States"/>
    <x v="53"/>
    <x v="2"/>
    <x v="1"/>
    <n v="2"/>
    <n v="300"/>
    <n v="47.59"/>
  </r>
  <r>
    <x v="201"/>
    <x v="7"/>
    <x v="2"/>
    <s v="United States"/>
    <x v="258"/>
    <x v="37"/>
    <x v="3"/>
    <n v="3"/>
    <n v="3408"/>
    <n v="727.26"/>
  </r>
  <r>
    <x v="686"/>
    <x v="8"/>
    <x v="1"/>
    <s v="United States"/>
    <x v="109"/>
    <x v="18"/>
    <x v="2"/>
    <n v="9"/>
    <n v="4302"/>
    <n v="475.96"/>
  </r>
  <r>
    <x v="468"/>
    <x v="8"/>
    <x v="1"/>
    <s v="United States"/>
    <x v="79"/>
    <x v="16"/>
    <x v="3"/>
    <n v="5"/>
    <n v="4575"/>
    <n v="771.24"/>
  </r>
  <r>
    <x v="30"/>
    <x v="9"/>
    <x v="2"/>
    <s v="United States"/>
    <x v="15"/>
    <x v="13"/>
    <x v="1"/>
    <n v="8"/>
    <n v="9304"/>
    <n v="1855.7"/>
  </r>
  <r>
    <x v="404"/>
    <x v="6"/>
    <x v="1"/>
    <s v="United States"/>
    <x v="16"/>
    <x v="14"/>
    <x v="2"/>
    <n v="4"/>
    <n v="1928"/>
    <n v="232.48"/>
  </r>
  <r>
    <x v="386"/>
    <x v="0"/>
    <x v="0"/>
    <s v="United States"/>
    <x v="2"/>
    <x v="2"/>
    <x v="1"/>
    <n v="2"/>
    <n v="1042"/>
    <n v="86.24"/>
  </r>
  <r>
    <x v="687"/>
    <x v="2"/>
    <x v="2"/>
    <s v="United States"/>
    <x v="144"/>
    <x v="5"/>
    <x v="3"/>
    <n v="3"/>
    <n v="2214"/>
    <n v="507.7"/>
  </r>
  <r>
    <x v="51"/>
    <x v="8"/>
    <x v="1"/>
    <s v="United States"/>
    <x v="12"/>
    <x v="11"/>
    <x v="3"/>
    <n v="4"/>
    <n v="3024"/>
    <n v="678.26"/>
  </r>
  <r>
    <x v="138"/>
    <x v="3"/>
    <x v="2"/>
    <s v="United States"/>
    <x v="259"/>
    <x v="30"/>
    <x v="0"/>
    <n v="2"/>
    <n v="1104"/>
    <n v="173.01"/>
  </r>
  <r>
    <x v="530"/>
    <x v="1"/>
    <x v="1"/>
    <s v="United States"/>
    <x v="65"/>
    <x v="17"/>
    <x v="3"/>
    <n v="8"/>
    <n v="6056"/>
    <n v="1631.71"/>
  </r>
  <r>
    <x v="33"/>
    <x v="1"/>
    <x v="1"/>
    <s v="United States"/>
    <x v="6"/>
    <x v="5"/>
    <x v="3"/>
    <n v="5"/>
    <n v="5295"/>
    <n v="1375.98"/>
  </r>
  <r>
    <x v="260"/>
    <x v="7"/>
    <x v="2"/>
    <s v="United States"/>
    <x v="6"/>
    <x v="5"/>
    <x v="3"/>
    <n v="4"/>
    <n v="3668"/>
    <n v="839.4"/>
  </r>
  <r>
    <x v="308"/>
    <x v="0"/>
    <x v="0"/>
    <s v="United States"/>
    <x v="28"/>
    <x v="2"/>
    <x v="1"/>
    <n v="9"/>
    <n v="4293"/>
    <n v="295.47000000000003"/>
  </r>
  <r>
    <x v="688"/>
    <x v="1"/>
    <x v="1"/>
    <s v="United States"/>
    <x v="9"/>
    <x v="8"/>
    <x v="3"/>
    <n v="7"/>
    <n v="5789"/>
    <n v="950.45"/>
  </r>
  <r>
    <x v="409"/>
    <x v="5"/>
    <x v="2"/>
    <s v="United States"/>
    <x v="9"/>
    <x v="8"/>
    <x v="3"/>
    <n v="6"/>
    <n v="4440"/>
    <n v="800.92"/>
  </r>
  <r>
    <x v="149"/>
    <x v="0"/>
    <x v="0"/>
    <s v="United States"/>
    <x v="260"/>
    <x v="1"/>
    <x v="0"/>
    <n v="5"/>
    <n v="5515"/>
    <n v="330.02"/>
  </r>
  <r>
    <x v="100"/>
    <x v="3"/>
    <x v="2"/>
    <s v="United States"/>
    <x v="9"/>
    <x v="8"/>
    <x v="3"/>
    <n v="4"/>
    <n v="784"/>
    <n v="192.77"/>
  </r>
  <r>
    <x v="689"/>
    <x v="9"/>
    <x v="2"/>
    <s v="United States"/>
    <x v="13"/>
    <x v="7"/>
    <x v="2"/>
    <n v="4"/>
    <n v="576"/>
    <n v="156.59"/>
  </r>
  <r>
    <x v="299"/>
    <x v="5"/>
    <x v="2"/>
    <s v="United States"/>
    <x v="261"/>
    <x v="2"/>
    <x v="1"/>
    <n v="5"/>
    <n v="705"/>
    <n v="198.62"/>
  </r>
  <r>
    <x v="425"/>
    <x v="8"/>
    <x v="1"/>
    <s v="United States"/>
    <x v="258"/>
    <x v="37"/>
    <x v="3"/>
    <n v="6"/>
    <n v="4458"/>
    <n v="1215.3"/>
  </r>
  <r>
    <x v="286"/>
    <x v="7"/>
    <x v="2"/>
    <s v="United States"/>
    <x v="13"/>
    <x v="7"/>
    <x v="2"/>
    <n v="6"/>
    <n v="6780"/>
    <n v="811.92"/>
  </r>
  <r>
    <x v="487"/>
    <x v="5"/>
    <x v="2"/>
    <s v="United States"/>
    <x v="2"/>
    <x v="2"/>
    <x v="1"/>
    <n v="5"/>
    <n v="3970"/>
    <n v="642.70000000000005"/>
  </r>
  <r>
    <x v="690"/>
    <x v="6"/>
    <x v="1"/>
    <s v="United States"/>
    <x v="262"/>
    <x v="22"/>
    <x v="1"/>
    <n v="7"/>
    <n v="5131"/>
    <n v="368.11"/>
  </r>
  <r>
    <x v="186"/>
    <x v="9"/>
    <x v="2"/>
    <s v="United States"/>
    <x v="262"/>
    <x v="22"/>
    <x v="1"/>
    <n v="7"/>
    <n v="1750"/>
    <n v="90.21"/>
  </r>
  <r>
    <x v="691"/>
    <x v="2"/>
    <x v="2"/>
    <s v="United States"/>
    <x v="263"/>
    <x v="23"/>
    <x v="3"/>
    <n v="7"/>
    <n v="8337"/>
    <n v="753.35"/>
  </r>
  <r>
    <x v="481"/>
    <x v="8"/>
    <x v="1"/>
    <s v="United States"/>
    <x v="9"/>
    <x v="8"/>
    <x v="3"/>
    <n v="9"/>
    <n v="9810"/>
    <n v="549.46"/>
  </r>
  <r>
    <x v="551"/>
    <x v="8"/>
    <x v="1"/>
    <s v="United States"/>
    <x v="9"/>
    <x v="8"/>
    <x v="3"/>
    <n v="3"/>
    <n v="2658"/>
    <n v="794.36"/>
  </r>
  <r>
    <x v="692"/>
    <x v="0"/>
    <x v="0"/>
    <s v="United States"/>
    <x v="15"/>
    <x v="13"/>
    <x v="1"/>
    <n v="1"/>
    <n v="473"/>
    <n v="43.65"/>
  </r>
  <r>
    <x v="7"/>
    <x v="2"/>
    <x v="2"/>
    <s v="United States"/>
    <x v="264"/>
    <x v="17"/>
    <x v="3"/>
    <n v="9"/>
    <n v="2205"/>
    <n v="410.01"/>
  </r>
  <r>
    <x v="347"/>
    <x v="7"/>
    <x v="2"/>
    <s v="United States"/>
    <x v="102"/>
    <x v="2"/>
    <x v="1"/>
    <n v="9"/>
    <n v="6948"/>
    <n v="1409.3"/>
  </r>
  <r>
    <x v="693"/>
    <x v="2"/>
    <x v="2"/>
    <s v="United States"/>
    <x v="265"/>
    <x v="17"/>
    <x v="3"/>
    <n v="3"/>
    <n v="774"/>
    <n v="212.02"/>
  </r>
  <r>
    <x v="262"/>
    <x v="2"/>
    <x v="2"/>
    <s v="United States"/>
    <x v="25"/>
    <x v="17"/>
    <x v="3"/>
    <n v="3"/>
    <n v="2532"/>
    <n v="343.13"/>
  </r>
  <r>
    <x v="419"/>
    <x v="9"/>
    <x v="2"/>
    <s v="United States"/>
    <x v="266"/>
    <x v="5"/>
    <x v="3"/>
    <n v="7"/>
    <n v="6587"/>
    <n v="1173.9100000000001"/>
  </r>
  <r>
    <x v="330"/>
    <x v="7"/>
    <x v="2"/>
    <s v="United States"/>
    <x v="2"/>
    <x v="2"/>
    <x v="1"/>
    <n v="7"/>
    <n v="7266"/>
    <n v="806.79"/>
  </r>
  <r>
    <x v="492"/>
    <x v="7"/>
    <x v="2"/>
    <s v="United States"/>
    <x v="29"/>
    <x v="6"/>
    <x v="3"/>
    <n v="7"/>
    <n v="6867"/>
    <n v="502.06"/>
  </r>
  <r>
    <x v="336"/>
    <x v="3"/>
    <x v="2"/>
    <s v="United States"/>
    <x v="11"/>
    <x v="10"/>
    <x v="0"/>
    <n v="9"/>
    <n v="4887"/>
    <n v="396.36"/>
  </r>
  <r>
    <x v="694"/>
    <x v="1"/>
    <x v="1"/>
    <s v="United States"/>
    <x v="121"/>
    <x v="2"/>
    <x v="1"/>
    <n v="4"/>
    <n v="864"/>
    <n v="251.99"/>
  </r>
  <r>
    <x v="695"/>
    <x v="7"/>
    <x v="2"/>
    <s v="United States"/>
    <x v="25"/>
    <x v="17"/>
    <x v="3"/>
    <n v="6"/>
    <n v="5190"/>
    <n v="1215.07"/>
  </r>
  <r>
    <x v="696"/>
    <x v="8"/>
    <x v="1"/>
    <s v="United States"/>
    <x v="25"/>
    <x v="17"/>
    <x v="3"/>
    <n v="8"/>
    <n v="2128"/>
    <n v="294.45"/>
  </r>
  <r>
    <x v="697"/>
    <x v="1"/>
    <x v="1"/>
    <s v="United States"/>
    <x v="13"/>
    <x v="7"/>
    <x v="2"/>
    <n v="2"/>
    <n v="1718"/>
    <n v="218.82"/>
  </r>
  <r>
    <x v="658"/>
    <x v="7"/>
    <x v="2"/>
    <s v="United States"/>
    <x v="99"/>
    <x v="2"/>
    <x v="1"/>
    <n v="2"/>
    <n v="1270"/>
    <n v="229.39"/>
  </r>
  <r>
    <x v="698"/>
    <x v="8"/>
    <x v="1"/>
    <s v="United States"/>
    <x v="99"/>
    <x v="2"/>
    <x v="1"/>
    <n v="7"/>
    <n v="2569"/>
    <n v="130.19"/>
  </r>
  <r>
    <x v="699"/>
    <x v="0"/>
    <x v="0"/>
    <s v="United States"/>
    <x v="267"/>
    <x v="31"/>
    <x v="0"/>
    <n v="2"/>
    <n v="1518"/>
    <n v="262.64999999999998"/>
  </r>
  <r>
    <x v="601"/>
    <x v="4"/>
    <x v="1"/>
    <s v="United States"/>
    <x v="28"/>
    <x v="2"/>
    <x v="1"/>
    <n v="2"/>
    <n v="1210"/>
    <n v="268.37"/>
  </r>
  <r>
    <x v="532"/>
    <x v="1"/>
    <x v="1"/>
    <s v="United States"/>
    <x v="11"/>
    <x v="32"/>
    <x v="2"/>
    <n v="2"/>
    <n v="1128"/>
    <n v="94.13"/>
  </r>
  <r>
    <x v="635"/>
    <x v="4"/>
    <x v="1"/>
    <s v="United States"/>
    <x v="11"/>
    <x v="32"/>
    <x v="2"/>
    <n v="1"/>
    <n v="1077"/>
    <n v="77.97"/>
  </r>
  <r>
    <x v="700"/>
    <x v="8"/>
    <x v="1"/>
    <s v="United States"/>
    <x v="2"/>
    <x v="2"/>
    <x v="1"/>
    <n v="6"/>
    <n v="2244"/>
    <n v="517.47"/>
  </r>
  <r>
    <x v="615"/>
    <x v="1"/>
    <x v="1"/>
    <s v="United States"/>
    <x v="268"/>
    <x v="3"/>
    <x v="2"/>
    <n v="8"/>
    <n v="1608"/>
    <n v="464.18"/>
  </r>
  <r>
    <x v="701"/>
    <x v="3"/>
    <x v="2"/>
    <s v="United States"/>
    <x v="268"/>
    <x v="3"/>
    <x v="2"/>
    <n v="5"/>
    <n v="3685"/>
    <n v="476.2"/>
  </r>
  <r>
    <x v="702"/>
    <x v="3"/>
    <x v="2"/>
    <s v="United States"/>
    <x v="6"/>
    <x v="5"/>
    <x v="3"/>
    <n v="8"/>
    <n v="4080"/>
    <n v="1079.49"/>
  </r>
  <r>
    <x v="703"/>
    <x v="6"/>
    <x v="1"/>
    <s v="United States"/>
    <x v="28"/>
    <x v="2"/>
    <x v="1"/>
    <n v="1"/>
    <n v="404"/>
    <n v="84.4"/>
  </r>
  <r>
    <x v="704"/>
    <x v="8"/>
    <x v="1"/>
    <s v="United States"/>
    <x v="2"/>
    <x v="2"/>
    <x v="1"/>
    <n v="2"/>
    <n v="1738"/>
    <n v="163.38"/>
  </r>
  <r>
    <x v="171"/>
    <x v="0"/>
    <x v="0"/>
    <s v="United States"/>
    <x v="2"/>
    <x v="2"/>
    <x v="1"/>
    <n v="3"/>
    <n v="828"/>
    <n v="210.33"/>
  </r>
  <r>
    <x v="661"/>
    <x v="1"/>
    <x v="1"/>
    <s v="United States"/>
    <x v="259"/>
    <x v="43"/>
    <x v="2"/>
    <n v="4"/>
    <n v="4344"/>
    <n v="461.72"/>
  </r>
  <r>
    <x v="368"/>
    <x v="2"/>
    <x v="2"/>
    <s v="United States"/>
    <x v="221"/>
    <x v="5"/>
    <x v="3"/>
    <n v="1"/>
    <n v="1130"/>
    <n v="268.88"/>
  </r>
  <r>
    <x v="705"/>
    <x v="4"/>
    <x v="1"/>
    <s v="United States"/>
    <x v="77"/>
    <x v="11"/>
    <x v="3"/>
    <n v="3"/>
    <n v="1698"/>
    <n v="304.91000000000003"/>
  </r>
  <r>
    <x v="128"/>
    <x v="2"/>
    <x v="2"/>
    <s v="United States"/>
    <x v="74"/>
    <x v="12"/>
    <x v="1"/>
    <n v="4"/>
    <n v="844"/>
    <n v="136.02000000000001"/>
  </r>
  <r>
    <x v="507"/>
    <x v="0"/>
    <x v="0"/>
    <s v="United States"/>
    <x v="6"/>
    <x v="5"/>
    <x v="3"/>
    <n v="2"/>
    <n v="2286"/>
    <n v="218.18"/>
  </r>
  <r>
    <x v="706"/>
    <x v="3"/>
    <x v="2"/>
    <s v="United States"/>
    <x v="23"/>
    <x v="15"/>
    <x v="2"/>
    <n v="2"/>
    <n v="1026"/>
    <n v="170.31"/>
  </r>
  <r>
    <x v="707"/>
    <x v="9"/>
    <x v="2"/>
    <s v="United States"/>
    <x v="90"/>
    <x v="7"/>
    <x v="2"/>
    <n v="6"/>
    <n v="6984"/>
    <n v="1433.65"/>
  </r>
  <r>
    <x v="337"/>
    <x v="6"/>
    <x v="1"/>
    <s v="United States"/>
    <x v="76"/>
    <x v="25"/>
    <x v="0"/>
    <n v="4"/>
    <n v="1672"/>
    <n v="432.35"/>
  </r>
  <r>
    <x v="690"/>
    <x v="9"/>
    <x v="2"/>
    <s v="United States"/>
    <x v="42"/>
    <x v="8"/>
    <x v="3"/>
    <n v="6"/>
    <n v="1092"/>
    <n v="63.98"/>
  </r>
  <r>
    <x v="330"/>
    <x v="4"/>
    <x v="1"/>
    <s v="United States"/>
    <x v="269"/>
    <x v="5"/>
    <x v="3"/>
    <n v="2"/>
    <n v="272"/>
    <n v="24.71"/>
  </r>
  <r>
    <x v="477"/>
    <x v="4"/>
    <x v="1"/>
    <s v="United States"/>
    <x v="64"/>
    <x v="7"/>
    <x v="2"/>
    <n v="2"/>
    <n v="1126"/>
    <n v="204.99"/>
  </r>
  <r>
    <x v="708"/>
    <x v="1"/>
    <x v="1"/>
    <s v="United States"/>
    <x v="6"/>
    <x v="5"/>
    <x v="3"/>
    <n v="7"/>
    <n v="8155"/>
    <n v="2177.38"/>
  </r>
  <r>
    <x v="46"/>
    <x v="5"/>
    <x v="2"/>
    <s v="United States"/>
    <x v="28"/>
    <x v="2"/>
    <x v="1"/>
    <n v="7"/>
    <n v="4298"/>
    <n v="358.38"/>
  </r>
  <r>
    <x v="527"/>
    <x v="7"/>
    <x v="2"/>
    <s v="United States"/>
    <x v="224"/>
    <x v="30"/>
    <x v="0"/>
    <n v="5"/>
    <n v="1365"/>
    <n v="310.66000000000003"/>
  </r>
  <r>
    <x v="271"/>
    <x v="3"/>
    <x v="2"/>
    <s v="United States"/>
    <x v="270"/>
    <x v="9"/>
    <x v="0"/>
    <n v="6"/>
    <n v="4116"/>
    <n v="381.35"/>
  </r>
  <r>
    <x v="709"/>
    <x v="4"/>
    <x v="1"/>
    <s v="United States"/>
    <x v="270"/>
    <x v="9"/>
    <x v="0"/>
    <n v="8"/>
    <n v="904"/>
    <n v="181.45"/>
  </r>
  <r>
    <x v="227"/>
    <x v="5"/>
    <x v="2"/>
    <s v="United States"/>
    <x v="270"/>
    <x v="9"/>
    <x v="0"/>
    <n v="1"/>
    <n v="70"/>
    <n v="10.64"/>
  </r>
  <r>
    <x v="647"/>
    <x v="8"/>
    <x v="1"/>
    <s v="United States"/>
    <x v="270"/>
    <x v="9"/>
    <x v="0"/>
    <n v="2"/>
    <n v="344"/>
    <n v="72.87"/>
  </r>
  <r>
    <x v="372"/>
    <x v="0"/>
    <x v="0"/>
    <s v="United States"/>
    <x v="174"/>
    <x v="2"/>
    <x v="1"/>
    <n v="1"/>
    <n v="330"/>
    <n v="78.52"/>
  </r>
  <r>
    <x v="571"/>
    <x v="4"/>
    <x v="1"/>
    <s v="United States"/>
    <x v="13"/>
    <x v="7"/>
    <x v="2"/>
    <n v="2"/>
    <n v="518"/>
    <n v="34.22"/>
  </r>
  <r>
    <x v="480"/>
    <x v="1"/>
    <x v="1"/>
    <s v="United States"/>
    <x v="19"/>
    <x v="14"/>
    <x v="2"/>
    <n v="9"/>
    <n v="2763"/>
    <n v="458.4"/>
  </r>
  <r>
    <x v="627"/>
    <x v="5"/>
    <x v="2"/>
    <s v="United States"/>
    <x v="2"/>
    <x v="2"/>
    <x v="1"/>
    <n v="2"/>
    <n v="2298"/>
    <n v="343.53"/>
  </r>
  <r>
    <x v="710"/>
    <x v="6"/>
    <x v="1"/>
    <s v="United States"/>
    <x v="160"/>
    <x v="30"/>
    <x v="0"/>
    <n v="1"/>
    <n v="436"/>
    <n v="73.89"/>
  </r>
  <r>
    <x v="711"/>
    <x v="1"/>
    <x v="1"/>
    <s v="United States"/>
    <x v="271"/>
    <x v="44"/>
    <x v="3"/>
    <n v="6"/>
    <n v="1824"/>
    <n v="213.47"/>
  </r>
  <r>
    <x v="446"/>
    <x v="9"/>
    <x v="2"/>
    <s v="United States"/>
    <x v="272"/>
    <x v="17"/>
    <x v="3"/>
    <n v="5"/>
    <n v="1540"/>
    <n v="411.83"/>
  </r>
  <r>
    <x v="107"/>
    <x v="2"/>
    <x v="2"/>
    <s v="United States"/>
    <x v="272"/>
    <x v="17"/>
    <x v="3"/>
    <n v="7"/>
    <n v="5572"/>
    <n v="385.82"/>
  </r>
  <r>
    <x v="630"/>
    <x v="6"/>
    <x v="1"/>
    <s v="United States"/>
    <x v="6"/>
    <x v="5"/>
    <x v="3"/>
    <n v="6"/>
    <n v="3030"/>
    <n v="335.71"/>
  </r>
  <r>
    <x v="348"/>
    <x v="6"/>
    <x v="1"/>
    <s v="United States"/>
    <x v="16"/>
    <x v="14"/>
    <x v="2"/>
    <n v="5"/>
    <n v="1245"/>
    <n v="345.84"/>
  </r>
  <r>
    <x v="429"/>
    <x v="2"/>
    <x v="2"/>
    <s v="United States"/>
    <x v="28"/>
    <x v="2"/>
    <x v="1"/>
    <n v="4"/>
    <n v="1252"/>
    <n v="326.69"/>
  </r>
  <r>
    <x v="712"/>
    <x v="3"/>
    <x v="2"/>
    <s v="United States"/>
    <x v="2"/>
    <x v="2"/>
    <x v="1"/>
    <n v="9"/>
    <n v="4959"/>
    <n v="479.28"/>
  </r>
  <r>
    <x v="390"/>
    <x v="6"/>
    <x v="1"/>
    <s v="United States"/>
    <x v="2"/>
    <x v="2"/>
    <x v="1"/>
    <n v="7"/>
    <n v="8162"/>
    <n v="443.81"/>
  </r>
  <r>
    <x v="251"/>
    <x v="6"/>
    <x v="1"/>
    <s v="United States"/>
    <x v="2"/>
    <x v="2"/>
    <x v="1"/>
    <n v="5"/>
    <n v="1370"/>
    <n v="253.92"/>
  </r>
  <r>
    <x v="55"/>
    <x v="2"/>
    <x v="2"/>
    <s v="United States"/>
    <x v="66"/>
    <x v="1"/>
    <x v="0"/>
    <n v="3"/>
    <n v="3111"/>
    <n v="607.23"/>
  </r>
  <r>
    <x v="645"/>
    <x v="1"/>
    <x v="1"/>
    <s v="United States"/>
    <x v="273"/>
    <x v="1"/>
    <x v="0"/>
    <n v="7"/>
    <n v="7805"/>
    <n v="1078.03"/>
  </r>
  <r>
    <x v="265"/>
    <x v="7"/>
    <x v="2"/>
    <s v="United States"/>
    <x v="273"/>
    <x v="1"/>
    <x v="0"/>
    <n v="9"/>
    <n v="10314"/>
    <n v="2729.6"/>
  </r>
  <r>
    <x v="279"/>
    <x v="8"/>
    <x v="1"/>
    <s v="United States"/>
    <x v="274"/>
    <x v="44"/>
    <x v="3"/>
    <n v="9"/>
    <n v="10782"/>
    <n v="2730.14"/>
  </r>
  <r>
    <x v="9"/>
    <x v="6"/>
    <x v="1"/>
    <s v="United States"/>
    <x v="71"/>
    <x v="13"/>
    <x v="1"/>
    <n v="5"/>
    <n v="4375"/>
    <n v="987.96"/>
  </r>
  <r>
    <x v="713"/>
    <x v="6"/>
    <x v="1"/>
    <s v="United States"/>
    <x v="28"/>
    <x v="2"/>
    <x v="1"/>
    <n v="5"/>
    <n v="2265"/>
    <n v="595.04999999999995"/>
  </r>
  <r>
    <x v="102"/>
    <x v="9"/>
    <x v="2"/>
    <s v="United States"/>
    <x v="2"/>
    <x v="2"/>
    <x v="1"/>
    <n v="1"/>
    <n v="166"/>
    <n v="9.69"/>
  </r>
  <r>
    <x v="134"/>
    <x v="4"/>
    <x v="1"/>
    <s v="United States"/>
    <x v="163"/>
    <x v="22"/>
    <x v="1"/>
    <n v="7"/>
    <n v="7217"/>
    <n v="1481.7"/>
  </r>
  <r>
    <x v="714"/>
    <x v="2"/>
    <x v="2"/>
    <s v="United States"/>
    <x v="28"/>
    <x v="2"/>
    <x v="1"/>
    <n v="3"/>
    <n v="1767"/>
    <n v="186.54"/>
  </r>
  <r>
    <x v="216"/>
    <x v="9"/>
    <x v="2"/>
    <s v="United States"/>
    <x v="53"/>
    <x v="2"/>
    <x v="1"/>
    <n v="3"/>
    <n v="2883"/>
    <n v="557.80999999999995"/>
  </r>
  <r>
    <x v="235"/>
    <x v="5"/>
    <x v="2"/>
    <s v="United States"/>
    <x v="47"/>
    <x v="12"/>
    <x v="1"/>
    <n v="3"/>
    <n v="1338"/>
    <n v="396.08"/>
  </r>
  <r>
    <x v="715"/>
    <x v="0"/>
    <x v="0"/>
    <s v="United States"/>
    <x v="47"/>
    <x v="12"/>
    <x v="1"/>
    <n v="9"/>
    <n v="9459"/>
    <n v="604.05999999999995"/>
  </r>
  <r>
    <x v="42"/>
    <x v="0"/>
    <x v="0"/>
    <s v="United States"/>
    <x v="89"/>
    <x v="1"/>
    <x v="0"/>
    <n v="3"/>
    <n v="168"/>
    <n v="45.31"/>
  </r>
  <r>
    <x v="716"/>
    <x v="7"/>
    <x v="2"/>
    <s v="United States"/>
    <x v="51"/>
    <x v="1"/>
    <x v="0"/>
    <n v="9"/>
    <n v="4536"/>
    <n v="479.78"/>
  </r>
  <r>
    <x v="543"/>
    <x v="1"/>
    <x v="1"/>
    <s v="United States"/>
    <x v="28"/>
    <x v="2"/>
    <x v="1"/>
    <n v="4"/>
    <n v="4404"/>
    <n v="793.7"/>
  </r>
  <r>
    <x v="641"/>
    <x v="6"/>
    <x v="1"/>
    <s v="United States"/>
    <x v="13"/>
    <x v="7"/>
    <x v="2"/>
    <n v="4"/>
    <n v="1952"/>
    <n v="148.66999999999999"/>
  </r>
  <r>
    <x v="717"/>
    <x v="1"/>
    <x v="1"/>
    <s v="United States"/>
    <x v="3"/>
    <x v="3"/>
    <x v="2"/>
    <n v="3"/>
    <n v="2004"/>
    <n v="467.76"/>
  </r>
  <r>
    <x v="718"/>
    <x v="8"/>
    <x v="1"/>
    <s v="United States"/>
    <x v="28"/>
    <x v="2"/>
    <x v="1"/>
    <n v="4"/>
    <n v="468"/>
    <n v="131.47999999999999"/>
  </r>
  <r>
    <x v="719"/>
    <x v="7"/>
    <x v="2"/>
    <s v="United States"/>
    <x v="3"/>
    <x v="3"/>
    <x v="2"/>
    <n v="9"/>
    <n v="8667"/>
    <n v="1597.49"/>
  </r>
  <r>
    <x v="720"/>
    <x v="0"/>
    <x v="0"/>
    <s v="United States"/>
    <x v="3"/>
    <x v="3"/>
    <x v="2"/>
    <n v="7"/>
    <n v="6097"/>
    <n v="567.32000000000005"/>
  </r>
  <r>
    <x v="721"/>
    <x v="4"/>
    <x v="1"/>
    <s v="United States"/>
    <x v="9"/>
    <x v="8"/>
    <x v="3"/>
    <n v="9"/>
    <n v="4752"/>
    <n v="1415.65"/>
  </r>
  <r>
    <x v="253"/>
    <x v="8"/>
    <x v="1"/>
    <s v="United States"/>
    <x v="104"/>
    <x v="22"/>
    <x v="1"/>
    <n v="1"/>
    <n v="1172"/>
    <n v="124.9"/>
  </r>
  <r>
    <x v="696"/>
    <x v="8"/>
    <x v="1"/>
    <s v="United States"/>
    <x v="275"/>
    <x v="4"/>
    <x v="1"/>
    <n v="2"/>
    <n v="1608"/>
    <n v="170.29"/>
  </r>
  <r>
    <x v="722"/>
    <x v="0"/>
    <x v="0"/>
    <s v="United States"/>
    <x v="6"/>
    <x v="5"/>
    <x v="3"/>
    <n v="7"/>
    <n v="7595"/>
    <n v="969.07"/>
  </r>
  <r>
    <x v="426"/>
    <x v="5"/>
    <x v="2"/>
    <s v="United States"/>
    <x v="132"/>
    <x v="33"/>
    <x v="0"/>
    <n v="1"/>
    <n v="1142"/>
    <n v="306.83999999999997"/>
  </r>
  <r>
    <x v="723"/>
    <x v="8"/>
    <x v="1"/>
    <s v="United States"/>
    <x v="38"/>
    <x v="21"/>
    <x v="0"/>
    <n v="2"/>
    <n v="116"/>
    <n v="13.67"/>
  </r>
  <r>
    <x v="437"/>
    <x v="7"/>
    <x v="2"/>
    <s v="United States"/>
    <x v="9"/>
    <x v="8"/>
    <x v="3"/>
    <n v="9"/>
    <n v="3951"/>
    <n v="908.13"/>
  </r>
  <r>
    <x v="12"/>
    <x v="8"/>
    <x v="1"/>
    <s v="United States"/>
    <x v="102"/>
    <x v="2"/>
    <x v="1"/>
    <n v="2"/>
    <n v="1606"/>
    <n v="138.96"/>
  </r>
  <r>
    <x v="724"/>
    <x v="4"/>
    <x v="1"/>
    <s v="United States"/>
    <x v="2"/>
    <x v="2"/>
    <x v="1"/>
    <n v="3"/>
    <n v="2025"/>
    <n v="403"/>
  </r>
  <r>
    <x v="684"/>
    <x v="5"/>
    <x v="2"/>
    <s v="United States"/>
    <x v="218"/>
    <x v="32"/>
    <x v="2"/>
    <n v="2"/>
    <n v="2006"/>
    <n v="235.52"/>
  </r>
  <r>
    <x v="230"/>
    <x v="3"/>
    <x v="2"/>
    <s v="United States"/>
    <x v="53"/>
    <x v="2"/>
    <x v="1"/>
    <n v="9"/>
    <n v="9423"/>
    <n v="652.05999999999995"/>
  </r>
  <r>
    <x v="108"/>
    <x v="9"/>
    <x v="2"/>
    <s v="United States"/>
    <x v="174"/>
    <x v="18"/>
    <x v="2"/>
    <n v="4"/>
    <n v="2276"/>
    <n v="399.94"/>
  </r>
  <r>
    <x v="326"/>
    <x v="6"/>
    <x v="1"/>
    <s v="United States"/>
    <x v="224"/>
    <x v="30"/>
    <x v="0"/>
    <n v="5"/>
    <n v="4880"/>
    <n v="664.06"/>
  </r>
  <r>
    <x v="723"/>
    <x v="9"/>
    <x v="2"/>
    <s v="United States"/>
    <x v="224"/>
    <x v="30"/>
    <x v="0"/>
    <n v="3"/>
    <n v="1773"/>
    <n v="183.15"/>
  </r>
  <r>
    <x v="304"/>
    <x v="5"/>
    <x v="2"/>
    <s v="United States"/>
    <x v="10"/>
    <x v="9"/>
    <x v="0"/>
    <n v="9"/>
    <n v="2718"/>
    <n v="195.97"/>
  </r>
  <r>
    <x v="256"/>
    <x v="4"/>
    <x v="1"/>
    <s v="United States"/>
    <x v="276"/>
    <x v="16"/>
    <x v="3"/>
    <n v="4"/>
    <n v="3168"/>
    <n v="939.45"/>
  </r>
  <r>
    <x v="429"/>
    <x v="3"/>
    <x v="2"/>
    <s v="United States"/>
    <x v="276"/>
    <x v="16"/>
    <x v="3"/>
    <n v="2"/>
    <n v="1716"/>
    <n v="368.06"/>
  </r>
  <r>
    <x v="725"/>
    <x v="7"/>
    <x v="2"/>
    <s v="United States"/>
    <x v="15"/>
    <x v="13"/>
    <x v="1"/>
    <n v="2"/>
    <n v="214"/>
    <n v="14.08"/>
  </r>
  <r>
    <x v="712"/>
    <x v="3"/>
    <x v="2"/>
    <s v="United States"/>
    <x v="15"/>
    <x v="13"/>
    <x v="1"/>
    <n v="2"/>
    <n v="2092"/>
    <n v="366.12"/>
  </r>
  <r>
    <x v="726"/>
    <x v="4"/>
    <x v="1"/>
    <s v="United States"/>
    <x v="89"/>
    <x v="1"/>
    <x v="0"/>
    <n v="3"/>
    <n v="225"/>
    <n v="46.96"/>
  </r>
  <r>
    <x v="99"/>
    <x v="5"/>
    <x v="2"/>
    <s v="United States"/>
    <x v="3"/>
    <x v="3"/>
    <x v="2"/>
    <n v="1"/>
    <n v="859"/>
    <n v="217.67"/>
  </r>
  <r>
    <x v="243"/>
    <x v="0"/>
    <x v="0"/>
    <s v="United States"/>
    <x v="180"/>
    <x v="25"/>
    <x v="0"/>
    <n v="2"/>
    <n v="2070"/>
    <n v="183.41"/>
  </r>
  <r>
    <x v="428"/>
    <x v="8"/>
    <x v="1"/>
    <s v="United States"/>
    <x v="54"/>
    <x v="17"/>
    <x v="3"/>
    <n v="6"/>
    <n v="3240"/>
    <n v="758.19"/>
  </r>
  <r>
    <x v="727"/>
    <x v="2"/>
    <x v="2"/>
    <s v="United States"/>
    <x v="53"/>
    <x v="2"/>
    <x v="1"/>
    <n v="2"/>
    <n v="1748"/>
    <n v="506.52"/>
  </r>
  <r>
    <x v="573"/>
    <x v="1"/>
    <x v="1"/>
    <s v="United States"/>
    <x v="53"/>
    <x v="2"/>
    <x v="1"/>
    <n v="8"/>
    <n v="2080"/>
    <n v="108.48"/>
  </r>
  <r>
    <x v="316"/>
    <x v="5"/>
    <x v="2"/>
    <s v="United States"/>
    <x v="29"/>
    <x v="24"/>
    <x v="0"/>
    <n v="3"/>
    <n v="2193"/>
    <n v="521.14"/>
  </r>
  <r>
    <x v="682"/>
    <x v="4"/>
    <x v="1"/>
    <s v="United States"/>
    <x v="277"/>
    <x v="18"/>
    <x v="2"/>
    <n v="5"/>
    <n v="2080"/>
    <n v="614.77"/>
  </r>
  <r>
    <x v="728"/>
    <x v="1"/>
    <x v="1"/>
    <s v="United States"/>
    <x v="166"/>
    <x v="25"/>
    <x v="0"/>
    <n v="5"/>
    <n v="5070"/>
    <n v="986.39"/>
  </r>
  <r>
    <x v="729"/>
    <x v="9"/>
    <x v="2"/>
    <s v="United States"/>
    <x v="278"/>
    <x v="2"/>
    <x v="1"/>
    <n v="7"/>
    <n v="469"/>
    <n v="47.4"/>
  </r>
  <r>
    <x v="370"/>
    <x v="0"/>
    <x v="0"/>
    <s v="United States"/>
    <x v="279"/>
    <x v="36"/>
    <x v="1"/>
    <n v="1"/>
    <n v="802"/>
    <n v="153.55000000000001"/>
  </r>
  <r>
    <x v="0"/>
    <x v="7"/>
    <x v="2"/>
    <s v="United States"/>
    <x v="14"/>
    <x v="12"/>
    <x v="1"/>
    <n v="6"/>
    <n v="930"/>
    <n v="213.6"/>
  </r>
  <r>
    <x v="730"/>
    <x v="5"/>
    <x v="2"/>
    <s v="United States"/>
    <x v="280"/>
    <x v="42"/>
    <x v="1"/>
    <n v="1"/>
    <n v="495"/>
    <n v="55.17"/>
  </r>
  <r>
    <x v="452"/>
    <x v="6"/>
    <x v="1"/>
    <s v="United States"/>
    <x v="9"/>
    <x v="8"/>
    <x v="3"/>
    <n v="6"/>
    <n v="4938"/>
    <n v="847.89"/>
  </r>
  <r>
    <x v="116"/>
    <x v="2"/>
    <x v="2"/>
    <s v="United States"/>
    <x v="281"/>
    <x v="1"/>
    <x v="0"/>
    <n v="2"/>
    <n v="1300"/>
    <n v="267.45999999999998"/>
  </r>
  <r>
    <x v="731"/>
    <x v="1"/>
    <x v="1"/>
    <s v="United States"/>
    <x v="6"/>
    <x v="5"/>
    <x v="3"/>
    <n v="7"/>
    <n v="2100"/>
    <n v="131.66999999999999"/>
  </r>
  <r>
    <x v="732"/>
    <x v="3"/>
    <x v="2"/>
    <s v="United States"/>
    <x v="237"/>
    <x v="32"/>
    <x v="2"/>
    <n v="2"/>
    <n v="2248"/>
    <n v="636.52"/>
  </r>
  <r>
    <x v="64"/>
    <x v="4"/>
    <x v="1"/>
    <s v="United States"/>
    <x v="28"/>
    <x v="2"/>
    <x v="1"/>
    <n v="8"/>
    <n v="7096"/>
    <n v="991.23"/>
  </r>
  <r>
    <x v="728"/>
    <x v="4"/>
    <x v="1"/>
    <s v="United States"/>
    <x v="149"/>
    <x v="15"/>
    <x v="2"/>
    <n v="3"/>
    <n v="1992"/>
    <n v="252.21"/>
  </r>
  <r>
    <x v="196"/>
    <x v="3"/>
    <x v="2"/>
    <s v="United States"/>
    <x v="13"/>
    <x v="7"/>
    <x v="2"/>
    <n v="4"/>
    <n v="4056"/>
    <n v="1189.26"/>
  </r>
  <r>
    <x v="733"/>
    <x v="3"/>
    <x v="2"/>
    <s v="United States"/>
    <x v="13"/>
    <x v="7"/>
    <x v="2"/>
    <n v="2"/>
    <n v="1986"/>
    <n v="208.88"/>
  </r>
  <r>
    <x v="263"/>
    <x v="0"/>
    <x v="0"/>
    <s v="United States"/>
    <x v="123"/>
    <x v="16"/>
    <x v="3"/>
    <n v="3"/>
    <n v="1635"/>
    <n v="196.73"/>
  </r>
  <r>
    <x v="408"/>
    <x v="5"/>
    <x v="2"/>
    <s v="United States"/>
    <x v="282"/>
    <x v="19"/>
    <x v="2"/>
    <n v="9"/>
    <n v="3132"/>
    <n v="443.27"/>
  </r>
  <r>
    <x v="722"/>
    <x v="7"/>
    <x v="2"/>
    <s v="United States"/>
    <x v="282"/>
    <x v="19"/>
    <x v="2"/>
    <n v="8"/>
    <n v="7064"/>
    <n v="1554.52"/>
  </r>
  <r>
    <x v="3"/>
    <x v="3"/>
    <x v="2"/>
    <s v="United States"/>
    <x v="2"/>
    <x v="2"/>
    <x v="1"/>
    <n v="1"/>
    <n v="907"/>
    <n v="249.2"/>
  </r>
  <r>
    <x v="485"/>
    <x v="1"/>
    <x v="1"/>
    <s v="United States"/>
    <x v="130"/>
    <x v="2"/>
    <x v="1"/>
    <n v="9"/>
    <n v="7938"/>
    <n v="1191.4100000000001"/>
  </r>
  <r>
    <x v="734"/>
    <x v="0"/>
    <x v="0"/>
    <s v="United States"/>
    <x v="130"/>
    <x v="2"/>
    <x v="1"/>
    <n v="4"/>
    <n v="4360"/>
    <n v="1207.46"/>
  </r>
  <r>
    <x v="315"/>
    <x v="8"/>
    <x v="1"/>
    <s v="United States"/>
    <x v="283"/>
    <x v="8"/>
    <x v="3"/>
    <n v="3"/>
    <n v="375"/>
    <n v="95.04"/>
  </r>
  <r>
    <x v="440"/>
    <x v="6"/>
    <x v="1"/>
    <s v="United States"/>
    <x v="52"/>
    <x v="0"/>
    <x v="0"/>
    <n v="7"/>
    <n v="826"/>
    <n v="101.01"/>
  </r>
  <r>
    <x v="609"/>
    <x v="4"/>
    <x v="1"/>
    <s v="United States"/>
    <x v="168"/>
    <x v="30"/>
    <x v="0"/>
    <n v="1"/>
    <n v="1011"/>
    <n v="186.42"/>
  </r>
  <r>
    <x v="735"/>
    <x v="1"/>
    <x v="1"/>
    <s v="United States"/>
    <x v="284"/>
    <x v="2"/>
    <x v="1"/>
    <n v="3"/>
    <n v="807"/>
    <n v="148.58000000000001"/>
  </r>
  <r>
    <x v="61"/>
    <x v="4"/>
    <x v="1"/>
    <s v="United States"/>
    <x v="62"/>
    <x v="7"/>
    <x v="2"/>
    <n v="2"/>
    <n v="1840"/>
    <n v="367.7"/>
  </r>
  <r>
    <x v="736"/>
    <x v="8"/>
    <x v="1"/>
    <s v="United States"/>
    <x v="2"/>
    <x v="2"/>
    <x v="1"/>
    <n v="5"/>
    <n v="4550"/>
    <n v="1039.3399999999999"/>
  </r>
  <r>
    <x v="737"/>
    <x v="7"/>
    <x v="2"/>
    <s v="United States"/>
    <x v="2"/>
    <x v="2"/>
    <x v="1"/>
    <n v="9"/>
    <n v="8793"/>
    <n v="901.7"/>
  </r>
  <r>
    <x v="53"/>
    <x v="4"/>
    <x v="1"/>
    <s v="United States"/>
    <x v="2"/>
    <x v="2"/>
    <x v="1"/>
    <n v="5"/>
    <n v="310"/>
    <n v="32.01"/>
  </r>
  <r>
    <x v="687"/>
    <x v="4"/>
    <x v="1"/>
    <s v="United States"/>
    <x v="76"/>
    <x v="36"/>
    <x v="1"/>
    <n v="3"/>
    <n v="1143"/>
    <n v="275.04000000000002"/>
  </r>
  <r>
    <x v="149"/>
    <x v="6"/>
    <x v="1"/>
    <s v="United States"/>
    <x v="51"/>
    <x v="1"/>
    <x v="0"/>
    <n v="3"/>
    <n v="2610"/>
    <n v="740.21"/>
  </r>
  <r>
    <x v="462"/>
    <x v="2"/>
    <x v="2"/>
    <s v="United States"/>
    <x v="175"/>
    <x v="2"/>
    <x v="1"/>
    <n v="6"/>
    <n v="1494"/>
    <n v="269.25"/>
  </r>
  <r>
    <x v="738"/>
    <x v="7"/>
    <x v="2"/>
    <s v="United States"/>
    <x v="175"/>
    <x v="2"/>
    <x v="1"/>
    <n v="4"/>
    <n v="1524"/>
    <n v="189.32"/>
  </r>
  <r>
    <x v="523"/>
    <x v="2"/>
    <x v="2"/>
    <s v="United States"/>
    <x v="13"/>
    <x v="7"/>
    <x v="2"/>
    <n v="9"/>
    <n v="9441"/>
    <n v="2171.42"/>
  </r>
  <r>
    <x v="316"/>
    <x v="7"/>
    <x v="2"/>
    <s v="United States"/>
    <x v="9"/>
    <x v="8"/>
    <x v="3"/>
    <n v="4"/>
    <n v="3520"/>
    <n v="417.26"/>
  </r>
  <r>
    <x v="46"/>
    <x v="2"/>
    <x v="2"/>
    <s v="United States"/>
    <x v="144"/>
    <x v="5"/>
    <x v="3"/>
    <n v="2"/>
    <n v="390"/>
    <n v="103.99"/>
  </r>
  <r>
    <x v="739"/>
    <x v="0"/>
    <x v="0"/>
    <s v="United States"/>
    <x v="196"/>
    <x v="9"/>
    <x v="0"/>
    <n v="3"/>
    <n v="3219"/>
    <n v="255.09"/>
  </r>
  <r>
    <x v="158"/>
    <x v="9"/>
    <x v="2"/>
    <s v="United States"/>
    <x v="53"/>
    <x v="2"/>
    <x v="1"/>
    <n v="1"/>
    <n v="450"/>
    <n v="75.89"/>
  </r>
  <r>
    <x v="212"/>
    <x v="5"/>
    <x v="2"/>
    <s v="United States"/>
    <x v="28"/>
    <x v="2"/>
    <x v="1"/>
    <n v="4"/>
    <n v="828"/>
    <n v="216.98"/>
  </r>
  <r>
    <x v="47"/>
    <x v="0"/>
    <x v="0"/>
    <s v="United States"/>
    <x v="13"/>
    <x v="7"/>
    <x v="2"/>
    <n v="1"/>
    <n v="1146"/>
    <n v="152.79"/>
  </r>
  <r>
    <x v="53"/>
    <x v="6"/>
    <x v="1"/>
    <s v="United States"/>
    <x v="13"/>
    <x v="7"/>
    <x v="2"/>
    <n v="3"/>
    <n v="1986"/>
    <n v="361.33"/>
  </r>
  <r>
    <x v="88"/>
    <x v="5"/>
    <x v="2"/>
    <s v="United States"/>
    <x v="52"/>
    <x v="6"/>
    <x v="3"/>
    <n v="8"/>
    <n v="7264"/>
    <n v="1776.83"/>
  </r>
  <r>
    <x v="682"/>
    <x v="9"/>
    <x v="2"/>
    <s v="United States"/>
    <x v="52"/>
    <x v="6"/>
    <x v="3"/>
    <n v="7"/>
    <n v="7469"/>
    <n v="915.63"/>
  </r>
  <r>
    <x v="740"/>
    <x v="9"/>
    <x v="2"/>
    <s v="United States"/>
    <x v="41"/>
    <x v="30"/>
    <x v="0"/>
    <n v="5"/>
    <n v="1385"/>
    <n v="165.55"/>
  </r>
  <r>
    <x v="420"/>
    <x v="2"/>
    <x v="2"/>
    <s v="United States"/>
    <x v="58"/>
    <x v="25"/>
    <x v="0"/>
    <n v="4"/>
    <n v="4556"/>
    <n v="315.07"/>
  </r>
  <r>
    <x v="741"/>
    <x v="6"/>
    <x v="1"/>
    <s v="United States"/>
    <x v="53"/>
    <x v="2"/>
    <x v="1"/>
    <n v="3"/>
    <n v="456"/>
    <n v="61.42"/>
  </r>
  <r>
    <x v="131"/>
    <x v="6"/>
    <x v="1"/>
    <s v="United States"/>
    <x v="53"/>
    <x v="2"/>
    <x v="1"/>
    <n v="2"/>
    <n v="1984"/>
    <n v="125.13"/>
  </r>
  <r>
    <x v="545"/>
    <x v="5"/>
    <x v="2"/>
    <s v="United States"/>
    <x v="53"/>
    <x v="2"/>
    <x v="1"/>
    <n v="6"/>
    <n v="5178"/>
    <n v="1321.58"/>
  </r>
  <r>
    <x v="742"/>
    <x v="5"/>
    <x v="2"/>
    <s v="United States"/>
    <x v="18"/>
    <x v="11"/>
    <x v="3"/>
    <n v="1"/>
    <n v="281"/>
    <n v="30.51"/>
  </r>
  <r>
    <x v="48"/>
    <x v="6"/>
    <x v="1"/>
    <s v="United States"/>
    <x v="144"/>
    <x v="5"/>
    <x v="3"/>
    <n v="9"/>
    <n v="3033"/>
    <n v="177.92"/>
  </r>
  <r>
    <x v="743"/>
    <x v="3"/>
    <x v="2"/>
    <s v="United States"/>
    <x v="41"/>
    <x v="2"/>
    <x v="1"/>
    <n v="3"/>
    <n v="1107"/>
    <n v="65.88"/>
  </r>
  <r>
    <x v="243"/>
    <x v="1"/>
    <x v="1"/>
    <s v="United States"/>
    <x v="285"/>
    <x v="31"/>
    <x v="0"/>
    <n v="3"/>
    <n v="1446"/>
    <n v="356.7"/>
  </r>
  <r>
    <x v="624"/>
    <x v="0"/>
    <x v="0"/>
    <s v="United States"/>
    <x v="286"/>
    <x v="19"/>
    <x v="2"/>
    <n v="3"/>
    <n v="1335"/>
    <n v="263.04000000000002"/>
  </r>
  <r>
    <x v="744"/>
    <x v="1"/>
    <x v="1"/>
    <s v="United States"/>
    <x v="287"/>
    <x v="45"/>
    <x v="1"/>
    <n v="2"/>
    <n v="266"/>
    <n v="20.11"/>
  </r>
  <r>
    <x v="127"/>
    <x v="7"/>
    <x v="2"/>
    <s v="United States"/>
    <x v="261"/>
    <x v="2"/>
    <x v="1"/>
    <n v="6"/>
    <n v="648"/>
    <n v="162.30000000000001"/>
  </r>
  <r>
    <x v="745"/>
    <x v="2"/>
    <x v="2"/>
    <s v="United States"/>
    <x v="17"/>
    <x v="6"/>
    <x v="3"/>
    <n v="2"/>
    <n v="344"/>
    <n v="80.87"/>
  </r>
  <r>
    <x v="538"/>
    <x v="7"/>
    <x v="2"/>
    <s v="United States"/>
    <x v="53"/>
    <x v="2"/>
    <x v="1"/>
    <n v="6"/>
    <n v="5724"/>
    <n v="1640.19"/>
  </r>
  <r>
    <x v="746"/>
    <x v="4"/>
    <x v="1"/>
    <s v="United States"/>
    <x v="53"/>
    <x v="2"/>
    <x v="1"/>
    <n v="5"/>
    <n v="4920"/>
    <n v="323.38"/>
  </r>
  <r>
    <x v="747"/>
    <x v="3"/>
    <x v="2"/>
    <s v="United States"/>
    <x v="28"/>
    <x v="2"/>
    <x v="1"/>
    <n v="5"/>
    <n v="5440"/>
    <n v="457.04"/>
  </r>
  <r>
    <x v="702"/>
    <x v="7"/>
    <x v="2"/>
    <s v="United States"/>
    <x v="52"/>
    <x v="6"/>
    <x v="3"/>
    <n v="7"/>
    <n v="7994"/>
    <n v="908.65"/>
  </r>
  <r>
    <x v="320"/>
    <x v="3"/>
    <x v="2"/>
    <s v="United States"/>
    <x v="162"/>
    <x v="18"/>
    <x v="2"/>
    <n v="9"/>
    <n v="3780"/>
    <n v="724.36"/>
  </r>
  <r>
    <x v="748"/>
    <x v="7"/>
    <x v="2"/>
    <s v="United States"/>
    <x v="124"/>
    <x v="2"/>
    <x v="1"/>
    <n v="1"/>
    <n v="1017"/>
    <n v="209.97"/>
  </r>
  <r>
    <x v="171"/>
    <x v="7"/>
    <x v="2"/>
    <s v="United States"/>
    <x v="13"/>
    <x v="7"/>
    <x v="2"/>
    <n v="6"/>
    <n v="1578"/>
    <n v="82.85"/>
  </r>
  <r>
    <x v="6"/>
    <x v="7"/>
    <x v="2"/>
    <s v="United States"/>
    <x v="13"/>
    <x v="7"/>
    <x v="2"/>
    <n v="2"/>
    <n v="912"/>
    <n v="161.37"/>
  </r>
  <r>
    <x v="423"/>
    <x v="9"/>
    <x v="2"/>
    <s v="United States"/>
    <x v="13"/>
    <x v="7"/>
    <x v="2"/>
    <n v="6"/>
    <n v="2520"/>
    <n v="182.59"/>
  </r>
  <r>
    <x v="486"/>
    <x v="1"/>
    <x v="1"/>
    <s v="United States"/>
    <x v="13"/>
    <x v="7"/>
    <x v="2"/>
    <n v="8"/>
    <n v="2632"/>
    <n v="262.55"/>
  </r>
  <r>
    <x v="749"/>
    <x v="6"/>
    <x v="1"/>
    <s v="United States"/>
    <x v="42"/>
    <x v="33"/>
    <x v="0"/>
    <n v="6"/>
    <n v="6582"/>
    <n v="729.68"/>
  </r>
  <r>
    <x v="750"/>
    <x v="3"/>
    <x v="2"/>
    <s v="United States"/>
    <x v="160"/>
    <x v="31"/>
    <x v="0"/>
    <n v="8"/>
    <n v="3432"/>
    <n v="172.69"/>
  </r>
  <r>
    <x v="593"/>
    <x v="8"/>
    <x v="1"/>
    <s v="United States"/>
    <x v="3"/>
    <x v="3"/>
    <x v="2"/>
    <n v="2"/>
    <n v="1030"/>
    <n v="254.65"/>
  </r>
  <r>
    <x v="375"/>
    <x v="1"/>
    <x v="1"/>
    <s v="United States"/>
    <x v="15"/>
    <x v="13"/>
    <x v="1"/>
    <n v="8"/>
    <n v="1192"/>
    <n v="289.91000000000003"/>
  </r>
  <r>
    <x v="751"/>
    <x v="0"/>
    <x v="0"/>
    <s v="United States"/>
    <x v="2"/>
    <x v="2"/>
    <x v="1"/>
    <n v="9"/>
    <n v="7083"/>
    <n v="994.47"/>
  </r>
  <r>
    <x v="752"/>
    <x v="0"/>
    <x v="0"/>
    <s v="United States"/>
    <x v="288"/>
    <x v="3"/>
    <x v="2"/>
    <n v="7"/>
    <n v="3675"/>
    <n v="227.14"/>
  </r>
  <r>
    <x v="95"/>
    <x v="6"/>
    <x v="1"/>
    <s v="United States"/>
    <x v="288"/>
    <x v="3"/>
    <x v="2"/>
    <n v="4"/>
    <n v="4740"/>
    <n v="833.27"/>
  </r>
  <r>
    <x v="290"/>
    <x v="4"/>
    <x v="1"/>
    <s v="United States"/>
    <x v="28"/>
    <x v="2"/>
    <x v="1"/>
    <n v="4"/>
    <n v="1716"/>
    <n v="364.96"/>
  </r>
  <r>
    <x v="33"/>
    <x v="0"/>
    <x v="0"/>
    <s v="United States"/>
    <x v="2"/>
    <x v="2"/>
    <x v="1"/>
    <n v="7"/>
    <n v="3528"/>
    <n v="260.06"/>
  </r>
  <r>
    <x v="753"/>
    <x v="3"/>
    <x v="2"/>
    <s v="United States"/>
    <x v="53"/>
    <x v="2"/>
    <x v="1"/>
    <n v="3"/>
    <n v="777"/>
    <n v="71.72"/>
  </r>
  <r>
    <x v="754"/>
    <x v="3"/>
    <x v="2"/>
    <s v="United States"/>
    <x v="13"/>
    <x v="7"/>
    <x v="2"/>
    <n v="4"/>
    <n v="3368"/>
    <n v="558.92999999999995"/>
  </r>
  <r>
    <x v="755"/>
    <x v="2"/>
    <x v="2"/>
    <s v="United States"/>
    <x v="169"/>
    <x v="37"/>
    <x v="3"/>
    <n v="4"/>
    <n v="4240"/>
    <n v="251.46"/>
  </r>
  <r>
    <x v="102"/>
    <x v="9"/>
    <x v="2"/>
    <s v="United States"/>
    <x v="169"/>
    <x v="37"/>
    <x v="3"/>
    <n v="3"/>
    <n v="3285"/>
    <n v="292.87"/>
  </r>
  <r>
    <x v="485"/>
    <x v="7"/>
    <x v="2"/>
    <s v="United States"/>
    <x v="289"/>
    <x v="21"/>
    <x v="0"/>
    <n v="6"/>
    <n v="4872"/>
    <n v="612.73"/>
  </r>
  <r>
    <x v="108"/>
    <x v="7"/>
    <x v="2"/>
    <s v="United States"/>
    <x v="289"/>
    <x v="21"/>
    <x v="0"/>
    <n v="9"/>
    <n v="2466"/>
    <n v="638.41"/>
  </r>
  <r>
    <x v="756"/>
    <x v="2"/>
    <x v="2"/>
    <s v="United States"/>
    <x v="2"/>
    <x v="2"/>
    <x v="1"/>
    <n v="5"/>
    <n v="2465"/>
    <n v="497.19"/>
  </r>
  <r>
    <x v="332"/>
    <x v="2"/>
    <x v="2"/>
    <s v="United States"/>
    <x v="29"/>
    <x v="15"/>
    <x v="2"/>
    <n v="3"/>
    <n v="612"/>
    <n v="40.15"/>
  </r>
  <r>
    <x v="757"/>
    <x v="2"/>
    <x v="2"/>
    <s v="United States"/>
    <x v="29"/>
    <x v="15"/>
    <x v="2"/>
    <n v="5"/>
    <n v="4170"/>
    <n v="658.98"/>
  </r>
  <r>
    <x v="420"/>
    <x v="3"/>
    <x v="2"/>
    <s v="United States"/>
    <x v="290"/>
    <x v="42"/>
    <x v="1"/>
    <n v="8"/>
    <n v="1088"/>
    <n v="160.33000000000001"/>
  </r>
  <r>
    <x v="539"/>
    <x v="8"/>
    <x v="1"/>
    <s v="United States"/>
    <x v="43"/>
    <x v="22"/>
    <x v="1"/>
    <n v="2"/>
    <n v="1626"/>
    <n v="354.49"/>
  </r>
  <r>
    <x v="577"/>
    <x v="7"/>
    <x v="2"/>
    <s v="United States"/>
    <x v="2"/>
    <x v="2"/>
    <x v="1"/>
    <n v="6"/>
    <n v="6486"/>
    <n v="359.49"/>
  </r>
  <r>
    <x v="91"/>
    <x v="6"/>
    <x v="1"/>
    <s v="United States"/>
    <x v="8"/>
    <x v="7"/>
    <x v="2"/>
    <n v="8"/>
    <n v="6968"/>
    <n v="1226.22"/>
  </r>
  <r>
    <x v="456"/>
    <x v="7"/>
    <x v="2"/>
    <s v="United States"/>
    <x v="73"/>
    <x v="10"/>
    <x v="0"/>
    <n v="1"/>
    <n v="357"/>
    <n v="82.86"/>
  </r>
  <r>
    <x v="298"/>
    <x v="9"/>
    <x v="2"/>
    <s v="United States"/>
    <x v="2"/>
    <x v="2"/>
    <x v="1"/>
    <n v="1"/>
    <n v="454"/>
    <n v="58.4"/>
  </r>
  <r>
    <x v="758"/>
    <x v="2"/>
    <x v="2"/>
    <s v="United States"/>
    <x v="2"/>
    <x v="2"/>
    <x v="1"/>
    <n v="3"/>
    <n v="3582"/>
    <n v="501.47"/>
  </r>
  <r>
    <x v="759"/>
    <x v="2"/>
    <x v="2"/>
    <s v="United States"/>
    <x v="89"/>
    <x v="1"/>
    <x v="0"/>
    <n v="9"/>
    <n v="3762"/>
    <n v="484.75"/>
  </r>
  <r>
    <x v="502"/>
    <x v="5"/>
    <x v="2"/>
    <s v="United States"/>
    <x v="291"/>
    <x v="28"/>
    <x v="2"/>
    <n v="9"/>
    <n v="6642"/>
    <n v="394.48"/>
  </r>
  <r>
    <x v="407"/>
    <x v="6"/>
    <x v="1"/>
    <s v="United States"/>
    <x v="2"/>
    <x v="2"/>
    <x v="1"/>
    <n v="4"/>
    <n v="408"/>
    <n v="45.2"/>
  </r>
  <r>
    <x v="729"/>
    <x v="2"/>
    <x v="2"/>
    <s v="United States"/>
    <x v="292"/>
    <x v="0"/>
    <x v="0"/>
    <n v="1"/>
    <n v="105"/>
    <n v="25.26"/>
  </r>
  <r>
    <x v="28"/>
    <x v="2"/>
    <x v="2"/>
    <s v="United States"/>
    <x v="293"/>
    <x v="22"/>
    <x v="1"/>
    <n v="3"/>
    <n v="2682"/>
    <n v="584.69000000000005"/>
  </r>
  <r>
    <x v="568"/>
    <x v="8"/>
    <x v="1"/>
    <s v="United States"/>
    <x v="270"/>
    <x v="9"/>
    <x v="0"/>
    <n v="7"/>
    <n v="497"/>
    <n v="76.31"/>
  </r>
  <r>
    <x v="688"/>
    <x v="0"/>
    <x v="0"/>
    <s v="United States"/>
    <x v="104"/>
    <x v="22"/>
    <x v="1"/>
    <n v="7"/>
    <n v="4823"/>
    <n v="420.58"/>
  </r>
  <r>
    <x v="244"/>
    <x v="5"/>
    <x v="2"/>
    <s v="United States"/>
    <x v="12"/>
    <x v="11"/>
    <x v="3"/>
    <n v="8"/>
    <n v="4048"/>
    <n v="666.1"/>
  </r>
  <r>
    <x v="668"/>
    <x v="0"/>
    <x v="0"/>
    <s v="United States"/>
    <x v="68"/>
    <x v="15"/>
    <x v="2"/>
    <n v="7"/>
    <n v="2758"/>
    <n v="459.02"/>
  </r>
  <r>
    <x v="717"/>
    <x v="7"/>
    <x v="2"/>
    <s v="United States"/>
    <x v="174"/>
    <x v="2"/>
    <x v="1"/>
    <n v="8"/>
    <n v="4096"/>
    <n v="266.35000000000002"/>
  </r>
  <r>
    <x v="328"/>
    <x v="0"/>
    <x v="0"/>
    <s v="United States"/>
    <x v="174"/>
    <x v="2"/>
    <x v="1"/>
    <n v="8"/>
    <n v="7264"/>
    <n v="1318"/>
  </r>
  <r>
    <x v="584"/>
    <x v="1"/>
    <x v="1"/>
    <s v="United States"/>
    <x v="13"/>
    <x v="7"/>
    <x v="2"/>
    <n v="6"/>
    <n v="4302"/>
    <n v="957.38"/>
  </r>
  <r>
    <x v="204"/>
    <x v="0"/>
    <x v="0"/>
    <s v="United States"/>
    <x v="294"/>
    <x v="5"/>
    <x v="3"/>
    <n v="7"/>
    <n v="3297"/>
    <n v="583.86"/>
  </r>
  <r>
    <x v="760"/>
    <x v="0"/>
    <x v="0"/>
    <s v="United States"/>
    <x v="46"/>
    <x v="2"/>
    <x v="1"/>
    <n v="5"/>
    <n v="5960"/>
    <n v="1139.78"/>
  </r>
  <r>
    <x v="31"/>
    <x v="8"/>
    <x v="1"/>
    <s v="United States"/>
    <x v="13"/>
    <x v="7"/>
    <x v="2"/>
    <n v="1"/>
    <n v="386"/>
    <n v="114.9"/>
  </r>
  <r>
    <x v="761"/>
    <x v="0"/>
    <x v="0"/>
    <s v="United States"/>
    <x v="13"/>
    <x v="7"/>
    <x v="2"/>
    <n v="1"/>
    <n v="684"/>
    <n v="170.36"/>
  </r>
  <r>
    <x v="575"/>
    <x v="9"/>
    <x v="2"/>
    <s v="United States"/>
    <x v="13"/>
    <x v="7"/>
    <x v="2"/>
    <n v="3"/>
    <n v="1275"/>
    <n v="168.64"/>
  </r>
  <r>
    <x v="698"/>
    <x v="1"/>
    <x v="1"/>
    <s v="United States"/>
    <x v="13"/>
    <x v="7"/>
    <x v="2"/>
    <n v="9"/>
    <n v="5949"/>
    <n v="368.51"/>
  </r>
  <r>
    <x v="762"/>
    <x v="3"/>
    <x v="2"/>
    <s v="United States"/>
    <x v="3"/>
    <x v="3"/>
    <x v="2"/>
    <n v="7"/>
    <n v="5159"/>
    <n v="755.22"/>
  </r>
  <r>
    <x v="595"/>
    <x v="6"/>
    <x v="1"/>
    <s v="United States"/>
    <x v="255"/>
    <x v="15"/>
    <x v="2"/>
    <n v="4"/>
    <n v="1100"/>
    <n v="127.13"/>
  </r>
  <r>
    <x v="611"/>
    <x v="1"/>
    <x v="1"/>
    <s v="United States"/>
    <x v="255"/>
    <x v="15"/>
    <x v="2"/>
    <n v="2"/>
    <n v="290"/>
    <n v="50.23"/>
  </r>
  <r>
    <x v="613"/>
    <x v="5"/>
    <x v="2"/>
    <s v="United States"/>
    <x v="255"/>
    <x v="15"/>
    <x v="2"/>
    <n v="8"/>
    <n v="7144"/>
    <n v="492.1"/>
  </r>
  <r>
    <x v="763"/>
    <x v="8"/>
    <x v="1"/>
    <s v="United States"/>
    <x v="76"/>
    <x v="36"/>
    <x v="1"/>
    <n v="5"/>
    <n v="4200"/>
    <n v="330.48"/>
  </r>
  <r>
    <x v="89"/>
    <x v="6"/>
    <x v="1"/>
    <s v="United States"/>
    <x v="76"/>
    <x v="36"/>
    <x v="1"/>
    <n v="6"/>
    <n v="5022"/>
    <n v="291.89"/>
  </r>
  <r>
    <x v="764"/>
    <x v="7"/>
    <x v="2"/>
    <s v="United States"/>
    <x v="13"/>
    <x v="7"/>
    <x v="2"/>
    <n v="2"/>
    <n v="2354"/>
    <n v="371.34"/>
  </r>
  <r>
    <x v="152"/>
    <x v="7"/>
    <x v="2"/>
    <s v="United States"/>
    <x v="13"/>
    <x v="7"/>
    <x v="2"/>
    <n v="2"/>
    <n v="2032"/>
    <n v="149.69999999999999"/>
  </r>
  <r>
    <x v="478"/>
    <x v="0"/>
    <x v="0"/>
    <s v="United States"/>
    <x v="2"/>
    <x v="2"/>
    <x v="1"/>
    <n v="8"/>
    <n v="9528"/>
    <n v="1942.35"/>
  </r>
  <r>
    <x v="538"/>
    <x v="8"/>
    <x v="1"/>
    <s v="United States"/>
    <x v="28"/>
    <x v="2"/>
    <x v="1"/>
    <n v="2"/>
    <n v="2372"/>
    <n v="275.88"/>
  </r>
  <r>
    <x v="699"/>
    <x v="9"/>
    <x v="2"/>
    <s v="United States"/>
    <x v="62"/>
    <x v="2"/>
    <x v="1"/>
    <n v="3"/>
    <n v="2703"/>
    <n v="609.75"/>
  </r>
  <r>
    <x v="34"/>
    <x v="9"/>
    <x v="2"/>
    <s v="United States"/>
    <x v="29"/>
    <x v="24"/>
    <x v="0"/>
    <n v="4"/>
    <n v="1264"/>
    <n v="267.82"/>
  </r>
  <r>
    <x v="765"/>
    <x v="7"/>
    <x v="2"/>
    <s v="United States"/>
    <x v="28"/>
    <x v="2"/>
    <x v="1"/>
    <n v="4"/>
    <n v="1624"/>
    <n v="333.74"/>
  </r>
  <r>
    <x v="654"/>
    <x v="1"/>
    <x v="1"/>
    <s v="United States"/>
    <x v="3"/>
    <x v="3"/>
    <x v="2"/>
    <n v="8"/>
    <n v="2976"/>
    <n v="507.77"/>
  </r>
  <r>
    <x v="766"/>
    <x v="4"/>
    <x v="1"/>
    <s v="United States"/>
    <x v="3"/>
    <x v="3"/>
    <x v="2"/>
    <n v="6"/>
    <n v="4998"/>
    <n v="863.82"/>
  </r>
  <r>
    <x v="705"/>
    <x v="0"/>
    <x v="0"/>
    <s v="United States"/>
    <x v="49"/>
    <x v="1"/>
    <x v="0"/>
    <n v="1"/>
    <n v="445"/>
    <n v="29.57"/>
  </r>
  <r>
    <x v="199"/>
    <x v="0"/>
    <x v="0"/>
    <s v="United States"/>
    <x v="49"/>
    <x v="1"/>
    <x v="0"/>
    <n v="1"/>
    <n v="98"/>
    <n v="28.57"/>
  </r>
  <r>
    <x v="326"/>
    <x v="2"/>
    <x v="2"/>
    <s v="United States"/>
    <x v="11"/>
    <x v="10"/>
    <x v="0"/>
    <n v="7"/>
    <n v="4102"/>
    <n v="354.03"/>
  </r>
  <r>
    <x v="182"/>
    <x v="0"/>
    <x v="0"/>
    <s v="United States"/>
    <x v="295"/>
    <x v="36"/>
    <x v="1"/>
    <n v="1"/>
    <n v="1016"/>
    <n v="171.31"/>
  </r>
  <r>
    <x v="641"/>
    <x v="4"/>
    <x v="1"/>
    <s v="United States"/>
    <x v="13"/>
    <x v="7"/>
    <x v="2"/>
    <n v="4"/>
    <n v="1960"/>
    <n v="234.88"/>
  </r>
  <r>
    <x v="767"/>
    <x v="1"/>
    <x v="1"/>
    <s v="United States"/>
    <x v="278"/>
    <x v="2"/>
    <x v="1"/>
    <n v="7"/>
    <n v="2751"/>
    <n v="675.95"/>
  </r>
  <r>
    <x v="494"/>
    <x v="7"/>
    <x v="2"/>
    <s v="United States"/>
    <x v="149"/>
    <x v="15"/>
    <x v="2"/>
    <n v="7"/>
    <n v="4032"/>
    <n v="742.98"/>
  </r>
  <r>
    <x v="311"/>
    <x v="7"/>
    <x v="2"/>
    <s v="United States"/>
    <x v="6"/>
    <x v="5"/>
    <x v="3"/>
    <n v="7"/>
    <n v="5978"/>
    <n v="1791.25"/>
  </r>
  <r>
    <x v="309"/>
    <x v="4"/>
    <x v="1"/>
    <s v="United States"/>
    <x v="15"/>
    <x v="13"/>
    <x v="1"/>
    <n v="7"/>
    <n v="8050"/>
    <n v="2129.9699999999998"/>
  </r>
  <r>
    <x v="342"/>
    <x v="6"/>
    <x v="1"/>
    <s v="United States"/>
    <x v="13"/>
    <x v="7"/>
    <x v="2"/>
    <n v="7"/>
    <n v="4648"/>
    <n v="1240.98"/>
  </r>
  <r>
    <x v="646"/>
    <x v="7"/>
    <x v="2"/>
    <s v="United States"/>
    <x v="296"/>
    <x v="9"/>
    <x v="0"/>
    <n v="3"/>
    <n v="1119"/>
    <n v="108.68"/>
  </r>
  <r>
    <x v="242"/>
    <x v="0"/>
    <x v="0"/>
    <s v="United States"/>
    <x v="295"/>
    <x v="36"/>
    <x v="1"/>
    <n v="9"/>
    <n v="2178"/>
    <n v="382.67"/>
  </r>
  <r>
    <x v="731"/>
    <x v="9"/>
    <x v="2"/>
    <s v="United States"/>
    <x v="295"/>
    <x v="36"/>
    <x v="1"/>
    <n v="1"/>
    <n v="918"/>
    <n v="180.31"/>
  </r>
  <r>
    <x v="43"/>
    <x v="7"/>
    <x v="2"/>
    <s v="United States"/>
    <x v="15"/>
    <x v="13"/>
    <x v="1"/>
    <n v="9"/>
    <n v="6903"/>
    <n v="837.35"/>
  </r>
  <r>
    <x v="445"/>
    <x v="8"/>
    <x v="1"/>
    <s v="United States"/>
    <x v="124"/>
    <x v="2"/>
    <x v="1"/>
    <n v="5"/>
    <n v="4855"/>
    <n v="534.23"/>
  </r>
  <r>
    <x v="700"/>
    <x v="3"/>
    <x v="2"/>
    <s v="United States"/>
    <x v="41"/>
    <x v="28"/>
    <x v="2"/>
    <n v="2"/>
    <n v="2158"/>
    <n v="483.94"/>
  </r>
  <r>
    <x v="129"/>
    <x v="1"/>
    <x v="1"/>
    <s v="United States"/>
    <x v="15"/>
    <x v="13"/>
    <x v="1"/>
    <n v="7"/>
    <n v="4550"/>
    <n v="1077.8"/>
  </r>
  <r>
    <x v="425"/>
    <x v="2"/>
    <x v="2"/>
    <s v="United States"/>
    <x v="29"/>
    <x v="6"/>
    <x v="3"/>
    <n v="4"/>
    <n v="3592"/>
    <n v="249.54"/>
  </r>
  <r>
    <x v="768"/>
    <x v="2"/>
    <x v="2"/>
    <s v="United States"/>
    <x v="132"/>
    <x v="33"/>
    <x v="0"/>
    <n v="8"/>
    <n v="3488"/>
    <n v="943.25"/>
  </r>
  <r>
    <x v="414"/>
    <x v="6"/>
    <x v="1"/>
    <s v="United States"/>
    <x v="121"/>
    <x v="2"/>
    <x v="1"/>
    <n v="2"/>
    <n v="1214"/>
    <n v="163.80000000000001"/>
  </r>
  <r>
    <x v="769"/>
    <x v="1"/>
    <x v="1"/>
    <s v="United States"/>
    <x v="15"/>
    <x v="13"/>
    <x v="1"/>
    <n v="9"/>
    <n v="7200"/>
    <n v="1469.23"/>
  </r>
  <r>
    <x v="650"/>
    <x v="9"/>
    <x v="2"/>
    <s v="United States"/>
    <x v="15"/>
    <x v="13"/>
    <x v="1"/>
    <n v="8"/>
    <n v="1808"/>
    <n v="339.31"/>
  </r>
  <r>
    <x v="597"/>
    <x v="3"/>
    <x v="2"/>
    <s v="United States"/>
    <x v="149"/>
    <x v="15"/>
    <x v="2"/>
    <n v="9"/>
    <n v="7083"/>
    <n v="560.88"/>
  </r>
  <r>
    <x v="230"/>
    <x v="6"/>
    <x v="1"/>
    <s v="United States"/>
    <x v="2"/>
    <x v="2"/>
    <x v="1"/>
    <n v="4"/>
    <n v="1060"/>
    <n v="260.20999999999998"/>
  </r>
  <r>
    <x v="54"/>
    <x v="5"/>
    <x v="2"/>
    <s v="United States"/>
    <x v="174"/>
    <x v="15"/>
    <x v="2"/>
    <n v="9"/>
    <n v="7182"/>
    <n v="461.61"/>
  </r>
  <r>
    <x v="517"/>
    <x v="7"/>
    <x v="2"/>
    <s v="United States"/>
    <x v="28"/>
    <x v="2"/>
    <x v="1"/>
    <n v="6"/>
    <n v="5532"/>
    <n v="552.74"/>
  </r>
  <r>
    <x v="770"/>
    <x v="4"/>
    <x v="1"/>
    <s v="United States"/>
    <x v="297"/>
    <x v="2"/>
    <x v="1"/>
    <n v="8"/>
    <n v="1800"/>
    <n v="326.02999999999997"/>
  </r>
  <r>
    <x v="232"/>
    <x v="4"/>
    <x v="1"/>
    <s v="United States"/>
    <x v="297"/>
    <x v="2"/>
    <x v="1"/>
    <n v="1"/>
    <n v="351"/>
    <n v="32.61"/>
  </r>
  <r>
    <x v="771"/>
    <x v="5"/>
    <x v="2"/>
    <s v="United States"/>
    <x v="279"/>
    <x v="25"/>
    <x v="0"/>
    <n v="2"/>
    <n v="1200"/>
    <n v="191.43"/>
  </r>
  <r>
    <x v="5"/>
    <x v="2"/>
    <x v="2"/>
    <s v="United States"/>
    <x v="28"/>
    <x v="2"/>
    <x v="1"/>
    <n v="9"/>
    <n v="1593"/>
    <n v="322.45999999999998"/>
  </r>
  <r>
    <x v="701"/>
    <x v="6"/>
    <x v="1"/>
    <s v="United States"/>
    <x v="298"/>
    <x v="36"/>
    <x v="1"/>
    <n v="3"/>
    <n v="2580"/>
    <n v="448.02"/>
  </r>
  <r>
    <x v="655"/>
    <x v="8"/>
    <x v="1"/>
    <s v="United States"/>
    <x v="298"/>
    <x v="36"/>
    <x v="1"/>
    <n v="6"/>
    <n v="6780"/>
    <n v="1794.97"/>
  </r>
  <r>
    <x v="219"/>
    <x v="7"/>
    <x v="2"/>
    <s v="United States"/>
    <x v="299"/>
    <x v="2"/>
    <x v="1"/>
    <n v="2"/>
    <n v="1298"/>
    <n v="204.08"/>
  </r>
  <r>
    <x v="413"/>
    <x v="5"/>
    <x v="2"/>
    <s v="United States"/>
    <x v="300"/>
    <x v="17"/>
    <x v="3"/>
    <n v="7"/>
    <n v="4585"/>
    <n v="383.97"/>
  </r>
  <r>
    <x v="498"/>
    <x v="2"/>
    <x v="2"/>
    <s v="United States"/>
    <x v="300"/>
    <x v="17"/>
    <x v="3"/>
    <n v="1"/>
    <n v="516"/>
    <n v="70.53"/>
  </r>
  <r>
    <x v="146"/>
    <x v="2"/>
    <x v="2"/>
    <s v="United States"/>
    <x v="2"/>
    <x v="2"/>
    <x v="1"/>
    <n v="4"/>
    <n v="1780"/>
    <n v="420.28"/>
  </r>
  <r>
    <x v="256"/>
    <x v="8"/>
    <x v="1"/>
    <s v="United States"/>
    <x v="13"/>
    <x v="7"/>
    <x v="2"/>
    <n v="5"/>
    <n v="365"/>
    <n v="94.05"/>
  </r>
  <r>
    <x v="140"/>
    <x v="2"/>
    <x v="2"/>
    <s v="United States"/>
    <x v="144"/>
    <x v="5"/>
    <x v="3"/>
    <n v="8"/>
    <n v="3896"/>
    <n v="735.66"/>
  </r>
  <r>
    <x v="74"/>
    <x v="9"/>
    <x v="2"/>
    <s v="United States"/>
    <x v="141"/>
    <x v="5"/>
    <x v="3"/>
    <n v="1"/>
    <n v="636"/>
    <n v="169.24"/>
  </r>
  <r>
    <x v="624"/>
    <x v="6"/>
    <x v="1"/>
    <s v="United States"/>
    <x v="13"/>
    <x v="7"/>
    <x v="2"/>
    <n v="7"/>
    <n v="637"/>
    <n v="87.86"/>
  </r>
  <r>
    <x v="673"/>
    <x v="8"/>
    <x v="1"/>
    <s v="United States"/>
    <x v="13"/>
    <x v="7"/>
    <x v="2"/>
    <n v="3"/>
    <n v="1302"/>
    <n v="180.82"/>
  </r>
  <r>
    <x v="715"/>
    <x v="7"/>
    <x v="2"/>
    <s v="United States"/>
    <x v="10"/>
    <x v="9"/>
    <x v="0"/>
    <n v="1"/>
    <n v="719"/>
    <n v="40.42"/>
  </r>
  <r>
    <x v="259"/>
    <x v="3"/>
    <x v="2"/>
    <s v="United States"/>
    <x v="2"/>
    <x v="2"/>
    <x v="1"/>
    <n v="6"/>
    <n v="5106"/>
    <n v="1341.93"/>
  </r>
  <r>
    <x v="398"/>
    <x v="1"/>
    <x v="1"/>
    <s v="United States"/>
    <x v="76"/>
    <x v="15"/>
    <x v="2"/>
    <n v="3"/>
    <n v="1215"/>
    <n v="129.80000000000001"/>
  </r>
  <r>
    <x v="324"/>
    <x v="3"/>
    <x v="2"/>
    <s v="United States"/>
    <x v="13"/>
    <x v="7"/>
    <x v="2"/>
    <n v="9"/>
    <n v="1791"/>
    <n v="187.28"/>
  </r>
  <r>
    <x v="338"/>
    <x v="0"/>
    <x v="0"/>
    <s v="United States"/>
    <x v="120"/>
    <x v="35"/>
    <x v="0"/>
    <n v="9"/>
    <n v="6255"/>
    <n v="452.46"/>
  </r>
  <r>
    <x v="772"/>
    <x v="0"/>
    <x v="0"/>
    <s v="United States"/>
    <x v="120"/>
    <x v="35"/>
    <x v="0"/>
    <n v="5"/>
    <n v="4165"/>
    <n v="1012.37"/>
  </r>
  <r>
    <x v="383"/>
    <x v="6"/>
    <x v="1"/>
    <s v="United States"/>
    <x v="129"/>
    <x v="13"/>
    <x v="1"/>
    <n v="5"/>
    <n v="5990"/>
    <n v="1192.1099999999999"/>
  </r>
  <r>
    <x v="5"/>
    <x v="2"/>
    <x v="2"/>
    <s v="United States"/>
    <x v="6"/>
    <x v="5"/>
    <x v="3"/>
    <n v="1"/>
    <n v="847"/>
    <n v="142.74"/>
  </r>
  <r>
    <x v="649"/>
    <x v="3"/>
    <x v="2"/>
    <s v="United States"/>
    <x v="169"/>
    <x v="37"/>
    <x v="3"/>
    <n v="8"/>
    <n v="688"/>
    <n v="131.26"/>
  </r>
  <r>
    <x v="96"/>
    <x v="2"/>
    <x v="2"/>
    <s v="United States"/>
    <x v="121"/>
    <x v="2"/>
    <x v="1"/>
    <n v="2"/>
    <n v="1188"/>
    <n v="286.38"/>
  </r>
  <r>
    <x v="500"/>
    <x v="3"/>
    <x v="2"/>
    <s v="United States"/>
    <x v="51"/>
    <x v="30"/>
    <x v="0"/>
    <n v="7"/>
    <n v="3101"/>
    <n v="926.09"/>
  </r>
  <r>
    <x v="773"/>
    <x v="4"/>
    <x v="1"/>
    <s v="United States"/>
    <x v="51"/>
    <x v="30"/>
    <x v="0"/>
    <n v="9"/>
    <n v="8703"/>
    <n v="1562.88"/>
  </r>
  <r>
    <x v="774"/>
    <x v="0"/>
    <x v="0"/>
    <s v="United States"/>
    <x v="280"/>
    <x v="42"/>
    <x v="1"/>
    <n v="9"/>
    <n v="9324"/>
    <n v="2416.9299999999998"/>
  </r>
  <r>
    <x v="775"/>
    <x v="9"/>
    <x v="2"/>
    <s v="United States"/>
    <x v="215"/>
    <x v="5"/>
    <x v="3"/>
    <n v="1"/>
    <n v="749"/>
    <n v="68.17"/>
  </r>
  <r>
    <x v="686"/>
    <x v="5"/>
    <x v="2"/>
    <s v="United States"/>
    <x v="13"/>
    <x v="7"/>
    <x v="2"/>
    <n v="4"/>
    <n v="3224"/>
    <n v="871.53"/>
  </r>
  <r>
    <x v="487"/>
    <x v="6"/>
    <x v="1"/>
    <s v="United States"/>
    <x v="13"/>
    <x v="7"/>
    <x v="2"/>
    <n v="3"/>
    <n v="459"/>
    <n v="40.96"/>
  </r>
  <r>
    <x v="413"/>
    <x v="5"/>
    <x v="2"/>
    <s v="United States"/>
    <x v="6"/>
    <x v="5"/>
    <x v="3"/>
    <n v="7"/>
    <n v="5726"/>
    <n v="976.14"/>
  </r>
  <r>
    <x v="776"/>
    <x v="8"/>
    <x v="1"/>
    <s v="United States"/>
    <x v="28"/>
    <x v="2"/>
    <x v="1"/>
    <n v="4"/>
    <n v="616"/>
    <n v="175.75"/>
  </r>
  <r>
    <x v="413"/>
    <x v="9"/>
    <x v="2"/>
    <s v="United States"/>
    <x v="237"/>
    <x v="32"/>
    <x v="2"/>
    <n v="2"/>
    <n v="1584"/>
    <n v="406.25"/>
  </r>
  <r>
    <x v="96"/>
    <x v="9"/>
    <x v="2"/>
    <s v="United States"/>
    <x v="74"/>
    <x v="0"/>
    <x v="0"/>
    <n v="5"/>
    <n v="3205"/>
    <n v="368.41"/>
  </r>
  <r>
    <x v="314"/>
    <x v="0"/>
    <x v="0"/>
    <s v="United States"/>
    <x v="134"/>
    <x v="38"/>
    <x v="2"/>
    <n v="1"/>
    <n v="958"/>
    <n v="186.76"/>
  </r>
  <r>
    <x v="700"/>
    <x v="9"/>
    <x v="2"/>
    <s v="United States"/>
    <x v="3"/>
    <x v="3"/>
    <x v="2"/>
    <n v="9"/>
    <n v="5139"/>
    <n v="1315.93"/>
  </r>
  <r>
    <x v="329"/>
    <x v="7"/>
    <x v="2"/>
    <s v="United States"/>
    <x v="36"/>
    <x v="1"/>
    <x v="0"/>
    <n v="5"/>
    <n v="3795"/>
    <n v="239.15"/>
  </r>
  <r>
    <x v="293"/>
    <x v="3"/>
    <x v="2"/>
    <s v="United States"/>
    <x v="13"/>
    <x v="7"/>
    <x v="2"/>
    <n v="2"/>
    <n v="810"/>
    <n v="229.33"/>
  </r>
  <r>
    <x v="239"/>
    <x v="3"/>
    <x v="2"/>
    <s v="United States"/>
    <x v="3"/>
    <x v="3"/>
    <x v="2"/>
    <n v="6"/>
    <n v="5106"/>
    <n v="1500.2"/>
  </r>
  <r>
    <x v="561"/>
    <x v="6"/>
    <x v="1"/>
    <s v="United States"/>
    <x v="301"/>
    <x v="1"/>
    <x v="0"/>
    <n v="2"/>
    <n v="798"/>
    <n v="79.25"/>
  </r>
  <r>
    <x v="752"/>
    <x v="9"/>
    <x v="2"/>
    <s v="United States"/>
    <x v="74"/>
    <x v="0"/>
    <x v="0"/>
    <n v="5"/>
    <n v="3165"/>
    <n v="895.33"/>
  </r>
  <r>
    <x v="630"/>
    <x v="2"/>
    <x v="2"/>
    <s v="United States"/>
    <x v="3"/>
    <x v="3"/>
    <x v="2"/>
    <n v="5"/>
    <n v="5935"/>
    <n v="875.84"/>
  </r>
  <r>
    <x v="777"/>
    <x v="8"/>
    <x v="1"/>
    <s v="United States"/>
    <x v="28"/>
    <x v="2"/>
    <x v="1"/>
    <n v="4"/>
    <n v="3352"/>
    <n v="663.15"/>
  </r>
  <r>
    <x v="778"/>
    <x v="7"/>
    <x v="2"/>
    <s v="United States"/>
    <x v="28"/>
    <x v="2"/>
    <x v="1"/>
    <n v="9"/>
    <n v="8343"/>
    <n v="821"/>
  </r>
  <r>
    <x v="779"/>
    <x v="6"/>
    <x v="1"/>
    <s v="United States"/>
    <x v="38"/>
    <x v="17"/>
    <x v="3"/>
    <n v="4"/>
    <n v="2604"/>
    <n v="411.38"/>
  </r>
  <r>
    <x v="780"/>
    <x v="4"/>
    <x v="1"/>
    <s v="United States"/>
    <x v="252"/>
    <x v="7"/>
    <x v="2"/>
    <n v="1"/>
    <n v="526"/>
    <n v="108.88"/>
  </r>
  <r>
    <x v="477"/>
    <x v="6"/>
    <x v="1"/>
    <s v="United States"/>
    <x v="270"/>
    <x v="9"/>
    <x v="0"/>
    <n v="9"/>
    <n v="5220"/>
    <n v="1324.01"/>
  </r>
  <r>
    <x v="477"/>
    <x v="0"/>
    <x v="0"/>
    <s v="United States"/>
    <x v="19"/>
    <x v="14"/>
    <x v="2"/>
    <n v="9"/>
    <n v="1737"/>
    <n v="152.97999999999999"/>
  </r>
  <r>
    <x v="781"/>
    <x v="1"/>
    <x v="1"/>
    <s v="United States"/>
    <x v="15"/>
    <x v="13"/>
    <x v="1"/>
    <n v="6"/>
    <n v="3186"/>
    <n v="841.04"/>
  </r>
  <r>
    <x v="616"/>
    <x v="7"/>
    <x v="2"/>
    <s v="United States"/>
    <x v="302"/>
    <x v="8"/>
    <x v="3"/>
    <n v="6"/>
    <n v="7014"/>
    <n v="1202.25"/>
  </r>
  <r>
    <x v="386"/>
    <x v="1"/>
    <x v="1"/>
    <s v="United States"/>
    <x v="27"/>
    <x v="11"/>
    <x v="3"/>
    <n v="9"/>
    <n v="3411"/>
    <n v="444.87"/>
  </r>
  <r>
    <x v="761"/>
    <x v="6"/>
    <x v="1"/>
    <s v="United States"/>
    <x v="13"/>
    <x v="7"/>
    <x v="2"/>
    <n v="1"/>
    <n v="513"/>
    <n v="87.58"/>
  </r>
  <r>
    <x v="782"/>
    <x v="7"/>
    <x v="2"/>
    <s v="United States"/>
    <x v="252"/>
    <x v="7"/>
    <x v="2"/>
    <n v="1"/>
    <n v="1104"/>
    <n v="277.85000000000002"/>
  </r>
  <r>
    <x v="783"/>
    <x v="7"/>
    <x v="2"/>
    <s v="United States"/>
    <x v="37"/>
    <x v="20"/>
    <x v="2"/>
    <n v="9"/>
    <n v="2718"/>
    <n v="271.51"/>
  </r>
  <r>
    <x v="654"/>
    <x v="4"/>
    <x v="1"/>
    <s v="United States"/>
    <x v="37"/>
    <x v="20"/>
    <x v="2"/>
    <n v="6"/>
    <n v="1662"/>
    <n v="416.3"/>
  </r>
  <r>
    <x v="309"/>
    <x v="1"/>
    <x v="1"/>
    <s v="United States"/>
    <x v="6"/>
    <x v="5"/>
    <x v="3"/>
    <n v="5"/>
    <n v="1700"/>
    <n v="360.59"/>
  </r>
  <r>
    <x v="486"/>
    <x v="2"/>
    <x v="2"/>
    <s v="United States"/>
    <x v="2"/>
    <x v="2"/>
    <x v="1"/>
    <n v="4"/>
    <n v="2932"/>
    <n v="597.65"/>
  </r>
  <r>
    <x v="533"/>
    <x v="1"/>
    <x v="1"/>
    <s v="United States"/>
    <x v="15"/>
    <x v="13"/>
    <x v="1"/>
    <n v="4"/>
    <n v="3604"/>
    <n v="971.14"/>
  </r>
  <r>
    <x v="38"/>
    <x v="3"/>
    <x v="2"/>
    <s v="United States"/>
    <x v="279"/>
    <x v="25"/>
    <x v="0"/>
    <n v="4"/>
    <n v="4596"/>
    <n v="553.58000000000004"/>
  </r>
  <r>
    <x v="75"/>
    <x v="5"/>
    <x v="2"/>
    <s v="United States"/>
    <x v="279"/>
    <x v="25"/>
    <x v="0"/>
    <n v="6"/>
    <n v="930"/>
    <n v="68.239999999999995"/>
  </r>
  <r>
    <x v="96"/>
    <x v="2"/>
    <x v="2"/>
    <s v="United States"/>
    <x v="218"/>
    <x v="32"/>
    <x v="2"/>
    <n v="3"/>
    <n v="2790"/>
    <n v="470.93"/>
  </r>
  <r>
    <x v="371"/>
    <x v="7"/>
    <x v="2"/>
    <s v="United States"/>
    <x v="218"/>
    <x v="32"/>
    <x v="2"/>
    <n v="6"/>
    <n v="4596"/>
    <n v="1162.75"/>
  </r>
  <r>
    <x v="499"/>
    <x v="8"/>
    <x v="1"/>
    <s v="United States"/>
    <x v="72"/>
    <x v="2"/>
    <x v="1"/>
    <n v="1"/>
    <n v="962"/>
    <n v="260.27999999999997"/>
  </r>
  <r>
    <x v="784"/>
    <x v="7"/>
    <x v="2"/>
    <s v="United States"/>
    <x v="74"/>
    <x v="0"/>
    <x v="0"/>
    <n v="1"/>
    <n v="92"/>
    <n v="14.88"/>
  </r>
  <r>
    <x v="158"/>
    <x v="8"/>
    <x v="1"/>
    <s v="United States"/>
    <x v="74"/>
    <x v="0"/>
    <x v="0"/>
    <n v="5"/>
    <n v="1130"/>
    <n v="254.99"/>
  </r>
  <r>
    <x v="423"/>
    <x v="4"/>
    <x v="1"/>
    <s v="United States"/>
    <x v="2"/>
    <x v="2"/>
    <x v="1"/>
    <n v="6"/>
    <n v="6024"/>
    <n v="1706.41"/>
  </r>
  <r>
    <x v="750"/>
    <x v="0"/>
    <x v="0"/>
    <s v="United States"/>
    <x v="76"/>
    <x v="23"/>
    <x v="3"/>
    <n v="1"/>
    <n v="879"/>
    <n v="135"/>
  </r>
  <r>
    <x v="437"/>
    <x v="6"/>
    <x v="1"/>
    <s v="United States"/>
    <x v="28"/>
    <x v="2"/>
    <x v="1"/>
    <n v="8"/>
    <n v="2384"/>
    <n v="444.98"/>
  </r>
  <r>
    <x v="366"/>
    <x v="3"/>
    <x v="2"/>
    <s v="United States"/>
    <x v="303"/>
    <x v="5"/>
    <x v="3"/>
    <n v="4"/>
    <n v="4644"/>
    <n v="277.26"/>
  </r>
  <r>
    <x v="758"/>
    <x v="8"/>
    <x v="1"/>
    <s v="United States"/>
    <x v="303"/>
    <x v="5"/>
    <x v="3"/>
    <n v="1"/>
    <n v="607"/>
    <n v="79.78"/>
  </r>
  <r>
    <x v="464"/>
    <x v="1"/>
    <x v="1"/>
    <s v="United States"/>
    <x v="15"/>
    <x v="13"/>
    <x v="1"/>
    <n v="7"/>
    <n v="770"/>
    <n v="129.11000000000001"/>
  </r>
  <r>
    <x v="785"/>
    <x v="8"/>
    <x v="1"/>
    <s v="United States"/>
    <x v="15"/>
    <x v="13"/>
    <x v="1"/>
    <n v="1"/>
    <n v="711"/>
    <n v="158.88999999999999"/>
  </r>
  <r>
    <x v="786"/>
    <x v="8"/>
    <x v="1"/>
    <s v="United States"/>
    <x v="75"/>
    <x v="15"/>
    <x v="2"/>
    <n v="2"/>
    <n v="1088"/>
    <n v="235.83"/>
  </r>
  <r>
    <x v="20"/>
    <x v="9"/>
    <x v="2"/>
    <s v="United States"/>
    <x v="76"/>
    <x v="36"/>
    <x v="1"/>
    <n v="7"/>
    <n v="4704"/>
    <n v="513.14"/>
  </r>
  <r>
    <x v="787"/>
    <x v="9"/>
    <x v="2"/>
    <s v="United States"/>
    <x v="58"/>
    <x v="5"/>
    <x v="3"/>
    <n v="5"/>
    <n v="660"/>
    <n v="90.86"/>
  </r>
  <r>
    <x v="788"/>
    <x v="4"/>
    <x v="1"/>
    <s v="United States"/>
    <x v="58"/>
    <x v="5"/>
    <x v="3"/>
    <n v="5"/>
    <n v="4680"/>
    <n v="516.26"/>
  </r>
  <r>
    <x v="789"/>
    <x v="3"/>
    <x v="2"/>
    <s v="United States"/>
    <x v="171"/>
    <x v="22"/>
    <x v="1"/>
    <n v="7"/>
    <n v="6797"/>
    <n v="665.29"/>
  </r>
  <r>
    <x v="731"/>
    <x v="1"/>
    <x v="1"/>
    <s v="United States"/>
    <x v="171"/>
    <x v="22"/>
    <x v="1"/>
    <n v="9"/>
    <n v="558"/>
    <n v="38.86"/>
  </r>
  <r>
    <x v="280"/>
    <x v="6"/>
    <x v="1"/>
    <s v="United States"/>
    <x v="304"/>
    <x v="25"/>
    <x v="0"/>
    <n v="4"/>
    <n v="4496"/>
    <n v="1115.75"/>
  </r>
  <r>
    <x v="670"/>
    <x v="8"/>
    <x v="1"/>
    <s v="United States"/>
    <x v="109"/>
    <x v="18"/>
    <x v="2"/>
    <n v="1"/>
    <n v="713"/>
    <n v="62.78"/>
  </r>
  <r>
    <x v="653"/>
    <x v="3"/>
    <x v="2"/>
    <s v="United States"/>
    <x v="305"/>
    <x v="25"/>
    <x v="0"/>
    <n v="2"/>
    <n v="1310"/>
    <n v="212.43"/>
  </r>
  <r>
    <x v="502"/>
    <x v="8"/>
    <x v="1"/>
    <s v="United States"/>
    <x v="43"/>
    <x v="22"/>
    <x v="1"/>
    <n v="9"/>
    <n v="2853"/>
    <n v="564.04999999999995"/>
  </r>
  <r>
    <x v="159"/>
    <x v="3"/>
    <x v="2"/>
    <s v="United States"/>
    <x v="2"/>
    <x v="2"/>
    <x v="1"/>
    <n v="2"/>
    <n v="2324"/>
    <n v="516.05999999999995"/>
  </r>
  <r>
    <x v="397"/>
    <x v="9"/>
    <x v="2"/>
    <s v="United States"/>
    <x v="17"/>
    <x v="8"/>
    <x v="3"/>
    <n v="1"/>
    <n v="330"/>
    <n v="53.42"/>
  </r>
  <r>
    <x v="247"/>
    <x v="3"/>
    <x v="2"/>
    <s v="United States"/>
    <x v="53"/>
    <x v="2"/>
    <x v="1"/>
    <n v="3"/>
    <n v="588"/>
    <n v="100.52"/>
  </r>
  <r>
    <x v="517"/>
    <x v="7"/>
    <x v="2"/>
    <s v="United States"/>
    <x v="306"/>
    <x v="30"/>
    <x v="0"/>
    <n v="1"/>
    <n v="63"/>
    <n v="11.91"/>
  </r>
  <r>
    <x v="532"/>
    <x v="2"/>
    <x v="2"/>
    <s v="United States"/>
    <x v="307"/>
    <x v="41"/>
    <x v="1"/>
    <n v="7"/>
    <n v="847"/>
    <n v="147.71"/>
  </r>
  <r>
    <x v="168"/>
    <x v="0"/>
    <x v="0"/>
    <s v="United States"/>
    <x v="307"/>
    <x v="41"/>
    <x v="1"/>
    <n v="1"/>
    <n v="1037"/>
    <n v="56.89"/>
  </r>
  <r>
    <x v="790"/>
    <x v="1"/>
    <x v="1"/>
    <s v="United States"/>
    <x v="187"/>
    <x v="8"/>
    <x v="3"/>
    <n v="1"/>
    <n v="373"/>
    <n v="72.17"/>
  </r>
  <r>
    <x v="119"/>
    <x v="9"/>
    <x v="2"/>
    <s v="United States"/>
    <x v="187"/>
    <x v="8"/>
    <x v="3"/>
    <n v="1"/>
    <n v="1176"/>
    <n v="157.47"/>
  </r>
  <r>
    <x v="182"/>
    <x v="7"/>
    <x v="2"/>
    <s v="United States"/>
    <x v="308"/>
    <x v="31"/>
    <x v="0"/>
    <n v="3"/>
    <n v="2139"/>
    <n v="422.52"/>
  </r>
  <r>
    <x v="731"/>
    <x v="6"/>
    <x v="1"/>
    <s v="United States"/>
    <x v="89"/>
    <x v="1"/>
    <x v="0"/>
    <n v="9"/>
    <n v="4140"/>
    <n v="301.12"/>
  </r>
  <r>
    <x v="791"/>
    <x v="9"/>
    <x v="2"/>
    <s v="United States"/>
    <x v="107"/>
    <x v="9"/>
    <x v="0"/>
    <n v="1"/>
    <n v="1038"/>
    <n v="63.23"/>
  </r>
  <r>
    <x v="311"/>
    <x v="6"/>
    <x v="1"/>
    <s v="United States"/>
    <x v="9"/>
    <x v="8"/>
    <x v="3"/>
    <n v="8"/>
    <n v="2024"/>
    <n v="203.11"/>
  </r>
  <r>
    <x v="102"/>
    <x v="5"/>
    <x v="2"/>
    <s v="United States"/>
    <x v="2"/>
    <x v="2"/>
    <x v="1"/>
    <n v="6"/>
    <n v="6624"/>
    <n v="1136.0899999999999"/>
  </r>
  <r>
    <x v="276"/>
    <x v="5"/>
    <x v="2"/>
    <s v="United States"/>
    <x v="309"/>
    <x v="18"/>
    <x v="2"/>
    <n v="7"/>
    <n v="5019"/>
    <n v="1154.79"/>
  </r>
  <r>
    <x v="404"/>
    <x v="7"/>
    <x v="2"/>
    <s v="United States"/>
    <x v="174"/>
    <x v="18"/>
    <x v="2"/>
    <n v="5"/>
    <n v="750"/>
    <n v="207.77"/>
  </r>
  <r>
    <x v="580"/>
    <x v="3"/>
    <x v="2"/>
    <s v="United States"/>
    <x v="174"/>
    <x v="18"/>
    <x v="2"/>
    <n v="7"/>
    <n v="6461"/>
    <n v="1455.36"/>
  </r>
  <r>
    <x v="609"/>
    <x v="2"/>
    <x v="2"/>
    <s v="United States"/>
    <x v="13"/>
    <x v="7"/>
    <x v="2"/>
    <n v="6"/>
    <n v="2946"/>
    <n v="208.01"/>
  </r>
  <r>
    <x v="342"/>
    <x v="6"/>
    <x v="1"/>
    <s v="United States"/>
    <x v="9"/>
    <x v="8"/>
    <x v="3"/>
    <n v="1"/>
    <n v="618"/>
    <n v="81.040000000000006"/>
  </r>
  <r>
    <x v="743"/>
    <x v="0"/>
    <x v="0"/>
    <s v="United States"/>
    <x v="9"/>
    <x v="8"/>
    <x v="3"/>
    <n v="2"/>
    <n v="1774"/>
    <n v="322.49"/>
  </r>
  <r>
    <x v="2"/>
    <x v="3"/>
    <x v="2"/>
    <s v="United States"/>
    <x v="237"/>
    <x v="32"/>
    <x v="2"/>
    <n v="9"/>
    <n v="8586"/>
    <n v="700.37"/>
  </r>
  <r>
    <x v="792"/>
    <x v="9"/>
    <x v="2"/>
    <s v="United States"/>
    <x v="237"/>
    <x v="32"/>
    <x v="2"/>
    <n v="5"/>
    <n v="2000"/>
    <n v="232.41"/>
  </r>
  <r>
    <x v="390"/>
    <x v="1"/>
    <x v="1"/>
    <s v="United States"/>
    <x v="3"/>
    <x v="3"/>
    <x v="2"/>
    <n v="1"/>
    <n v="849"/>
    <n v="205.88"/>
  </r>
  <r>
    <x v="162"/>
    <x v="1"/>
    <x v="1"/>
    <s v="United States"/>
    <x v="3"/>
    <x v="3"/>
    <x v="2"/>
    <n v="6"/>
    <n v="3186"/>
    <n v="374.63"/>
  </r>
  <r>
    <x v="405"/>
    <x v="6"/>
    <x v="1"/>
    <s v="United States"/>
    <x v="182"/>
    <x v="24"/>
    <x v="0"/>
    <n v="4"/>
    <n v="2536"/>
    <n v="495.13"/>
  </r>
  <r>
    <x v="321"/>
    <x v="5"/>
    <x v="2"/>
    <s v="United States"/>
    <x v="155"/>
    <x v="2"/>
    <x v="1"/>
    <n v="2"/>
    <n v="1306"/>
    <n v="228.41"/>
  </r>
  <r>
    <x v="658"/>
    <x v="2"/>
    <x v="2"/>
    <s v="United States"/>
    <x v="9"/>
    <x v="8"/>
    <x v="3"/>
    <n v="3"/>
    <n v="2508"/>
    <n v="631.85"/>
  </r>
  <r>
    <x v="164"/>
    <x v="2"/>
    <x v="2"/>
    <s v="United States"/>
    <x v="6"/>
    <x v="5"/>
    <x v="3"/>
    <n v="8"/>
    <n v="1048"/>
    <n v="107.56"/>
  </r>
  <r>
    <x v="511"/>
    <x v="8"/>
    <x v="1"/>
    <s v="United States"/>
    <x v="6"/>
    <x v="5"/>
    <x v="3"/>
    <n v="4"/>
    <n v="1516"/>
    <n v="256.95999999999998"/>
  </r>
  <r>
    <x v="117"/>
    <x v="7"/>
    <x v="2"/>
    <s v="United States"/>
    <x v="43"/>
    <x v="22"/>
    <x v="1"/>
    <n v="9"/>
    <n v="10458"/>
    <n v="1835.21"/>
  </r>
  <r>
    <x v="229"/>
    <x v="4"/>
    <x v="1"/>
    <s v="United States"/>
    <x v="43"/>
    <x v="22"/>
    <x v="1"/>
    <n v="9"/>
    <n v="2754"/>
    <n v="259.16000000000003"/>
  </r>
  <r>
    <x v="711"/>
    <x v="0"/>
    <x v="0"/>
    <s v="United States"/>
    <x v="6"/>
    <x v="5"/>
    <x v="3"/>
    <n v="4"/>
    <n v="3432"/>
    <n v="364.27"/>
  </r>
  <r>
    <x v="793"/>
    <x v="6"/>
    <x v="1"/>
    <s v="United States"/>
    <x v="3"/>
    <x v="3"/>
    <x v="2"/>
    <n v="2"/>
    <n v="1234"/>
    <n v="257.89"/>
  </r>
  <r>
    <x v="794"/>
    <x v="6"/>
    <x v="1"/>
    <s v="United States"/>
    <x v="3"/>
    <x v="3"/>
    <x v="2"/>
    <n v="1"/>
    <n v="847"/>
    <n v="146.25"/>
  </r>
  <r>
    <x v="139"/>
    <x v="8"/>
    <x v="1"/>
    <s v="United States"/>
    <x v="15"/>
    <x v="13"/>
    <x v="1"/>
    <n v="7"/>
    <n v="7672"/>
    <n v="896.11"/>
  </r>
  <r>
    <x v="758"/>
    <x v="6"/>
    <x v="1"/>
    <s v="United States"/>
    <x v="117"/>
    <x v="8"/>
    <x v="3"/>
    <n v="9"/>
    <n v="7596"/>
    <n v="1454.15"/>
  </r>
  <r>
    <x v="795"/>
    <x v="8"/>
    <x v="1"/>
    <s v="United States"/>
    <x v="117"/>
    <x v="8"/>
    <x v="3"/>
    <n v="7"/>
    <n v="7252"/>
    <n v="1357.27"/>
  </r>
  <r>
    <x v="227"/>
    <x v="5"/>
    <x v="2"/>
    <s v="United States"/>
    <x v="117"/>
    <x v="8"/>
    <x v="3"/>
    <n v="6"/>
    <n v="732"/>
    <n v="136.59"/>
  </r>
  <r>
    <x v="128"/>
    <x v="7"/>
    <x v="2"/>
    <s v="United States"/>
    <x v="132"/>
    <x v="33"/>
    <x v="0"/>
    <n v="1"/>
    <n v="173"/>
    <n v="20.96"/>
  </r>
  <r>
    <x v="26"/>
    <x v="3"/>
    <x v="2"/>
    <s v="United States"/>
    <x v="72"/>
    <x v="2"/>
    <x v="1"/>
    <n v="3"/>
    <n v="2805"/>
    <n v="749.5"/>
  </r>
  <r>
    <x v="796"/>
    <x v="7"/>
    <x v="2"/>
    <s v="United States"/>
    <x v="310"/>
    <x v="2"/>
    <x v="1"/>
    <n v="8"/>
    <n v="7048"/>
    <n v="391.96"/>
  </r>
  <r>
    <x v="797"/>
    <x v="1"/>
    <x v="1"/>
    <s v="United States"/>
    <x v="76"/>
    <x v="25"/>
    <x v="0"/>
    <n v="6"/>
    <n v="4698"/>
    <n v="1020.11"/>
  </r>
  <r>
    <x v="607"/>
    <x v="5"/>
    <x v="2"/>
    <s v="United States"/>
    <x v="311"/>
    <x v="2"/>
    <x v="1"/>
    <n v="1"/>
    <n v="565"/>
    <n v="148.79"/>
  </r>
  <r>
    <x v="427"/>
    <x v="6"/>
    <x v="1"/>
    <s v="United States"/>
    <x v="2"/>
    <x v="2"/>
    <x v="1"/>
    <n v="1"/>
    <n v="672"/>
    <n v="198.75"/>
  </r>
  <r>
    <x v="798"/>
    <x v="3"/>
    <x v="2"/>
    <s v="United States"/>
    <x v="20"/>
    <x v="16"/>
    <x v="3"/>
    <n v="6"/>
    <n v="2604"/>
    <n v="566.34"/>
  </r>
  <r>
    <x v="678"/>
    <x v="2"/>
    <x v="2"/>
    <s v="United States"/>
    <x v="2"/>
    <x v="2"/>
    <x v="1"/>
    <n v="6"/>
    <n v="5124"/>
    <n v="501.5"/>
  </r>
  <r>
    <x v="201"/>
    <x v="5"/>
    <x v="2"/>
    <s v="United States"/>
    <x v="2"/>
    <x v="2"/>
    <x v="1"/>
    <n v="5"/>
    <n v="2455"/>
    <n v="714.35"/>
  </r>
  <r>
    <x v="799"/>
    <x v="0"/>
    <x v="0"/>
    <s v="United States"/>
    <x v="180"/>
    <x v="25"/>
    <x v="0"/>
    <n v="2"/>
    <n v="1796"/>
    <n v="225.15"/>
  </r>
  <r>
    <x v="676"/>
    <x v="9"/>
    <x v="2"/>
    <s v="United States"/>
    <x v="144"/>
    <x v="5"/>
    <x v="3"/>
    <n v="1"/>
    <n v="288"/>
    <n v="61.85"/>
  </r>
  <r>
    <x v="476"/>
    <x v="9"/>
    <x v="2"/>
    <s v="United States"/>
    <x v="15"/>
    <x v="13"/>
    <x v="1"/>
    <n v="5"/>
    <n v="2160"/>
    <n v="553.41"/>
  </r>
  <r>
    <x v="149"/>
    <x v="2"/>
    <x v="2"/>
    <s v="United States"/>
    <x v="15"/>
    <x v="13"/>
    <x v="1"/>
    <n v="1"/>
    <n v="105"/>
    <n v="27.36"/>
  </r>
  <r>
    <x v="345"/>
    <x v="6"/>
    <x v="1"/>
    <s v="United States"/>
    <x v="12"/>
    <x v="11"/>
    <x v="3"/>
    <n v="9"/>
    <n v="7578"/>
    <n v="1596.64"/>
  </r>
  <r>
    <x v="563"/>
    <x v="4"/>
    <x v="1"/>
    <s v="United States"/>
    <x v="29"/>
    <x v="24"/>
    <x v="0"/>
    <n v="1"/>
    <n v="365"/>
    <n v="50.1"/>
  </r>
  <r>
    <x v="800"/>
    <x v="3"/>
    <x v="2"/>
    <s v="United States"/>
    <x v="312"/>
    <x v="8"/>
    <x v="3"/>
    <n v="8"/>
    <n v="3752"/>
    <n v="537.98"/>
  </r>
  <r>
    <x v="200"/>
    <x v="8"/>
    <x v="1"/>
    <s v="United States"/>
    <x v="313"/>
    <x v="10"/>
    <x v="0"/>
    <n v="2"/>
    <n v="1384"/>
    <n v="316.20999999999998"/>
  </r>
  <r>
    <x v="801"/>
    <x v="7"/>
    <x v="2"/>
    <s v="United States"/>
    <x v="15"/>
    <x v="13"/>
    <x v="1"/>
    <n v="5"/>
    <n v="475"/>
    <n v="76.22"/>
  </r>
  <r>
    <x v="188"/>
    <x v="0"/>
    <x v="0"/>
    <s v="United States"/>
    <x v="155"/>
    <x v="2"/>
    <x v="1"/>
    <n v="4"/>
    <n v="1116"/>
    <n v="242.31"/>
  </r>
  <r>
    <x v="354"/>
    <x v="7"/>
    <x v="2"/>
    <s v="United States"/>
    <x v="13"/>
    <x v="7"/>
    <x v="2"/>
    <n v="1"/>
    <n v="137"/>
    <n v="39.35"/>
  </r>
  <r>
    <x v="187"/>
    <x v="4"/>
    <x v="1"/>
    <s v="United States"/>
    <x v="3"/>
    <x v="3"/>
    <x v="2"/>
    <n v="6"/>
    <n v="738"/>
    <n v="158.96"/>
  </r>
  <r>
    <x v="6"/>
    <x v="3"/>
    <x v="2"/>
    <s v="United States"/>
    <x v="9"/>
    <x v="8"/>
    <x v="3"/>
    <n v="3"/>
    <n v="1821"/>
    <n v="543.01"/>
  </r>
  <r>
    <x v="802"/>
    <x v="8"/>
    <x v="1"/>
    <s v="United States"/>
    <x v="13"/>
    <x v="7"/>
    <x v="2"/>
    <n v="7"/>
    <n v="3654"/>
    <n v="670.16"/>
  </r>
  <r>
    <x v="340"/>
    <x v="8"/>
    <x v="1"/>
    <s v="United States"/>
    <x v="14"/>
    <x v="8"/>
    <x v="3"/>
    <n v="6"/>
    <n v="2592"/>
    <n v="404.89"/>
  </r>
  <r>
    <x v="803"/>
    <x v="3"/>
    <x v="2"/>
    <s v="United States"/>
    <x v="13"/>
    <x v="7"/>
    <x v="2"/>
    <n v="6"/>
    <n v="996"/>
    <n v="225.75"/>
  </r>
  <r>
    <x v="180"/>
    <x v="1"/>
    <x v="1"/>
    <s v="United States"/>
    <x v="29"/>
    <x v="24"/>
    <x v="0"/>
    <n v="1"/>
    <n v="693"/>
    <n v="62.75"/>
  </r>
  <r>
    <x v="126"/>
    <x v="8"/>
    <x v="1"/>
    <s v="United States"/>
    <x v="314"/>
    <x v="13"/>
    <x v="1"/>
    <n v="3"/>
    <n v="513"/>
    <n v="48.23"/>
  </r>
  <r>
    <x v="432"/>
    <x v="5"/>
    <x v="2"/>
    <s v="United States"/>
    <x v="171"/>
    <x v="22"/>
    <x v="1"/>
    <n v="8"/>
    <n v="5736"/>
    <n v="937.62"/>
  </r>
  <r>
    <x v="98"/>
    <x v="1"/>
    <x v="1"/>
    <s v="United States"/>
    <x v="247"/>
    <x v="25"/>
    <x v="0"/>
    <n v="2"/>
    <n v="1458"/>
    <n v="208.93"/>
  </r>
  <r>
    <x v="553"/>
    <x v="7"/>
    <x v="2"/>
    <s v="United States"/>
    <x v="315"/>
    <x v="8"/>
    <x v="3"/>
    <n v="8"/>
    <n v="5496"/>
    <n v="1104.93"/>
  </r>
  <r>
    <x v="804"/>
    <x v="2"/>
    <x v="2"/>
    <s v="United States"/>
    <x v="2"/>
    <x v="2"/>
    <x v="1"/>
    <n v="3"/>
    <n v="3183"/>
    <n v="358.87"/>
  </r>
  <r>
    <x v="346"/>
    <x v="4"/>
    <x v="1"/>
    <s v="United States"/>
    <x v="13"/>
    <x v="7"/>
    <x v="2"/>
    <n v="6"/>
    <n v="3990"/>
    <n v="975.5"/>
  </r>
  <r>
    <x v="805"/>
    <x v="7"/>
    <x v="2"/>
    <s v="United States"/>
    <x v="9"/>
    <x v="8"/>
    <x v="3"/>
    <n v="2"/>
    <n v="582"/>
    <n v="76.45"/>
  </r>
  <r>
    <x v="806"/>
    <x v="0"/>
    <x v="0"/>
    <s v="United States"/>
    <x v="76"/>
    <x v="15"/>
    <x v="2"/>
    <n v="5"/>
    <n v="3340"/>
    <n v="845.53"/>
  </r>
  <r>
    <x v="614"/>
    <x v="6"/>
    <x v="1"/>
    <s v="United States"/>
    <x v="76"/>
    <x v="15"/>
    <x v="2"/>
    <n v="1"/>
    <n v="890"/>
    <n v="59.1"/>
  </r>
  <r>
    <x v="807"/>
    <x v="0"/>
    <x v="0"/>
    <s v="United States"/>
    <x v="316"/>
    <x v="2"/>
    <x v="1"/>
    <n v="6"/>
    <n v="4890"/>
    <n v="689.01"/>
  </r>
  <r>
    <x v="668"/>
    <x v="8"/>
    <x v="1"/>
    <s v="United States"/>
    <x v="22"/>
    <x v="12"/>
    <x v="1"/>
    <n v="3"/>
    <n v="2625"/>
    <n v="349.61"/>
  </r>
  <r>
    <x v="415"/>
    <x v="5"/>
    <x v="2"/>
    <s v="United States"/>
    <x v="13"/>
    <x v="7"/>
    <x v="2"/>
    <n v="4"/>
    <n v="1440"/>
    <n v="200.09"/>
  </r>
  <r>
    <x v="618"/>
    <x v="4"/>
    <x v="1"/>
    <s v="United States"/>
    <x v="53"/>
    <x v="2"/>
    <x v="1"/>
    <n v="5"/>
    <n v="505"/>
    <n v="93.85"/>
  </r>
  <r>
    <x v="245"/>
    <x v="9"/>
    <x v="2"/>
    <s v="United States"/>
    <x v="13"/>
    <x v="7"/>
    <x v="2"/>
    <n v="8"/>
    <n v="8192"/>
    <n v="1822.87"/>
  </r>
  <r>
    <x v="479"/>
    <x v="8"/>
    <x v="1"/>
    <s v="United States"/>
    <x v="3"/>
    <x v="3"/>
    <x v="2"/>
    <n v="3"/>
    <n v="1920"/>
    <n v="144.30000000000001"/>
  </r>
  <r>
    <x v="264"/>
    <x v="5"/>
    <x v="2"/>
    <s v="United States"/>
    <x v="41"/>
    <x v="2"/>
    <x v="1"/>
    <n v="8"/>
    <n v="8768"/>
    <n v="1065.8"/>
  </r>
  <r>
    <x v="808"/>
    <x v="1"/>
    <x v="1"/>
    <s v="United States"/>
    <x v="261"/>
    <x v="2"/>
    <x v="1"/>
    <n v="1"/>
    <n v="1140"/>
    <n v="117.05"/>
  </r>
  <r>
    <x v="744"/>
    <x v="9"/>
    <x v="2"/>
    <s v="United States"/>
    <x v="261"/>
    <x v="2"/>
    <x v="1"/>
    <n v="4"/>
    <n v="952"/>
    <n v="264.61"/>
  </r>
  <r>
    <x v="348"/>
    <x v="7"/>
    <x v="2"/>
    <s v="United States"/>
    <x v="127"/>
    <x v="30"/>
    <x v="0"/>
    <n v="1"/>
    <n v="225"/>
    <n v="51.07"/>
  </r>
  <r>
    <x v="306"/>
    <x v="0"/>
    <x v="0"/>
    <s v="United States"/>
    <x v="19"/>
    <x v="15"/>
    <x v="2"/>
    <n v="4"/>
    <n v="1304"/>
    <n v="336.95"/>
  </r>
  <r>
    <x v="22"/>
    <x v="3"/>
    <x v="2"/>
    <s v="United States"/>
    <x v="19"/>
    <x v="15"/>
    <x v="2"/>
    <n v="3"/>
    <n v="1029"/>
    <n v="206.83"/>
  </r>
  <r>
    <x v="544"/>
    <x v="0"/>
    <x v="0"/>
    <s v="United States"/>
    <x v="0"/>
    <x v="34"/>
    <x v="1"/>
    <n v="3"/>
    <n v="3402"/>
    <n v="442.67"/>
  </r>
  <r>
    <x v="82"/>
    <x v="9"/>
    <x v="2"/>
    <s v="United States"/>
    <x v="15"/>
    <x v="13"/>
    <x v="1"/>
    <n v="9"/>
    <n v="8460"/>
    <n v="1201.94"/>
  </r>
  <r>
    <x v="588"/>
    <x v="6"/>
    <x v="1"/>
    <s v="United States"/>
    <x v="13"/>
    <x v="7"/>
    <x v="2"/>
    <n v="1"/>
    <n v="104"/>
    <n v="26.86"/>
  </r>
  <r>
    <x v="700"/>
    <x v="6"/>
    <x v="1"/>
    <s v="United States"/>
    <x v="19"/>
    <x v="14"/>
    <x v="2"/>
    <n v="9"/>
    <n v="10665"/>
    <n v="1595.08"/>
  </r>
  <r>
    <x v="212"/>
    <x v="5"/>
    <x v="2"/>
    <s v="United States"/>
    <x v="52"/>
    <x v="6"/>
    <x v="3"/>
    <n v="8"/>
    <n v="984"/>
    <n v="183.07"/>
  </r>
  <r>
    <x v="314"/>
    <x v="7"/>
    <x v="2"/>
    <s v="United States"/>
    <x v="52"/>
    <x v="6"/>
    <x v="3"/>
    <n v="4"/>
    <n v="2064"/>
    <n v="359.3"/>
  </r>
  <r>
    <x v="123"/>
    <x v="9"/>
    <x v="2"/>
    <s v="United States"/>
    <x v="52"/>
    <x v="6"/>
    <x v="3"/>
    <n v="2"/>
    <n v="594"/>
    <n v="172.47"/>
  </r>
  <r>
    <x v="809"/>
    <x v="0"/>
    <x v="0"/>
    <s v="United States"/>
    <x v="89"/>
    <x v="1"/>
    <x v="0"/>
    <n v="8"/>
    <n v="6016"/>
    <n v="898.33"/>
  </r>
  <r>
    <x v="589"/>
    <x v="7"/>
    <x v="2"/>
    <s v="United States"/>
    <x v="317"/>
    <x v="23"/>
    <x v="3"/>
    <n v="8"/>
    <n v="2864"/>
    <n v="195.16"/>
  </r>
  <r>
    <x v="426"/>
    <x v="2"/>
    <x v="2"/>
    <s v="United States"/>
    <x v="304"/>
    <x v="25"/>
    <x v="0"/>
    <n v="4"/>
    <n v="724"/>
    <n v="186.95"/>
  </r>
  <r>
    <x v="490"/>
    <x v="1"/>
    <x v="1"/>
    <s v="United States"/>
    <x v="3"/>
    <x v="3"/>
    <x v="2"/>
    <n v="6"/>
    <n v="4098"/>
    <n v="1174.46"/>
  </r>
  <r>
    <x v="810"/>
    <x v="6"/>
    <x v="1"/>
    <s v="United States"/>
    <x v="318"/>
    <x v="33"/>
    <x v="0"/>
    <n v="1"/>
    <n v="338"/>
    <n v="32.61"/>
  </r>
  <r>
    <x v="811"/>
    <x v="0"/>
    <x v="0"/>
    <s v="United States"/>
    <x v="81"/>
    <x v="22"/>
    <x v="1"/>
    <n v="8"/>
    <n v="9280"/>
    <n v="1596.88"/>
  </r>
  <r>
    <x v="812"/>
    <x v="5"/>
    <x v="2"/>
    <s v="United States"/>
    <x v="29"/>
    <x v="24"/>
    <x v="0"/>
    <n v="1"/>
    <n v="890"/>
    <n v="57.04"/>
  </r>
  <r>
    <x v="621"/>
    <x v="2"/>
    <x v="2"/>
    <s v="United States"/>
    <x v="28"/>
    <x v="2"/>
    <x v="1"/>
    <n v="2"/>
    <n v="1790"/>
    <n v="442.75"/>
  </r>
  <r>
    <x v="487"/>
    <x v="2"/>
    <x v="2"/>
    <s v="United States"/>
    <x v="28"/>
    <x v="2"/>
    <x v="1"/>
    <n v="9"/>
    <n v="8523"/>
    <n v="978.97"/>
  </r>
  <r>
    <x v="801"/>
    <x v="4"/>
    <x v="1"/>
    <s v="United States"/>
    <x v="13"/>
    <x v="7"/>
    <x v="2"/>
    <n v="9"/>
    <n v="7776"/>
    <n v="677.74"/>
  </r>
  <r>
    <x v="541"/>
    <x v="1"/>
    <x v="1"/>
    <s v="United States"/>
    <x v="237"/>
    <x v="32"/>
    <x v="2"/>
    <n v="7"/>
    <n v="3031"/>
    <n v="417.5"/>
  </r>
  <r>
    <x v="186"/>
    <x v="3"/>
    <x v="2"/>
    <s v="United States"/>
    <x v="6"/>
    <x v="5"/>
    <x v="3"/>
    <n v="9"/>
    <n v="4698"/>
    <n v="1262.47"/>
  </r>
  <r>
    <x v="347"/>
    <x v="8"/>
    <x v="1"/>
    <s v="United States"/>
    <x v="6"/>
    <x v="5"/>
    <x v="3"/>
    <n v="9"/>
    <n v="4851"/>
    <n v="1408.41"/>
  </r>
  <r>
    <x v="357"/>
    <x v="3"/>
    <x v="2"/>
    <s v="United States"/>
    <x v="53"/>
    <x v="2"/>
    <x v="1"/>
    <n v="6"/>
    <n v="4542"/>
    <n v="1169.1600000000001"/>
  </r>
  <r>
    <x v="813"/>
    <x v="4"/>
    <x v="1"/>
    <s v="United States"/>
    <x v="15"/>
    <x v="13"/>
    <x v="1"/>
    <n v="2"/>
    <n v="978"/>
    <n v="210.75"/>
  </r>
  <r>
    <x v="814"/>
    <x v="1"/>
    <x v="1"/>
    <s v="United States"/>
    <x v="1"/>
    <x v="1"/>
    <x v="0"/>
    <n v="9"/>
    <n v="9378"/>
    <n v="1740.97"/>
  </r>
  <r>
    <x v="665"/>
    <x v="5"/>
    <x v="2"/>
    <s v="United States"/>
    <x v="77"/>
    <x v="7"/>
    <x v="2"/>
    <n v="8"/>
    <n v="9464"/>
    <n v="2043.73"/>
  </r>
  <r>
    <x v="447"/>
    <x v="0"/>
    <x v="0"/>
    <s v="United States"/>
    <x v="317"/>
    <x v="8"/>
    <x v="3"/>
    <n v="8"/>
    <n v="1720"/>
    <n v="401.26"/>
  </r>
  <r>
    <x v="568"/>
    <x v="8"/>
    <x v="1"/>
    <s v="United States"/>
    <x v="28"/>
    <x v="2"/>
    <x v="1"/>
    <n v="8"/>
    <n v="4752"/>
    <n v="1124.22"/>
  </r>
  <r>
    <x v="320"/>
    <x v="8"/>
    <x v="1"/>
    <s v="United States"/>
    <x v="28"/>
    <x v="2"/>
    <x v="1"/>
    <n v="4"/>
    <n v="584"/>
    <n v="127.28"/>
  </r>
  <r>
    <x v="311"/>
    <x v="3"/>
    <x v="2"/>
    <s v="United States"/>
    <x v="13"/>
    <x v="7"/>
    <x v="2"/>
    <n v="9"/>
    <n v="4554"/>
    <n v="1031.0899999999999"/>
  </r>
  <r>
    <x v="692"/>
    <x v="2"/>
    <x v="2"/>
    <s v="United States"/>
    <x v="124"/>
    <x v="2"/>
    <x v="1"/>
    <n v="2"/>
    <n v="2392"/>
    <n v="483.39"/>
  </r>
  <r>
    <x v="159"/>
    <x v="3"/>
    <x v="2"/>
    <s v="United States"/>
    <x v="102"/>
    <x v="2"/>
    <x v="1"/>
    <n v="7"/>
    <n v="3962"/>
    <n v="916.13"/>
  </r>
  <r>
    <x v="722"/>
    <x v="9"/>
    <x v="2"/>
    <s v="United States"/>
    <x v="102"/>
    <x v="2"/>
    <x v="1"/>
    <n v="3"/>
    <n v="1308"/>
    <n v="141.04"/>
  </r>
  <r>
    <x v="124"/>
    <x v="0"/>
    <x v="0"/>
    <s v="United States"/>
    <x v="3"/>
    <x v="3"/>
    <x v="2"/>
    <n v="8"/>
    <n v="5912"/>
    <n v="1153.18"/>
  </r>
  <r>
    <x v="253"/>
    <x v="3"/>
    <x v="2"/>
    <s v="United States"/>
    <x v="29"/>
    <x v="15"/>
    <x v="2"/>
    <n v="7"/>
    <n v="5831"/>
    <n v="1416.31"/>
  </r>
  <r>
    <x v="815"/>
    <x v="3"/>
    <x v="2"/>
    <s v="United States"/>
    <x v="319"/>
    <x v="16"/>
    <x v="3"/>
    <n v="7"/>
    <n v="5572"/>
    <n v="690.68"/>
  </r>
  <r>
    <x v="138"/>
    <x v="6"/>
    <x v="1"/>
    <s v="United States"/>
    <x v="6"/>
    <x v="5"/>
    <x v="3"/>
    <n v="6"/>
    <n v="5214"/>
    <n v="1093.04"/>
  </r>
  <r>
    <x v="316"/>
    <x v="1"/>
    <x v="1"/>
    <s v="United States"/>
    <x v="41"/>
    <x v="30"/>
    <x v="0"/>
    <n v="9"/>
    <n v="6705"/>
    <n v="1283.78"/>
  </r>
  <r>
    <x v="438"/>
    <x v="4"/>
    <x v="1"/>
    <s v="United States"/>
    <x v="124"/>
    <x v="2"/>
    <x v="1"/>
    <n v="1"/>
    <n v="426"/>
    <n v="93.83"/>
  </r>
  <r>
    <x v="177"/>
    <x v="7"/>
    <x v="2"/>
    <s v="United States"/>
    <x v="320"/>
    <x v="46"/>
    <x v="1"/>
    <n v="2"/>
    <n v="2204"/>
    <n v="523.82000000000005"/>
  </r>
  <r>
    <x v="286"/>
    <x v="7"/>
    <x v="2"/>
    <s v="United States"/>
    <x v="59"/>
    <x v="15"/>
    <x v="2"/>
    <n v="3"/>
    <n v="2652"/>
    <n v="161.66999999999999"/>
  </r>
  <r>
    <x v="459"/>
    <x v="0"/>
    <x v="0"/>
    <s v="United States"/>
    <x v="258"/>
    <x v="37"/>
    <x v="3"/>
    <n v="6"/>
    <n v="3132"/>
    <n v="919.52"/>
  </r>
  <r>
    <x v="712"/>
    <x v="0"/>
    <x v="0"/>
    <s v="United States"/>
    <x v="2"/>
    <x v="2"/>
    <x v="1"/>
    <n v="5"/>
    <n v="1830"/>
    <n v="437.35"/>
  </r>
  <r>
    <x v="739"/>
    <x v="9"/>
    <x v="2"/>
    <s v="United States"/>
    <x v="321"/>
    <x v="13"/>
    <x v="1"/>
    <n v="9"/>
    <n v="2763"/>
    <n v="676.25"/>
  </r>
  <r>
    <x v="816"/>
    <x v="6"/>
    <x v="1"/>
    <s v="United States"/>
    <x v="322"/>
    <x v="8"/>
    <x v="3"/>
    <n v="8"/>
    <n v="9056"/>
    <n v="2281.9699999999998"/>
  </r>
  <r>
    <x v="149"/>
    <x v="3"/>
    <x v="2"/>
    <s v="United States"/>
    <x v="322"/>
    <x v="8"/>
    <x v="3"/>
    <n v="7"/>
    <n v="5439"/>
    <n v="1416.62"/>
  </r>
  <r>
    <x v="306"/>
    <x v="3"/>
    <x v="2"/>
    <s v="United States"/>
    <x v="322"/>
    <x v="8"/>
    <x v="3"/>
    <n v="6"/>
    <n v="828"/>
    <n v="47.91"/>
  </r>
  <r>
    <x v="244"/>
    <x v="5"/>
    <x v="2"/>
    <s v="United States"/>
    <x v="98"/>
    <x v="1"/>
    <x v="0"/>
    <n v="5"/>
    <n v="1910"/>
    <n v="463.07"/>
  </r>
  <r>
    <x v="817"/>
    <x v="2"/>
    <x v="2"/>
    <s v="United States"/>
    <x v="215"/>
    <x v="5"/>
    <x v="3"/>
    <n v="2"/>
    <n v="1874"/>
    <n v="333.86"/>
  </r>
  <r>
    <x v="786"/>
    <x v="1"/>
    <x v="1"/>
    <s v="United States"/>
    <x v="124"/>
    <x v="2"/>
    <x v="1"/>
    <n v="1"/>
    <n v="1032"/>
    <n v="291.41000000000003"/>
  </r>
  <r>
    <x v="334"/>
    <x v="8"/>
    <x v="1"/>
    <s v="United States"/>
    <x v="13"/>
    <x v="7"/>
    <x v="2"/>
    <n v="3"/>
    <n v="3264"/>
    <n v="556.86"/>
  </r>
  <r>
    <x v="818"/>
    <x v="7"/>
    <x v="2"/>
    <s v="United States"/>
    <x v="13"/>
    <x v="7"/>
    <x v="2"/>
    <n v="1"/>
    <n v="877"/>
    <n v="110.99"/>
  </r>
  <r>
    <x v="369"/>
    <x v="3"/>
    <x v="2"/>
    <s v="United States"/>
    <x v="13"/>
    <x v="7"/>
    <x v="2"/>
    <n v="3"/>
    <n v="924"/>
    <n v="183.18"/>
  </r>
  <r>
    <x v="621"/>
    <x v="3"/>
    <x v="2"/>
    <s v="United States"/>
    <x v="323"/>
    <x v="2"/>
    <x v="1"/>
    <n v="3"/>
    <n v="417"/>
    <n v="114.42"/>
  </r>
  <r>
    <x v="819"/>
    <x v="9"/>
    <x v="2"/>
    <s v="United States"/>
    <x v="9"/>
    <x v="8"/>
    <x v="3"/>
    <n v="5"/>
    <n v="2670"/>
    <n v="155.88999999999999"/>
  </r>
  <r>
    <x v="113"/>
    <x v="8"/>
    <x v="1"/>
    <s v="United States"/>
    <x v="26"/>
    <x v="1"/>
    <x v="0"/>
    <n v="7"/>
    <n v="2716"/>
    <n v="512.09"/>
  </r>
  <r>
    <x v="698"/>
    <x v="4"/>
    <x v="1"/>
    <s v="United States"/>
    <x v="26"/>
    <x v="1"/>
    <x v="0"/>
    <n v="9"/>
    <n v="10134"/>
    <n v="1334.37"/>
  </r>
  <r>
    <x v="260"/>
    <x v="6"/>
    <x v="1"/>
    <s v="United States"/>
    <x v="13"/>
    <x v="7"/>
    <x v="2"/>
    <n v="5"/>
    <n v="5500"/>
    <n v="1230.98"/>
  </r>
  <r>
    <x v="820"/>
    <x v="2"/>
    <x v="2"/>
    <s v="United States"/>
    <x v="13"/>
    <x v="7"/>
    <x v="2"/>
    <n v="6"/>
    <n v="6228"/>
    <n v="1756.82"/>
  </r>
  <r>
    <x v="821"/>
    <x v="9"/>
    <x v="2"/>
    <s v="United States"/>
    <x v="182"/>
    <x v="24"/>
    <x v="0"/>
    <n v="7"/>
    <n v="1092"/>
    <n v="274.77"/>
  </r>
  <r>
    <x v="96"/>
    <x v="6"/>
    <x v="1"/>
    <s v="United States"/>
    <x v="182"/>
    <x v="24"/>
    <x v="0"/>
    <n v="5"/>
    <n v="3255"/>
    <n v="332.54"/>
  </r>
  <r>
    <x v="620"/>
    <x v="2"/>
    <x v="2"/>
    <s v="United States"/>
    <x v="51"/>
    <x v="1"/>
    <x v="0"/>
    <n v="5"/>
    <n v="5645"/>
    <n v="1320.86"/>
  </r>
  <r>
    <x v="541"/>
    <x v="7"/>
    <x v="2"/>
    <s v="United States"/>
    <x v="51"/>
    <x v="1"/>
    <x v="0"/>
    <n v="9"/>
    <n v="7578"/>
    <n v="466.87"/>
  </r>
  <r>
    <x v="364"/>
    <x v="8"/>
    <x v="1"/>
    <s v="United States"/>
    <x v="43"/>
    <x v="22"/>
    <x v="1"/>
    <n v="9"/>
    <n v="6282"/>
    <n v="1594.61"/>
  </r>
  <r>
    <x v="343"/>
    <x v="9"/>
    <x v="2"/>
    <s v="United States"/>
    <x v="3"/>
    <x v="3"/>
    <x v="2"/>
    <n v="6"/>
    <n v="2364"/>
    <n v="639.29"/>
  </r>
  <r>
    <x v="706"/>
    <x v="8"/>
    <x v="1"/>
    <s v="United States"/>
    <x v="2"/>
    <x v="2"/>
    <x v="1"/>
    <n v="8"/>
    <n v="6880"/>
    <n v="1570.91"/>
  </r>
  <r>
    <x v="822"/>
    <x v="7"/>
    <x v="2"/>
    <s v="United States"/>
    <x v="3"/>
    <x v="3"/>
    <x v="2"/>
    <n v="6"/>
    <n v="3288"/>
    <n v="249.02"/>
  </r>
  <r>
    <x v="69"/>
    <x v="6"/>
    <x v="1"/>
    <s v="United States"/>
    <x v="70"/>
    <x v="27"/>
    <x v="3"/>
    <n v="6"/>
    <n v="5292"/>
    <n v="659.58"/>
  </r>
  <r>
    <x v="577"/>
    <x v="0"/>
    <x v="0"/>
    <s v="United States"/>
    <x v="196"/>
    <x v="9"/>
    <x v="0"/>
    <n v="3"/>
    <n v="3522"/>
    <n v="883.41"/>
  </r>
  <r>
    <x v="727"/>
    <x v="5"/>
    <x v="2"/>
    <s v="United States"/>
    <x v="196"/>
    <x v="9"/>
    <x v="0"/>
    <n v="2"/>
    <n v="1518"/>
    <n v="87.6"/>
  </r>
  <r>
    <x v="427"/>
    <x v="2"/>
    <x v="2"/>
    <s v="United States"/>
    <x v="13"/>
    <x v="7"/>
    <x v="2"/>
    <n v="7"/>
    <n v="2457"/>
    <n v="690.55"/>
  </r>
  <r>
    <x v="77"/>
    <x v="4"/>
    <x v="1"/>
    <s v="United States"/>
    <x v="13"/>
    <x v="7"/>
    <x v="2"/>
    <n v="1"/>
    <n v="309"/>
    <n v="62.08"/>
  </r>
  <r>
    <x v="823"/>
    <x v="6"/>
    <x v="1"/>
    <s v="United States"/>
    <x v="15"/>
    <x v="13"/>
    <x v="1"/>
    <n v="6"/>
    <n v="6192"/>
    <n v="717.46"/>
  </r>
  <r>
    <x v="824"/>
    <x v="3"/>
    <x v="2"/>
    <s v="United States"/>
    <x v="324"/>
    <x v="2"/>
    <x v="1"/>
    <n v="5"/>
    <n v="4235"/>
    <n v="747.96"/>
  </r>
  <r>
    <x v="581"/>
    <x v="5"/>
    <x v="2"/>
    <s v="United States"/>
    <x v="324"/>
    <x v="2"/>
    <x v="1"/>
    <n v="9"/>
    <n v="7128"/>
    <n v="457.11"/>
  </r>
  <r>
    <x v="825"/>
    <x v="2"/>
    <x v="2"/>
    <s v="United States"/>
    <x v="324"/>
    <x v="2"/>
    <x v="1"/>
    <n v="5"/>
    <n v="5660"/>
    <n v="641.69000000000005"/>
  </r>
  <r>
    <x v="324"/>
    <x v="7"/>
    <x v="2"/>
    <s v="United States"/>
    <x v="324"/>
    <x v="2"/>
    <x v="1"/>
    <n v="1"/>
    <n v="787"/>
    <n v="120.38"/>
  </r>
  <r>
    <x v="514"/>
    <x v="1"/>
    <x v="1"/>
    <s v="United States"/>
    <x v="2"/>
    <x v="2"/>
    <x v="1"/>
    <n v="3"/>
    <n v="375"/>
    <n v="107.26"/>
  </r>
  <r>
    <x v="372"/>
    <x v="3"/>
    <x v="2"/>
    <s v="United States"/>
    <x v="219"/>
    <x v="15"/>
    <x v="2"/>
    <n v="4"/>
    <n v="296"/>
    <n v="44.79"/>
  </r>
  <r>
    <x v="105"/>
    <x v="8"/>
    <x v="1"/>
    <s v="United States"/>
    <x v="325"/>
    <x v="36"/>
    <x v="1"/>
    <n v="6"/>
    <n v="6372"/>
    <n v="570.75"/>
  </r>
  <r>
    <x v="821"/>
    <x v="1"/>
    <x v="1"/>
    <s v="United States"/>
    <x v="3"/>
    <x v="3"/>
    <x v="2"/>
    <n v="6"/>
    <n v="2214"/>
    <n v="322.73"/>
  </r>
  <r>
    <x v="389"/>
    <x v="4"/>
    <x v="1"/>
    <s v="United States"/>
    <x v="3"/>
    <x v="3"/>
    <x v="2"/>
    <n v="6"/>
    <n v="2640"/>
    <n v="734.44"/>
  </r>
  <r>
    <x v="826"/>
    <x v="3"/>
    <x v="2"/>
    <s v="United States"/>
    <x v="6"/>
    <x v="5"/>
    <x v="3"/>
    <n v="7"/>
    <n v="2240"/>
    <n v="580.47"/>
  </r>
  <r>
    <x v="441"/>
    <x v="5"/>
    <x v="2"/>
    <s v="United States"/>
    <x v="6"/>
    <x v="5"/>
    <x v="3"/>
    <n v="7"/>
    <n v="6258"/>
    <n v="1347.74"/>
  </r>
  <r>
    <x v="240"/>
    <x v="0"/>
    <x v="0"/>
    <s v="United States"/>
    <x v="326"/>
    <x v="13"/>
    <x v="1"/>
    <n v="8"/>
    <n v="3816"/>
    <n v="574.57000000000005"/>
  </r>
  <r>
    <x v="16"/>
    <x v="5"/>
    <x v="2"/>
    <s v="United States"/>
    <x v="2"/>
    <x v="2"/>
    <x v="1"/>
    <n v="2"/>
    <n v="390"/>
    <n v="115.48"/>
  </r>
  <r>
    <x v="827"/>
    <x v="2"/>
    <x v="2"/>
    <s v="United States"/>
    <x v="9"/>
    <x v="8"/>
    <x v="3"/>
    <n v="7"/>
    <n v="630"/>
    <n v="83.28"/>
  </r>
  <r>
    <x v="156"/>
    <x v="7"/>
    <x v="2"/>
    <s v="United States"/>
    <x v="270"/>
    <x v="9"/>
    <x v="0"/>
    <n v="4"/>
    <n v="3868"/>
    <n v="819.26"/>
  </r>
  <r>
    <x v="128"/>
    <x v="6"/>
    <x v="1"/>
    <s v="United States"/>
    <x v="6"/>
    <x v="5"/>
    <x v="3"/>
    <n v="1"/>
    <n v="777"/>
    <n v="211.31"/>
  </r>
  <r>
    <x v="828"/>
    <x v="6"/>
    <x v="1"/>
    <s v="United States"/>
    <x v="61"/>
    <x v="25"/>
    <x v="0"/>
    <n v="3"/>
    <n v="1347"/>
    <n v="196.59"/>
  </r>
  <r>
    <x v="97"/>
    <x v="9"/>
    <x v="2"/>
    <s v="United States"/>
    <x v="61"/>
    <x v="25"/>
    <x v="0"/>
    <n v="9"/>
    <n v="7272"/>
    <n v="500.32"/>
  </r>
  <r>
    <x v="505"/>
    <x v="0"/>
    <x v="0"/>
    <s v="United States"/>
    <x v="2"/>
    <x v="2"/>
    <x v="1"/>
    <n v="6"/>
    <n v="5724"/>
    <n v="857.33"/>
  </r>
  <r>
    <x v="829"/>
    <x v="4"/>
    <x v="1"/>
    <s v="United States"/>
    <x v="13"/>
    <x v="7"/>
    <x v="2"/>
    <n v="3"/>
    <n v="312"/>
    <n v="74.8"/>
  </r>
  <r>
    <x v="698"/>
    <x v="9"/>
    <x v="2"/>
    <s v="United States"/>
    <x v="0"/>
    <x v="0"/>
    <x v="0"/>
    <n v="3"/>
    <n v="1947"/>
    <n v="239.63"/>
  </r>
  <r>
    <x v="6"/>
    <x v="2"/>
    <x v="2"/>
    <s v="United States"/>
    <x v="3"/>
    <x v="3"/>
    <x v="2"/>
    <n v="6"/>
    <n v="1128"/>
    <n v="207.97"/>
  </r>
  <r>
    <x v="617"/>
    <x v="9"/>
    <x v="2"/>
    <s v="United States"/>
    <x v="63"/>
    <x v="28"/>
    <x v="2"/>
    <n v="9"/>
    <n v="4158"/>
    <n v="672.32"/>
  </r>
  <r>
    <x v="562"/>
    <x v="8"/>
    <x v="1"/>
    <s v="United States"/>
    <x v="2"/>
    <x v="2"/>
    <x v="1"/>
    <n v="6"/>
    <n v="2670"/>
    <n v="782.28"/>
  </r>
  <r>
    <x v="678"/>
    <x v="4"/>
    <x v="1"/>
    <s v="United States"/>
    <x v="6"/>
    <x v="5"/>
    <x v="3"/>
    <n v="1"/>
    <n v="85"/>
    <n v="17.71"/>
  </r>
  <r>
    <x v="103"/>
    <x v="1"/>
    <x v="1"/>
    <s v="United States"/>
    <x v="327"/>
    <x v="2"/>
    <x v="1"/>
    <n v="8"/>
    <n v="4136"/>
    <n v="1056.54"/>
  </r>
  <r>
    <x v="829"/>
    <x v="2"/>
    <x v="2"/>
    <s v="United States"/>
    <x v="327"/>
    <x v="2"/>
    <x v="1"/>
    <n v="6"/>
    <n v="4332"/>
    <n v="348.61"/>
  </r>
  <r>
    <x v="827"/>
    <x v="6"/>
    <x v="1"/>
    <s v="United States"/>
    <x v="29"/>
    <x v="15"/>
    <x v="2"/>
    <n v="8"/>
    <n v="1600"/>
    <n v="305.3"/>
  </r>
  <r>
    <x v="780"/>
    <x v="2"/>
    <x v="2"/>
    <s v="United States"/>
    <x v="68"/>
    <x v="15"/>
    <x v="2"/>
    <n v="7"/>
    <n v="5075"/>
    <n v="471.21"/>
  </r>
  <r>
    <x v="830"/>
    <x v="2"/>
    <x v="2"/>
    <s v="United States"/>
    <x v="195"/>
    <x v="36"/>
    <x v="1"/>
    <n v="6"/>
    <n v="4152"/>
    <n v="1065.46"/>
  </r>
  <r>
    <x v="728"/>
    <x v="0"/>
    <x v="0"/>
    <s v="United States"/>
    <x v="28"/>
    <x v="2"/>
    <x v="1"/>
    <n v="7"/>
    <n v="5635"/>
    <n v="1665.01"/>
  </r>
  <r>
    <x v="615"/>
    <x v="5"/>
    <x v="2"/>
    <s v="United States"/>
    <x v="328"/>
    <x v="12"/>
    <x v="1"/>
    <n v="3"/>
    <n v="3108"/>
    <n v="220.97"/>
  </r>
  <r>
    <x v="781"/>
    <x v="5"/>
    <x v="2"/>
    <s v="United States"/>
    <x v="328"/>
    <x v="12"/>
    <x v="1"/>
    <n v="7"/>
    <n v="4270"/>
    <n v="1197.44"/>
  </r>
  <r>
    <x v="831"/>
    <x v="6"/>
    <x v="1"/>
    <s v="United States"/>
    <x v="329"/>
    <x v="30"/>
    <x v="0"/>
    <n v="5"/>
    <n v="1350"/>
    <n v="321.89999999999998"/>
  </r>
  <r>
    <x v="588"/>
    <x v="8"/>
    <x v="1"/>
    <s v="United States"/>
    <x v="329"/>
    <x v="30"/>
    <x v="0"/>
    <n v="3"/>
    <n v="330"/>
    <n v="81.86"/>
  </r>
  <r>
    <x v="679"/>
    <x v="3"/>
    <x v="2"/>
    <s v="United States"/>
    <x v="6"/>
    <x v="5"/>
    <x v="3"/>
    <n v="6"/>
    <n v="4260"/>
    <n v="504.82"/>
  </r>
  <r>
    <x v="462"/>
    <x v="4"/>
    <x v="1"/>
    <s v="United States"/>
    <x v="22"/>
    <x v="12"/>
    <x v="1"/>
    <n v="3"/>
    <n v="2712"/>
    <n v="751.52"/>
  </r>
  <r>
    <x v="38"/>
    <x v="7"/>
    <x v="2"/>
    <s v="United States"/>
    <x v="22"/>
    <x v="12"/>
    <x v="1"/>
    <n v="1"/>
    <n v="328"/>
    <n v="46.23"/>
  </r>
  <r>
    <x v="162"/>
    <x v="7"/>
    <x v="2"/>
    <s v="United States"/>
    <x v="22"/>
    <x v="12"/>
    <x v="1"/>
    <n v="8"/>
    <n v="7776"/>
    <n v="498.6"/>
  </r>
  <r>
    <x v="176"/>
    <x v="9"/>
    <x v="2"/>
    <s v="United States"/>
    <x v="6"/>
    <x v="5"/>
    <x v="3"/>
    <n v="4"/>
    <n v="2896"/>
    <n v="522.82000000000005"/>
  </r>
  <r>
    <x v="344"/>
    <x v="2"/>
    <x v="2"/>
    <s v="United States"/>
    <x v="3"/>
    <x v="3"/>
    <x v="2"/>
    <n v="2"/>
    <n v="1902"/>
    <n v="388.83"/>
  </r>
  <r>
    <x v="196"/>
    <x v="5"/>
    <x v="2"/>
    <s v="United States"/>
    <x v="62"/>
    <x v="7"/>
    <x v="2"/>
    <n v="7"/>
    <n v="3255"/>
    <n v="814.85"/>
  </r>
  <r>
    <x v="520"/>
    <x v="8"/>
    <x v="1"/>
    <s v="United States"/>
    <x v="68"/>
    <x v="3"/>
    <x v="2"/>
    <n v="3"/>
    <n v="633"/>
    <n v="162.4"/>
  </r>
  <r>
    <x v="832"/>
    <x v="2"/>
    <x v="2"/>
    <s v="United States"/>
    <x v="9"/>
    <x v="8"/>
    <x v="3"/>
    <n v="7"/>
    <n v="6209"/>
    <n v="402.78"/>
  </r>
  <r>
    <x v="175"/>
    <x v="5"/>
    <x v="2"/>
    <s v="United States"/>
    <x v="15"/>
    <x v="13"/>
    <x v="1"/>
    <n v="9"/>
    <n v="4698"/>
    <n v="1167.9000000000001"/>
  </r>
  <r>
    <x v="325"/>
    <x v="7"/>
    <x v="2"/>
    <s v="United States"/>
    <x v="15"/>
    <x v="13"/>
    <x v="1"/>
    <n v="8"/>
    <n v="7424"/>
    <n v="1878.07"/>
  </r>
  <r>
    <x v="833"/>
    <x v="0"/>
    <x v="0"/>
    <s v="United States"/>
    <x v="330"/>
    <x v="25"/>
    <x v="0"/>
    <n v="1"/>
    <n v="498"/>
    <n v="58.3"/>
  </r>
  <r>
    <x v="614"/>
    <x v="4"/>
    <x v="1"/>
    <s v="United States"/>
    <x v="70"/>
    <x v="27"/>
    <x v="3"/>
    <n v="1"/>
    <n v="111"/>
    <n v="27.91"/>
  </r>
  <r>
    <x v="641"/>
    <x v="9"/>
    <x v="2"/>
    <s v="United States"/>
    <x v="13"/>
    <x v="7"/>
    <x v="2"/>
    <n v="8"/>
    <n v="7520"/>
    <n v="1201.4000000000001"/>
  </r>
  <r>
    <x v="70"/>
    <x v="3"/>
    <x v="2"/>
    <s v="United States"/>
    <x v="18"/>
    <x v="2"/>
    <x v="1"/>
    <n v="1"/>
    <n v="182"/>
    <n v="30.97"/>
  </r>
  <r>
    <x v="337"/>
    <x v="1"/>
    <x v="1"/>
    <s v="United States"/>
    <x v="3"/>
    <x v="3"/>
    <x v="2"/>
    <n v="5"/>
    <n v="5890"/>
    <n v="309"/>
  </r>
  <r>
    <x v="426"/>
    <x v="9"/>
    <x v="2"/>
    <s v="United States"/>
    <x v="3"/>
    <x v="3"/>
    <x v="2"/>
    <n v="4"/>
    <n v="3244"/>
    <n v="357.55"/>
  </r>
  <r>
    <x v="395"/>
    <x v="7"/>
    <x v="2"/>
    <s v="United States"/>
    <x v="3"/>
    <x v="3"/>
    <x v="2"/>
    <n v="7"/>
    <n v="5229"/>
    <n v="1058.26"/>
  </r>
  <r>
    <x v="834"/>
    <x v="5"/>
    <x v="2"/>
    <s v="United States"/>
    <x v="9"/>
    <x v="8"/>
    <x v="3"/>
    <n v="9"/>
    <n v="5202"/>
    <n v="1271.47"/>
  </r>
  <r>
    <x v="532"/>
    <x v="8"/>
    <x v="1"/>
    <s v="United States"/>
    <x v="9"/>
    <x v="8"/>
    <x v="3"/>
    <n v="3"/>
    <n v="438"/>
    <n v="67.430000000000007"/>
  </r>
  <r>
    <x v="835"/>
    <x v="8"/>
    <x v="1"/>
    <s v="United States"/>
    <x v="13"/>
    <x v="7"/>
    <x v="2"/>
    <n v="6"/>
    <n v="6900"/>
    <n v="1109.73"/>
  </r>
  <r>
    <x v="37"/>
    <x v="2"/>
    <x v="2"/>
    <s v="United States"/>
    <x v="2"/>
    <x v="2"/>
    <x v="1"/>
    <n v="3"/>
    <n v="369"/>
    <n v="36.07"/>
  </r>
  <r>
    <x v="607"/>
    <x v="9"/>
    <x v="2"/>
    <s v="United States"/>
    <x v="2"/>
    <x v="2"/>
    <x v="1"/>
    <n v="4"/>
    <n v="4140"/>
    <n v="1229.8499999999999"/>
  </r>
  <r>
    <x v="631"/>
    <x v="0"/>
    <x v="0"/>
    <s v="United States"/>
    <x v="25"/>
    <x v="17"/>
    <x v="3"/>
    <n v="3"/>
    <n v="1086"/>
    <n v="188.65"/>
  </r>
  <r>
    <x v="267"/>
    <x v="1"/>
    <x v="1"/>
    <s v="United States"/>
    <x v="193"/>
    <x v="5"/>
    <x v="3"/>
    <n v="2"/>
    <n v="2134"/>
    <n v="269.52999999999997"/>
  </r>
  <r>
    <x v="467"/>
    <x v="9"/>
    <x v="2"/>
    <s v="United States"/>
    <x v="74"/>
    <x v="0"/>
    <x v="0"/>
    <n v="6"/>
    <n v="5310"/>
    <n v="637.80999999999995"/>
  </r>
  <r>
    <x v="500"/>
    <x v="4"/>
    <x v="1"/>
    <s v="United States"/>
    <x v="74"/>
    <x v="0"/>
    <x v="0"/>
    <n v="6"/>
    <n v="2748"/>
    <n v="682.8"/>
  </r>
  <r>
    <x v="314"/>
    <x v="0"/>
    <x v="0"/>
    <s v="United States"/>
    <x v="74"/>
    <x v="0"/>
    <x v="0"/>
    <n v="9"/>
    <n v="3357"/>
    <n v="405.61"/>
  </r>
  <r>
    <x v="438"/>
    <x v="5"/>
    <x v="2"/>
    <s v="United States"/>
    <x v="19"/>
    <x v="14"/>
    <x v="2"/>
    <n v="9"/>
    <n v="10206"/>
    <n v="592.77"/>
  </r>
  <r>
    <x v="836"/>
    <x v="7"/>
    <x v="2"/>
    <s v="United States"/>
    <x v="2"/>
    <x v="2"/>
    <x v="1"/>
    <n v="6"/>
    <n v="2970"/>
    <n v="425.9"/>
  </r>
  <r>
    <x v="531"/>
    <x v="1"/>
    <x v="1"/>
    <s v="United States"/>
    <x v="28"/>
    <x v="2"/>
    <x v="1"/>
    <n v="4"/>
    <n v="1208"/>
    <n v="351.47"/>
  </r>
  <r>
    <x v="534"/>
    <x v="5"/>
    <x v="2"/>
    <s v="United States"/>
    <x v="149"/>
    <x v="15"/>
    <x v="2"/>
    <n v="3"/>
    <n v="945"/>
    <n v="135.59"/>
  </r>
  <r>
    <x v="837"/>
    <x v="6"/>
    <x v="1"/>
    <s v="United States"/>
    <x v="205"/>
    <x v="34"/>
    <x v="1"/>
    <n v="8"/>
    <n v="7040"/>
    <n v="996.02"/>
  </r>
  <r>
    <x v="424"/>
    <x v="7"/>
    <x v="2"/>
    <s v="United States"/>
    <x v="2"/>
    <x v="2"/>
    <x v="1"/>
    <n v="4"/>
    <n v="3684"/>
    <n v="1009.1"/>
  </r>
  <r>
    <x v="838"/>
    <x v="4"/>
    <x v="1"/>
    <s v="United States"/>
    <x v="156"/>
    <x v="5"/>
    <x v="3"/>
    <n v="2"/>
    <n v="1262"/>
    <n v="190.02"/>
  </r>
  <r>
    <x v="839"/>
    <x v="1"/>
    <x v="1"/>
    <s v="United States"/>
    <x v="331"/>
    <x v="35"/>
    <x v="0"/>
    <n v="3"/>
    <n v="3504"/>
    <n v="807.65"/>
  </r>
  <r>
    <x v="787"/>
    <x v="0"/>
    <x v="0"/>
    <s v="United States"/>
    <x v="114"/>
    <x v="20"/>
    <x v="2"/>
    <n v="6"/>
    <n v="4464"/>
    <n v="1122.3699999999999"/>
  </r>
  <r>
    <x v="491"/>
    <x v="9"/>
    <x v="2"/>
    <s v="United States"/>
    <x v="114"/>
    <x v="20"/>
    <x v="2"/>
    <n v="4"/>
    <n v="1324"/>
    <n v="227.2"/>
  </r>
  <r>
    <x v="466"/>
    <x v="3"/>
    <x v="2"/>
    <s v="United States"/>
    <x v="114"/>
    <x v="20"/>
    <x v="2"/>
    <n v="6"/>
    <n v="4140"/>
    <n v="451.27"/>
  </r>
  <r>
    <x v="840"/>
    <x v="1"/>
    <x v="1"/>
    <s v="United States"/>
    <x v="134"/>
    <x v="38"/>
    <x v="2"/>
    <n v="8"/>
    <n v="2384"/>
    <n v="120.28"/>
  </r>
  <r>
    <x v="658"/>
    <x v="9"/>
    <x v="2"/>
    <s v="United States"/>
    <x v="134"/>
    <x v="38"/>
    <x v="2"/>
    <n v="8"/>
    <n v="4624"/>
    <n v="1313.36"/>
  </r>
  <r>
    <x v="841"/>
    <x v="5"/>
    <x v="2"/>
    <s v="United States"/>
    <x v="38"/>
    <x v="17"/>
    <x v="3"/>
    <n v="6"/>
    <n v="4812"/>
    <n v="662.54"/>
  </r>
  <r>
    <x v="842"/>
    <x v="2"/>
    <x v="2"/>
    <s v="United States"/>
    <x v="122"/>
    <x v="25"/>
    <x v="0"/>
    <n v="6"/>
    <n v="5640"/>
    <n v="856.44"/>
  </r>
  <r>
    <x v="482"/>
    <x v="5"/>
    <x v="2"/>
    <s v="United States"/>
    <x v="15"/>
    <x v="13"/>
    <x v="1"/>
    <n v="5"/>
    <n v="1840"/>
    <n v="307.08999999999997"/>
  </r>
  <r>
    <x v="252"/>
    <x v="8"/>
    <x v="1"/>
    <s v="United States"/>
    <x v="37"/>
    <x v="20"/>
    <x v="2"/>
    <n v="7"/>
    <n v="8071"/>
    <n v="435.51"/>
  </r>
  <r>
    <x v="757"/>
    <x v="8"/>
    <x v="1"/>
    <s v="United States"/>
    <x v="25"/>
    <x v="17"/>
    <x v="3"/>
    <n v="3"/>
    <n v="2400"/>
    <n v="297.07"/>
  </r>
  <r>
    <x v="336"/>
    <x v="5"/>
    <x v="2"/>
    <s v="United States"/>
    <x v="160"/>
    <x v="30"/>
    <x v="0"/>
    <n v="6"/>
    <n v="3570"/>
    <n v="265.62"/>
  </r>
  <r>
    <x v="743"/>
    <x v="9"/>
    <x v="2"/>
    <s v="United States"/>
    <x v="198"/>
    <x v="5"/>
    <x v="3"/>
    <n v="3"/>
    <n v="1758"/>
    <n v="245.92"/>
  </r>
  <r>
    <x v="665"/>
    <x v="6"/>
    <x v="1"/>
    <s v="United States"/>
    <x v="15"/>
    <x v="13"/>
    <x v="1"/>
    <n v="4"/>
    <n v="3072"/>
    <n v="394.2"/>
  </r>
  <r>
    <x v="173"/>
    <x v="1"/>
    <x v="1"/>
    <s v="United States"/>
    <x v="58"/>
    <x v="25"/>
    <x v="0"/>
    <n v="5"/>
    <n v="2185"/>
    <n v="136.1"/>
  </r>
  <r>
    <x v="268"/>
    <x v="7"/>
    <x v="2"/>
    <s v="United States"/>
    <x v="51"/>
    <x v="30"/>
    <x v="0"/>
    <n v="8"/>
    <n v="7664"/>
    <n v="1251.6500000000001"/>
  </r>
  <r>
    <x v="732"/>
    <x v="4"/>
    <x v="1"/>
    <s v="United States"/>
    <x v="252"/>
    <x v="7"/>
    <x v="2"/>
    <n v="5"/>
    <n v="1710"/>
    <n v="338.1"/>
  </r>
  <r>
    <x v="571"/>
    <x v="0"/>
    <x v="0"/>
    <s v="United States"/>
    <x v="11"/>
    <x v="32"/>
    <x v="2"/>
    <n v="2"/>
    <n v="1878"/>
    <n v="386.28"/>
  </r>
  <r>
    <x v="843"/>
    <x v="2"/>
    <x v="2"/>
    <s v="United States"/>
    <x v="127"/>
    <x v="30"/>
    <x v="0"/>
    <n v="1"/>
    <n v="569"/>
    <n v="141.33000000000001"/>
  </r>
  <r>
    <x v="246"/>
    <x v="5"/>
    <x v="2"/>
    <s v="United States"/>
    <x v="9"/>
    <x v="8"/>
    <x v="3"/>
    <n v="3"/>
    <n v="1488"/>
    <n v="296.36"/>
  </r>
  <r>
    <x v="341"/>
    <x v="1"/>
    <x v="1"/>
    <s v="United States"/>
    <x v="13"/>
    <x v="7"/>
    <x v="2"/>
    <n v="9"/>
    <n v="9918"/>
    <n v="1956.17"/>
  </r>
  <r>
    <x v="768"/>
    <x v="5"/>
    <x v="2"/>
    <s v="United States"/>
    <x v="99"/>
    <x v="2"/>
    <x v="1"/>
    <n v="3"/>
    <n v="432"/>
    <n v="36.840000000000003"/>
  </r>
  <r>
    <x v="796"/>
    <x v="2"/>
    <x v="2"/>
    <s v="United States"/>
    <x v="218"/>
    <x v="32"/>
    <x v="2"/>
    <n v="9"/>
    <n v="9828"/>
    <n v="1300.68"/>
  </r>
  <r>
    <x v="66"/>
    <x v="5"/>
    <x v="2"/>
    <s v="United States"/>
    <x v="218"/>
    <x v="32"/>
    <x v="2"/>
    <n v="5"/>
    <n v="3625"/>
    <n v="245.52"/>
  </r>
  <r>
    <x v="190"/>
    <x v="5"/>
    <x v="2"/>
    <s v="United States"/>
    <x v="2"/>
    <x v="2"/>
    <x v="1"/>
    <n v="3"/>
    <n v="2187"/>
    <n v="491.13"/>
  </r>
  <r>
    <x v="126"/>
    <x v="6"/>
    <x v="1"/>
    <s v="United States"/>
    <x v="2"/>
    <x v="2"/>
    <x v="1"/>
    <n v="5"/>
    <n v="5105"/>
    <n v="1003.4"/>
  </r>
  <r>
    <x v="677"/>
    <x v="4"/>
    <x v="1"/>
    <s v="United States"/>
    <x v="248"/>
    <x v="7"/>
    <x v="2"/>
    <n v="3"/>
    <n v="1392"/>
    <n v="345.78"/>
  </r>
  <r>
    <x v="256"/>
    <x v="7"/>
    <x v="2"/>
    <s v="United States"/>
    <x v="53"/>
    <x v="2"/>
    <x v="1"/>
    <n v="2"/>
    <n v="744"/>
    <n v="110.81"/>
  </r>
  <r>
    <x v="844"/>
    <x v="5"/>
    <x v="2"/>
    <s v="United States"/>
    <x v="2"/>
    <x v="2"/>
    <x v="1"/>
    <n v="4"/>
    <n v="1724"/>
    <n v="233.21"/>
  </r>
  <r>
    <x v="845"/>
    <x v="1"/>
    <x v="1"/>
    <s v="United States"/>
    <x v="15"/>
    <x v="13"/>
    <x v="1"/>
    <n v="5"/>
    <n v="1940"/>
    <n v="423.17"/>
  </r>
  <r>
    <x v="846"/>
    <x v="1"/>
    <x v="1"/>
    <s v="United States"/>
    <x v="67"/>
    <x v="26"/>
    <x v="3"/>
    <n v="4"/>
    <n v="356"/>
    <n v="59.15"/>
  </r>
  <r>
    <x v="251"/>
    <x v="6"/>
    <x v="1"/>
    <s v="United States"/>
    <x v="191"/>
    <x v="5"/>
    <x v="3"/>
    <n v="5"/>
    <n v="1095"/>
    <n v="269.87"/>
  </r>
  <r>
    <x v="847"/>
    <x v="2"/>
    <x v="2"/>
    <s v="United States"/>
    <x v="6"/>
    <x v="5"/>
    <x v="3"/>
    <n v="8"/>
    <n v="4064"/>
    <n v="543.9"/>
  </r>
  <r>
    <x v="211"/>
    <x v="5"/>
    <x v="2"/>
    <s v="United States"/>
    <x v="81"/>
    <x v="22"/>
    <x v="1"/>
    <n v="7"/>
    <n v="5453"/>
    <n v="1592.37"/>
  </r>
  <r>
    <x v="376"/>
    <x v="6"/>
    <x v="1"/>
    <s v="United States"/>
    <x v="81"/>
    <x v="22"/>
    <x v="1"/>
    <n v="8"/>
    <n v="7104"/>
    <n v="529.35"/>
  </r>
  <r>
    <x v="57"/>
    <x v="8"/>
    <x v="1"/>
    <s v="United States"/>
    <x v="284"/>
    <x v="2"/>
    <x v="1"/>
    <n v="9"/>
    <n v="2745"/>
    <n v="660.56"/>
  </r>
  <r>
    <x v="274"/>
    <x v="3"/>
    <x v="2"/>
    <s v="United States"/>
    <x v="14"/>
    <x v="8"/>
    <x v="3"/>
    <n v="5"/>
    <n v="1030"/>
    <n v="64.81"/>
  </r>
  <r>
    <x v="848"/>
    <x v="2"/>
    <x v="2"/>
    <s v="United States"/>
    <x v="3"/>
    <x v="3"/>
    <x v="2"/>
    <n v="9"/>
    <n v="8973"/>
    <n v="471.86"/>
  </r>
  <r>
    <x v="91"/>
    <x v="8"/>
    <x v="1"/>
    <s v="United States"/>
    <x v="332"/>
    <x v="12"/>
    <x v="1"/>
    <n v="2"/>
    <n v="794"/>
    <n v="128.5"/>
  </r>
  <r>
    <x v="119"/>
    <x v="0"/>
    <x v="0"/>
    <s v="United States"/>
    <x v="332"/>
    <x v="12"/>
    <x v="1"/>
    <n v="6"/>
    <n v="2142"/>
    <n v="476.19"/>
  </r>
  <r>
    <x v="533"/>
    <x v="4"/>
    <x v="1"/>
    <s v="United States"/>
    <x v="332"/>
    <x v="12"/>
    <x v="1"/>
    <n v="2"/>
    <n v="414"/>
    <n v="51.1"/>
  </r>
  <r>
    <x v="242"/>
    <x v="2"/>
    <x v="2"/>
    <s v="United States"/>
    <x v="160"/>
    <x v="31"/>
    <x v="0"/>
    <n v="3"/>
    <n v="1416"/>
    <n v="220.7"/>
  </r>
  <r>
    <x v="8"/>
    <x v="2"/>
    <x v="2"/>
    <s v="United States"/>
    <x v="10"/>
    <x v="9"/>
    <x v="0"/>
    <n v="3"/>
    <n v="2103"/>
    <n v="541.35"/>
  </r>
  <r>
    <x v="295"/>
    <x v="3"/>
    <x v="2"/>
    <s v="United States"/>
    <x v="10"/>
    <x v="9"/>
    <x v="0"/>
    <n v="3"/>
    <n v="861"/>
    <n v="173.49"/>
  </r>
  <r>
    <x v="849"/>
    <x v="4"/>
    <x v="1"/>
    <s v="United States"/>
    <x v="333"/>
    <x v="2"/>
    <x v="1"/>
    <n v="3"/>
    <n v="2367"/>
    <n v="222.26"/>
  </r>
  <r>
    <x v="283"/>
    <x v="2"/>
    <x v="2"/>
    <s v="United States"/>
    <x v="333"/>
    <x v="2"/>
    <x v="1"/>
    <n v="5"/>
    <n v="2435"/>
    <n v="688.82"/>
  </r>
  <r>
    <x v="344"/>
    <x v="0"/>
    <x v="0"/>
    <s v="United States"/>
    <x v="317"/>
    <x v="8"/>
    <x v="3"/>
    <n v="4"/>
    <n v="2456"/>
    <n v="163.61000000000001"/>
  </r>
  <r>
    <x v="336"/>
    <x v="9"/>
    <x v="2"/>
    <s v="United States"/>
    <x v="3"/>
    <x v="3"/>
    <x v="2"/>
    <n v="4"/>
    <n v="3216"/>
    <n v="962.49"/>
  </r>
  <r>
    <x v="619"/>
    <x v="5"/>
    <x v="2"/>
    <s v="United States"/>
    <x v="13"/>
    <x v="7"/>
    <x v="2"/>
    <n v="4"/>
    <n v="4324"/>
    <n v="833.11"/>
  </r>
  <r>
    <x v="850"/>
    <x v="1"/>
    <x v="1"/>
    <s v="United States"/>
    <x v="144"/>
    <x v="5"/>
    <x v="3"/>
    <n v="4"/>
    <n v="2628"/>
    <n v="727.87"/>
  </r>
  <r>
    <x v="212"/>
    <x v="8"/>
    <x v="1"/>
    <s v="United States"/>
    <x v="295"/>
    <x v="36"/>
    <x v="1"/>
    <n v="8"/>
    <n v="8992"/>
    <n v="2018.64"/>
  </r>
  <r>
    <x v="751"/>
    <x v="9"/>
    <x v="2"/>
    <s v="United States"/>
    <x v="53"/>
    <x v="2"/>
    <x v="1"/>
    <n v="6"/>
    <n v="360"/>
    <n v="22.16"/>
  </r>
  <r>
    <x v="530"/>
    <x v="2"/>
    <x v="2"/>
    <s v="United States"/>
    <x v="116"/>
    <x v="5"/>
    <x v="3"/>
    <n v="3"/>
    <n v="2067"/>
    <n v="479.39"/>
  </r>
  <r>
    <x v="353"/>
    <x v="1"/>
    <x v="1"/>
    <s v="United States"/>
    <x v="116"/>
    <x v="5"/>
    <x v="3"/>
    <n v="9"/>
    <n v="3573"/>
    <n v="550.44000000000005"/>
  </r>
  <r>
    <x v="625"/>
    <x v="9"/>
    <x v="2"/>
    <s v="United States"/>
    <x v="297"/>
    <x v="2"/>
    <x v="1"/>
    <n v="8"/>
    <n v="1800"/>
    <n v="142.86000000000001"/>
  </r>
  <r>
    <x v="687"/>
    <x v="0"/>
    <x v="0"/>
    <s v="United States"/>
    <x v="297"/>
    <x v="2"/>
    <x v="1"/>
    <n v="8"/>
    <n v="3912"/>
    <n v="334.1"/>
  </r>
  <r>
    <x v="474"/>
    <x v="4"/>
    <x v="1"/>
    <s v="United States"/>
    <x v="297"/>
    <x v="2"/>
    <x v="1"/>
    <n v="8"/>
    <n v="5640"/>
    <n v="747.26"/>
  </r>
  <r>
    <x v="851"/>
    <x v="2"/>
    <x v="2"/>
    <s v="United States"/>
    <x v="22"/>
    <x v="12"/>
    <x v="1"/>
    <n v="1"/>
    <n v="552"/>
    <n v="115.74"/>
  </r>
  <r>
    <x v="803"/>
    <x v="1"/>
    <x v="1"/>
    <s v="United States"/>
    <x v="22"/>
    <x v="12"/>
    <x v="1"/>
    <n v="7"/>
    <n v="1428"/>
    <n v="289.64999999999998"/>
  </r>
  <r>
    <x v="187"/>
    <x v="0"/>
    <x v="0"/>
    <s v="United States"/>
    <x v="3"/>
    <x v="3"/>
    <x v="2"/>
    <n v="1"/>
    <n v="349"/>
    <n v="42.05"/>
  </r>
  <r>
    <x v="822"/>
    <x v="2"/>
    <x v="2"/>
    <s v="United States"/>
    <x v="334"/>
    <x v="18"/>
    <x v="2"/>
    <n v="6"/>
    <n v="6402"/>
    <n v="1366.28"/>
  </r>
  <r>
    <x v="636"/>
    <x v="6"/>
    <x v="1"/>
    <s v="United States"/>
    <x v="14"/>
    <x v="12"/>
    <x v="1"/>
    <n v="9"/>
    <n v="657"/>
    <n v="185.95"/>
  </r>
  <r>
    <x v="616"/>
    <x v="1"/>
    <x v="1"/>
    <s v="United States"/>
    <x v="53"/>
    <x v="2"/>
    <x v="1"/>
    <n v="7"/>
    <n v="5327"/>
    <n v="950.7"/>
  </r>
  <r>
    <x v="739"/>
    <x v="8"/>
    <x v="1"/>
    <s v="United States"/>
    <x v="15"/>
    <x v="13"/>
    <x v="1"/>
    <n v="4"/>
    <n v="4196"/>
    <n v="1152.45"/>
  </r>
  <r>
    <x v="609"/>
    <x v="9"/>
    <x v="2"/>
    <s v="United States"/>
    <x v="172"/>
    <x v="20"/>
    <x v="2"/>
    <n v="4"/>
    <n v="2892"/>
    <n v="863.47"/>
  </r>
  <r>
    <x v="852"/>
    <x v="9"/>
    <x v="2"/>
    <s v="United States"/>
    <x v="172"/>
    <x v="20"/>
    <x v="2"/>
    <n v="9"/>
    <n v="2772"/>
    <n v="432.77"/>
  </r>
  <r>
    <x v="164"/>
    <x v="5"/>
    <x v="2"/>
    <s v="United States"/>
    <x v="258"/>
    <x v="37"/>
    <x v="3"/>
    <n v="6"/>
    <n v="4692"/>
    <n v="1044.97"/>
  </r>
  <r>
    <x v="847"/>
    <x v="1"/>
    <x v="1"/>
    <s v="United States"/>
    <x v="13"/>
    <x v="7"/>
    <x v="2"/>
    <n v="6"/>
    <n v="2742"/>
    <n v="334.48"/>
  </r>
  <r>
    <x v="283"/>
    <x v="7"/>
    <x v="2"/>
    <s v="United States"/>
    <x v="68"/>
    <x v="15"/>
    <x v="2"/>
    <n v="8"/>
    <n v="8896"/>
    <n v="1154.96"/>
  </r>
  <r>
    <x v="853"/>
    <x v="1"/>
    <x v="1"/>
    <s v="United States"/>
    <x v="144"/>
    <x v="5"/>
    <x v="3"/>
    <n v="2"/>
    <n v="2344"/>
    <n v="385.19"/>
  </r>
  <r>
    <x v="833"/>
    <x v="4"/>
    <x v="1"/>
    <s v="United States"/>
    <x v="13"/>
    <x v="7"/>
    <x v="2"/>
    <n v="7"/>
    <n v="4186"/>
    <n v="655.53"/>
  </r>
  <r>
    <x v="583"/>
    <x v="2"/>
    <x v="2"/>
    <s v="United States"/>
    <x v="45"/>
    <x v="5"/>
    <x v="3"/>
    <n v="9"/>
    <n v="5238"/>
    <n v="1152.42"/>
  </r>
  <r>
    <x v="199"/>
    <x v="1"/>
    <x v="1"/>
    <s v="United States"/>
    <x v="6"/>
    <x v="5"/>
    <x v="3"/>
    <n v="3"/>
    <n v="2982"/>
    <n v="452.22"/>
  </r>
  <r>
    <x v="146"/>
    <x v="5"/>
    <x v="2"/>
    <s v="United States"/>
    <x v="2"/>
    <x v="2"/>
    <x v="1"/>
    <n v="4"/>
    <n v="2580"/>
    <n v="602.5"/>
  </r>
  <r>
    <x v="607"/>
    <x v="8"/>
    <x v="1"/>
    <s v="United States"/>
    <x v="15"/>
    <x v="13"/>
    <x v="1"/>
    <n v="5"/>
    <n v="2675"/>
    <n v="671.6"/>
  </r>
  <r>
    <x v="539"/>
    <x v="0"/>
    <x v="0"/>
    <s v="United States"/>
    <x v="335"/>
    <x v="20"/>
    <x v="2"/>
    <n v="4"/>
    <n v="2396"/>
    <n v="608.5"/>
  </r>
  <r>
    <x v="58"/>
    <x v="9"/>
    <x v="2"/>
    <s v="United States"/>
    <x v="3"/>
    <x v="3"/>
    <x v="2"/>
    <n v="5"/>
    <n v="1600"/>
    <n v="242.25"/>
  </r>
  <r>
    <x v="735"/>
    <x v="5"/>
    <x v="2"/>
    <s v="United States"/>
    <x v="2"/>
    <x v="2"/>
    <x v="1"/>
    <n v="4"/>
    <n v="304"/>
    <n v="34.729999999999997"/>
  </r>
  <r>
    <x v="342"/>
    <x v="8"/>
    <x v="1"/>
    <s v="United States"/>
    <x v="2"/>
    <x v="2"/>
    <x v="1"/>
    <n v="9"/>
    <n v="2070"/>
    <n v="457.39"/>
  </r>
  <r>
    <x v="854"/>
    <x v="0"/>
    <x v="0"/>
    <s v="United States"/>
    <x v="28"/>
    <x v="2"/>
    <x v="1"/>
    <n v="5"/>
    <n v="1230"/>
    <n v="158.22999999999999"/>
  </r>
  <r>
    <x v="377"/>
    <x v="3"/>
    <x v="2"/>
    <s v="United States"/>
    <x v="156"/>
    <x v="5"/>
    <x v="3"/>
    <n v="6"/>
    <n v="6234"/>
    <n v="758.78"/>
  </r>
  <r>
    <x v="739"/>
    <x v="4"/>
    <x v="1"/>
    <s v="United States"/>
    <x v="156"/>
    <x v="5"/>
    <x v="3"/>
    <n v="2"/>
    <n v="396"/>
    <n v="46.33"/>
  </r>
  <r>
    <x v="191"/>
    <x v="1"/>
    <x v="1"/>
    <s v="United States"/>
    <x v="336"/>
    <x v="24"/>
    <x v="0"/>
    <n v="9"/>
    <n v="2349"/>
    <n v="244.18"/>
  </r>
  <r>
    <x v="160"/>
    <x v="4"/>
    <x v="1"/>
    <s v="United States"/>
    <x v="58"/>
    <x v="25"/>
    <x v="0"/>
    <n v="9"/>
    <n v="5949"/>
    <n v="626.91999999999996"/>
  </r>
  <r>
    <x v="147"/>
    <x v="0"/>
    <x v="0"/>
    <s v="United States"/>
    <x v="15"/>
    <x v="13"/>
    <x v="1"/>
    <n v="7"/>
    <n v="5957"/>
    <n v="1433.85"/>
  </r>
  <r>
    <x v="436"/>
    <x v="4"/>
    <x v="1"/>
    <s v="United States"/>
    <x v="6"/>
    <x v="5"/>
    <x v="3"/>
    <n v="3"/>
    <n v="1989"/>
    <n v="299.79000000000002"/>
  </r>
  <r>
    <x v="422"/>
    <x v="1"/>
    <x v="1"/>
    <s v="United States"/>
    <x v="3"/>
    <x v="3"/>
    <x v="2"/>
    <n v="1"/>
    <n v="1138"/>
    <n v="243.36"/>
  </r>
  <r>
    <x v="102"/>
    <x v="2"/>
    <x v="2"/>
    <s v="United States"/>
    <x v="9"/>
    <x v="8"/>
    <x v="3"/>
    <n v="9"/>
    <n v="3321"/>
    <n v="689.64"/>
  </r>
  <r>
    <x v="855"/>
    <x v="3"/>
    <x v="2"/>
    <s v="United States"/>
    <x v="147"/>
    <x v="5"/>
    <x v="3"/>
    <n v="4"/>
    <n v="4480"/>
    <n v="592.82000000000005"/>
  </r>
  <r>
    <x v="835"/>
    <x v="5"/>
    <x v="2"/>
    <s v="United States"/>
    <x v="147"/>
    <x v="5"/>
    <x v="3"/>
    <n v="3"/>
    <n v="1533"/>
    <n v="440.88"/>
  </r>
  <r>
    <x v="392"/>
    <x v="1"/>
    <x v="1"/>
    <s v="United States"/>
    <x v="2"/>
    <x v="2"/>
    <x v="1"/>
    <n v="1"/>
    <n v="109"/>
    <n v="10.35"/>
  </r>
  <r>
    <x v="263"/>
    <x v="7"/>
    <x v="2"/>
    <s v="United States"/>
    <x v="9"/>
    <x v="8"/>
    <x v="3"/>
    <n v="4"/>
    <n v="2380"/>
    <n v="594.86"/>
  </r>
  <r>
    <x v="326"/>
    <x v="0"/>
    <x v="0"/>
    <s v="United States"/>
    <x v="28"/>
    <x v="2"/>
    <x v="1"/>
    <n v="8"/>
    <n v="2592"/>
    <n v="432.37"/>
  </r>
  <r>
    <x v="856"/>
    <x v="9"/>
    <x v="2"/>
    <s v="United States"/>
    <x v="28"/>
    <x v="2"/>
    <x v="1"/>
    <n v="6"/>
    <n v="5112"/>
    <n v="1289.47"/>
  </r>
  <r>
    <x v="610"/>
    <x v="5"/>
    <x v="2"/>
    <s v="United States"/>
    <x v="337"/>
    <x v="2"/>
    <x v="1"/>
    <n v="8"/>
    <n v="9392"/>
    <n v="1753.08"/>
  </r>
  <r>
    <x v="257"/>
    <x v="9"/>
    <x v="2"/>
    <s v="United States"/>
    <x v="9"/>
    <x v="8"/>
    <x v="3"/>
    <n v="2"/>
    <n v="2386"/>
    <n v="381.83"/>
  </r>
  <r>
    <x v="353"/>
    <x v="5"/>
    <x v="2"/>
    <s v="United States"/>
    <x v="144"/>
    <x v="5"/>
    <x v="3"/>
    <n v="5"/>
    <n v="465"/>
    <n v="71.23"/>
  </r>
  <r>
    <x v="704"/>
    <x v="7"/>
    <x v="2"/>
    <s v="United States"/>
    <x v="49"/>
    <x v="1"/>
    <x v="0"/>
    <n v="2"/>
    <n v="604"/>
    <n v="102.52"/>
  </r>
  <r>
    <x v="186"/>
    <x v="5"/>
    <x v="2"/>
    <s v="United States"/>
    <x v="13"/>
    <x v="7"/>
    <x v="2"/>
    <n v="2"/>
    <n v="2216"/>
    <n v="650.27"/>
  </r>
  <r>
    <x v="68"/>
    <x v="1"/>
    <x v="1"/>
    <s v="United States"/>
    <x v="53"/>
    <x v="2"/>
    <x v="1"/>
    <n v="4"/>
    <n v="1168"/>
    <n v="220.22"/>
  </r>
  <r>
    <x v="833"/>
    <x v="6"/>
    <x v="1"/>
    <s v="United States"/>
    <x v="338"/>
    <x v="40"/>
    <x v="3"/>
    <n v="7"/>
    <n v="4088"/>
    <n v="230.43"/>
  </r>
  <r>
    <x v="857"/>
    <x v="8"/>
    <x v="1"/>
    <s v="United States"/>
    <x v="237"/>
    <x v="32"/>
    <x v="2"/>
    <n v="7"/>
    <n v="2597"/>
    <n v="152.09"/>
  </r>
  <r>
    <x v="858"/>
    <x v="5"/>
    <x v="2"/>
    <s v="United States"/>
    <x v="31"/>
    <x v="18"/>
    <x v="2"/>
    <n v="3"/>
    <n v="2151"/>
    <n v="322.02999999999997"/>
  </r>
  <r>
    <x v="303"/>
    <x v="9"/>
    <x v="2"/>
    <s v="United States"/>
    <x v="53"/>
    <x v="2"/>
    <x v="1"/>
    <n v="6"/>
    <n v="462"/>
    <n v="71.22"/>
  </r>
  <r>
    <x v="139"/>
    <x v="1"/>
    <x v="1"/>
    <s v="United States"/>
    <x v="53"/>
    <x v="2"/>
    <x v="1"/>
    <n v="7"/>
    <n v="5957"/>
    <n v="1077.8599999999999"/>
  </r>
  <r>
    <x v="841"/>
    <x v="7"/>
    <x v="2"/>
    <s v="United States"/>
    <x v="28"/>
    <x v="2"/>
    <x v="1"/>
    <n v="6"/>
    <n v="6978"/>
    <n v="2028.63"/>
  </r>
  <r>
    <x v="836"/>
    <x v="4"/>
    <x v="1"/>
    <s v="United States"/>
    <x v="15"/>
    <x v="13"/>
    <x v="1"/>
    <n v="1"/>
    <n v="282"/>
    <n v="72.5"/>
  </r>
  <r>
    <x v="64"/>
    <x v="3"/>
    <x v="2"/>
    <s v="United States"/>
    <x v="15"/>
    <x v="13"/>
    <x v="1"/>
    <n v="1"/>
    <n v="157"/>
    <n v="27.65"/>
  </r>
  <r>
    <x v="63"/>
    <x v="6"/>
    <x v="1"/>
    <s v="United States"/>
    <x v="76"/>
    <x v="36"/>
    <x v="1"/>
    <n v="8"/>
    <n v="3304"/>
    <n v="404.33"/>
  </r>
  <r>
    <x v="516"/>
    <x v="4"/>
    <x v="1"/>
    <s v="United States"/>
    <x v="3"/>
    <x v="3"/>
    <x v="2"/>
    <n v="3"/>
    <n v="3051"/>
    <n v="201.26"/>
  </r>
  <r>
    <x v="821"/>
    <x v="1"/>
    <x v="1"/>
    <s v="United States"/>
    <x v="9"/>
    <x v="8"/>
    <x v="3"/>
    <n v="9"/>
    <n v="8082"/>
    <n v="1783.55"/>
  </r>
  <r>
    <x v="859"/>
    <x v="9"/>
    <x v="2"/>
    <s v="United States"/>
    <x v="9"/>
    <x v="8"/>
    <x v="3"/>
    <n v="3"/>
    <n v="510"/>
    <n v="110.38"/>
  </r>
  <r>
    <x v="341"/>
    <x v="2"/>
    <x v="2"/>
    <s v="United States"/>
    <x v="9"/>
    <x v="8"/>
    <x v="3"/>
    <n v="8"/>
    <n v="3976"/>
    <n v="1170.3599999999999"/>
  </r>
  <r>
    <x v="262"/>
    <x v="7"/>
    <x v="2"/>
    <s v="United States"/>
    <x v="13"/>
    <x v="7"/>
    <x v="2"/>
    <n v="9"/>
    <n v="828"/>
    <n v="59.99"/>
  </r>
  <r>
    <x v="246"/>
    <x v="4"/>
    <x v="1"/>
    <s v="United States"/>
    <x v="339"/>
    <x v="30"/>
    <x v="0"/>
    <n v="7"/>
    <n v="2457"/>
    <n v="388.11"/>
  </r>
  <r>
    <x v="786"/>
    <x v="3"/>
    <x v="2"/>
    <s v="United States"/>
    <x v="13"/>
    <x v="7"/>
    <x v="2"/>
    <n v="4"/>
    <n v="3924"/>
    <n v="298.07"/>
  </r>
  <r>
    <x v="860"/>
    <x v="4"/>
    <x v="1"/>
    <s v="United States"/>
    <x v="13"/>
    <x v="7"/>
    <x v="2"/>
    <n v="2"/>
    <n v="2018"/>
    <n v="227.75"/>
  </r>
  <r>
    <x v="303"/>
    <x v="6"/>
    <x v="1"/>
    <s v="United States"/>
    <x v="340"/>
    <x v="1"/>
    <x v="0"/>
    <n v="3"/>
    <n v="2043"/>
    <n v="479.9"/>
  </r>
  <r>
    <x v="648"/>
    <x v="0"/>
    <x v="0"/>
    <s v="United States"/>
    <x v="144"/>
    <x v="5"/>
    <x v="3"/>
    <n v="5"/>
    <n v="1035"/>
    <n v="187.12"/>
  </r>
  <r>
    <x v="212"/>
    <x v="5"/>
    <x v="2"/>
    <s v="United States"/>
    <x v="144"/>
    <x v="5"/>
    <x v="3"/>
    <n v="6"/>
    <n v="2724"/>
    <n v="675.53"/>
  </r>
  <r>
    <x v="772"/>
    <x v="3"/>
    <x v="2"/>
    <s v="United States"/>
    <x v="8"/>
    <x v="7"/>
    <x v="2"/>
    <n v="1"/>
    <n v="1120"/>
    <n v="127.32"/>
  </r>
  <r>
    <x v="756"/>
    <x v="6"/>
    <x v="1"/>
    <s v="United States"/>
    <x v="244"/>
    <x v="24"/>
    <x v="0"/>
    <n v="6"/>
    <n v="3438"/>
    <n v="631.95000000000005"/>
  </r>
  <r>
    <x v="11"/>
    <x v="5"/>
    <x v="2"/>
    <s v="United States"/>
    <x v="51"/>
    <x v="1"/>
    <x v="0"/>
    <n v="5"/>
    <n v="3170"/>
    <n v="379.27"/>
  </r>
  <r>
    <x v="22"/>
    <x v="5"/>
    <x v="2"/>
    <s v="United States"/>
    <x v="51"/>
    <x v="1"/>
    <x v="0"/>
    <n v="4"/>
    <n v="660"/>
    <n v="83.96"/>
  </r>
  <r>
    <x v="861"/>
    <x v="2"/>
    <x v="2"/>
    <s v="United States"/>
    <x v="51"/>
    <x v="1"/>
    <x v="0"/>
    <n v="7"/>
    <n v="4669"/>
    <n v="1088.1500000000001"/>
  </r>
  <r>
    <x v="209"/>
    <x v="5"/>
    <x v="2"/>
    <s v="United States"/>
    <x v="28"/>
    <x v="2"/>
    <x v="1"/>
    <n v="5"/>
    <n v="1045"/>
    <n v="89"/>
  </r>
  <r>
    <x v="558"/>
    <x v="8"/>
    <x v="1"/>
    <s v="United States"/>
    <x v="9"/>
    <x v="8"/>
    <x v="3"/>
    <n v="4"/>
    <n v="2724"/>
    <n v="229.47"/>
  </r>
  <r>
    <x v="496"/>
    <x v="4"/>
    <x v="1"/>
    <s v="United States"/>
    <x v="14"/>
    <x v="8"/>
    <x v="3"/>
    <n v="8"/>
    <n v="5312"/>
    <n v="1583"/>
  </r>
  <r>
    <x v="862"/>
    <x v="2"/>
    <x v="2"/>
    <s v="United States"/>
    <x v="13"/>
    <x v="7"/>
    <x v="2"/>
    <n v="4"/>
    <n v="4252"/>
    <n v="445.18"/>
  </r>
  <r>
    <x v="62"/>
    <x v="0"/>
    <x v="0"/>
    <s v="United States"/>
    <x v="311"/>
    <x v="2"/>
    <x v="1"/>
    <n v="7"/>
    <n v="8057"/>
    <n v="1652.27"/>
  </r>
  <r>
    <x v="657"/>
    <x v="8"/>
    <x v="1"/>
    <s v="United States"/>
    <x v="51"/>
    <x v="30"/>
    <x v="0"/>
    <n v="7"/>
    <n v="2023"/>
    <n v="274.25"/>
  </r>
  <r>
    <x v="3"/>
    <x v="6"/>
    <x v="1"/>
    <s v="United States"/>
    <x v="317"/>
    <x v="8"/>
    <x v="3"/>
    <n v="8"/>
    <n v="9416"/>
    <n v="2125.54"/>
  </r>
  <r>
    <x v="412"/>
    <x v="6"/>
    <x v="1"/>
    <s v="United States"/>
    <x v="127"/>
    <x v="30"/>
    <x v="0"/>
    <n v="8"/>
    <n v="7560"/>
    <n v="494.34"/>
  </r>
  <r>
    <x v="690"/>
    <x v="6"/>
    <x v="1"/>
    <s v="United States"/>
    <x v="2"/>
    <x v="2"/>
    <x v="1"/>
    <n v="2"/>
    <n v="828"/>
    <n v="50.07"/>
  </r>
  <r>
    <x v="863"/>
    <x v="1"/>
    <x v="1"/>
    <s v="United States"/>
    <x v="175"/>
    <x v="2"/>
    <x v="1"/>
    <n v="1"/>
    <n v="527"/>
    <n v="27.45"/>
  </r>
  <r>
    <x v="37"/>
    <x v="8"/>
    <x v="1"/>
    <s v="United States"/>
    <x v="6"/>
    <x v="5"/>
    <x v="3"/>
    <n v="2"/>
    <n v="1160"/>
    <n v="206.49"/>
  </r>
  <r>
    <x v="540"/>
    <x v="1"/>
    <x v="1"/>
    <s v="United States"/>
    <x v="29"/>
    <x v="24"/>
    <x v="0"/>
    <n v="5"/>
    <n v="5430"/>
    <n v="310.86"/>
  </r>
  <r>
    <x v="864"/>
    <x v="2"/>
    <x v="2"/>
    <s v="United States"/>
    <x v="256"/>
    <x v="5"/>
    <x v="3"/>
    <n v="7"/>
    <n v="6874"/>
    <n v="454.53"/>
  </r>
  <r>
    <x v="865"/>
    <x v="0"/>
    <x v="0"/>
    <s v="United States"/>
    <x v="341"/>
    <x v="20"/>
    <x v="2"/>
    <n v="8"/>
    <n v="8952"/>
    <n v="1825.37"/>
  </r>
  <r>
    <x v="437"/>
    <x v="1"/>
    <x v="1"/>
    <s v="United States"/>
    <x v="170"/>
    <x v="2"/>
    <x v="1"/>
    <n v="8"/>
    <n v="416"/>
    <n v="67.81"/>
  </r>
  <r>
    <x v="249"/>
    <x v="7"/>
    <x v="2"/>
    <s v="United States"/>
    <x v="270"/>
    <x v="9"/>
    <x v="0"/>
    <n v="3"/>
    <n v="1680"/>
    <n v="140.27000000000001"/>
  </r>
  <r>
    <x v="866"/>
    <x v="1"/>
    <x v="1"/>
    <s v="United States"/>
    <x v="270"/>
    <x v="9"/>
    <x v="0"/>
    <n v="7"/>
    <n v="4340"/>
    <n v="383.9"/>
  </r>
  <r>
    <x v="714"/>
    <x v="9"/>
    <x v="2"/>
    <s v="United States"/>
    <x v="37"/>
    <x v="20"/>
    <x v="2"/>
    <n v="9"/>
    <n v="7650"/>
    <n v="2130.8200000000002"/>
  </r>
  <r>
    <x v="840"/>
    <x v="5"/>
    <x v="2"/>
    <s v="United States"/>
    <x v="37"/>
    <x v="20"/>
    <x v="2"/>
    <n v="8"/>
    <n v="6328"/>
    <n v="412.76"/>
  </r>
  <r>
    <x v="688"/>
    <x v="8"/>
    <x v="1"/>
    <s v="United States"/>
    <x v="37"/>
    <x v="20"/>
    <x v="2"/>
    <n v="2"/>
    <n v="1312"/>
    <n v="344"/>
  </r>
  <r>
    <x v="633"/>
    <x v="3"/>
    <x v="2"/>
    <s v="United States"/>
    <x v="3"/>
    <x v="3"/>
    <x v="2"/>
    <n v="9"/>
    <n v="8055"/>
    <n v="2300.17"/>
  </r>
  <r>
    <x v="120"/>
    <x v="3"/>
    <x v="2"/>
    <s v="United States"/>
    <x v="3"/>
    <x v="3"/>
    <x v="2"/>
    <n v="2"/>
    <n v="840"/>
    <n v="153.61000000000001"/>
  </r>
  <r>
    <x v="867"/>
    <x v="2"/>
    <x v="2"/>
    <s v="United States"/>
    <x v="342"/>
    <x v="24"/>
    <x v="0"/>
    <n v="9"/>
    <n v="9423"/>
    <n v="2794.89"/>
  </r>
  <r>
    <x v="80"/>
    <x v="6"/>
    <x v="1"/>
    <s v="United States"/>
    <x v="116"/>
    <x v="5"/>
    <x v="3"/>
    <n v="8"/>
    <n v="6520"/>
    <n v="1113.1199999999999"/>
  </r>
  <r>
    <x v="199"/>
    <x v="9"/>
    <x v="2"/>
    <s v="United States"/>
    <x v="2"/>
    <x v="2"/>
    <x v="1"/>
    <n v="3"/>
    <n v="1950"/>
    <n v="116.12"/>
  </r>
  <r>
    <x v="868"/>
    <x v="3"/>
    <x v="2"/>
    <s v="United States"/>
    <x v="99"/>
    <x v="2"/>
    <x v="1"/>
    <n v="6"/>
    <n v="5928"/>
    <n v="1177.2"/>
  </r>
  <r>
    <x v="587"/>
    <x v="3"/>
    <x v="2"/>
    <s v="United States"/>
    <x v="15"/>
    <x v="13"/>
    <x v="1"/>
    <n v="7"/>
    <n v="4809"/>
    <n v="1418.72"/>
  </r>
  <r>
    <x v="388"/>
    <x v="7"/>
    <x v="2"/>
    <s v="United States"/>
    <x v="6"/>
    <x v="5"/>
    <x v="3"/>
    <n v="4"/>
    <n v="356"/>
    <n v="23.4"/>
  </r>
  <r>
    <x v="869"/>
    <x v="9"/>
    <x v="2"/>
    <s v="United States"/>
    <x v="343"/>
    <x v="19"/>
    <x v="2"/>
    <n v="2"/>
    <n v="570"/>
    <n v="94.39"/>
  </r>
  <r>
    <x v="728"/>
    <x v="6"/>
    <x v="1"/>
    <s v="United States"/>
    <x v="20"/>
    <x v="20"/>
    <x v="2"/>
    <n v="7"/>
    <n v="7791"/>
    <n v="907.96"/>
  </r>
  <r>
    <x v="870"/>
    <x v="5"/>
    <x v="2"/>
    <s v="United States"/>
    <x v="20"/>
    <x v="20"/>
    <x v="2"/>
    <n v="4"/>
    <n v="4168"/>
    <n v="494.48"/>
  </r>
  <r>
    <x v="445"/>
    <x v="2"/>
    <x v="2"/>
    <s v="United States"/>
    <x v="76"/>
    <x v="15"/>
    <x v="2"/>
    <n v="2"/>
    <n v="684"/>
    <n v="183.85"/>
  </r>
  <r>
    <x v="638"/>
    <x v="7"/>
    <x v="2"/>
    <s v="United States"/>
    <x v="13"/>
    <x v="7"/>
    <x v="2"/>
    <n v="7"/>
    <n v="3857"/>
    <n v="447.99"/>
  </r>
  <r>
    <x v="189"/>
    <x v="3"/>
    <x v="2"/>
    <s v="United States"/>
    <x v="19"/>
    <x v="14"/>
    <x v="2"/>
    <n v="5"/>
    <n v="3250"/>
    <n v="699.99"/>
  </r>
  <r>
    <x v="871"/>
    <x v="0"/>
    <x v="0"/>
    <s v="United States"/>
    <x v="19"/>
    <x v="14"/>
    <x v="2"/>
    <n v="6"/>
    <n v="1194"/>
    <n v="79.62"/>
  </r>
  <r>
    <x v="344"/>
    <x v="9"/>
    <x v="2"/>
    <s v="United States"/>
    <x v="259"/>
    <x v="30"/>
    <x v="0"/>
    <n v="6"/>
    <n v="3486"/>
    <n v="320.91000000000003"/>
  </r>
  <r>
    <x v="87"/>
    <x v="6"/>
    <x v="1"/>
    <s v="United States"/>
    <x v="144"/>
    <x v="5"/>
    <x v="3"/>
    <n v="7"/>
    <n v="1554"/>
    <n v="370.97"/>
  </r>
  <r>
    <x v="292"/>
    <x v="5"/>
    <x v="2"/>
    <s v="United States"/>
    <x v="15"/>
    <x v="13"/>
    <x v="1"/>
    <n v="3"/>
    <n v="2601"/>
    <n v="463.36"/>
  </r>
  <r>
    <x v="872"/>
    <x v="4"/>
    <x v="1"/>
    <s v="United States"/>
    <x v="174"/>
    <x v="18"/>
    <x v="2"/>
    <n v="4"/>
    <n v="3616"/>
    <n v="745.75"/>
  </r>
  <r>
    <x v="73"/>
    <x v="1"/>
    <x v="1"/>
    <s v="United States"/>
    <x v="174"/>
    <x v="18"/>
    <x v="2"/>
    <n v="5"/>
    <n v="3350"/>
    <n v="986.33"/>
  </r>
  <r>
    <x v="119"/>
    <x v="5"/>
    <x v="2"/>
    <s v="United States"/>
    <x v="288"/>
    <x v="3"/>
    <x v="2"/>
    <n v="5"/>
    <n v="2545"/>
    <n v="588.47"/>
  </r>
  <r>
    <x v="873"/>
    <x v="6"/>
    <x v="1"/>
    <s v="United States"/>
    <x v="237"/>
    <x v="32"/>
    <x v="2"/>
    <n v="1"/>
    <n v="545"/>
    <n v="68.28"/>
  </r>
  <r>
    <x v="453"/>
    <x v="1"/>
    <x v="1"/>
    <s v="United States"/>
    <x v="177"/>
    <x v="5"/>
    <x v="3"/>
    <n v="7"/>
    <n v="1470"/>
    <n v="178.85"/>
  </r>
  <r>
    <x v="554"/>
    <x v="3"/>
    <x v="2"/>
    <s v="United States"/>
    <x v="236"/>
    <x v="38"/>
    <x v="2"/>
    <n v="3"/>
    <n v="3126"/>
    <n v="870.95"/>
  </r>
  <r>
    <x v="874"/>
    <x v="9"/>
    <x v="2"/>
    <s v="United States"/>
    <x v="236"/>
    <x v="38"/>
    <x v="2"/>
    <n v="3"/>
    <n v="1368"/>
    <n v="302.29000000000002"/>
  </r>
  <r>
    <x v="378"/>
    <x v="4"/>
    <x v="1"/>
    <s v="United States"/>
    <x v="236"/>
    <x v="38"/>
    <x v="2"/>
    <n v="9"/>
    <n v="7083"/>
    <n v="1353.39"/>
  </r>
  <r>
    <x v="551"/>
    <x v="0"/>
    <x v="0"/>
    <s v="United States"/>
    <x v="236"/>
    <x v="38"/>
    <x v="2"/>
    <n v="2"/>
    <n v="1994"/>
    <n v="453.74"/>
  </r>
  <r>
    <x v="52"/>
    <x v="3"/>
    <x v="2"/>
    <s v="United States"/>
    <x v="6"/>
    <x v="5"/>
    <x v="3"/>
    <n v="4"/>
    <n v="4716"/>
    <n v="1084.1600000000001"/>
  </r>
  <r>
    <x v="544"/>
    <x v="6"/>
    <x v="1"/>
    <s v="United States"/>
    <x v="6"/>
    <x v="5"/>
    <x v="3"/>
    <n v="1"/>
    <n v="975"/>
    <n v="125.85"/>
  </r>
  <r>
    <x v="364"/>
    <x v="7"/>
    <x v="2"/>
    <s v="United States"/>
    <x v="9"/>
    <x v="8"/>
    <x v="3"/>
    <n v="9"/>
    <n v="9891"/>
    <n v="1774.03"/>
  </r>
  <r>
    <x v="342"/>
    <x v="5"/>
    <x v="2"/>
    <s v="United States"/>
    <x v="344"/>
    <x v="6"/>
    <x v="3"/>
    <n v="2"/>
    <n v="626"/>
    <n v="159.49"/>
  </r>
  <r>
    <x v="849"/>
    <x v="6"/>
    <x v="1"/>
    <s v="United States"/>
    <x v="345"/>
    <x v="9"/>
    <x v="0"/>
    <n v="8"/>
    <n v="5632"/>
    <n v="1620.04"/>
  </r>
  <r>
    <x v="112"/>
    <x v="0"/>
    <x v="0"/>
    <s v="United States"/>
    <x v="345"/>
    <x v="9"/>
    <x v="0"/>
    <n v="3"/>
    <n v="2568"/>
    <n v="734.6"/>
  </r>
  <r>
    <x v="250"/>
    <x v="2"/>
    <x v="2"/>
    <s v="United States"/>
    <x v="15"/>
    <x v="13"/>
    <x v="1"/>
    <n v="7"/>
    <n v="5285"/>
    <n v="629.07000000000005"/>
  </r>
  <r>
    <x v="826"/>
    <x v="3"/>
    <x v="2"/>
    <s v="United States"/>
    <x v="58"/>
    <x v="25"/>
    <x v="0"/>
    <n v="2"/>
    <n v="516"/>
    <n v="122.77"/>
  </r>
  <r>
    <x v="169"/>
    <x v="6"/>
    <x v="1"/>
    <s v="United States"/>
    <x v="2"/>
    <x v="2"/>
    <x v="1"/>
    <n v="3"/>
    <n v="2139"/>
    <n v="503.08"/>
  </r>
  <r>
    <x v="875"/>
    <x v="9"/>
    <x v="2"/>
    <s v="United States"/>
    <x v="45"/>
    <x v="5"/>
    <x v="3"/>
    <n v="9"/>
    <n v="8136"/>
    <n v="1923.89"/>
  </r>
  <r>
    <x v="876"/>
    <x v="9"/>
    <x v="2"/>
    <s v="United States"/>
    <x v="6"/>
    <x v="5"/>
    <x v="3"/>
    <n v="5"/>
    <n v="2130"/>
    <n v="318.99"/>
  </r>
  <r>
    <x v="330"/>
    <x v="4"/>
    <x v="1"/>
    <s v="United States"/>
    <x v="346"/>
    <x v="5"/>
    <x v="3"/>
    <n v="5"/>
    <n v="3445"/>
    <n v="202.15"/>
  </r>
  <r>
    <x v="877"/>
    <x v="2"/>
    <x v="2"/>
    <s v="United States"/>
    <x v="309"/>
    <x v="18"/>
    <x v="2"/>
    <n v="8"/>
    <n v="5376"/>
    <n v="429.84"/>
  </r>
  <r>
    <x v="613"/>
    <x v="0"/>
    <x v="0"/>
    <s v="United States"/>
    <x v="309"/>
    <x v="18"/>
    <x v="2"/>
    <n v="6"/>
    <n v="3006"/>
    <n v="730.14"/>
  </r>
  <r>
    <x v="403"/>
    <x v="4"/>
    <x v="1"/>
    <s v="United States"/>
    <x v="309"/>
    <x v="18"/>
    <x v="2"/>
    <n v="7"/>
    <n v="3941"/>
    <n v="1113.8499999999999"/>
  </r>
  <r>
    <x v="563"/>
    <x v="6"/>
    <x v="1"/>
    <s v="United States"/>
    <x v="29"/>
    <x v="15"/>
    <x v="2"/>
    <n v="5"/>
    <n v="3350"/>
    <n v="389.95"/>
  </r>
  <r>
    <x v="387"/>
    <x v="0"/>
    <x v="0"/>
    <s v="United States"/>
    <x v="29"/>
    <x v="15"/>
    <x v="2"/>
    <n v="3"/>
    <n v="2019"/>
    <n v="265.44"/>
  </r>
  <r>
    <x v="317"/>
    <x v="4"/>
    <x v="1"/>
    <s v="United States"/>
    <x v="2"/>
    <x v="2"/>
    <x v="1"/>
    <n v="8"/>
    <n v="2416"/>
    <n v="403.38"/>
  </r>
  <r>
    <x v="728"/>
    <x v="6"/>
    <x v="1"/>
    <s v="United States"/>
    <x v="25"/>
    <x v="17"/>
    <x v="3"/>
    <n v="8"/>
    <n v="6160"/>
    <n v="684.71"/>
  </r>
  <r>
    <x v="709"/>
    <x v="0"/>
    <x v="0"/>
    <s v="United States"/>
    <x v="3"/>
    <x v="3"/>
    <x v="2"/>
    <n v="4"/>
    <n v="2796"/>
    <n v="682.65"/>
  </r>
  <r>
    <x v="221"/>
    <x v="5"/>
    <x v="2"/>
    <s v="United States"/>
    <x v="29"/>
    <x v="24"/>
    <x v="0"/>
    <n v="7"/>
    <n v="7700"/>
    <n v="1573.41"/>
  </r>
  <r>
    <x v="373"/>
    <x v="5"/>
    <x v="2"/>
    <s v="United States"/>
    <x v="29"/>
    <x v="24"/>
    <x v="0"/>
    <n v="5"/>
    <n v="2095"/>
    <n v="193.93"/>
  </r>
  <r>
    <x v="407"/>
    <x v="3"/>
    <x v="2"/>
    <s v="United States"/>
    <x v="14"/>
    <x v="12"/>
    <x v="1"/>
    <n v="5"/>
    <n v="5990"/>
    <n v="1548.62"/>
  </r>
  <r>
    <x v="874"/>
    <x v="5"/>
    <x v="2"/>
    <s v="United States"/>
    <x v="76"/>
    <x v="25"/>
    <x v="0"/>
    <n v="2"/>
    <n v="1206"/>
    <n v="307.02"/>
  </r>
  <r>
    <x v="878"/>
    <x v="5"/>
    <x v="2"/>
    <s v="United States"/>
    <x v="6"/>
    <x v="5"/>
    <x v="3"/>
    <n v="5"/>
    <n v="1330"/>
    <n v="285.77999999999997"/>
  </r>
  <r>
    <x v="879"/>
    <x v="3"/>
    <x v="2"/>
    <s v="United States"/>
    <x v="79"/>
    <x v="16"/>
    <x v="3"/>
    <n v="6"/>
    <n v="2706"/>
    <n v="766.68"/>
  </r>
  <r>
    <x v="485"/>
    <x v="9"/>
    <x v="2"/>
    <s v="United States"/>
    <x v="347"/>
    <x v="1"/>
    <x v="0"/>
    <n v="3"/>
    <n v="426"/>
    <n v="50.8"/>
  </r>
  <r>
    <x v="880"/>
    <x v="2"/>
    <x v="2"/>
    <s v="United States"/>
    <x v="41"/>
    <x v="28"/>
    <x v="2"/>
    <n v="1"/>
    <n v="414"/>
    <n v="50.26"/>
  </r>
  <r>
    <x v="136"/>
    <x v="9"/>
    <x v="2"/>
    <s v="United States"/>
    <x v="77"/>
    <x v="11"/>
    <x v="3"/>
    <n v="5"/>
    <n v="5465"/>
    <n v="546.33000000000004"/>
  </r>
  <r>
    <x v="79"/>
    <x v="2"/>
    <x v="2"/>
    <s v="United States"/>
    <x v="348"/>
    <x v="5"/>
    <x v="3"/>
    <n v="3"/>
    <n v="726"/>
    <n v="71.06"/>
  </r>
  <r>
    <x v="881"/>
    <x v="5"/>
    <x v="2"/>
    <s v="United States"/>
    <x v="349"/>
    <x v="12"/>
    <x v="1"/>
    <n v="1"/>
    <n v="1001"/>
    <n v="225.75"/>
  </r>
  <r>
    <x v="93"/>
    <x v="1"/>
    <x v="1"/>
    <s v="United States"/>
    <x v="13"/>
    <x v="7"/>
    <x v="2"/>
    <n v="9"/>
    <n v="7362"/>
    <n v="1866.65"/>
  </r>
  <r>
    <x v="92"/>
    <x v="8"/>
    <x v="1"/>
    <s v="United States"/>
    <x v="13"/>
    <x v="7"/>
    <x v="2"/>
    <n v="4"/>
    <n v="2284"/>
    <n v="576.59"/>
  </r>
  <r>
    <x v="527"/>
    <x v="2"/>
    <x v="2"/>
    <s v="United States"/>
    <x v="13"/>
    <x v="7"/>
    <x v="2"/>
    <n v="4"/>
    <n v="2940"/>
    <n v="566.36"/>
  </r>
  <r>
    <x v="663"/>
    <x v="0"/>
    <x v="0"/>
    <s v="United States"/>
    <x v="2"/>
    <x v="2"/>
    <x v="1"/>
    <n v="4"/>
    <n v="3068"/>
    <n v="868.89"/>
  </r>
  <r>
    <x v="852"/>
    <x v="7"/>
    <x v="2"/>
    <s v="United States"/>
    <x v="144"/>
    <x v="5"/>
    <x v="3"/>
    <n v="3"/>
    <n v="3477"/>
    <n v="862.21"/>
  </r>
  <r>
    <x v="218"/>
    <x v="5"/>
    <x v="2"/>
    <s v="United States"/>
    <x v="13"/>
    <x v="7"/>
    <x v="2"/>
    <n v="9"/>
    <n v="4014"/>
    <n v="204.48"/>
  </r>
  <r>
    <x v="852"/>
    <x v="6"/>
    <x v="1"/>
    <s v="United States"/>
    <x v="268"/>
    <x v="3"/>
    <x v="2"/>
    <n v="8"/>
    <n v="7200"/>
    <n v="804.53"/>
  </r>
  <r>
    <x v="840"/>
    <x v="5"/>
    <x v="2"/>
    <s v="United States"/>
    <x v="3"/>
    <x v="3"/>
    <x v="2"/>
    <n v="3"/>
    <n v="735"/>
    <n v="134.53"/>
  </r>
  <r>
    <x v="171"/>
    <x v="6"/>
    <x v="1"/>
    <s v="United States"/>
    <x v="15"/>
    <x v="13"/>
    <x v="1"/>
    <n v="3"/>
    <n v="2964"/>
    <n v="446.54"/>
  </r>
  <r>
    <x v="219"/>
    <x v="3"/>
    <x v="2"/>
    <s v="United States"/>
    <x v="51"/>
    <x v="30"/>
    <x v="0"/>
    <n v="9"/>
    <n v="3699"/>
    <n v="276.07"/>
  </r>
  <r>
    <x v="92"/>
    <x v="0"/>
    <x v="0"/>
    <s v="United States"/>
    <x v="2"/>
    <x v="2"/>
    <x v="1"/>
    <n v="3"/>
    <n v="1563"/>
    <n v="221.62"/>
  </r>
  <r>
    <x v="442"/>
    <x v="1"/>
    <x v="1"/>
    <s v="United States"/>
    <x v="228"/>
    <x v="9"/>
    <x v="0"/>
    <n v="2"/>
    <n v="124"/>
    <n v="32.270000000000003"/>
  </r>
  <r>
    <x v="237"/>
    <x v="1"/>
    <x v="1"/>
    <s v="United States"/>
    <x v="15"/>
    <x v="13"/>
    <x v="1"/>
    <n v="2"/>
    <n v="416"/>
    <n v="71.680000000000007"/>
  </r>
  <r>
    <x v="401"/>
    <x v="3"/>
    <x v="2"/>
    <s v="United States"/>
    <x v="1"/>
    <x v="1"/>
    <x v="0"/>
    <n v="8"/>
    <n v="2624"/>
    <n v="294.24"/>
  </r>
  <r>
    <x v="143"/>
    <x v="4"/>
    <x v="1"/>
    <s v="United States"/>
    <x v="6"/>
    <x v="5"/>
    <x v="3"/>
    <n v="4"/>
    <n v="1636"/>
    <n v="134.85"/>
  </r>
  <r>
    <x v="161"/>
    <x v="4"/>
    <x v="1"/>
    <s v="United States"/>
    <x v="174"/>
    <x v="2"/>
    <x v="1"/>
    <n v="8"/>
    <n v="8200"/>
    <n v="1978.93"/>
  </r>
  <r>
    <x v="149"/>
    <x v="1"/>
    <x v="1"/>
    <s v="United States"/>
    <x v="59"/>
    <x v="15"/>
    <x v="2"/>
    <n v="5"/>
    <n v="5615"/>
    <n v="715.58"/>
  </r>
  <r>
    <x v="365"/>
    <x v="0"/>
    <x v="0"/>
    <s v="United States"/>
    <x v="42"/>
    <x v="8"/>
    <x v="3"/>
    <n v="5"/>
    <n v="3085"/>
    <n v="413.52"/>
  </r>
  <r>
    <x v="820"/>
    <x v="8"/>
    <x v="1"/>
    <s v="United States"/>
    <x v="42"/>
    <x v="8"/>
    <x v="3"/>
    <n v="6"/>
    <n v="3198"/>
    <n v="913.76"/>
  </r>
  <r>
    <x v="516"/>
    <x v="3"/>
    <x v="2"/>
    <s v="United States"/>
    <x v="350"/>
    <x v="5"/>
    <x v="3"/>
    <n v="4"/>
    <n v="1848"/>
    <n v="374.66"/>
  </r>
  <r>
    <x v="832"/>
    <x v="5"/>
    <x v="2"/>
    <s v="United States"/>
    <x v="28"/>
    <x v="2"/>
    <x v="1"/>
    <n v="4"/>
    <n v="652"/>
    <n v="116.06"/>
  </r>
  <r>
    <x v="601"/>
    <x v="1"/>
    <x v="1"/>
    <s v="United States"/>
    <x v="228"/>
    <x v="9"/>
    <x v="0"/>
    <n v="6"/>
    <n v="2940"/>
    <n v="609.99"/>
  </r>
  <r>
    <x v="282"/>
    <x v="4"/>
    <x v="1"/>
    <s v="United States"/>
    <x v="228"/>
    <x v="9"/>
    <x v="0"/>
    <n v="4"/>
    <n v="3912"/>
    <n v="454.89"/>
  </r>
  <r>
    <x v="672"/>
    <x v="2"/>
    <x v="2"/>
    <s v="United States"/>
    <x v="13"/>
    <x v="7"/>
    <x v="2"/>
    <n v="8"/>
    <n v="9392"/>
    <n v="891.07"/>
  </r>
  <r>
    <x v="30"/>
    <x v="6"/>
    <x v="1"/>
    <s v="United States"/>
    <x v="2"/>
    <x v="2"/>
    <x v="1"/>
    <n v="1"/>
    <n v="312"/>
    <n v="43.01"/>
  </r>
  <r>
    <x v="661"/>
    <x v="9"/>
    <x v="2"/>
    <s v="United States"/>
    <x v="53"/>
    <x v="2"/>
    <x v="1"/>
    <n v="9"/>
    <n v="7731"/>
    <n v="1459.74"/>
  </r>
  <r>
    <x v="882"/>
    <x v="2"/>
    <x v="2"/>
    <s v="United States"/>
    <x v="28"/>
    <x v="2"/>
    <x v="1"/>
    <n v="1"/>
    <n v="1081"/>
    <n v="229.32"/>
  </r>
  <r>
    <x v="173"/>
    <x v="7"/>
    <x v="2"/>
    <s v="United States"/>
    <x v="6"/>
    <x v="5"/>
    <x v="3"/>
    <n v="6"/>
    <n v="1926"/>
    <n v="393.01"/>
  </r>
  <r>
    <x v="530"/>
    <x v="6"/>
    <x v="1"/>
    <s v="United States"/>
    <x v="6"/>
    <x v="5"/>
    <x v="3"/>
    <n v="3"/>
    <n v="936"/>
    <n v="88.51"/>
  </r>
  <r>
    <x v="343"/>
    <x v="9"/>
    <x v="2"/>
    <s v="United States"/>
    <x v="34"/>
    <x v="9"/>
    <x v="0"/>
    <n v="9"/>
    <n v="8550"/>
    <n v="1970.98"/>
  </r>
  <r>
    <x v="354"/>
    <x v="6"/>
    <x v="1"/>
    <s v="United States"/>
    <x v="34"/>
    <x v="9"/>
    <x v="0"/>
    <n v="4"/>
    <n v="2468"/>
    <n v="457.51"/>
  </r>
  <r>
    <x v="339"/>
    <x v="2"/>
    <x v="2"/>
    <s v="United States"/>
    <x v="15"/>
    <x v="13"/>
    <x v="1"/>
    <n v="3"/>
    <n v="801"/>
    <n v="90.34"/>
  </r>
  <r>
    <x v="564"/>
    <x v="9"/>
    <x v="2"/>
    <s v="United States"/>
    <x v="351"/>
    <x v="36"/>
    <x v="1"/>
    <n v="9"/>
    <n v="2655"/>
    <n v="701.11"/>
  </r>
  <r>
    <x v="554"/>
    <x v="5"/>
    <x v="2"/>
    <s v="United States"/>
    <x v="53"/>
    <x v="2"/>
    <x v="1"/>
    <n v="8"/>
    <n v="3928"/>
    <n v="700.38"/>
  </r>
  <r>
    <x v="325"/>
    <x v="6"/>
    <x v="1"/>
    <s v="United States"/>
    <x v="11"/>
    <x v="32"/>
    <x v="2"/>
    <n v="8"/>
    <n v="6488"/>
    <n v="1438.34"/>
  </r>
  <r>
    <x v="13"/>
    <x v="4"/>
    <x v="1"/>
    <s v="United States"/>
    <x v="74"/>
    <x v="12"/>
    <x v="1"/>
    <n v="9"/>
    <n v="7695"/>
    <n v="1749.26"/>
  </r>
  <r>
    <x v="431"/>
    <x v="4"/>
    <x v="1"/>
    <s v="United States"/>
    <x v="156"/>
    <x v="5"/>
    <x v="3"/>
    <n v="2"/>
    <n v="1856"/>
    <n v="468.19"/>
  </r>
  <r>
    <x v="406"/>
    <x v="5"/>
    <x v="2"/>
    <s v="United States"/>
    <x v="13"/>
    <x v="7"/>
    <x v="2"/>
    <n v="7"/>
    <n v="1519"/>
    <n v="403.63"/>
  </r>
  <r>
    <x v="385"/>
    <x v="2"/>
    <x v="2"/>
    <s v="United States"/>
    <x v="6"/>
    <x v="5"/>
    <x v="3"/>
    <n v="3"/>
    <n v="3549"/>
    <n v="996.05"/>
  </r>
  <r>
    <x v="393"/>
    <x v="9"/>
    <x v="2"/>
    <s v="United States"/>
    <x v="352"/>
    <x v="42"/>
    <x v="1"/>
    <n v="3"/>
    <n v="1656"/>
    <n v="378.84"/>
  </r>
  <r>
    <x v="715"/>
    <x v="8"/>
    <x v="1"/>
    <s v="United States"/>
    <x v="91"/>
    <x v="30"/>
    <x v="0"/>
    <n v="7"/>
    <n v="812"/>
    <n v="175.55"/>
  </r>
  <r>
    <x v="793"/>
    <x v="1"/>
    <x v="1"/>
    <s v="United States"/>
    <x v="91"/>
    <x v="30"/>
    <x v="0"/>
    <n v="5"/>
    <n v="3730"/>
    <n v="864.41"/>
  </r>
  <r>
    <x v="161"/>
    <x v="6"/>
    <x v="1"/>
    <s v="United States"/>
    <x v="258"/>
    <x v="37"/>
    <x v="3"/>
    <n v="1"/>
    <n v="1161"/>
    <n v="210.87"/>
  </r>
  <r>
    <x v="531"/>
    <x v="4"/>
    <x v="1"/>
    <s v="United States"/>
    <x v="353"/>
    <x v="7"/>
    <x v="2"/>
    <n v="3"/>
    <n v="2256"/>
    <n v="282.52"/>
  </r>
  <r>
    <x v="505"/>
    <x v="6"/>
    <x v="1"/>
    <s v="United States"/>
    <x v="110"/>
    <x v="22"/>
    <x v="1"/>
    <n v="1"/>
    <n v="359"/>
    <n v="78.17"/>
  </r>
  <r>
    <x v="628"/>
    <x v="4"/>
    <x v="1"/>
    <s v="United States"/>
    <x v="95"/>
    <x v="25"/>
    <x v="0"/>
    <n v="2"/>
    <n v="130"/>
    <n v="11.1"/>
  </r>
  <r>
    <x v="60"/>
    <x v="1"/>
    <x v="1"/>
    <s v="United States"/>
    <x v="168"/>
    <x v="30"/>
    <x v="0"/>
    <n v="8"/>
    <n v="4248"/>
    <n v="831.54"/>
  </r>
  <r>
    <x v="883"/>
    <x v="3"/>
    <x v="2"/>
    <s v="United States"/>
    <x v="309"/>
    <x v="18"/>
    <x v="2"/>
    <n v="5"/>
    <n v="1825"/>
    <n v="221.47"/>
  </r>
  <r>
    <x v="407"/>
    <x v="8"/>
    <x v="1"/>
    <s v="United States"/>
    <x v="9"/>
    <x v="8"/>
    <x v="3"/>
    <n v="2"/>
    <n v="876"/>
    <n v="224.01"/>
  </r>
  <r>
    <x v="564"/>
    <x v="3"/>
    <x v="2"/>
    <s v="United States"/>
    <x v="15"/>
    <x v="13"/>
    <x v="1"/>
    <n v="9"/>
    <n v="9180"/>
    <n v="2752.84"/>
  </r>
  <r>
    <x v="38"/>
    <x v="6"/>
    <x v="1"/>
    <s v="United States"/>
    <x v="354"/>
    <x v="2"/>
    <x v="1"/>
    <n v="5"/>
    <n v="1765"/>
    <n v="160.88999999999999"/>
  </r>
  <r>
    <x v="789"/>
    <x v="6"/>
    <x v="1"/>
    <s v="United States"/>
    <x v="29"/>
    <x v="24"/>
    <x v="0"/>
    <n v="2"/>
    <n v="1504"/>
    <n v="164.51"/>
  </r>
  <r>
    <x v="718"/>
    <x v="8"/>
    <x v="1"/>
    <s v="United States"/>
    <x v="53"/>
    <x v="2"/>
    <x v="1"/>
    <n v="9"/>
    <n v="1881"/>
    <n v="430.78"/>
  </r>
  <r>
    <x v="714"/>
    <x v="8"/>
    <x v="1"/>
    <s v="United States"/>
    <x v="303"/>
    <x v="5"/>
    <x v="3"/>
    <n v="9"/>
    <n v="7425"/>
    <n v="1533.72"/>
  </r>
  <r>
    <x v="15"/>
    <x v="2"/>
    <x v="2"/>
    <s v="United States"/>
    <x v="2"/>
    <x v="2"/>
    <x v="1"/>
    <n v="9"/>
    <n v="720"/>
    <n v="192.83"/>
  </r>
  <r>
    <x v="517"/>
    <x v="7"/>
    <x v="2"/>
    <s v="United States"/>
    <x v="42"/>
    <x v="8"/>
    <x v="3"/>
    <n v="5"/>
    <n v="2985"/>
    <n v="698.22"/>
  </r>
  <r>
    <x v="814"/>
    <x v="9"/>
    <x v="2"/>
    <s v="United States"/>
    <x v="42"/>
    <x v="8"/>
    <x v="3"/>
    <n v="9"/>
    <n v="711"/>
    <n v="200.11"/>
  </r>
  <r>
    <x v="884"/>
    <x v="0"/>
    <x v="0"/>
    <s v="United States"/>
    <x v="304"/>
    <x v="25"/>
    <x v="0"/>
    <n v="6"/>
    <n v="6276"/>
    <n v="1396.25"/>
  </r>
  <r>
    <x v="616"/>
    <x v="1"/>
    <x v="1"/>
    <s v="United States"/>
    <x v="355"/>
    <x v="1"/>
    <x v="0"/>
    <n v="7"/>
    <n v="7966"/>
    <n v="955.8"/>
  </r>
  <r>
    <x v="107"/>
    <x v="4"/>
    <x v="1"/>
    <s v="United States"/>
    <x v="88"/>
    <x v="8"/>
    <x v="3"/>
    <n v="8"/>
    <n v="4200"/>
    <n v="854.89"/>
  </r>
  <r>
    <x v="432"/>
    <x v="9"/>
    <x v="2"/>
    <s v="United States"/>
    <x v="156"/>
    <x v="5"/>
    <x v="3"/>
    <n v="7"/>
    <n v="455"/>
    <n v="80"/>
  </r>
  <r>
    <x v="478"/>
    <x v="8"/>
    <x v="1"/>
    <s v="United States"/>
    <x v="156"/>
    <x v="5"/>
    <x v="3"/>
    <n v="8"/>
    <n v="5040"/>
    <n v="465.36"/>
  </r>
  <r>
    <x v="513"/>
    <x v="1"/>
    <x v="1"/>
    <s v="United States"/>
    <x v="79"/>
    <x v="16"/>
    <x v="3"/>
    <n v="1"/>
    <n v="856"/>
    <n v="87.69"/>
  </r>
  <r>
    <x v="50"/>
    <x v="6"/>
    <x v="1"/>
    <s v="United States"/>
    <x v="356"/>
    <x v="16"/>
    <x v="3"/>
    <n v="5"/>
    <n v="5230"/>
    <n v="385.77"/>
  </r>
  <r>
    <x v="120"/>
    <x v="9"/>
    <x v="2"/>
    <s v="United States"/>
    <x v="14"/>
    <x v="8"/>
    <x v="3"/>
    <n v="5"/>
    <n v="4635"/>
    <n v="769.03"/>
  </r>
  <r>
    <x v="820"/>
    <x v="9"/>
    <x v="2"/>
    <s v="United States"/>
    <x v="38"/>
    <x v="9"/>
    <x v="0"/>
    <n v="6"/>
    <n v="5508"/>
    <n v="360.28"/>
  </r>
  <r>
    <x v="68"/>
    <x v="7"/>
    <x v="2"/>
    <s v="United States"/>
    <x v="51"/>
    <x v="1"/>
    <x v="0"/>
    <n v="1"/>
    <n v="258"/>
    <n v="27.01"/>
  </r>
  <r>
    <x v="442"/>
    <x v="7"/>
    <x v="2"/>
    <s v="United States"/>
    <x v="173"/>
    <x v="1"/>
    <x v="0"/>
    <n v="1"/>
    <n v="677"/>
    <n v="88.41"/>
  </r>
  <r>
    <x v="749"/>
    <x v="6"/>
    <x v="1"/>
    <s v="United States"/>
    <x v="6"/>
    <x v="5"/>
    <x v="3"/>
    <n v="5"/>
    <n v="4545"/>
    <n v="755.05"/>
  </r>
  <r>
    <x v="299"/>
    <x v="7"/>
    <x v="2"/>
    <s v="United States"/>
    <x v="304"/>
    <x v="25"/>
    <x v="0"/>
    <n v="5"/>
    <n v="4370"/>
    <n v="1255.3599999999999"/>
  </r>
  <r>
    <x v="519"/>
    <x v="8"/>
    <x v="1"/>
    <s v="United States"/>
    <x v="304"/>
    <x v="25"/>
    <x v="0"/>
    <n v="3"/>
    <n v="372"/>
    <n v="57.51"/>
  </r>
  <r>
    <x v="640"/>
    <x v="3"/>
    <x v="2"/>
    <s v="United States"/>
    <x v="3"/>
    <x v="3"/>
    <x v="2"/>
    <n v="9"/>
    <n v="3177"/>
    <n v="629.96"/>
  </r>
  <r>
    <x v="704"/>
    <x v="0"/>
    <x v="0"/>
    <s v="United States"/>
    <x v="13"/>
    <x v="7"/>
    <x v="2"/>
    <n v="7"/>
    <n v="1659"/>
    <n v="127.48"/>
  </r>
  <r>
    <x v="157"/>
    <x v="2"/>
    <x v="2"/>
    <s v="United States"/>
    <x v="2"/>
    <x v="2"/>
    <x v="1"/>
    <n v="3"/>
    <n v="3360"/>
    <n v="759.31"/>
  </r>
  <r>
    <x v="885"/>
    <x v="7"/>
    <x v="2"/>
    <s v="United States"/>
    <x v="144"/>
    <x v="5"/>
    <x v="3"/>
    <n v="2"/>
    <n v="1132"/>
    <n v="290.56"/>
  </r>
  <r>
    <x v="220"/>
    <x v="5"/>
    <x v="2"/>
    <s v="United States"/>
    <x v="9"/>
    <x v="8"/>
    <x v="3"/>
    <n v="5"/>
    <n v="1815"/>
    <n v="468.62"/>
  </r>
  <r>
    <x v="734"/>
    <x v="1"/>
    <x v="1"/>
    <s v="United States"/>
    <x v="9"/>
    <x v="8"/>
    <x v="3"/>
    <n v="1"/>
    <n v="459"/>
    <n v="125.19"/>
  </r>
  <r>
    <x v="886"/>
    <x v="7"/>
    <x v="2"/>
    <s v="United States"/>
    <x v="51"/>
    <x v="30"/>
    <x v="0"/>
    <n v="1"/>
    <n v="1128"/>
    <n v="73.739999999999995"/>
  </r>
  <r>
    <x v="421"/>
    <x v="6"/>
    <x v="1"/>
    <s v="United States"/>
    <x v="76"/>
    <x v="23"/>
    <x v="3"/>
    <n v="6"/>
    <n v="1170"/>
    <n v="104.63"/>
  </r>
  <r>
    <x v="306"/>
    <x v="5"/>
    <x v="2"/>
    <s v="United States"/>
    <x v="11"/>
    <x v="9"/>
    <x v="0"/>
    <n v="5"/>
    <n v="4420"/>
    <n v="380.69"/>
  </r>
  <r>
    <x v="544"/>
    <x v="7"/>
    <x v="2"/>
    <s v="United States"/>
    <x v="3"/>
    <x v="3"/>
    <x v="2"/>
    <n v="6"/>
    <n v="456"/>
    <n v="69.150000000000006"/>
  </r>
  <r>
    <x v="400"/>
    <x v="2"/>
    <x v="2"/>
    <s v="United States"/>
    <x v="79"/>
    <x v="16"/>
    <x v="3"/>
    <n v="2"/>
    <n v="1458"/>
    <n v="154.79"/>
  </r>
  <r>
    <x v="887"/>
    <x v="6"/>
    <x v="1"/>
    <s v="United States"/>
    <x v="13"/>
    <x v="7"/>
    <x v="2"/>
    <n v="7"/>
    <n v="2989"/>
    <n v="197.58"/>
  </r>
  <r>
    <x v="888"/>
    <x v="3"/>
    <x v="2"/>
    <s v="United States"/>
    <x v="76"/>
    <x v="25"/>
    <x v="0"/>
    <n v="4"/>
    <n v="3424"/>
    <n v="845.68"/>
  </r>
  <r>
    <x v="859"/>
    <x v="1"/>
    <x v="1"/>
    <s v="United States"/>
    <x v="200"/>
    <x v="12"/>
    <x v="1"/>
    <n v="2"/>
    <n v="1226"/>
    <n v="124.25"/>
  </r>
  <r>
    <x v="419"/>
    <x v="9"/>
    <x v="2"/>
    <s v="United States"/>
    <x v="13"/>
    <x v="7"/>
    <x v="2"/>
    <n v="8"/>
    <n v="6760"/>
    <n v="1097.6300000000001"/>
  </r>
  <r>
    <x v="889"/>
    <x v="7"/>
    <x v="2"/>
    <s v="United States"/>
    <x v="13"/>
    <x v="7"/>
    <x v="2"/>
    <n v="1"/>
    <n v="111"/>
    <n v="13.61"/>
  </r>
  <r>
    <x v="636"/>
    <x v="0"/>
    <x v="0"/>
    <s v="United States"/>
    <x v="357"/>
    <x v="20"/>
    <x v="2"/>
    <n v="5"/>
    <n v="3275"/>
    <n v="222.29"/>
  </r>
  <r>
    <x v="303"/>
    <x v="4"/>
    <x v="1"/>
    <s v="United States"/>
    <x v="357"/>
    <x v="20"/>
    <x v="2"/>
    <n v="3"/>
    <n v="2508"/>
    <n v="498.69"/>
  </r>
  <r>
    <x v="207"/>
    <x v="8"/>
    <x v="1"/>
    <s v="United States"/>
    <x v="15"/>
    <x v="13"/>
    <x v="1"/>
    <n v="8"/>
    <n v="904"/>
    <n v="202.35"/>
  </r>
  <r>
    <x v="640"/>
    <x v="0"/>
    <x v="0"/>
    <s v="United States"/>
    <x v="25"/>
    <x v="17"/>
    <x v="3"/>
    <n v="3"/>
    <n v="1506"/>
    <n v="427.84"/>
  </r>
  <r>
    <x v="139"/>
    <x v="7"/>
    <x v="2"/>
    <s v="United States"/>
    <x v="262"/>
    <x v="22"/>
    <x v="1"/>
    <n v="3"/>
    <n v="987"/>
    <n v="97.01"/>
  </r>
  <r>
    <x v="196"/>
    <x v="7"/>
    <x v="2"/>
    <s v="United States"/>
    <x v="358"/>
    <x v="1"/>
    <x v="0"/>
    <n v="7"/>
    <n v="2968"/>
    <n v="728.94"/>
  </r>
  <r>
    <x v="81"/>
    <x v="1"/>
    <x v="1"/>
    <s v="United States"/>
    <x v="13"/>
    <x v="7"/>
    <x v="2"/>
    <n v="5"/>
    <n v="4200"/>
    <n v="746.86"/>
  </r>
  <r>
    <x v="750"/>
    <x v="5"/>
    <x v="2"/>
    <s v="United States"/>
    <x v="2"/>
    <x v="2"/>
    <x v="1"/>
    <n v="5"/>
    <n v="1645"/>
    <n v="313.66000000000003"/>
  </r>
  <r>
    <x v="890"/>
    <x v="0"/>
    <x v="0"/>
    <s v="United States"/>
    <x v="2"/>
    <x v="2"/>
    <x v="1"/>
    <n v="3"/>
    <n v="3282"/>
    <n v="492.59"/>
  </r>
  <r>
    <x v="516"/>
    <x v="4"/>
    <x v="1"/>
    <s v="United States"/>
    <x v="15"/>
    <x v="13"/>
    <x v="1"/>
    <n v="9"/>
    <n v="4914"/>
    <n v="1160.45"/>
  </r>
  <r>
    <x v="367"/>
    <x v="9"/>
    <x v="2"/>
    <s v="United States"/>
    <x v="67"/>
    <x v="13"/>
    <x v="1"/>
    <n v="6"/>
    <n v="3924"/>
    <n v="762.96"/>
  </r>
  <r>
    <x v="250"/>
    <x v="4"/>
    <x v="1"/>
    <s v="United States"/>
    <x v="3"/>
    <x v="3"/>
    <x v="2"/>
    <n v="6"/>
    <n v="420"/>
    <n v="65.62"/>
  </r>
  <r>
    <x v="168"/>
    <x v="0"/>
    <x v="0"/>
    <s v="United States"/>
    <x v="0"/>
    <x v="0"/>
    <x v="0"/>
    <n v="4"/>
    <n v="1544"/>
    <n v="106.02"/>
  </r>
  <r>
    <x v="891"/>
    <x v="4"/>
    <x v="1"/>
    <s v="United States"/>
    <x v="6"/>
    <x v="5"/>
    <x v="3"/>
    <n v="2"/>
    <n v="2046"/>
    <n v="233.47"/>
  </r>
  <r>
    <x v="424"/>
    <x v="4"/>
    <x v="1"/>
    <s v="United States"/>
    <x v="8"/>
    <x v="15"/>
    <x v="2"/>
    <n v="2"/>
    <n v="1548"/>
    <n v="157.47999999999999"/>
  </r>
  <r>
    <x v="253"/>
    <x v="8"/>
    <x v="1"/>
    <s v="United States"/>
    <x v="6"/>
    <x v="5"/>
    <x v="3"/>
    <n v="4"/>
    <n v="3184"/>
    <n v="478.27"/>
  </r>
  <r>
    <x v="892"/>
    <x v="0"/>
    <x v="0"/>
    <s v="United States"/>
    <x v="3"/>
    <x v="3"/>
    <x v="2"/>
    <n v="5"/>
    <n v="3385"/>
    <n v="774.86"/>
  </r>
  <r>
    <x v="893"/>
    <x v="6"/>
    <x v="1"/>
    <s v="United States"/>
    <x v="3"/>
    <x v="3"/>
    <x v="2"/>
    <n v="1"/>
    <n v="59"/>
    <n v="10.32"/>
  </r>
  <r>
    <x v="463"/>
    <x v="6"/>
    <x v="1"/>
    <s v="United States"/>
    <x v="6"/>
    <x v="5"/>
    <x v="3"/>
    <n v="8"/>
    <n v="5976"/>
    <n v="1016.99"/>
  </r>
  <r>
    <x v="894"/>
    <x v="1"/>
    <x v="1"/>
    <s v="United States"/>
    <x v="6"/>
    <x v="5"/>
    <x v="3"/>
    <n v="3"/>
    <n v="1791"/>
    <n v="122.5"/>
  </r>
  <r>
    <x v="616"/>
    <x v="5"/>
    <x v="2"/>
    <s v="United States"/>
    <x v="59"/>
    <x v="15"/>
    <x v="2"/>
    <n v="2"/>
    <n v="1644"/>
    <n v="189.32"/>
  </r>
  <r>
    <x v="432"/>
    <x v="2"/>
    <x v="2"/>
    <s v="United States"/>
    <x v="359"/>
    <x v="32"/>
    <x v="2"/>
    <n v="8"/>
    <n v="6584"/>
    <n v="544.62"/>
  </r>
  <r>
    <x v="474"/>
    <x v="4"/>
    <x v="1"/>
    <s v="United States"/>
    <x v="3"/>
    <x v="3"/>
    <x v="2"/>
    <n v="5"/>
    <n v="1620"/>
    <n v="325.87"/>
  </r>
  <r>
    <x v="895"/>
    <x v="1"/>
    <x v="1"/>
    <s v="United States"/>
    <x v="360"/>
    <x v="16"/>
    <x v="3"/>
    <n v="9"/>
    <n v="2736"/>
    <n v="407.22"/>
  </r>
  <r>
    <x v="896"/>
    <x v="6"/>
    <x v="1"/>
    <s v="United States"/>
    <x v="360"/>
    <x v="16"/>
    <x v="3"/>
    <n v="4"/>
    <n v="1064"/>
    <n v="274.47000000000003"/>
  </r>
  <r>
    <x v="113"/>
    <x v="3"/>
    <x v="2"/>
    <s v="United States"/>
    <x v="299"/>
    <x v="2"/>
    <x v="1"/>
    <n v="7"/>
    <n v="2667"/>
    <n v="363.5"/>
  </r>
  <r>
    <x v="897"/>
    <x v="4"/>
    <x v="1"/>
    <s v="United States"/>
    <x v="327"/>
    <x v="2"/>
    <x v="1"/>
    <n v="3"/>
    <n v="735"/>
    <n v="217.79"/>
  </r>
  <r>
    <x v="643"/>
    <x v="9"/>
    <x v="2"/>
    <s v="United States"/>
    <x v="327"/>
    <x v="2"/>
    <x v="1"/>
    <n v="1"/>
    <n v="58"/>
    <n v="11.25"/>
  </r>
  <r>
    <x v="526"/>
    <x v="3"/>
    <x v="2"/>
    <s v="United States"/>
    <x v="124"/>
    <x v="2"/>
    <x v="1"/>
    <n v="7"/>
    <n v="3136"/>
    <n v="850.3"/>
  </r>
  <r>
    <x v="652"/>
    <x v="1"/>
    <x v="1"/>
    <s v="United States"/>
    <x v="361"/>
    <x v="18"/>
    <x v="2"/>
    <n v="4"/>
    <n v="3936"/>
    <n v="374.34"/>
  </r>
  <r>
    <x v="457"/>
    <x v="7"/>
    <x v="2"/>
    <s v="United States"/>
    <x v="28"/>
    <x v="2"/>
    <x v="1"/>
    <n v="9"/>
    <n v="6102"/>
    <n v="947.91"/>
  </r>
  <r>
    <x v="432"/>
    <x v="7"/>
    <x v="2"/>
    <s v="United States"/>
    <x v="28"/>
    <x v="2"/>
    <x v="1"/>
    <n v="8"/>
    <n v="9408"/>
    <n v="552.44000000000005"/>
  </r>
  <r>
    <x v="91"/>
    <x v="1"/>
    <x v="1"/>
    <s v="United States"/>
    <x v="3"/>
    <x v="3"/>
    <x v="2"/>
    <n v="9"/>
    <n v="7875"/>
    <n v="1243.56"/>
  </r>
  <r>
    <x v="224"/>
    <x v="8"/>
    <x v="1"/>
    <s v="United States"/>
    <x v="120"/>
    <x v="35"/>
    <x v="0"/>
    <n v="9"/>
    <n v="9900"/>
    <n v="576.79999999999995"/>
  </r>
  <r>
    <x v="898"/>
    <x v="8"/>
    <x v="1"/>
    <s v="United States"/>
    <x v="2"/>
    <x v="2"/>
    <x v="1"/>
    <n v="2"/>
    <n v="430"/>
    <n v="114.91"/>
  </r>
  <r>
    <x v="796"/>
    <x v="1"/>
    <x v="1"/>
    <s v="United States"/>
    <x v="2"/>
    <x v="2"/>
    <x v="1"/>
    <n v="3"/>
    <n v="813"/>
    <n v="238.1"/>
  </r>
  <r>
    <x v="644"/>
    <x v="3"/>
    <x v="2"/>
    <s v="United States"/>
    <x v="29"/>
    <x v="15"/>
    <x v="2"/>
    <n v="4"/>
    <n v="4176"/>
    <n v="980.11"/>
  </r>
  <r>
    <x v="368"/>
    <x v="3"/>
    <x v="2"/>
    <s v="United States"/>
    <x v="28"/>
    <x v="2"/>
    <x v="1"/>
    <n v="4"/>
    <n v="3084"/>
    <n v="348.38"/>
  </r>
  <r>
    <x v="133"/>
    <x v="1"/>
    <x v="1"/>
    <s v="United States"/>
    <x v="11"/>
    <x v="23"/>
    <x v="3"/>
    <n v="7"/>
    <n v="8008"/>
    <n v="1593.65"/>
  </r>
  <r>
    <x v="585"/>
    <x v="5"/>
    <x v="2"/>
    <s v="United States"/>
    <x v="11"/>
    <x v="23"/>
    <x v="3"/>
    <n v="4"/>
    <n v="4608"/>
    <n v="963.5"/>
  </r>
  <r>
    <x v="821"/>
    <x v="4"/>
    <x v="1"/>
    <s v="United States"/>
    <x v="15"/>
    <x v="13"/>
    <x v="1"/>
    <n v="4"/>
    <n v="4356"/>
    <n v="614.62"/>
  </r>
  <r>
    <x v="339"/>
    <x v="0"/>
    <x v="0"/>
    <s v="United States"/>
    <x v="25"/>
    <x v="17"/>
    <x v="3"/>
    <n v="1"/>
    <n v="566"/>
    <n v="169.17"/>
  </r>
  <r>
    <x v="899"/>
    <x v="9"/>
    <x v="2"/>
    <s v="United States"/>
    <x v="111"/>
    <x v="34"/>
    <x v="1"/>
    <n v="7"/>
    <n v="945"/>
    <n v="75.209999999999994"/>
  </r>
  <r>
    <x v="900"/>
    <x v="5"/>
    <x v="2"/>
    <s v="United States"/>
    <x v="234"/>
    <x v="7"/>
    <x v="2"/>
    <n v="4"/>
    <n v="2200"/>
    <n v="484.33"/>
  </r>
  <r>
    <x v="773"/>
    <x v="1"/>
    <x v="1"/>
    <s v="United States"/>
    <x v="13"/>
    <x v="7"/>
    <x v="2"/>
    <n v="1"/>
    <n v="746"/>
    <n v="131.25"/>
  </r>
  <r>
    <x v="486"/>
    <x v="6"/>
    <x v="1"/>
    <s v="United States"/>
    <x v="3"/>
    <x v="3"/>
    <x v="2"/>
    <n v="5"/>
    <n v="3505"/>
    <n v="678.18"/>
  </r>
  <r>
    <x v="603"/>
    <x v="6"/>
    <x v="1"/>
    <s v="United States"/>
    <x v="15"/>
    <x v="13"/>
    <x v="1"/>
    <n v="5"/>
    <n v="4795"/>
    <n v="819.12"/>
  </r>
  <r>
    <x v="836"/>
    <x v="6"/>
    <x v="1"/>
    <s v="United States"/>
    <x v="20"/>
    <x v="16"/>
    <x v="3"/>
    <n v="5"/>
    <n v="4590"/>
    <n v="650.04999999999995"/>
  </r>
  <r>
    <x v="34"/>
    <x v="6"/>
    <x v="1"/>
    <s v="United States"/>
    <x v="91"/>
    <x v="30"/>
    <x v="0"/>
    <n v="4"/>
    <n v="2092"/>
    <n v="467.02"/>
  </r>
  <r>
    <x v="321"/>
    <x v="1"/>
    <x v="1"/>
    <s v="United States"/>
    <x v="144"/>
    <x v="5"/>
    <x v="3"/>
    <n v="8"/>
    <n v="3568"/>
    <n v="334.13"/>
  </r>
  <r>
    <x v="863"/>
    <x v="7"/>
    <x v="2"/>
    <s v="United States"/>
    <x v="3"/>
    <x v="3"/>
    <x v="2"/>
    <n v="9"/>
    <n v="10404"/>
    <n v="2028.21"/>
  </r>
  <r>
    <x v="901"/>
    <x v="0"/>
    <x v="0"/>
    <s v="United States"/>
    <x v="59"/>
    <x v="15"/>
    <x v="2"/>
    <n v="9"/>
    <n v="7029"/>
    <n v="1005.58"/>
  </r>
  <r>
    <x v="853"/>
    <x v="9"/>
    <x v="2"/>
    <s v="United States"/>
    <x v="362"/>
    <x v="5"/>
    <x v="3"/>
    <n v="8"/>
    <n v="664"/>
    <n v="126.6"/>
  </r>
  <r>
    <x v="211"/>
    <x v="2"/>
    <x v="2"/>
    <s v="United States"/>
    <x v="13"/>
    <x v="7"/>
    <x v="2"/>
    <n v="3"/>
    <n v="1923"/>
    <n v="274"/>
  </r>
  <r>
    <x v="860"/>
    <x v="0"/>
    <x v="0"/>
    <s v="United States"/>
    <x v="13"/>
    <x v="7"/>
    <x v="2"/>
    <n v="7"/>
    <n v="2471"/>
    <n v="566.51"/>
  </r>
  <r>
    <x v="456"/>
    <x v="7"/>
    <x v="2"/>
    <s v="United States"/>
    <x v="6"/>
    <x v="5"/>
    <x v="3"/>
    <n v="2"/>
    <n v="258"/>
    <n v="64.12"/>
  </r>
  <r>
    <x v="774"/>
    <x v="5"/>
    <x v="2"/>
    <s v="United States"/>
    <x v="6"/>
    <x v="5"/>
    <x v="3"/>
    <n v="9"/>
    <n v="1134"/>
    <n v="267.26"/>
  </r>
  <r>
    <x v="902"/>
    <x v="4"/>
    <x v="1"/>
    <s v="United States"/>
    <x v="2"/>
    <x v="2"/>
    <x v="1"/>
    <n v="5"/>
    <n v="855"/>
    <n v="238.83"/>
  </r>
  <r>
    <x v="549"/>
    <x v="5"/>
    <x v="2"/>
    <s v="United States"/>
    <x v="71"/>
    <x v="13"/>
    <x v="1"/>
    <n v="9"/>
    <n v="3231"/>
    <n v="670.85"/>
  </r>
  <r>
    <x v="640"/>
    <x v="2"/>
    <x v="2"/>
    <s v="United States"/>
    <x v="97"/>
    <x v="1"/>
    <x v="0"/>
    <n v="7"/>
    <n v="3591"/>
    <n v="266.58999999999997"/>
  </r>
  <r>
    <x v="13"/>
    <x v="3"/>
    <x v="2"/>
    <s v="United States"/>
    <x v="8"/>
    <x v="15"/>
    <x v="2"/>
    <n v="2"/>
    <n v="254"/>
    <n v="20.48"/>
  </r>
  <r>
    <x v="278"/>
    <x v="7"/>
    <x v="2"/>
    <s v="United States"/>
    <x v="8"/>
    <x v="15"/>
    <x v="2"/>
    <n v="5"/>
    <n v="5930"/>
    <n v="1193.32"/>
  </r>
  <r>
    <x v="903"/>
    <x v="4"/>
    <x v="1"/>
    <s v="United States"/>
    <x v="8"/>
    <x v="15"/>
    <x v="2"/>
    <n v="2"/>
    <n v="1344"/>
    <n v="297.99"/>
  </r>
  <r>
    <x v="904"/>
    <x v="9"/>
    <x v="2"/>
    <s v="United States"/>
    <x v="363"/>
    <x v="2"/>
    <x v="1"/>
    <n v="1"/>
    <n v="920"/>
    <n v="98.31"/>
  </r>
  <r>
    <x v="905"/>
    <x v="0"/>
    <x v="0"/>
    <s v="United States"/>
    <x v="363"/>
    <x v="2"/>
    <x v="1"/>
    <n v="9"/>
    <n v="5454"/>
    <n v="385.51"/>
  </r>
  <r>
    <x v="906"/>
    <x v="9"/>
    <x v="2"/>
    <s v="United States"/>
    <x v="15"/>
    <x v="13"/>
    <x v="1"/>
    <n v="8"/>
    <n v="9512"/>
    <n v="663.23"/>
  </r>
  <r>
    <x v="304"/>
    <x v="1"/>
    <x v="1"/>
    <s v="United States"/>
    <x v="9"/>
    <x v="8"/>
    <x v="3"/>
    <n v="4"/>
    <n v="2972"/>
    <n v="827.46"/>
  </r>
  <r>
    <x v="324"/>
    <x v="5"/>
    <x v="2"/>
    <s v="United States"/>
    <x v="13"/>
    <x v="7"/>
    <x v="2"/>
    <n v="3"/>
    <n v="3360"/>
    <n v="465.02"/>
  </r>
  <r>
    <x v="781"/>
    <x v="2"/>
    <x v="2"/>
    <s v="United States"/>
    <x v="13"/>
    <x v="7"/>
    <x v="2"/>
    <n v="4"/>
    <n v="1004"/>
    <n v="240.13"/>
  </r>
  <r>
    <x v="366"/>
    <x v="4"/>
    <x v="1"/>
    <s v="United States"/>
    <x v="15"/>
    <x v="13"/>
    <x v="1"/>
    <n v="2"/>
    <n v="1944"/>
    <n v="332.55"/>
  </r>
  <r>
    <x v="796"/>
    <x v="6"/>
    <x v="1"/>
    <s v="United States"/>
    <x v="218"/>
    <x v="32"/>
    <x v="2"/>
    <n v="5"/>
    <n v="5055"/>
    <n v="1200.0899999999999"/>
  </r>
  <r>
    <x v="222"/>
    <x v="5"/>
    <x v="2"/>
    <s v="United States"/>
    <x v="29"/>
    <x v="15"/>
    <x v="2"/>
    <n v="2"/>
    <n v="128"/>
    <n v="8.33"/>
  </r>
  <r>
    <x v="811"/>
    <x v="7"/>
    <x v="2"/>
    <s v="United States"/>
    <x v="29"/>
    <x v="15"/>
    <x v="2"/>
    <n v="3"/>
    <n v="633"/>
    <n v="163.03"/>
  </r>
  <r>
    <x v="91"/>
    <x v="0"/>
    <x v="0"/>
    <s v="United States"/>
    <x v="26"/>
    <x v="1"/>
    <x v="0"/>
    <n v="3"/>
    <n v="2523"/>
    <n v="506.7"/>
  </r>
  <r>
    <x v="577"/>
    <x v="0"/>
    <x v="0"/>
    <s v="United States"/>
    <x v="81"/>
    <x v="22"/>
    <x v="1"/>
    <n v="1"/>
    <n v="196"/>
    <n v="39.6"/>
  </r>
  <r>
    <x v="691"/>
    <x v="0"/>
    <x v="0"/>
    <s v="United States"/>
    <x v="22"/>
    <x v="12"/>
    <x v="1"/>
    <n v="9"/>
    <n v="4212"/>
    <n v="552.96"/>
  </r>
  <r>
    <x v="594"/>
    <x v="6"/>
    <x v="1"/>
    <s v="United States"/>
    <x v="13"/>
    <x v="7"/>
    <x v="2"/>
    <n v="1"/>
    <n v="63"/>
    <n v="17.29"/>
  </r>
  <r>
    <x v="907"/>
    <x v="1"/>
    <x v="1"/>
    <s v="United States"/>
    <x v="13"/>
    <x v="7"/>
    <x v="2"/>
    <n v="8"/>
    <n v="2752"/>
    <n v="394.66"/>
  </r>
  <r>
    <x v="599"/>
    <x v="1"/>
    <x v="1"/>
    <s v="United States"/>
    <x v="104"/>
    <x v="22"/>
    <x v="1"/>
    <n v="3"/>
    <n v="1989"/>
    <n v="419.61"/>
  </r>
  <r>
    <x v="811"/>
    <x v="9"/>
    <x v="2"/>
    <s v="United States"/>
    <x v="13"/>
    <x v="7"/>
    <x v="2"/>
    <n v="8"/>
    <n v="8032"/>
    <n v="466.19"/>
  </r>
  <r>
    <x v="633"/>
    <x v="2"/>
    <x v="2"/>
    <s v="United States"/>
    <x v="13"/>
    <x v="7"/>
    <x v="2"/>
    <n v="6"/>
    <n v="3702"/>
    <n v="407.34"/>
  </r>
  <r>
    <x v="461"/>
    <x v="5"/>
    <x v="2"/>
    <s v="United States"/>
    <x v="3"/>
    <x v="3"/>
    <x v="2"/>
    <n v="8"/>
    <n v="456"/>
    <n v="90.24"/>
  </r>
  <r>
    <x v="291"/>
    <x v="3"/>
    <x v="2"/>
    <s v="United States"/>
    <x v="2"/>
    <x v="2"/>
    <x v="1"/>
    <n v="7"/>
    <n v="5355"/>
    <n v="1143.1600000000001"/>
  </r>
  <r>
    <x v="117"/>
    <x v="3"/>
    <x v="2"/>
    <s v="United States"/>
    <x v="15"/>
    <x v="13"/>
    <x v="1"/>
    <n v="1"/>
    <n v="972"/>
    <n v="261.91000000000003"/>
  </r>
  <r>
    <x v="449"/>
    <x v="4"/>
    <x v="1"/>
    <s v="United States"/>
    <x v="13"/>
    <x v="7"/>
    <x v="2"/>
    <n v="5"/>
    <n v="3290"/>
    <n v="797.82"/>
  </r>
  <r>
    <x v="167"/>
    <x v="9"/>
    <x v="2"/>
    <s v="United States"/>
    <x v="252"/>
    <x v="7"/>
    <x v="2"/>
    <n v="1"/>
    <n v="735"/>
    <n v="139.31"/>
  </r>
  <r>
    <x v="908"/>
    <x v="2"/>
    <x v="2"/>
    <s v="United States"/>
    <x v="156"/>
    <x v="5"/>
    <x v="3"/>
    <n v="3"/>
    <n v="3336"/>
    <n v="798.26"/>
  </r>
  <r>
    <x v="716"/>
    <x v="8"/>
    <x v="1"/>
    <s v="United States"/>
    <x v="144"/>
    <x v="5"/>
    <x v="3"/>
    <n v="3"/>
    <n v="2082"/>
    <n v="346.53"/>
  </r>
  <r>
    <x v="361"/>
    <x v="8"/>
    <x v="1"/>
    <s v="United States"/>
    <x v="169"/>
    <x v="37"/>
    <x v="3"/>
    <n v="2"/>
    <n v="1340"/>
    <n v="129.88999999999999"/>
  </r>
  <r>
    <x v="576"/>
    <x v="9"/>
    <x v="2"/>
    <s v="United States"/>
    <x v="74"/>
    <x v="0"/>
    <x v="0"/>
    <n v="5"/>
    <n v="1160"/>
    <n v="227.13"/>
  </r>
  <r>
    <x v="769"/>
    <x v="6"/>
    <x v="1"/>
    <s v="United States"/>
    <x v="15"/>
    <x v="13"/>
    <x v="1"/>
    <n v="4"/>
    <n v="1272"/>
    <n v="299.83999999999997"/>
  </r>
  <r>
    <x v="7"/>
    <x v="0"/>
    <x v="0"/>
    <s v="United States"/>
    <x v="13"/>
    <x v="7"/>
    <x v="2"/>
    <n v="3"/>
    <n v="2817"/>
    <n v="588.47"/>
  </r>
  <r>
    <x v="20"/>
    <x v="6"/>
    <x v="1"/>
    <s v="United States"/>
    <x v="13"/>
    <x v="7"/>
    <x v="2"/>
    <n v="3"/>
    <n v="1464"/>
    <n v="264.67"/>
  </r>
  <r>
    <x v="694"/>
    <x v="4"/>
    <x v="1"/>
    <s v="United States"/>
    <x v="13"/>
    <x v="7"/>
    <x v="2"/>
    <n v="1"/>
    <n v="307"/>
    <n v="60.51"/>
  </r>
  <r>
    <x v="430"/>
    <x v="2"/>
    <x v="2"/>
    <s v="United States"/>
    <x v="9"/>
    <x v="8"/>
    <x v="3"/>
    <n v="6"/>
    <n v="5706"/>
    <n v="1306.92"/>
  </r>
  <r>
    <x v="538"/>
    <x v="4"/>
    <x v="1"/>
    <s v="United States"/>
    <x v="6"/>
    <x v="5"/>
    <x v="3"/>
    <n v="1"/>
    <n v="1112"/>
    <n v="100.47"/>
  </r>
  <r>
    <x v="160"/>
    <x v="8"/>
    <x v="1"/>
    <s v="United States"/>
    <x v="167"/>
    <x v="47"/>
    <x v="2"/>
    <n v="1"/>
    <n v="1147"/>
    <n v="133.47999999999999"/>
  </r>
  <r>
    <x v="17"/>
    <x v="9"/>
    <x v="2"/>
    <s v="United States"/>
    <x v="364"/>
    <x v="37"/>
    <x v="3"/>
    <n v="2"/>
    <n v="330"/>
    <n v="66.569999999999993"/>
  </r>
  <r>
    <x v="865"/>
    <x v="6"/>
    <x v="1"/>
    <s v="United States"/>
    <x v="79"/>
    <x v="16"/>
    <x v="3"/>
    <n v="4"/>
    <n v="2176"/>
    <n v="250.89"/>
  </r>
  <r>
    <x v="120"/>
    <x v="4"/>
    <x v="1"/>
    <s v="United States"/>
    <x v="28"/>
    <x v="2"/>
    <x v="1"/>
    <n v="7"/>
    <n v="7616"/>
    <n v="1317.79"/>
  </r>
  <r>
    <x v="909"/>
    <x v="0"/>
    <x v="0"/>
    <s v="United States"/>
    <x v="144"/>
    <x v="5"/>
    <x v="3"/>
    <n v="1"/>
    <n v="1091"/>
    <n v="258.3"/>
  </r>
  <r>
    <x v="840"/>
    <x v="2"/>
    <x v="2"/>
    <s v="United States"/>
    <x v="15"/>
    <x v="13"/>
    <x v="1"/>
    <n v="2"/>
    <n v="1026"/>
    <n v="279.76"/>
  </r>
  <r>
    <x v="686"/>
    <x v="2"/>
    <x v="2"/>
    <s v="United States"/>
    <x v="13"/>
    <x v="7"/>
    <x v="2"/>
    <n v="2"/>
    <n v="210"/>
    <n v="42.04"/>
  </r>
  <r>
    <x v="816"/>
    <x v="0"/>
    <x v="0"/>
    <s v="United States"/>
    <x v="9"/>
    <x v="8"/>
    <x v="3"/>
    <n v="2"/>
    <n v="180"/>
    <n v="10.78"/>
  </r>
  <r>
    <x v="393"/>
    <x v="2"/>
    <x v="2"/>
    <s v="United States"/>
    <x v="28"/>
    <x v="2"/>
    <x v="1"/>
    <n v="4"/>
    <n v="380"/>
    <n v="72.88"/>
  </r>
  <r>
    <x v="162"/>
    <x v="6"/>
    <x v="1"/>
    <s v="United States"/>
    <x v="43"/>
    <x v="22"/>
    <x v="1"/>
    <n v="8"/>
    <n v="7664"/>
    <n v="1580.55"/>
  </r>
  <r>
    <x v="418"/>
    <x v="7"/>
    <x v="2"/>
    <s v="United States"/>
    <x v="6"/>
    <x v="5"/>
    <x v="3"/>
    <n v="8"/>
    <n v="6056"/>
    <n v="1029.9000000000001"/>
  </r>
  <r>
    <x v="245"/>
    <x v="1"/>
    <x v="1"/>
    <s v="United States"/>
    <x v="131"/>
    <x v="12"/>
    <x v="1"/>
    <n v="6"/>
    <n v="606"/>
    <n v="104.52"/>
  </r>
  <r>
    <x v="301"/>
    <x v="6"/>
    <x v="1"/>
    <s v="United States"/>
    <x v="29"/>
    <x v="15"/>
    <x v="2"/>
    <n v="3"/>
    <n v="750"/>
    <n v="193.86"/>
  </r>
  <r>
    <x v="731"/>
    <x v="0"/>
    <x v="0"/>
    <s v="United States"/>
    <x v="6"/>
    <x v="5"/>
    <x v="3"/>
    <n v="2"/>
    <n v="1218"/>
    <n v="218.88"/>
  </r>
  <r>
    <x v="99"/>
    <x v="9"/>
    <x v="2"/>
    <s v="United States"/>
    <x v="19"/>
    <x v="15"/>
    <x v="2"/>
    <n v="2"/>
    <n v="2162"/>
    <n v="355.45"/>
  </r>
  <r>
    <x v="420"/>
    <x v="4"/>
    <x v="1"/>
    <s v="United States"/>
    <x v="26"/>
    <x v="1"/>
    <x v="0"/>
    <n v="9"/>
    <n v="2223"/>
    <n v="347.01"/>
  </r>
  <r>
    <x v="910"/>
    <x v="7"/>
    <x v="2"/>
    <s v="United States"/>
    <x v="135"/>
    <x v="2"/>
    <x v="1"/>
    <n v="7"/>
    <n v="4452"/>
    <n v="920.05"/>
  </r>
  <r>
    <x v="89"/>
    <x v="0"/>
    <x v="0"/>
    <s v="United States"/>
    <x v="21"/>
    <x v="5"/>
    <x v="3"/>
    <n v="1"/>
    <n v="184"/>
    <n v="50.19"/>
  </r>
  <r>
    <x v="911"/>
    <x v="4"/>
    <x v="1"/>
    <s v="United States"/>
    <x v="21"/>
    <x v="5"/>
    <x v="3"/>
    <n v="3"/>
    <n v="288"/>
    <n v="77.38"/>
  </r>
  <r>
    <x v="450"/>
    <x v="3"/>
    <x v="2"/>
    <s v="United States"/>
    <x v="13"/>
    <x v="7"/>
    <x v="2"/>
    <n v="2"/>
    <n v="834"/>
    <n v="150.12"/>
  </r>
  <r>
    <x v="500"/>
    <x v="8"/>
    <x v="1"/>
    <s v="United States"/>
    <x v="13"/>
    <x v="7"/>
    <x v="2"/>
    <n v="5"/>
    <n v="4025"/>
    <n v="923.17"/>
  </r>
  <r>
    <x v="912"/>
    <x v="4"/>
    <x v="1"/>
    <s v="United States"/>
    <x v="102"/>
    <x v="5"/>
    <x v="3"/>
    <n v="7"/>
    <n v="4732"/>
    <n v="1084.28"/>
  </r>
  <r>
    <x v="913"/>
    <x v="4"/>
    <x v="1"/>
    <s v="United States"/>
    <x v="102"/>
    <x v="5"/>
    <x v="3"/>
    <n v="5"/>
    <n v="4025"/>
    <n v="407.72"/>
  </r>
  <r>
    <x v="160"/>
    <x v="0"/>
    <x v="0"/>
    <s v="United States"/>
    <x v="155"/>
    <x v="2"/>
    <x v="1"/>
    <n v="8"/>
    <n v="2416"/>
    <n v="500.93"/>
  </r>
  <r>
    <x v="3"/>
    <x v="2"/>
    <x v="2"/>
    <s v="United States"/>
    <x v="77"/>
    <x v="7"/>
    <x v="2"/>
    <n v="7"/>
    <n v="1897"/>
    <n v="524.69000000000005"/>
  </r>
  <r>
    <x v="812"/>
    <x v="1"/>
    <x v="1"/>
    <s v="United States"/>
    <x v="2"/>
    <x v="2"/>
    <x v="1"/>
    <n v="4"/>
    <n v="840"/>
    <n v="190.13"/>
  </r>
  <r>
    <x v="270"/>
    <x v="1"/>
    <x v="1"/>
    <s v="United States"/>
    <x v="144"/>
    <x v="5"/>
    <x v="3"/>
    <n v="8"/>
    <n v="6600"/>
    <n v="360.45"/>
  </r>
  <r>
    <x v="199"/>
    <x v="9"/>
    <x v="2"/>
    <s v="United States"/>
    <x v="144"/>
    <x v="5"/>
    <x v="3"/>
    <n v="2"/>
    <n v="2362"/>
    <n v="342.27"/>
  </r>
  <r>
    <x v="649"/>
    <x v="4"/>
    <x v="1"/>
    <s v="United States"/>
    <x v="114"/>
    <x v="20"/>
    <x v="2"/>
    <n v="6"/>
    <n v="2958"/>
    <n v="577.27"/>
  </r>
  <r>
    <x v="122"/>
    <x v="2"/>
    <x v="2"/>
    <s v="United States"/>
    <x v="15"/>
    <x v="13"/>
    <x v="1"/>
    <n v="1"/>
    <n v="477"/>
    <n v="56.49"/>
  </r>
  <r>
    <x v="824"/>
    <x v="8"/>
    <x v="1"/>
    <s v="United States"/>
    <x v="15"/>
    <x v="13"/>
    <x v="1"/>
    <n v="3"/>
    <n v="942"/>
    <n v="84.8"/>
  </r>
  <r>
    <x v="304"/>
    <x v="3"/>
    <x v="2"/>
    <s v="United States"/>
    <x v="41"/>
    <x v="30"/>
    <x v="0"/>
    <n v="2"/>
    <n v="2084"/>
    <n v="586.72"/>
  </r>
  <r>
    <x v="173"/>
    <x v="2"/>
    <x v="2"/>
    <s v="United States"/>
    <x v="15"/>
    <x v="13"/>
    <x v="1"/>
    <n v="6"/>
    <n v="4584"/>
    <n v="473.37"/>
  </r>
  <r>
    <x v="670"/>
    <x v="0"/>
    <x v="0"/>
    <s v="United States"/>
    <x v="15"/>
    <x v="13"/>
    <x v="1"/>
    <n v="1"/>
    <n v="1118"/>
    <n v="319.27999999999997"/>
  </r>
  <r>
    <x v="261"/>
    <x v="1"/>
    <x v="1"/>
    <s v="United States"/>
    <x v="2"/>
    <x v="2"/>
    <x v="1"/>
    <n v="9"/>
    <n v="4005"/>
    <n v="652.15"/>
  </r>
  <r>
    <x v="117"/>
    <x v="5"/>
    <x v="2"/>
    <s v="United States"/>
    <x v="2"/>
    <x v="2"/>
    <x v="1"/>
    <n v="5"/>
    <n v="4610"/>
    <n v="1293.3699999999999"/>
  </r>
  <r>
    <x v="859"/>
    <x v="8"/>
    <x v="1"/>
    <s v="United States"/>
    <x v="13"/>
    <x v="7"/>
    <x v="2"/>
    <n v="1"/>
    <n v="551"/>
    <n v="86.84"/>
  </r>
  <r>
    <x v="87"/>
    <x v="0"/>
    <x v="0"/>
    <s v="United States"/>
    <x v="13"/>
    <x v="7"/>
    <x v="2"/>
    <n v="1"/>
    <n v="75"/>
    <n v="19.29"/>
  </r>
  <r>
    <x v="453"/>
    <x v="1"/>
    <x v="1"/>
    <s v="United States"/>
    <x v="2"/>
    <x v="2"/>
    <x v="1"/>
    <n v="6"/>
    <n v="6576"/>
    <n v="1899.67"/>
  </r>
  <r>
    <x v="99"/>
    <x v="0"/>
    <x v="0"/>
    <s v="United States"/>
    <x v="2"/>
    <x v="2"/>
    <x v="1"/>
    <n v="6"/>
    <n v="6432"/>
    <n v="1410.52"/>
  </r>
  <r>
    <x v="358"/>
    <x v="4"/>
    <x v="1"/>
    <s v="United States"/>
    <x v="175"/>
    <x v="2"/>
    <x v="1"/>
    <n v="7"/>
    <n v="7763"/>
    <n v="1444.27"/>
  </r>
  <r>
    <x v="578"/>
    <x v="6"/>
    <x v="1"/>
    <s v="United States"/>
    <x v="28"/>
    <x v="2"/>
    <x v="1"/>
    <n v="7"/>
    <n v="2240"/>
    <n v="622.29"/>
  </r>
  <r>
    <x v="41"/>
    <x v="4"/>
    <x v="1"/>
    <s v="United States"/>
    <x v="6"/>
    <x v="5"/>
    <x v="3"/>
    <n v="6"/>
    <n v="5298"/>
    <n v="1209.8800000000001"/>
  </r>
  <r>
    <x v="160"/>
    <x v="5"/>
    <x v="2"/>
    <s v="United States"/>
    <x v="3"/>
    <x v="3"/>
    <x v="2"/>
    <n v="2"/>
    <n v="116"/>
    <n v="32.270000000000003"/>
  </r>
  <r>
    <x v="914"/>
    <x v="2"/>
    <x v="2"/>
    <s v="United States"/>
    <x v="2"/>
    <x v="2"/>
    <x v="1"/>
    <n v="8"/>
    <n v="6728"/>
    <n v="1140.19"/>
  </r>
  <r>
    <x v="899"/>
    <x v="6"/>
    <x v="1"/>
    <s v="United States"/>
    <x v="2"/>
    <x v="2"/>
    <x v="1"/>
    <n v="5"/>
    <n v="490"/>
    <n v="55.59"/>
  </r>
  <r>
    <x v="611"/>
    <x v="6"/>
    <x v="1"/>
    <s v="United States"/>
    <x v="3"/>
    <x v="3"/>
    <x v="2"/>
    <n v="7"/>
    <n v="2765"/>
    <n v="699.86"/>
  </r>
  <r>
    <x v="915"/>
    <x v="7"/>
    <x v="2"/>
    <s v="United States"/>
    <x v="356"/>
    <x v="16"/>
    <x v="3"/>
    <n v="8"/>
    <n v="2680"/>
    <n v="598.97"/>
  </r>
  <r>
    <x v="372"/>
    <x v="3"/>
    <x v="2"/>
    <s v="United States"/>
    <x v="13"/>
    <x v="7"/>
    <x v="2"/>
    <n v="2"/>
    <n v="2174"/>
    <n v="335.37"/>
  </r>
  <r>
    <x v="896"/>
    <x v="6"/>
    <x v="1"/>
    <s v="United States"/>
    <x v="247"/>
    <x v="25"/>
    <x v="0"/>
    <n v="9"/>
    <n v="5562"/>
    <n v="1258.1199999999999"/>
  </r>
  <r>
    <x v="11"/>
    <x v="7"/>
    <x v="2"/>
    <s v="United States"/>
    <x v="259"/>
    <x v="43"/>
    <x v="2"/>
    <n v="8"/>
    <n v="9208"/>
    <n v="2595.33"/>
  </r>
  <r>
    <x v="557"/>
    <x v="7"/>
    <x v="2"/>
    <s v="United States"/>
    <x v="2"/>
    <x v="2"/>
    <x v="1"/>
    <n v="4"/>
    <n v="4512"/>
    <n v="546.71"/>
  </r>
  <r>
    <x v="117"/>
    <x v="3"/>
    <x v="2"/>
    <s v="United States"/>
    <x v="2"/>
    <x v="2"/>
    <x v="1"/>
    <n v="9"/>
    <n v="7974"/>
    <n v="1965.96"/>
  </r>
  <r>
    <x v="881"/>
    <x v="6"/>
    <x v="1"/>
    <s v="United States"/>
    <x v="9"/>
    <x v="8"/>
    <x v="3"/>
    <n v="6"/>
    <n v="4944"/>
    <n v="1335.04"/>
  </r>
  <r>
    <x v="120"/>
    <x v="0"/>
    <x v="0"/>
    <s v="United States"/>
    <x v="9"/>
    <x v="8"/>
    <x v="3"/>
    <n v="3"/>
    <n v="1611"/>
    <n v="234.84"/>
  </r>
  <r>
    <x v="528"/>
    <x v="5"/>
    <x v="2"/>
    <s v="United States"/>
    <x v="52"/>
    <x v="25"/>
    <x v="0"/>
    <n v="9"/>
    <n v="4599"/>
    <n v="618.89"/>
  </r>
  <r>
    <x v="726"/>
    <x v="9"/>
    <x v="2"/>
    <s v="United States"/>
    <x v="28"/>
    <x v="2"/>
    <x v="1"/>
    <n v="6"/>
    <n v="4380"/>
    <n v="419.3"/>
  </r>
  <r>
    <x v="836"/>
    <x v="4"/>
    <x v="1"/>
    <s v="United States"/>
    <x v="173"/>
    <x v="1"/>
    <x v="0"/>
    <n v="2"/>
    <n v="2376"/>
    <n v="580.26"/>
  </r>
  <r>
    <x v="564"/>
    <x v="6"/>
    <x v="1"/>
    <s v="United States"/>
    <x v="21"/>
    <x v="5"/>
    <x v="3"/>
    <n v="9"/>
    <n v="6588"/>
    <n v="1800.9"/>
  </r>
  <r>
    <x v="443"/>
    <x v="1"/>
    <x v="1"/>
    <s v="United States"/>
    <x v="309"/>
    <x v="18"/>
    <x v="2"/>
    <n v="5"/>
    <n v="3745"/>
    <n v="720.08"/>
  </r>
  <r>
    <x v="316"/>
    <x v="3"/>
    <x v="2"/>
    <s v="United States"/>
    <x v="247"/>
    <x v="25"/>
    <x v="0"/>
    <n v="5"/>
    <n v="5305"/>
    <n v="1389.25"/>
  </r>
  <r>
    <x v="130"/>
    <x v="2"/>
    <x v="2"/>
    <s v="United States"/>
    <x v="6"/>
    <x v="5"/>
    <x v="3"/>
    <n v="8"/>
    <n v="1608"/>
    <n v="332.12"/>
  </r>
  <r>
    <x v="361"/>
    <x v="6"/>
    <x v="1"/>
    <s v="United States"/>
    <x v="6"/>
    <x v="5"/>
    <x v="3"/>
    <n v="9"/>
    <n v="4977"/>
    <n v="745.81"/>
  </r>
  <r>
    <x v="460"/>
    <x v="7"/>
    <x v="2"/>
    <s v="United States"/>
    <x v="6"/>
    <x v="5"/>
    <x v="3"/>
    <n v="7"/>
    <n v="4529"/>
    <n v="273.97000000000003"/>
  </r>
  <r>
    <x v="404"/>
    <x v="3"/>
    <x v="2"/>
    <s v="United States"/>
    <x v="6"/>
    <x v="5"/>
    <x v="3"/>
    <n v="7"/>
    <n v="4690"/>
    <n v="319.42"/>
  </r>
  <r>
    <x v="916"/>
    <x v="8"/>
    <x v="1"/>
    <s v="United States"/>
    <x v="13"/>
    <x v="7"/>
    <x v="2"/>
    <n v="4"/>
    <n v="2424"/>
    <n v="544.07000000000005"/>
  </r>
  <r>
    <x v="492"/>
    <x v="8"/>
    <x v="1"/>
    <s v="United States"/>
    <x v="1"/>
    <x v="1"/>
    <x v="0"/>
    <n v="6"/>
    <n v="3594"/>
    <n v="610.77"/>
  </r>
  <r>
    <x v="806"/>
    <x v="8"/>
    <x v="1"/>
    <s v="United States"/>
    <x v="168"/>
    <x v="30"/>
    <x v="0"/>
    <n v="7"/>
    <n v="3962"/>
    <n v="491.9"/>
  </r>
  <r>
    <x v="685"/>
    <x v="3"/>
    <x v="2"/>
    <s v="United States"/>
    <x v="66"/>
    <x v="1"/>
    <x v="0"/>
    <n v="2"/>
    <n v="944"/>
    <n v="149.38"/>
  </r>
  <r>
    <x v="917"/>
    <x v="5"/>
    <x v="2"/>
    <s v="United States"/>
    <x v="28"/>
    <x v="2"/>
    <x v="1"/>
    <n v="6"/>
    <n v="6792"/>
    <n v="1787.97"/>
  </r>
  <r>
    <x v="536"/>
    <x v="2"/>
    <x v="2"/>
    <s v="United States"/>
    <x v="127"/>
    <x v="30"/>
    <x v="0"/>
    <n v="7"/>
    <n v="6804"/>
    <n v="1383.81"/>
  </r>
  <r>
    <x v="775"/>
    <x v="3"/>
    <x v="2"/>
    <s v="United States"/>
    <x v="365"/>
    <x v="5"/>
    <x v="3"/>
    <n v="6"/>
    <n v="816"/>
    <n v="98.75"/>
  </r>
  <r>
    <x v="637"/>
    <x v="6"/>
    <x v="1"/>
    <s v="United States"/>
    <x v="101"/>
    <x v="5"/>
    <x v="3"/>
    <n v="6"/>
    <n v="5916"/>
    <n v="544.59"/>
  </r>
  <r>
    <x v="669"/>
    <x v="1"/>
    <x v="1"/>
    <s v="United States"/>
    <x v="62"/>
    <x v="2"/>
    <x v="1"/>
    <n v="5"/>
    <n v="5730"/>
    <n v="310.58"/>
  </r>
  <r>
    <x v="468"/>
    <x v="4"/>
    <x v="1"/>
    <s v="United States"/>
    <x v="42"/>
    <x v="8"/>
    <x v="3"/>
    <n v="7"/>
    <n v="8288"/>
    <n v="785.54"/>
  </r>
  <r>
    <x v="839"/>
    <x v="4"/>
    <x v="1"/>
    <s v="United States"/>
    <x v="2"/>
    <x v="2"/>
    <x v="1"/>
    <n v="2"/>
    <n v="2046"/>
    <n v="394.93"/>
  </r>
  <r>
    <x v="918"/>
    <x v="2"/>
    <x v="2"/>
    <s v="United States"/>
    <x v="13"/>
    <x v="7"/>
    <x v="2"/>
    <n v="9"/>
    <n v="5031"/>
    <n v="1149.48"/>
  </r>
  <r>
    <x v="149"/>
    <x v="8"/>
    <x v="1"/>
    <s v="United States"/>
    <x v="13"/>
    <x v="7"/>
    <x v="2"/>
    <n v="9"/>
    <n v="1764"/>
    <n v="417.95"/>
  </r>
  <r>
    <x v="692"/>
    <x v="9"/>
    <x v="2"/>
    <s v="United States"/>
    <x v="28"/>
    <x v="2"/>
    <x v="1"/>
    <n v="8"/>
    <n v="1880"/>
    <n v="486.88"/>
  </r>
  <r>
    <x v="132"/>
    <x v="5"/>
    <x v="2"/>
    <s v="United States"/>
    <x v="15"/>
    <x v="13"/>
    <x v="1"/>
    <n v="2"/>
    <n v="200"/>
    <n v="10.45"/>
  </r>
  <r>
    <x v="789"/>
    <x v="1"/>
    <x v="1"/>
    <s v="United States"/>
    <x v="52"/>
    <x v="6"/>
    <x v="3"/>
    <n v="3"/>
    <n v="2688"/>
    <n v="476.77"/>
  </r>
  <r>
    <x v="622"/>
    <x v="9"/>
    <x v="2"/>
    <s v="United States"/>
    <x v="366"/>
    <x v="15"/>
    <x v="2"/>
    <n v="4"/>
    <n v="3216"/>
    <n v="213.81"/>
  </r>
  <r>
    <x v="12"/>
    <x v="3"/>
    <x v="2"/>
    <s v="United States"/>
    <x v="13"/>
    <x v="7"/>
    <x v="2"/>
    <n v="8"/>
    <n v="8440"/>
    <n v="1504.18"/>
  </r>
  <r>
    <x v="395"/>
    <x v="2"/>
    <x v="2"/>
    <s v="United States"/>
    <x v="79"/>
    <x v="16"/>
    <x v="3"/>
    <n v="7"/>
    <n v="1582"/>
    <n v="208.42"/>
  </r>
  <r>
    <x v="681"/>
    <x v="9"/>
    <x v="2"/>
    <s v="United States"/>
    <x v="79"/>
    <x v="16"/>
    <x v="3"/>
    <n v="1"/>
    <n v="58"/>
    <n v="10.79"/>
  </r>
  <r>
    <x v="627"/>
    <x v="5"/>
    <x v="2"/>
    <s v="United States"/>
    <x v="130"/>
    <x v="15"/>
    <x v="2"/>
    <n v="8"/>
    <n v="608"/>
    <n v="163.18"/>
  </r>
  <r>
    <x v="422"/>
    <x v="7"/>
    <x v="2"/>
    <s v="United States"/>
    <x v="130"/>
    <x v="15"/>
    <x v="2"/>
    <n v="3"/>
    <n v="183"/>
    <n v="41.82"/>
  </r>
  <r>
    <x v="766"/>
    <x v="6"/>
    <x v="1"/>
    <s v="United States"/>
    <x v="76"/>
    <x v="15"/>
    <x v="2"/>
    <n v="5"/>
    <n v="3105"/>
    <n v="744.26"/>
  </r>
  <r>
    <x v="129"/>
    <x v="6"/>
    <x v="1"/>
    <s v="United States"/>
    <x v="74"/>
    <x v="12"/>
    <x v="1"/>
    <n v="5"/>
    <n v="2450"/>
    <n v="485.18"/>
  </r>
  <r>
    <x v="86"/>
    <x v="9"/>
    <x v="2"/>
    <s v="United States"/>
    <x v="118"/>
    <x v="5"/>
    <x v="3"/>
    <n v="3"/>
    <n v="3024"/>
    <n v="622.29"/>
  </r>
  <r>
    <x v="157"/>
    <x v="0"/>
    <x v="0"/>
    <s v="United States"/>
    <x v="261"/>
    <x v="2"/>
    <x v="1"/>
    <n v="4"/>
    <n v="3856"/>
    <n v="747.79"/>
  </r>
  <r>
    <x v="919"/>
    <x v="8"/>
    <x v="1"/>
    <s v="United States"/>
    <x v="261"/>
    <x v="2"/>
    <x v="1"/>
    <n v="7"/>
    <n v="532"/>
    <n v="121.03"/>
  </r>
  <r>
    <x v="817"/>
    <x v="7"/>
    <x v="2"/>
    <s v="United States"/>
    <x v="261"/>
    <x v="2"/>
    <x v="1"/>
    <n v="4"/>
    <n v="3152"/>
    <n v="307.62"/>
  </r>
  <r>
    <x v="10"/>
    <x v="6"/>
    <x v="1"/>
    <s v="United States"/>
    <x v="261"/>
    <x v="2"/>
    <x v="1"/>
    <n v="9"/>
    <n v="8586"/>
    <n v="1555.82"/>
  </r>
  <r>
    <x v="30"/>
    <x v="6"/>
    <x v="1"/>
    <s v="United States"/>
    <x v="367"/>
    <x v="2"/>
    <x v="1"/>
    <n v="2"/>
    <n v="1046"/>
    <n v="273.38"/>
  </r>
  <r>
    <x v="483"/>
    <x v="2"/>
    <x v="2"/>
    <s v="United States"/>
    <x v="149"/>
    <x v="26"/>
    <x v="3"/>
    <n v="4"/>
    <n v="3452"/>
    <n v="560.30999999999995"/>
  </r>
  <r>
    <x v="655"/>
    <x v="6"/>
    <x v="1"/>
    <s v="United States"/>
    <x v="368"/>
    <x v="5"/>
    <x v="3"/>
    <n v="4"/>
    <n v="2368"/>
    <n v="361.02"/>
  </r>
  <r>
    <x v="199"/>
    <x v="3"/>
    <x v="2"/>
    <s v="United States"/>
    <x v="28"/>
    <x v="2"/>
    <x v="1"/>
    <n v="2"/>
    <n v="1924"/>
    <n v="422.25"/>
  </r>
  <r>
    <x v="399"/>
    <x v="9"/>
    <x v="2"/>
    <s v="United States"/>
    <x v="369"/>
    <x v="2"/>
    <x v="1"/>
    <n v="5"/>
    <n v="4580"/>
    <n v="1148.06"/>
  </r>
  <r>
    <x v="795"/>
    <x v="4"/>
    <x v="1"/>
    <s v="United States"/>
    <x v="2"/>
    <x v="2"/>
    <x v="1"/>
    <n v="5"/>
    <n v="3735"/>
    <n v="423.94"/>
  </r>
  <r>
    <x v="920"/>
    <x v="6"/>
    <x v="1"/>
    <s v="United States"/>
    <x v="13"/>
    <x v="7"/>
    <x v="2"/>
    <n v="4"/>
    <n v="2476"/>
    <n v="417.16"/>
  </r>
  <r>
    <x v="442"/>
    <x v="9"/>
    <x v="2"/>
    <s v="United States"/>
    <x v="370"/>
    <x v="6"/>
    <x v="3"/>
    <n v="2"/>
    <n v="162"/>
    <n v="16.510000000000002"/>
  </r>
  <r>
    <x v="509"/>
    <x v="0"/>
    <x v="0"/>
    <s v="United States"/>
    <x v="2"/>
    <x v="2"/>
    <x v="1"/>
    <n v="3"/>
    <n v="258"/>
    <n v="38.03"/>
  </r>
  <r>
    <x v="120"/>
    <x v="8"/>
    <x v="1"/>
    <s v="United States"/>
    <x v="6"/>
    <x v="5"/>
    <x v="3"/>
    <n v="4"/>
    <n v="3524"/>
    <n v="998.29"/>
  </r>
  <r>
    <x v="748"/>
    <x v="5"/>
    <x v="2"/>
    <s v="United States"/>
    <x v="19"/>
    <x v="14"/>
    <x v="2"/>
    <n v="8"/>
    <n v="6184"/>
    <n v="1796.9"/>
  </r>
  <r>
    <x v="401"/>
    <x v="6"/>
    <x v="1"/>
    <s v="United States"/>
    <x v="120"/>
    <x v="35"/>
    <x v="0"/>
    <n v="6"/>
    <n v="3750"/>
    <n v="645.69000000000005"/>
  </r>
  <r>
    <x v="102"/>
    <x v="1"/>
    <x v="1"/>
    <s v="United States"/>
    <x v="89"/>
    <x v="1"/>
    <x v="0"/>
    <n v="5"/>
    <n v="1465"/>
    <n v="424.64"/>
  </r>
  <r>
    <x v="594"/>
    <x v="3"/>
    <x v="2"/>
    <s v="United States"/>
    <x v="46"/>
    <x v="2"/>
    <x v="1"/>
    <n v="4"/>
    <n v="4480"/>
    <n v="412.05"/>
  </r>
  <r>
    <x v="544"/>
    <x v="9"/>
    <x v="2"/>
    <s v="United States"/>
    <x v="29"/>
    <x v="24"/>
    <x v="0"/>
    <n v="8"/>
    <n v="1544"/>
    <n v="281.22000000000003"/>
  </r>
  <r>
    <x v="184"/>
    <x v="4"/>
    <x v="1"/>
    <s v="United States"/>
    <x v="28"/>
    <x v="2"/>
    <x v="1"/>
    <n v="9"/>
    <n v="7974"/>
    <n v="1181.04"/>
  </r>
  <r>
    <x v="301"/>
    <x v="0"/>
    <x v="0"/>
    <s v="United States"/>
    <x v="28"/>
    <x v="2"/>
    <x v="1"/>
    <n v="5"/>
    <n v="5920"/>
    <n v="1679.15"/>
  </r>
  <r>
    <x v="710"/>
    <x v="5"/>
    <x v="2"/>
    <s v="United States"/>
    <x v="13"/>
    <x v="7"/>
    <x v="2"/>
    <n v="8"/>
    <n v="8792"/>
    <n v="2045.54"/>
  </r>
  <r>
    <x v="700"/>
    <x v="5"/>
    <x v="2"/>
    <s v="United States"/>
    <x v="237"/>
    <x v="32"/>
    <x v="2"/>
    <n v="1"/>
    <n v="294"/>
    <n v="52.37"/>
  </r>
  <r>
    <x v="150"/>
    <x v="3"/>
    <x v="2"/>
    <s v="United States"/>
    <x v="6"/>
    <x v="5"/>
    <x v="3"/>
    <n v="7"/>
    <n v="1169"/>
    <n v="264.37"/>
  </r>
  <r>
    <x v="921"/>
    <x v="3"/>
    <x v="2"/>
    <s v="United States"/>
    <x v="6"/>
    <x v="5"/>
    <x v="3"/>
    <n v="8"/>
    <n v="9232"/>
    <n v="880.52"/>
  </r>
  <r>
    <x v="6"/>
    <x v="4"/>
    <x v="1"/>
    <s v="United States"/>
    <x v="53"/>
    <x v="2"/>
    <x v="1"/>
    <n v="4"/>
    <n v="1396"/>
    <n v="135.47999999999999"/>
  </r>
  <r>
    <x v="203"/>
    <x v="3"/>
    <x v="2"/>
    <s v="United States"/>
    <x v="15"/>
    <x v="13"/>
    <x v="1"/>
    <n v="9"/>
    <n v="10188"/>
    <n v="1408.18"/>
  </r>
  <r>
    <x v="922"/>
    <x v="6"/>
    <x v="1"/>
    <s v="United States"/>
    <x v="1"/>
    <x v="1"/>
    <x v="0"/>
    <n v="2"/>
    <n v="222"/>
    <n v="23.65"/>
  </r>
  <r>
    <x v="840"/>
    <x v="6"/>
    <x v="1"/>
    <s v="United States"/>
    <x v="77"/>
    <x v="7"/>
    <x v="2"/>
    <n v="2"/>
    <n v="1328"/>
    <n v="358.07"/>
  </r>
  <r>
    <x v="177"/>
    <x v="0"/>
    <x v="0"/>
    <s v="United States"/>
    <x v="317"/>
    <x v="8"/>
    <x v="3"/>
    <n v="9"/>
    <n v="5085"/>
    <n v="488.63"/>
  </r>
  <r>
    <x v="923"/>
    <x v="1"/>
    <x v="1"/>
    <s v="United States"/>
    <x v="28"/>
    <x v="2"/>
    <x v="1"/>
    <n v="3"/>
    <n v="1245"/>
    <n v="229.73"/>
  </r>
  <r>
    <x v="480"/>
    <x v="2"/>
    <x v="2"/>
    <s v="United States"/>
    <x v="28"/>
    <x v="2"/>
    <x v="1"/>
    <n v="2"/>
    <n v="960"/>
    <n v="124.02"/>
  </r>
  <r>
    <x v="293"/>
    <x v="7"/>
    <x v="2"/>
    <s v="United States"/>
    <x v="13"/>
    <x v="7"/>
    <x v="2"/>
    <n v="9"/>
    <n v="5553"/>
    <n v="329.79"/>
  </r>
  <r>
    <x v="593"/>
    <x v="8"/>
    <x v="1"/>
    <s v="United States"/>
    <x v="124"/>
    <x v="2"/>
    <x v="1"/>
    <n v="2"/>
    <n v="1790"/>
    <n v="236.76"/>
  </r>
  <r>
    <x v="325"/>
    <x v="8"/>
    <x v="1"/>
    <s v="United States"/>
    <x v="102"/>
    <x v="2"/>
    <x v="1"/>
    <n v="8"/>
    <n v="2712"/>
    <n v="247.84"/>
  </r>
  <r>
    <x v="274"/>
    <x v="9"/>
    <x v="2"/>
    <s v="United States"/>
    <x v="102"/>
    <x v="2"/>
    <x v="1"/>
    <n v="1"/>
    <n v="632"/>
    <n v="89.14"/>
  </r>
  <r>
    <x v="555"/>
    <x v="4"/>
    <x v="1"/>
    <s v="United States"/>
    <x v="3"/>
    <x v="3"/>
    <x v="2"/>
    <n v="8"/>
    <n v="4904"/>
    <n v="520.74"/>
  </r>
  <r>
    <x v="86"/>
    <x v="8"/>
    <x v="1"/>
    <s v="United States"/>
    <x v="29"/>
    <x v="15"/>
    <x v="2"/>
    <n v="1"/>
    <n v="361"/>
    <n v="58.8"/>
  </r>
  <r>
    <x v="691"/>
    <x v="0"/>
    <x v="0"/>
    <s v="United States"/>
    <x v="319"/>
    <x v="16"/>
    <x v="3"/>
    <n v="9"/>
    <n v="7290"/>
    <n v="841.07"/>
  </r>
  <r>
    <x v="729"/>
    <x v="5"/>
    <x v="2"/>
    <s v="United States"/>
    <x v="6"/>
    <x v="5"/>
    <x v="3"/>
    <n v="4"/>
    <n v="2052"/>
    <n v="181.64"/>
  </r>
  <r>
    <x v="765"/>
    <x v="1"/>
    <x v="1"/>
    <s v="United States"/>
    <x v="41"/>
    <x v="30"/>
    <x v="0"/>
    <n v="3"/>
    <n v="1842"/>
    <n v="112.85"/>
  </r>
  <r>
    <x v="216"/>
    <x v="1"/>
    <x v="1"/>
    <s v="United States"/>
    <x v="124"/>
    <x v="2"/>
    <x v="1"/>
    <n v="9"/>
    <n v="10593"/>
    <n v="2488.69"/>
  </r>
  <r>
    <x v="905"/>
    <x v="3"/>
    <x v="2"/>
    <s v="United States"/>
    <x v="320"/>
    <x v="46"/>
    <x v="1"/>
    <n v="6"/>
    <n v="1218"/>
    <n v="129.36000000000001"/>
  </r>
  <r>
    <x v="359"/>
    <x v="1"/>
    <x v="1"/>
    <s v="United States"/>
    <x v="59"/>
    <x v="15"/>
    <x v="2"/>
    <n v="5"/>
    <n v="4240"/>
    <n v="426.41"/>
  </r>
  <r>
    <x v="774"/>
    <x v="8"/>
    <x v="1"/>
    <s v="United States"/>
    <x v="258"/>
    <x v="37"/>
    <x v="3"/>
    <n v="2"/>
    <n v="226"/>
    <n v="38.520000000000003"/>
  </r>
  <r>
    <x v="219"/>
    <x v="3"/>
    <x v="2"/>
    <s v="United States"/>
    <x v="2"/>
    <x v="2"/>
    <x v="1"/>
    <n v="6"/>
    <n v="5154"/>
    <n v="1072.8"/>
  </r>
  <r>
    <x v="924"/>
    <x v="1"/>
    <x v="1"/>
    <s v="United States"/>
    <x v="321"/>
    <x v="13"/>
    <x v="1"/>
    <n v="6"/>
    <n v="1236"/>
    <n v="304.88"/>
  </r>
  <r>
    <x v="137"/>
    <x v="2"/>
    <x v="2"/>
    <s v="United States"/>
    <x v="322"/>
    <x v="8"/>
    <x v="3"/>
    <n v="1"/>
    <n v="1179"/>
    <n v="159.41999999999999"/>
  </r>
  <r>
    <x v="343"/>
    <x v="0"/>
    <x v="0"/>
    <s v="United States"/>
    <x v="322"/>
    <x v="8"/>
    <x v="3"/>
    <n v="5"/>
    <n v="2275"/>
    <n v="313.5"/>
  </r>
  <r>
    <x v="722"/>
    <x v="5"/>
    <x v="2"/>
    <s v="United States"/>
    <x v="322"/>
    <x v="8"/>
    <x v="3"/>
    <n v="7"/>
    <n v="6188"/>
    <n v="1231.3"/>
  </r>
  <r>
    <x v="309"/>
    <x v="4"/>
    <x v="1"/>
    <s v="United States"/>
    <x v="98"/>
    <x v="1"/>
    <x v="0"/>
    <n v="3"/>
    <n v="2946"/>
    <n v="666.99"/>
  </r>
  <r>
    <x v="593"/>
    <x v="4"/>
    <x v="1"/>
    <s v="United States"/>
    <x v="215"/>
    <x v="5"/>
    <x v="3"/>
    <n v="5"/>
    <n v="5085"/>
    <n v="1172.1199999999999"/>
  </r>
  <r>
    <x v="658"/>
    <x v="8"/>
    <x v="1"/>
    <s v="United States"/>
    <x v="124"/>
    <x v="2"/>
    <x v="1"/>
    <n v="2"/>
    <n v="712"/>
    <n v="205.53"/>
  </r>
  <r>
    <x v="268"/>
    <x v="5"/>
    <x v="2"/>
    <s v="United States"/>
    <x v="13"/>
    <x v="7"/>
    <x v="2"/>
    <n v="6"/>
    <n v="648"/>
    <n v="62.25"/>
  </r>
  <r>
    <x v="374"/>
    <x v="1"/>
    <x v="1"/>
    <s v="United States"/>
    <x v="13"/>
    <x v="7"/>
    <x v="2"/>
    <n v="5"/>
    <n v="2735"/>
    <n v="483.2"/>
  </r>
  <r>
    <x v="570"/>
    <x v="0"/>
    <x v="0"/>
    <s v="United States"/>
    <x v="13"/>
    <x v="7"/>
    <x v="2"/>
    <n v="6"/>
    <n v="2910"/>
    <n v="173.45"/>
  </r>
  <r>
    <x v="16"/>
    <x v="5"/>
    <x v="2"/>
    <s v="United States"/>
    <x v="323"/>
    <x v="2"/>
    <x v="1"/>
    <n v="1"/>
    <n v="263"/>
    <n v="69.39"/>
  </r>
  <r>
    <x v="64"/>
    <x v="7"/>
    <x v="2"/>
    <s v="United States"/>
    <x v="9"/>
    <x v="8"/>
    <x v="3"/>
    <n v="2"/>
    <n v="876"/>
    <n v="66.680000000000007"/>
  </r>
  <r>
    <x v="572"/>
    <x v="1"/>
    <x v="1"/>
    <s v="United States"/>
    <x v="26"/>
    <x v="1"/>
    <x v="0"/>
    <n v="1"/>
    <n v="913"/>
    <n v="162.24"/>
  </r>
  <r>
    <x v="224"/>
    <x v="9"/>
    <x v="2"/>
    <s v="United States"/>
    <x v="26"/>
    <x v="1"/>
    <x v="0"/>
    <n v="9"/>
    <n v="594"/>
    <n v="93.92"/>
  </r>
  <r>
    <x v="558"/>
    <x v="4"/>
    <x v="1"/>
    <s v="United States"/>
    <x v="13"/>
    <x v="7"/>
    <x v="2"/>
    <n v="2"/>
    <n v="956"/>
    <n v="202.14"/>
  </r>
  <r>
    <x v="373"/>
    <x v="9"/>
    <x v="2"/>
    <s v="United States"/>
    <x v="13"/>
    <x v="7"/>
    <x v="2"/>
    <n v="7"/>
    <n v="7301"/>
    <n v="2026.43"/>
  </r>
  <r>
    <x v="654"/>
    <x v="4"/>
    <x v="1"/>
    <s v="United States"/>
    <x v="182"/>
    <x v="24"/>
    <x v="0"/>
    <n v="6"/>
    <n v="5754"/>
    <n v="1628.61"/>
  </r>
  <r>
    <x v="925"/>
    <x v="4"/>
    <x v="1"/>
    <s v="United States"/>
    <x v="182"/>
    <x v="24"/>
    <x v="0"/>
    <n v="4"/>
    <n v="1372"/>
    <n v="274.47000000000003"/>
  </r>
  <r>
    <x v="926"/>
    <x v="4"/>
    <x v="1"/>
    <s v="United States"/>
    <x v="51"/>
    <x v="1"/>
    <x v="0"/>
    <n v="8"/>
    <n v="920"/>
    <n v="214.27"/>
  </r>
  <r>
    <x v="927"/>
    <x v="7"/>
    <x v="2"/>
    <s v="United States"/>
    <x v="51"/>
    <x v="1"/>
    <x v="0"/>
    <n v="3"/>
    <n v="885"/>
    <n v="150.79"/>
  </r>
  <r>
    <x v="773"/>
    <x v="3"/>
    <x v="2"/>
    <s v="United States"/>
    <x v="43"/>
    <x v="22"/>
    <x v="1"/>
    <n v="1"/>
    <n v="379"/>
    <n v="39.409999999999997"/>
  </r>
  <r>
    <x v="299"/>
    <x v="4"/>
    <x v="1"/>
    <s v="United States"/>
    <x v="3"/>
    <x v="3"/>
    <x v="2"/>
    <n v="8"/>
    <n v="1024"/>
    <n v="201.92"/>
  </r>
  <r>
    <x v="28"/>
    <x v="8"/>
    <x v="1"/>
    <s v="United States"/>
    <x v="2"/>
    <x v="2"/>
    <x v="1"/>
    <n v="4"/>
    <n v="4312"/>
    <n v="388.48"/>
  </r>
  <r>
    <x v="68"/>
    <x v="1"/>
    <x v="1"/>
    <s v="United States"/>
    <x v="3"/>
    <x v="3"/>
    <x v="2"/>
    <n v="5"/>
    <n v="5030"/>
    <n v="540.73"/>
  </r>
  <r>
    <x v="429"/>
    <x v="7"/>
    <x v="2"/>
    <s v="United States"/>
    <x v="70"/>
    <x v="27"/>
    <x v="3"/>
    <n v="2"/>
    <n v="1438"/>
    <n v="315.83"/>
  </r>
  <r>
    <x v="709"/>
    <x v="8"/>
    <x v="1"/>
    <s v="United States"/>
    <x v="196"/>
    <x v="9"/>
    <x v="0"/>
    <n v="1"/>
    <n v="419"/>
    <n v="108.36"/>
  </r>
  <r>
    <x v="857"/>
    <x v="4"/>
    <x v="1"/>
    <s v="United States"/>
    <x v="196"/>
    <x v="9"/>
    <x v="0"/>
    <n v="3"/>
    <n v="3519"/>
    <n v="935.72"/>
  </r>
  <r>
    <x v="384"/>
    <x v="2"/>
    <x v="2"/>
    <s v="United States"/>
    <x v="13"/>
    <x v="7"/>
    <x v="2"/>
    <n v="8"/>
    <n v="2912"/>
    <n v="451.97"/>
  </r>
  <r>
    <x v="507"/>
    <x v="7"/>
    <x v="2"/>
    <s v="United States"/>
    <x v="13"/>
    <x v="7"/>
    <x v="2"/>
    <n v="5"/>
    <n v="4005"/>
    <n v="226.09"/>
  </r>
  <r>
    <x v="858"/>
    <x v="5"/>
    <x v="2"/>
    <s v="United States"/>
    <x v="15"/>
    <x v="13"/>
    <x v="1"/>
    <n v="5"/>
    <n v="2075"/>
    <n v="271.70999999999998"/>
  </r>
  <r>
    <x v="626"/>
    <x v="9"/>
    <x v="2"/>
    <s v="United States"/>
    <x v="324"/>
    <x v="2"/>
    <x v="1"/>
    <n v="2"/>
    <n v="120"/>
    <n v="7.74"/>
  </r>
  <r>
    <x v="518"/>
    <x v="3"/>
    <x v="2"/>
    <s v="United States"/>
    <x v="324"/>
    <x v="2"/>
    <x v="1"/>
    <n v="4"/>
    <n v="564"/>
    <n v="32.799999999999997"/>
  </r>
  <r>
    <x v="487"/>
    <x v="5"/>
    <x v="2"/>
    <s v="United States"/>
    <x v="324"/>
    <x v="2"/>
    <x v="1"/>
    <n v="2"/>
    <n v="486"/>
    <n v="62.58"/>
  </r>
  <r>
    <x v="269"/>
    <x v="5"/>
    <x v="2"/>
    <s v="United States"/>
    <x v="324"/>
    <x v="2"/>
    <x v="1"/>
    <n v="2"/>
    <n v="1488"/>
    <n v="342.87"/>
  </r>
  <r>
    <x v="144"/>
    <x v="9"/>
    <x v="2"/>
    <s v="United States"/>
    <x v="2"/>
    <x v="2"/>
    <x v="1"/>
    <n v="6"/>
    <n v="3096"/>
    <n v="277.68"/>
  </r>
  <r>
    <x v="254"/>
    <x v="5"/>
    <x v="2"/>
    <s v="United States"/>
    <x v="219"/>
    <x v="15"/>
    <x v="2"/>
    <n v="8"/>
    <n v="6488"/>
    <n v="1845.07"/>
  </r>
  <r>
    <x v="896"/>
    <x v="5"/>
    <x v="2"/>
    <s v="United States"/>
    <x v="325"/>
    <x v="36"/>
    <x v="1"/>
    <n v="4"/>
    <n v="4284"/>
    <n v="848.44"/>
  </r>
  <r>
    <x v="782"/>
    <x v="5"/>
    <x v="2"/>
    <s v="United States"/>
    <x v="3"/>
    <x v="3"/>
    <x v="2"/>
    <n v="8"/>
    <n v="1864"/>
    <n v="110.81"/>
  </r>
  <r>
    <x v="111"/>
    <x v="3"/>
    <x v="2"/>
    <s v="United States"/>
    <x v="3"/>
    <x v="3"/>
    <x v="2"/>
    <n v="5"/>
    <n v="4435"/>
    <n v="954.12"/>
  </r>
  <r>
    <x v="141"/>
    <x v="3"/>
    <x v="2"/>
    <s v="United States"/>
    <x v="6"/>
    <x v="5"/>
    <x v="3"/>
    <n v="4"/>
    <n v="3296"/>
    <n v="460.98"/>
  </r>
  <r>
    <x v="345"/>
    <x v="1"/>
    <x v="1"/>
    <s v="United States"/>
    <x v="6"/>
    <x v="5"/>
    <x v="3"/>
    <n v="3"/>
    <n v="780"/>
    <n v="217.92"/>
  </r>
  <r>
    <x v="928"/>
    <x v="5"/>
    <x v="2"/>
    <s v="United States"/>
    <x v="326"/>
    <x v="13"/>
    <x v="1"/>
    <n v="7"/>
    <n v="4396"/>
    <n v="962.61"/>
  </r>
  <r>
    <x v="772"/>
    <x v="8"/>
    <x v="1"/>
    <s v="United States"/>
    <x v="2"/>
    <x v="2"/>
    <x v="1"/>
    <n v="6"/>
    <n v="1362"/>
    <n v="202.68"/>
  </r>
  <r>
    <x v="555"/>
    <x v="1"/>
    <x v="1"/>
    <s v="United States"/>
    <x v="9"/>
    <x v="8"/>
    <x v="3"/>
    <n v="7"/>
    <n v="3843"/>
    <n v="378.03"/>
  </r>
  <r>
    <x v="693"/>
    <x v="0"/>
    <x v="0"/>
    <s v="United States"/>
    <x v="270"/>
    <x v="9"/>
    <x v="0"/>
    <n v="2"/>
    <n v="2080"/>
    <n v="450.24"/>
  </r>
  <r>
    <x v="709"/>
    <x v="1"/>
    <x v="1"/>
    <s v="United States"/>
    <x v="6"/>
    <x v="5"/>
    <x v="3"/>
    <n v="5"/>
    <n v="1210"/>
    <n v="201.45"/>
  </r>
  <r>
    <x v="886"/>
    <x v="0"/>
    <x v="0"/>
    <s v="United States"/>
    <x v="61"/>
    <x v="25"/>
    <x v="0"/>
    <n v="3"/>
    <n v="2316"/>
    <n v="356.5"/>
  </r>
  <r>
    <x v="21"/>
    <x v="6"/>
    <x v="1"/>
    <s v="United States"/>
    <x v="61"/>
    <x v="25"/>
    <x v="0"/>
    <n v="6"/>
    <n v="3366"/>
    <n v="614.22"/>
  </r>
  <r>
    <x v="648"/>
    <x v="2"/>
    <x v="2"/>
    <s v="United States"/>
    <x v="2"/>
    <x v="2"/>
    <x v="1"/>
    <n v="9"/>
    <n v="6507"/>
    <n v="1075.51"/>
  </r>
  <r>
    <x v="146"/>
    <x v="1"/>
    <x v="1"/>
    <s v="United States"/>
    <x v="13"/>
    <x v="7"/>
    <x v="2"/>
    <n v="1"/>
    <n v="384"/>
    <n v="35.36"/>
  </r>
  <r>
    <x v="443"/>
    <x v="9"/>
    <x v="2"/>
    <s v="United States"/>
    <x v="0"/>
    <x v="0"/>
    <x v="0"/>
    <n v="5"/>
    <n v="3625"/>
    <n v="563.95000000000005"/>
  </r>
  <r>
    <x v="91"/>
    <x v="2"/>
    <x v="2"/>
    <s v="United States"/>
    <x v="3"/>
    <x v="3"/>
    <x v="2"/>
    <n v="1"/>
    <n v="400"/>
    <n v="45.16"/>
  </r>
  <r>
    <x v="752"/>
    <x v="6"/>
    <x v="1"/>
    <s v="United States"/>
    <x v="63"/>
    <x v="28"/>
    <x v="2"/>
    <n v="5"/>
    <n v="2880"/>
    <n v="209.58"/>
  </r>
  <r>
    <x v="470"/>
    <x v="0"/>
    <x v="0"/>
    <s v="United States"/>
    <x v="2"/>
    <x v="2"/>
    <x v="1"/>
    <n v="6"/>
    <n v="1608"/>
    <n v="302.32"/>
  </r>
  <r>
    <x v="929"/>
    <x v="4"/>
    <x v="1"/>
    <s v="United States"/>
    <x v="6"/>
    <x v="5"/>
    <x v="3"/>
    <n v="2"/>
    <n v="1574"/>
    <n v="196.84"/>
  </r>
  <r>
    <x v="602"/>
    <x v="8"/>
    <x v="1"/>
    <s v="United States"/>
    <x v="327"/>
    <x v="2"/>
    <x v="1"/>
    <n v="3"/>
    <n v="2478"/>
    <n v="584.37"/>
  </r>
  <r>
    <x v="775"/>
    <x v="4"/>
    <x v="1"/>
    <s v="United States"/>
    <x v="327"/>
    <x v="2"/>
    <x v="1"/>
    <n v="8"/>
    <n v="8872"/>
    <n v="1486.58"/>
  </r>
  <r>
    <x v="153"/>
    <x v="0"/>
    <x v="0"/>
    <s v="United States"/>
    <x v="29"/>
    <x v="15"/>
    <x v="2"/>
    <n v="8"/>
    <n v="2320"/>
    <n v="668.63"/>
  </r>
  <r>
    <x v="587"/>
    <x v="4"/>
    <x v="1"/>
    <s v="United States"/>
    <x v="68"/>
    <x v="15"/>
    <x v="2"/>
    <n v="3"/>
    <n v="171"/>
    <n v="9.02"/>
  </r>
  <r>
    <x v="211"/>
    <x v="8"/>
    <x v="1"/>
    <s v="United States"/>
    <x v="195"/>
    <x v="36"/>
    <x v="1"/>
    <n v="8"/>
    <n v="4536"/>
    <n v="627.13"/>
  </r>
  <r>
    <x v="83"/>
    <x v="4"/>
    <x v="1"/>
    <s v="United States"/>
    <x v="28"/>
    <x v="2"/>
    <x v="1"/>
    <n v="3"/>
    <n v="1308"/>
    <n v="73.28"/>
  </r>
  <r>
    <x v="930"/>
    <x v="9"/>
    <x v="2"/>
    <s v="United States"/>
    <x v="328"/>
    <x v="12"/>
    <x v="1"/>
    <n v="4"/>
    <n v="4048"/>
    <n v="641.23"/>
  </r>
  <r>
    <x v="282"/>
    <x v="2"/>
    <x v="2"/>
    <s v="United States"/>
    <x v="328"/>
    <x v="12"/>
    <x v="1"/>
    <n v="9"/>
    <n v="4041"/>
    <n v="963.58"/>
  </r>
  <r>
    <x v="342"/>
    <x v="4"/>
    <x v="1"/>
    <s v="United States"/>
    <x v="329"/>
    <x v="30"/>
    <x v="0"/>
    <n v="5"/>
    <n v="5665"/>
    <n v="332.46"/>
  </r>
  <r>
    <x v="639"/>
    <x v="1"/>
    <x v="1"/>
    <s v="United States"/>
    <x v="329"/>
    <x v="30"/>
    <x v="0"/>
    <n v="6"/>
    <n v="6876"/>
    <n v="1029.92"/>
  </r>
  <r>
    <x v="885"/>
    <x v="6"/>
    <x v="1"/>
    <s v="United States"/>
    <x v="6"/>
    <x v="5"/>
    <x v="3"/>
    <n v="1"/>
    <n v="617"/>
    <n v="145.37"/>
  </r>
  <r>
    <x v="481"/>
    <x v="6"/>
    <x v="1"/>
    <s v="United States"/>
    <x v="22"/>
    <x v="12"/>
    <x v="1"/>
    <n v="6"/>
    <n v="1440"/>
    <n v="130.4"/>
  </r>
  <r>
    <x v="57"/>
    <x v="5"/>
    <x v="2"/>
    <s v="United States"/>
    <x v="22"/>
    <x v="12"/>
    <x v="1"/>
    <n v="8"/>
    <n v="472"/>
    <n v="116.36"/>
  </r>
  <r>
    <x v="308"/>
    <x v="9"/>
    <x v="2"/>
    <s v="United States"/>
    <x v="22"/>
    <x v="12"/>
    <x v="1"/>
    <n v="5"/>
    <n v="5640"/>
    <n v="1227.77"/>
  </r>
  <r>
    <x v="931"/>
    <x v="4"/>
    <x v="1"/>
    <s v="United States"/>
    <x v="6"/>
    <x v="5"/>
    <x v="3"/>
    <n v="6"/>
    <n v="2640"/>
    <n v="668.12"/>
  </r>
  <r>
    <x v="164"/>
    <x v="7"/>
    <x v="2"/>
    <s v="United States"/>
    <x v="3"/>
    <x v="3"/>
    <x v="2"/>
    <n v="3"/>
    <n v="768"/>
    <n v="72.67"/>
  </r>
  <r>
    <x v="932"/>
    <x v="8"/>
    <x v="1"/>
    <s v="United States"/>
    <x v="62"/>
    <x v="7"/>
    <x v="2"/>
    <n v="1"/>
    <n v="725"/>
    <n v="81.96"/>
  </r>
  <r>
    <x v="74"/>
    <x v="4"/>
    <x v="1"/>
    <s v="United States"/>
    <x v="68"/>
    <x v="3"/>
    <x v="2"/>
    <n v="8"/>
    <n v="1080"/>
    <n v="210.69"/>
  </r>
  <r>
    <x v="421"/>
    <x v="4"/>
    <x v="1"/>
    <s v="United States"/>
    <x v="9"/>
    <x v="8"/>
    <x v="3"/>
    <n v="1"/>
    <n v="393"/>
    <n v="40.340000000000003"/>
  </r>
  <r>
    <x v="525"/>
    <x v="5"/>
    <x v="2"/>
    <s v="United States"/>
    <x v="15"/>
    <x v="13"/>
    <x v="1"/>
    <n v="4"/>
    <n v="1264"/>
    <n v="371.92"/>
  </r>
  <r>
    <x v="52"/>
    <x v="4"/>
    <x v="1"/>
    <s v="United States"/>
    <x v="15"/>
    <x v="13"/>
    <x v="1"/>
    <n v="9"/>
    <n v="4797"/>
    <n v="1193.95"/>
  </r>
  <r>
    <x v="743"/>
    <x v="2"/>
    <x v="2"/>
    <s v="United States"/>
    <x v="330"/>
    <x v="25"/>
    <x v="0"/>
    <n v="8"/>
    <n v="2080"/>
    <n v="151.13999999999999"/>
  </r>
  <r>
    <x v="93"/>
    <x v="3"/>
    <x v="2"/>
    <s v="United States"/>
    <x v="70"/>
    <x v="27"/>
    <x v="3"/>
    <n v="4"/>
    <n v="3812"/>
    <n v="312.8"/>
  </r>
  <r>
    <x v="400"/>
    <x v="1"/>
    <x v="1"/>
    <s v="United States"/>
    <x v="13"/>
    <x v="7"/>
    <x v="2"/>
    <n v="5"/>
    <n v="3695"/>
    <n v="463.57"/>
  </r>
  <r>
    <x v="429"/>
    <x v="1"/>
    <x v="1"/>
    <s v="United States"/>
    <x v="18"/>
    <x v="2"/>
    <x v="1"/>
    <n v="1"/>
    <n v="1159"/>
    <n v="344.22"/>
  </r>
  <r>
    <x v="933"/>
    <x v="2"/>
    <x v="2"/>
    <s v="United States"/>
    <x v="3"/>
    <x v="3"/>
    <x v="2"/>
    <n v="9"/>
    <n v="4149"/>
    <n v="605.52"/>
  </r>
  <r>
    <x v="64"/>
    <x v="8"/>
    <x v="1"/>
    <s v="United States"/>
    <x v="3"/>
    <x v="3"/>
    <x v="2"/>
    <n v="2"/>
    <n v="1446"/>
    <n v="171.73"/>
  </r>
  <r>
    <x v="751"/>
    <x v="9"/>
    <x v="2"/>
    <s v="United States"/>
    <x v="3"/>
    <x v="3"/>
    <x v="2"/>
    <n v="1"/>
    <n v="225"/>
    <n v="48.82"/>
  </r>
  <r>
    <x v="677"/>
    <x v="4"/>
    <x v="1"/>
    <s v="United States"/>
    <x v="9"/>
    <x v="8"/>
    <x v="3"/>
    <n v="1"/>
    <n v="355"/>
    <n v="26.8"/>
  </r>
  <r>
    <x v="124"/>
    <x v="2"/>
    <x v="2"/>
    <s v="United States"/>
    <x v="9"/>
    <x v="8"/>
    <x v="3"/>
    <n v="7"/>
    <n v="3164"/>
    <n v="166.4"/>
  </r>
  <r>
    <x v="934"/>
    <x v="5"/>
    <x v="2"/>
    <s v="United States"/>
    <x v="13"/>
    <x v="7"/>
    <x v="2"/>
    <n v="1"/>
    <n v="498"/>
    <n v="38.67"/>
  </r>
  <r>
    <x v="869"/>
    <x v="4"/>
    <x v="1"/>
    <s v="United States"/>
    <x v="2"/>
    <x v="2"/>
    <x v="1"/>
    <n v="5"/>
    <n v="1315"/>
    <n v="217.79"/>
  </r>
  <r>
    <x v="602"/>
    <x v="4"/>
    <x v="1"/>
    <s v="United States"/>
    <x v="2"/>
    <x v="2"/>
    <x v="1"/>
    <n v="5"/>
    <n v="2805"/>
    <n v="438.89"/>
  </r>
  <r>
    <x v="506"/>
    <x v="6"/>
    <x v="1"/>
    <s v="United States"/>
    <x v="25"/>
    <x v="17"/>
    <x v="3"/>
    <n v="5"/>
    <n v="5180"/>
    <n v="726.62"/>
  </r>
  <r>
    <x v="935"/>
    <x v="3"/>
    <x v="2"/>
    <s v="United States"/>
    <x v="193"/>
    <x v="5"/>
    <x v="3"/>
    <n v="5"/>
    <n v="4045"/>
    <n v="203.35"/>
  </r>
  <r>
    <x v="936"/>
    <x v="9"/>
    <x v="2"/>
    <s v="United States"/>
    <x v="74"/>
    <x v="0"/>
    <x v="0"/>
    <n v="9"/>
    <n v="8793"/>
    <n v="2262.4299999999998"/>
  </r>
  <r>
    <x v="145"/>
    <x v="4"/>
    <x v="1"/>
    <s v="United States"/>
    <x v="74"/>
    <x v="0"/>
    <x v="0"/>
    <n v="8"/>
    <n v="2592"/>
    <n v="526.38"/>
  </r>
  <r>
    <x v="89"/>
    <x v="8"/>
    <x v="1"/>
    <s v="United States"/>
    <x v="74"/>
    <x v="0"/>
    <x v="0"/>
    <n v="7"/>
    <n v="7819"/>
    <n v="1708.84"/>
  </r>
  <r>
    <x v="325"/>
    <x v="5"/>
    <x v="2"/>
    <s v="United States"/>
    <x v="19"/>
    <x v="14"/>
    <x v="2"/>
    <n v="7"/>
    <n v="2919"/>
    <n v="325.35000000000002"/>
  </r>
  <r>
    <x v="937"/>
    <x v="0"/>
    <x v="0"/>
    <s v="United States"/>
    <x v="2"/>
    <x v="2"/>
    <x v="1"/>
    <n v="3"/>
    <n v="768"/>
    <n v="85.37"/>
  </r>
  <r>
    <x v="938"/>
    <x v="7"/>
    <x v="2"/>
    <s v="United States"/>
    <x v="28"/>
    <x v="2"/>
    <x v="1"/>
    <n v="2"/>
    <n v="1736"/>
    <n v="388.09"/>
  </r>
  <r>
    <x v="21"/>
    <x v="5"/>
    <x v="2"/>
    <s v="United States"/>
    <x v="149"/>
    <x v="15"/>
    <x v="2"/>
    <n v="7"/>
    <n v="6293"/>
    <n v="389.22"/>
  </r>
  <r>
    <x v="726"/>
    <x v="4"/>
    <x v="1"/>
    <s v="United States"/>
    <x v="205"/>
    <x v="34"/>
    <x v="1"/>
    <n v="6"/>
    <n v="3684"/>
    <n v="477.02"/>
  </r>
  <r>
    <x v="413"/>
    <x v="0"/>
    <x v="0"/>
    <s v="United States"/>
    <x v="2"/>
    <x v="2"/>
    <x v="1"/>
    <n v="9"/>
    <n v="8370"/>
    <n v="1064.6500000000001"/>
  </r>
  <r>
    <x v="354"/>
    <x v="8"/>
    <x v="1"/>
    <s v="United States"/>
    <x v="156"/>
    <x v="5"/>
    <x v="3"/>
    <n v="4"/>
    <n v="3788"/>
    <n v="875.54"/>
  </r>
  <r>
    <x v="858"/>
    <x v="9"/>
    <x v="2"/>
    <s v="United States"/>
    <x v="331"/>
    <x v="35"/>
    <x v="0"/>
    <n v="8"/>
    <n v="8296"/>
    <n v="1884.18"/>
  </r>
  <r>
    <x v="645"/>
    <x v="2"/>
    <x v="2"/>
    <s v="United States"/>
    <x v="114"/>
    <x v="20"/>
    <x v="2"/>
    <n v="5"/>
    <n v="325"/>
    <n v="21.01"/>
  </r>
  <r>
    <x v="797"/>
    <x v="3"/>
    <x v="2"/>
    <s v="United States"/>
    <x v="114"/>
    <x v="20"/>
    <x v="2"/>
    <n v="2"/>
    <n v="2216"/>
    <n v="444.36"/>
  </r>
  <r>
    <x v="429"/>
    <x v="9"/>
    <x v="2"/>
    <s v="United States"/>
    <x v="114"/>
    <x v="20"/>
    <x v="2"/>
    <n v="8"/>
    <n v="7064"/>
    <n v="1873.02"/>
  </r>
  <r>
    <x v="145"/>
    <x v="1"/>
    <x v="1"/>
    <s v="United States"/>
    <x v="134"/>
    <x v="38"/>
    <x v="2"/>
    <n v="9"/>
    <n v="2538"/>
    <n v="575.41"/>
  </r>
  <r>
    <x v="732"/>
    <x v="4"/>
    <x v="1"/>
    <s v="United States"/>
    <x v="134"/>
    <x v="38"/>
    <x v="2"/>
    <n v="1"/>
    <n v="1151"/>
    <n v="77.22"/>
  </r>
  <r>
    <x v="842"/>
    <x v="8"/>
    <x v="1"/>
    <s v="United States"/>
    <x v="38"/>
    <x v="17"/>
    <x v="3"/>
    <n v="1"/>
    <n v="717"/>
    <n v="137.27000000000001"/>
  </r>
  <r>
    <x v="187"/>
    <x v="5"/>
    <x v="2"/>
    <s v="United States"/>
    <x v="122"/>
    <x v="25"/>
    <x v="0"/>
    <n v="8"/>
    <n v="3048"/>
    <n v="444.3"/>
  </r>
  <r>
    <x v="674"/>
    <x v="8"/>
    <x v="1"/>
    <s v="United States"/>
    <x v="15"/>
    <x v="13"/>
    <x v="1"/>
    <n v="3"/>
    <n v="2070"/>
    <n v="163.22999999999999"/>
  </r>
  <r>
    <x v="939"/>
    <x v="3"/>
    <x v="2"/>
    <s v="United States"/>
    <x v="37"/>
    <x v="20"/>
    <x v="2"/>
    <n v="5"/>
    <n v="3630"/>
    <n v="537.92999999999995"/>
  </r>
  <r>
    <x v="110"/>
    <x v="2"/>
    <x v="2"/>
    <s v="United States"/>
    <x v="25"/>
    <x v="17"/>
    <x v="3"/>
    <n v="7"/>
    <n v="896"/>
    <n v="219.98"/>
  </r>
  <r>
    <x v="544"/>
    <x v="2"/>
    <x v="2"/>
    <s v="United States"/>
    <x v="160"/>
    <x v="30"/>
    <x v="0"/>
    <n v="7"/>
    <n v="1981"/>
    <n v="311.44"/>
  </r>
  <r>
    <x v="940"/>
    <x v="4"/>
    <x v="1"/>
    <s v="United States"/>
    <x v="198"/>
    <x v="5"/>
    <x v="3"/>
    <n v="6"/>
    <n v="7140"/>
    <n v="605.22"/>
  </r>
  <r>
    <x v="129"/>
    <x v="6"/>
    <x v="1"/>
    <s v="United States"/>
    <x v="15"/>
    <x v="13"/>
    <x v="1"/>
    <n v="5"/>
    <n v="1015"/>
    <n v="85.06"/>
  </r>
  <r>
    <x v="518"/>
    <x v="4"/>
    <x v="1"/>
    <s v="United States"/>
    <x v="58"/>
    <x v="25"/>
    <x v="0"/>
    <n v="4"/>
    <n v="524"/>
    <n v="52.31"/>
  </r>
  <r>
    <x v="431"/>
    <x v="5"/>
    <x v="2"/>
    <s v="United States"/>
    <x v="51"/>
    <x v="30"/>
    <x v="0"/>
    <n v="2"/>
    <n v="1678"/>
    <n v="372.78"/>
  </r>
  <r>
    <x v="251"/>
    <x v="2"/>
    <x v="2"/>
    <s v="United States"/>
    <x v="252"/>
    <x v="7"/>
    <x v="2"/>
    <n v="4"/>
    <n v="3260"/>
    <n v="969.76"/>
  </r>
  <r>
    <x v="941"/>
    <x v="4"/>
    <x v="1"/>
    <s v="United States"/>
    <x v="11"/>
    <x v="32"/>
    <x v="2"/>
    <n v="5"/>
    <n v="720"/>
    <n v="214.31"/>
  </r>
  <r>
    <x v="28"/>
    <x v="0"/>
    <x v="0"/>
    <s v="United States"/>
    <x v="127"/>
    <x v="30"/>
    <x v="0"/>
    <n v="4"/>
    <n v="1792"/>
    <n v="417.99"/>
  </r>
  <r>
    <x v="316"/>
    <x v="2"/>
    <x v="2"/>
    <s v="United States"/>
    <x v="9"/>
    <x v="8"/>
    <x v="3"/>
    <n v="9"/>
    <n v="3096"/>
    <n v="505.08"/>
  </r>
  <r>
    <x v="942"/>
    <x v="8"/>
    <x v="1"/>
    <s v="United States"/>
    <x v="13"/>
    <x v="7"/>
    <x v="2"/>
    <n v="5"/>
    <n v="1400"/>
    <n v="273.39"/>
  </r>
  <r>
    <x v="43"/>
    <x v="5"/>
    <x v="2"/>
    <s v="United States"/>
    <x v="99"/>
    <x v="2"/>
    <x v="1"/>
    <n v="4"/>
    <n v="508"/>
    <n v="37.94"/>
  </r>
  <r>
    <x v="615"/>
    <x v="2"/>
    <x v="2"/>
    <s v="United States"/>
    <x v="218"/>
    <x v="32"/>
    <x v="2"/>
    <n v="7"/>
    <n v="2646"/>
    <n v="380.83"/>
  </r>
  <r>
    <x v="588"/>
    <x v="1"/>
    <x v="1"/>
    <s v="United States"/>
    <x v="218"/>
    <x v="32"/>
    <x v="2"/>
    <n v="1"/>
    <n v="357"/>
    <n v="79.86"/>
  </r>
  <r>
    <x v="55"/>
    <x v="2"/>
    <x v="2"/>
    <s v="United States"/>
    <x v="2"/>
    <x v="2"/>
    <x v="1"/>
    <n v="1"/>
    <n v="373"/>
    <n v="53.15"/>
  </r>
  <r>
    <x v="650"/>
    <x v="7"/>
    <x v="2"/>
    <s v="United States"/>
    <x v="2"/>
    <x v="2"/>
    <x v="1"/>
    <n v="1"/>
    <n v="266"/>
    <n v="55.52"/>
  </r>
  <r>
    <x v="943"/>
    <x v="7"/>
    <x v="2"/>
    <s v="United States"/>
    <x v="248"/>
    <x v="7"/>
    <x v="2"/>
    <n v="4"/>
    <n v="344"/>
    <n v="25.7"/>
  </r>
  <r>
    <x v="373"/>
    <x v="7"/>
    <x v="2"/>
    <s v="United States"/>
    <x v="53"/>
    <x v="2"/>
    <x v="1"/>
    <n v="7"/>
    <n v="1806"/>
    <n v="308.92"/>
  </r>
  <r>
    <x v="563"/>
    <x v="0"/>
    <x v="0"/>
    <s v="United States"/>
    <x v="2"/>
    <x v="2"/>
    <x v="1"/>
    <n v="9"/>
    <n v="7281"/>
    <n v="396.28"/>
  </r>
  <r>
    <x v="168"/>
    <x v="5"/>
    <x v="2"/>
    <s v="United States"/>
    <x v="15"/>
    <x v="13"/>
    <x v="1"/>
    <n v="7"/>
    <n v="3094"/>
    <n v="463.72"/>
  </r>
  <r>
    <x v="59"/>
    <x v="8"/>
    <x v="1"/>
    <s v="United States"/>
    <x v="67"/>
    <x v="26"/>
    <x v="3"/>
    <n v="2"/>
    <n v="252"/>
    <n v="67.37"/>
  </r>
  <r>
    <x v="944"/>
    <x v="3"/>
    <x v="2"/>
    <s v="United States"/>
    <x v="191"/>
    <x v="5"/>
    <x v="3"/>
    <n v="9"/>
    <n v="2691"/>
    <n v="761.16"/>
  </r>
  <r>
    <x v="395"/>
    <x v="0"/>
    <x v="0"/>
    <s v="United States"/>
    <x v="6"/>
    <x v="5"/>
    <x v="3"/>
    <n v="6"/>
    <n v="990"/>
    <n v="102.83"/>
  </r>
  <r>
    <x v="918"/>
    <x v="5"/>
    <x v="2"/>
    <s v="United States"/>
    <x v="81"/>
    <x v="22"/>
    <x v="1"/>
    <n v="4"/>
    <n v="3236"/>
    <n v="655.17999999999995"/>
  </r>
  <r>
    <x v="944"/>
    <x v="9"/>
    <x v="2"/>
    <s v="United States"/>
    <x v="81"/>
    <x v="22"/>
    <x v="1"/>
    <n v="4"/>
    <n v="1076"/>
    <n v="124.56"/>
  </r>
  <r>
    <x v="612"/>
    <x v="2"/>
    <x v="2"/>
    <s v="United States"/>
    <x v="284"/>
    <x v="2"/>
    <x v="1"/>
    <n v="4"/>
    <n v="1428"/>
    <n v="160.54"/>
  </r>
  <r>
    <x v="802"/>
    <x v="8"/>
    <x v="1"/>
    <s v="United States"/>
    <x v="14"/>
    <x v="8"/>
    <x v="3"/>
    <n v="5"/>
    <n v="1000"/>
    <n v="292.04000000000002"/>
  </r>
  <r>
    <x v="42"/>
    <x v="5"/>
    <x v="2"/>
    <s v="United States"/>
    <x v="3"/>
    <x v="3"/>
    <x v="2"/>
    <n v="9"/>
    <n v="3429"/>
    <n v="998.82"/>
  </r>
  <r>
    <x v="391"/>
    <x v="6"/>
    <x v="1"/>
    <s v="United States"/>
    <x v="332"/>
    <x v="12"/>
    <x v="1"/>
    <n v="5"/>
    <n v="4730"/>
    <n v="1416.1"/>
  </r>
  <r>
    <x v="609"/>
    <x v="6"/>
    <x v="1"/>
    <s v="United States"/>
    <x v="332"/>
    <x v="12"/>
    <x v="1"/>
    <n v="6"/>
    <n v="6630"/>
    <n v="512.6"/>
  </r>
  <r>
    <x v="9"/>
    <x v="3"/>
    <x v="2"/>
    <s v="United States"/>
    <x v="332"/>
    <x v="12"/>
    <x v="1"/>
    <n v="7"/>
    <n v="2296"/>
    <n v="138.93"/>
  </r>
  <r>
    <x v="945"/>
    <x v="6"/>
    <x v="1"/>
    <s v="United States"/>
    <x v="160"/>
    <x v="31"/>
    <x v="0"/>
    <n v="7"/>
    <n v="7420"/>
    <n v="1107.31"/>
  </r>
  <r>
    <x v="472"/>
    <x v="0"/>
    <x v="0"/>
    <s v="United States"/>
    <x v="10"/>
    <x v="9"/>
    <x v="0"/>
    <n v="7"/>
    <n v="2338"/>
    <n v="531.5"/>
  </r>
  <r>
    <x v="165"/>
    <x v="8"/>
    <x v="1"/>
    <s v="United States"/>
    <x v="10"/>
    <x v="9"/>
    <x v="0"/>
    <n v="7"/>
    <n v="4039"/>
    <n v="420.29"/>
  </r>
  <r>
    <x v="130"/>
    <x v="9"/>
    <x v="2"/>
    <s v="United States"/>
    <x v="333"/>
    <x v="2"/>
    <x v="1"/>
    <n v="2"/>
    <n v="990"/>
    <n v="76.87"/>
  </r>
  <r>
    <x v="613"/>
    <x v="9"/>
    <x v="2"/>
    <s v="United States"/>
    <x v="333"/>
    <x v="2"/>
    <x v="1"/>
    <n v="1"/>
    <n v="733"/>
    <n v="54.11"/>
  </r>
  <r>
    <x v="450"/>
    <x v="7"/>
    <x v="2"/>
    <s v="United States"/>
    <x v="317"/>
    <x v="8"/>
    <x v="3"/>
    <n v="3"/>
    <n v="2421"/>
    <n v="334.61"/>
  </r>
  <r>
    <x v="685"/>
    <x v="8"/>
    <x v="1"/>
    <s v="United States"/>
    <x v="3"/>
    <x v="3"/>
    <x v="2"/>
    <n v="8"/>
    <n v="832"/>
    <n v="214.81"/>
  </r>
  <r>
    <x v="728"/>
    <x v="5"/>
    <x v="2"/>
    <s v="United States"/>
    <x v="13"/>
    <x v="7"/>
    <x v="2"/>
    <n v="1"/>
    <n v="483"/>
    <n v="98.15"/>
  </r>
  <r>
    <x v="946"/>
    <x v="8"/>
    <x v="1"/>
    <s v="United States"/>
    <x v="144"/>
    <x v="5"/>
    <x v="3"/>
    <n v="6"/>
    <n v="2508"/>
    <n v="480.48"/>
  </r>
  <r>
    <x v="487"/>
    <x v="8"/>
    <x v="1"/>
    <s v="United States"/>
    <x v="295"/>
    <x v="36"/>
    <x v="1"/>
    <n v="7"/>
    <n v="4032"/>
    <n v="426.13"/>
  </r>
  <r>
    <x v="102"/>
    <x v="8"/>
    <x v="1"/>
    <s v="United States"/>
    <x v="53"/>
    <x v="2"/>
    <x v="1"/>
    <n v="8"/>
    <n v="3208"/>
    <n v="840.97"/>
  </r>
  <r>
    <x v="870"/>
    <x v="5"/>
    <x v="2"/>
    <s v="United States"/>
    <x v="116"/>
    <x v="5"/>
    <x v="3"/>
    <n v="6"/>
    <n v="3402"/>
    <n v="857.61"/>
  </r>
  <r>
    <x v="486"/>
    <x v="4"/>
    <x v="1"/>
    <s v="United States"/>
    <x v="116"/>
    <x v="5"/>
    <x v="3"/>
    <n v="1"/>
    <n v="541"/>
    <n v="52.5"/>
  </r>
  <r>
    <x v="89"/>
    <x v="5"/>
    <x v="2"/>
    <s v="United States"/>
    <x v="297"/>
    <x v="2"/>
    <x v="1"/>
    <n v="7"/>
    <n v="1806"/>
    <n v="129.6"/>
  </r>
  <r>
    <x v="444"/>
    <x v="4"/>
    <x v="1"/>
    <s v="United States"/>
    <x v="297"/>
    <x v="2"/>
    <x v="1"/>
    <n v="3"/>
    <n v="2433"/>
    <n v="515.28"/>
  </r>
  <r>
    <x v="396"/>
    <x v="8"/>
    <x v="1"/>
    <s v="United States"/>
    <x v="297"/>
    <x v="2"/>
    <x v="1"/>
    <n v="6"/>
    <n v="5880"/>
    <n v="454.19"/>
  </r>
  <r>
    <x v="947"/>
    <x v="1"/>
    <x v="1"/>
    <s v="United States"/>
    <x v="22"/>
    <x v="12"/>
    <x v="1"/>
    <n v="3"/>
    <n v="3375"/>
    <n v="451.5"/>
  </r>
  <r>
    <x v="410"/>
    <x v="2"/>
    <x v="2"/>
    <s v="United States"/>
    <x v="22"/>
    <x v="12"/>
    <x v="1"/>
    <n v="8"/>
    <n v="6960"/>
    <n v="1913.58"/>
  </r>
  <r>
    <x v="933"/>
    <x v="8"/>
    <x v="1"/>
    <s v="United States"/>
    <x v="3"/>
    <x v="3"/>
    <x v="2"/>
    <n v="4"/>
    <n v="316"/>
    <n v="32.79"/>
  </r>
  <r>
    <x v="645"/>
    <x v="2"/>
    <x v="2"/>
    <s v="United States"/>
    <x v="334"/>
    <x v="18"/>
    <x v="2"/>
    <n v="9"/>
    <n v="1404"/>
    <n v="89.43"/>
  </r>
  <r>
    <x v="729"/>
    <x v="8"/>
    <x v="1"/>
    <s v="United States"/>
    <x v="14"/>
    <x v="12"/>
    <x v="1"/>
    <n v="9"/>
    <n v="5823"/>
    <n v="478.22"/>
  </r>
  <r>
    <x v="948"/>
    <x v="4"/>
    <x v="1"/>
    <s v="United States"/>
    <x v="53"/>
    <x v="2"/>
    <x v="1"/>
    <n v="6"/>
    <n v="2790"/>
    <n v="719.15"/>
  </r>
  <r>
    <x v="678"/>
    <x v="2"/>
    <x v="2"/>
    <s v="United States"/>
    <x v="15"/>
    <x v="13"/>
    <x v="1"/>
    <n v="7"/>
    <n v="1169"/>
    <n v="69.41"/>
  </r>
  <r>
    <x v="845"/>
    <x v="0"/>
    <x v="0"/>
    <s v="United States"/>
    <x v="172"/>
    <x v="20"/>
    <x v="2"/>
    <n v="8"/>
    <n v="6016"/>
    <n v="406.13"/>
  </r>
  <r>
    <x v="591"/>
    <x v="5"/>
    <x v="2"/>
    <s v="United States"/>
    <x v="172"/>
    <x v="20"/>
    <x v="2"/>
    <n v="7"/>
    <n v="7154"/>
    <n v="1177.51"/>
  </r>
  <r>
    <x v="778"/>
    <x v="8"/>
    <x v="1"/>
    <s v="United States"/>
    <x v="258"/>
    <x v="37"/>
    <x v="3"/>
    <n v="2"/>
    <n v="370"/>
    <n v="102.74"/>
  </r>
  <r>
    <x v="3"/>
    <x v="6"/>
    <x v="1"/>
    <s v="United States"/>
    <x v="13"/>
    <x v="7"/>
    <x v="2"/>
    <n v="1"/>
    <n v="430"/>
    <n v="113.57"/>
  </r>
  <r>
    <x v="503"/>
    <x v="5"/>
    <x v="2"/>
    <s v="United States"/>
    <x v="68"/>
    <x v="15"/>
    <x v="2"/>
    <n v="1"/>
    <n v="946"/>
    <n v="280.52999999999997"/>
  </r>
  <r>
    <x v="229"/>
    <x v="2"/>
    <x v="2"/>
    <s v="United States"/>
    <x v="144"/>
    <x v="5"/>
    <x v="3"/>
    <n v="8"/>
    <n v="984"/>
    <n v="73.84"/>
  </r>
  <r>
    <x v="818"/>
    <x v="8"/>
    <x v="1"/>
    <s v="United States"/>
    <x v="13"/>
    <x v="7"/>
    <x v="2"/>
    <n v="9"/>
    <n v="1467"/>
    <n v="372.17"/>
  </r>
  <r>
    <x v="173"/>
    <x v="7"/>
    <x v="2"/>
    <s v="United States"/>
    <x v="45"/>
    <x v="5"/>
    <x v="3"/>
    <n v="4"/>
    <n v="2444"/>
    <n v="155.41999999999999"/>
  </r>
  <r>
    <x v="949"/>
    <x v="1"/>
    <x v="1"/>
    <s v="United States"/>
    <x v="6"/>
    <x v="5"/>
    <x v="3"/>
    <n v="9"/>
    <n v="8640"/>
    <n v="1254.3"/>
  </r>
  <r>
    <x v="466"/>
    <x v="5"/>
    <x v="2"/>
    <s v="United States"/>
    <x v="2"/>
    <x v="2"/>
    <x v="1"/>
    <n v="9"/>
    <n v="3861"/>
    <n v="536.04"/>
  </r>
  <r>
    <x v="798"/>
    <x v="8"/>
    <x v="1"/>
    <s v="United States"/>
    <x v="15"/>
    <x v="13"/>
    <x v="1"/>
    <n v="1"/>
    <n v="868"/>
    <n v="60.12"/>
  </r>
  <r>
    <x v="327"/>
    <x v="9"/>
    <x v="2"/>
    <s v="United States"/>
    <x v="335"/>
    <x v="20"/>
    <x v="2"/>
    <n v="9"/>
    <n v="1746"/>
    <n v="260.5"/>
  </r>
  <r>
    <x v="315"/>
    <x v="0"/>
    <x v="0"/>
    <s v="United States"/>
    <x v="3"/>
    <x v="3"/>
    <x v="2"/>
    <n v="1"/>
    <n v="915"/>
    <n v="129.08000000000001"/>
  </r>
  <r>
    <x v="767"/>
    <x v="5"/>
    <x v="2"/>
    <s v="United States"/>
    <x v="2"/>
    <x v="2"/>
    <x v="1"/>
    <n v="9"/>
    <n v="3591"/>
    <n v="423"/>
  </r>
  <r>
    <x v="438"/>
    <x v="3"/>
    <x v="2"/>
    <s v="United States"/>
    <x v="2"/>
    <x v="2"/>
    <x v="1"/>
    <n v="6"/>
    <n v="2562"/>
    <n v="612.36"/>
  </r>
  <r>
    <x v="380"/>
    <x v="5"/>
    <x v="2"/>
    <s v="United States"/>
    <x v="28"/>
    <x v="2"/>
    <x v="1"/>
    <n v="9"/>
    <n v="5382"/>
    <n v="1037.04"/>
  </r>
  <r>
    <x v="723"/>
    <x v="5"/>
    <x v="2"/>
    <s v="United States"/>
    <x v="156"/>
    <x v="5"/>
    <x v="3"/>
    <n v="4"/>
    <n v="2792"/>
    <n v="170.96"/>
  </r>
  <r>
    <x v="472"/>
    <x v="4"/>
    <x v="1"/>
    <s v="United States"/>
    <x v="156"/>
    <x v="5"/>
    <x v="3"/>
    <n v="4"/>
    <n v="2160"/>
    <n v="631.9"/>
  </r>
  <r>
    <x v="632"/>
    <x v="6"/>
    <x v="1"/>
    <s v="United States"/>
    <x v="336"/>
    <x v="24"/>
    <x v="0"/>
    <n v="7"/>
    <n v="6377"/>
    <n v="1332.86"/>
  </r>
  <r>
    <x v="432"/>
    <x v="7"/>
    <x v="2"/>
    <s v="United States"/>
    <x v="58"/>
    <x v="25"/>
    <x v="0"/>
    <n v="8"/>
    <n v="5264"/>
    <n v="1051.5"/>
  </r>
  <r>
    <x v="700"/>
    <x v="9"/>
    <x v="2"/>
    <s v="United States"/>
    <x v="15"/>
    <x v="13"/>
    <x v="1"/>
    <n v="2"/>
    <n v="1346"/>
    <n v="196.5"/>
  </r>
  <r>
    <x v="372"/>
    <x v="3"/>
    <x v="2"/>
    <s v="United States"/>
    <x v="6"/>
    <x v="5"/>
    <x v="3"/>
    <n v="7"/>
    <n v="7301"/>
    <n v="1311.65"/>
  </r>
  <r>
    <x v="157"/>
    <x v="8"/>
    <x v="1"/>
    <s v="United States"/>
    <x v="3"/>
    <x v="3"/>
    <x v="2"/>
    <n v="2"/>
    <n v="2016"/>
    <n v="198.26"/>
  </r>
  <r>
    <x v="718"/>
    <x v="9"/>
    <x v="2"/>
    <s v="United States"/>
    <x v="9"/>
    <x v="8"/>
    <x v="3"/>
    <n v="6"/>
    <n v="1266"/>
    <n v="220.5"/>
  </r>
  <r>
    <x v="832"/>
    <x v="1"/>
    <x v="1"/>
    <s v="United States"/>
    <x v="147"/>
    <x v="5"/>
    <x v="3"/>
    <n v="2"/>
    <n v="140"/>
    <n v="35.18"/>
  </r>
  <r>
    <x v="950"/>
    <x v="3"/>
    <x v="2"/>
    <s v="United States"/>
    <x v="147"/>
    <x v="5"/>
    <x v="3"/>
    <n v="8"/>
    <n v="6520"/>
    <n v="1073.6199999999999"/>
  </r>
  <r>
    <x v="273"/>
    <x v="8"/>
    <x v="1"/>
    <s v="United States"/>
    <x v="2"/>
    <x v="2"/>
    <x v="1"/>
    <n v="1"/>
    <n v="582"/>
    <n v="29.91"/>
  </r>
  <r>
    <x v="951"/>
    <x v="0"/>
    <x v="0"/>
    <s v="United States"/>
    <x v="9"/>
    <x v="8"/>
    <x v="3"/>
    <n v="1"/>
    <n v="245"/>
    <n v="14.5"/>
  </r>
  <r>
    <x v="448"/>
    <x v="1"/>
    <x v="1"/>
    <s v="United States"/>
    <x v="28"/>
    <x v="2"/>
    <x v="1"/>
    <n v="1"/>
    <n v="504"/>
    <n v="143.12"/>
  </r>
  <r>
    <x v="789"/>
    <x v="6"/>
    <x v="1"/>
    <s v="United States"/>
    <x v="28"/>
    <x v="2"/>
    <x v="1"/>
    <n v="6"/>
    <n v="6834"/>
    <n v="1211.75"/>
  </r>
  <r>
    <x v="430"/>
    <x v="4"/>
    <x v="1"/>
    <s v="United States"/>
    <x v="337"/>
    <x v="2"/>
    <x v="1"/>
    <n v="8"/>
    <n v="5712"/>
    <n v="1191.02"/>
  </r>
  <r>
    <x v="175"/>
    <x v="9"/>
    <x v="2"/>
    <s v="United States"/>
    <x v="9"/>
    <x v="8"/>
    <x v="3"/>
    <n v="5"/>
    <n v="4485"/>
    <n v="347.99"/>
  </r>
  <r>
    <x v="59"/>
    <x v="4"/>
    <x v="1"/>
    <s v="United States"/>
    <x v="144"/>
    <x v="5"/>
    <x v="3"/>
    <n v="8"/>
    <n v="2304"/>
    <n v="291.45999999999998"/>
  </r>
  <r>
    <x v="172"/>
    <x v="1"/>
    <x v="1"/>
    <s v="United States"/>
    <x v="49"/>
    <x v="1"/>
    <x v="0"/>
    <n v="6"/>
    <n v="6576"/>
    <n v="815.56"/>
  </r>
  <r>
    <x v="724"/>
    <x v="8"/>
    <x v="1"/>
    <s v="United States"/>
    <x v="13"/>
    <x v="7"/>
    <x v="2"/>
    <n v="9"/>
    <n v="10629"/>
    <n v="2843.54"/>
  </r>
  <r>
    <x v="655"/>
    <x v="3"/>
    <x v="2"/>
    <s v="United States"/>
    <x v="53"/>
    <x v="2"/>
    <x v="1"/>
    <n v="1"/>
    <n v="706"/>
    <n v="153.59"/>
  </r>
  <r>
    <x v="812"/>
    <x v="4"/>
    <x v="1"/>
    <s v="United States"/>
    <x v="338"/>
    <x v="40"/>
    <x v="3"/>
    <n v="1"/>
    <n v="977"/>
    <n v="103.82"/>
  </r>
  <r>
    <x v="498"/>
    <x v="5"/>
    <x v="2"/>
    <s v="United States"/>
    <x v="237"/>
    <x v="32"/>
    <x v="2"/>
    <n v="4"/>
    <n v="776"/>
    <n v="73.16"/>
  </r>
  <r>
    <x v="808"/>
    <x v="2"/>
    <x v="2"/>
    <s v="United States"/>
    <x v="31"/>
    <x v="18"/>
    <x v="2"/>
    <n v="4"/>
    <n v="3932"/>
    <n v="309.43"/>
  </r>
  <r>
    <x v="952"/>
    <x v="8"/>
    <x v="1"/>
    <s v="United States"/>
    <x v="53"/>
    <x v="2"/>
    <x v="1"/>
    <n v="3"/>
    <n v="1263"/>
    <n v="368.46"/>
  </r>
  <r>
    <x v="306"/>
    <x v="8"/>
    <x v="1"/>
    <s v="United States"/>
    <x v="53"/>
    <x v="2"/>
    <x v="1"/>
    <n v="8"/>
    <n v="7064"/>
    <n v="745.24"/>
  </r>
  <r>
    <x v="157"/>
    <x v="8"/>
    <x v="1"/>
    <s v="United States"/>
    <x v="28"/>
    <x v="2"/>
    <x v="1"/>
    <n v="4"/>
    <n v="4740"/>
    <n v="746.77"/>
  </r>
  <r>
    <x v="170"/>
    <x v="0"/>
    <x v="0"/>
    <s v="United States"/>
    <x v="15"/>
    <x v="13"/>
    <x v="1"/>
    <n v="7"/>
    <n v="4522"/>
    <n v="1137.23"/>
  </r>
  <r>
    <x v="55"/>
    <x v="2"/>
    <x v="2"/>
    <s v="United States"/>
    <x v="15"/>
    <x v="13"/>
    <x v="1"/>
    <n v="7"/>
    <n v="2009"/>
    <n v="183.19"/>
  </r>
  <r>
    <x v="705"/>
    <x v="7"/>
    <x v="2"/>
    <s v="United States"/>
    <x v="76"/>
    <x v="36"/>
    <x v="1"/>
    <n v="2"/>
    <n v="2110"/>
    <n v="548.12"/>
  </r>
  <r>
    <x v="469"/>
    <x v="1"/>
    <x v="1"/>
    <s v="United States"/>
    <x v="3"/>
    <x v="3"/>
    <x v="2"/>
    <n v="1"/>
    <n v="95"/>
    <n v="6.97"/>
  </r>
  <r>
    <x v="359"/>
    <x v="5"/>
    <x v="2"/>
    <s v="United States"/>
    <x v="9"/>
    <x v="8"/>
    <x v="3"/>
    <n v="1"/>
    <n v="384"/>
    <n v="83.58"/>
  </r>
  <r>
    <x v="590"/>
    <x v="2"/>
    <x v="2"/>
    <s v="United States"/>
    <x v="9"/>
    <x v="8"/>
    <x v="3"/>
    <n v="3"/>
    <n v="3471"/>
    <n v="200.08"/>
  </r>
  <r>
    <x v="657"/>
    <x v="2"/>
    <x v="2"/>
    <s v="United States"/>
    <x v="9"/>
    <x v="8"/>
    <x v="3"/>
    <n v="4"/>
    <n v="2048"/>
    <n v="507.01"/>
  </r>
  <r>
    <x v="87"/>
    <x v="6"/>
    <x v="1"/>
    <s v="United States"/>
    <x v="13"/>
    <x v="7"/>
    <x v="2"/>
    <n v="8"/>
    <n v="9296"/>
    <n v="2581.06"/>
  </r>
  <r>
    <x v="670"/>
    <x v="9"/>
    <x v="2"/>
    <s v="United States"/>
    <x v="339"/>
    <x v="30"/>
    <x v="0"/>
    <n v="8"/>
    <n v="5272"/>
    <n v="1188.1600000000001"/>
  </r>
  <r>
    <x v="927"/>
    <x v="4"/>
    <x v="1"/>
    <s v="United States"/>
    <x v="13"/>
    <x v="7"/>
    <x v="2"/>
    <n v="1"/>
    <n v="619"/>
    <n v="127.58"/>
  </r>
  <r>
    <x v="185"/>
    <x v="9"/>
    <x v="2"/>
    <s v="United States"/>
    <x v="13"/>
    <x v="7"/>
    <x v="2"/>
    <n v="1"/>
    <n v="448"/>
    <n v="53.2"/>
  </r>
  <r>
    <x v="42"/>
    <x v="8"/>
    <x v="1"/>
    <s v="United States"/>
    <x v="340"/>
    <x v="1"/>
    <x v="0"/>
    <n v="9"/>
    <n v="5004"/>
    <n v="1313.13"/>
  </r>
  <r>
    <x v="64"/>
    <x v="8"/>
    <x v="1"/>
    <s v="United States"/>
    <x v="144"/>
    <x v="5"/>
    <x v="3"/>
    <n v="4"/>
    <n v="4716"/>
    <n v="704.99"/>
  </r>
  <r>
    <x v="2"/>
    <x v="0"/>
    <x v="0"/>
    <s v="United States"/>
    <x v="144"/>
    <x v="5"/>
    <x v="3"/>
    <n v="9"/>
    <n v="7506"/>
    <n v="827.17"/>
  </r>
  <r>
    <x v="953"/>
    <x v="8"/>
    <x v="1"/>
    <s v="United States"/>
    <x v="8"/>
    <x v="7"/>
    <x v="2"/>
    <n v="7"/>
    <n v="4095"/>
    <n v="883.56"/>
  </r>
  <r>
    <x v="363"/>
    <x v="5"/>
    <x v="2"/>
    <s v="United States"/>
    <x v="244"/>
    <x v="24"/>
    <x v="0"/>
    <n v="7"/>
    <n v="4459"/>
    <n v="1037.27"/>
  </r>
  <r>
    <x v="266"/>
    <x v="2"/>
    <x v="2"/>
    <s v="United States"/>
    <x v="51"/>
    <x v="1"/>
    <x v="0"/>
    <n v="5"/>
    <n v="620"/>
    <n v="62.49"/>
  </r>
  <r>
    <x v="653"/>
    <x v="5"/>
    <x v="2"/>
    <s v="United States"/>
    <x v="51"/>
    <x v="1"/>
    <x v="0"/>
    <n v="2"/>
    <n v="2362"/>
    <n v="185.89"/>
  </r>
  <r>
    <x v="312"/>
    <x v="0"/>
    <x v="0"/>
    <s v="United States"/>
    <x v="51"/>
    <x v="1"/>
    <x v="0"/>
    <n v="2"/>
    <n v="606"/>
    <n v="154.99"/>
  </r>
  <r>
    <x v="501"/>
    <x v="3"/>
    <x v="2"/>
    <s v="United States"/>
    <x v="28"/>
    <x v="2"/>
    <x v="1"/>
    <n v="4"/>
    <n v="1084"/>
    <n v="134.41999999999999"/>
  </r>
  <r>
    <x v="954"/>
    <x v="9"/>
    <x v="2"/>
    <s v="United States"/>
    <x v="9"/>
    <x v="8"/>
    <x v="3"/>
    <n v="8"/>
    <n v="2880"/>
    <n v="315.87"/>
  </r>
  <r>
    <x v="157"/>
    <x v="9"/>
    <x v="2"/>
    <s v="United States"/>
    <x v="14"/>
    <x v="8"/>
    <x v="3"/>
    <n v="8"/>
    <n v="4544"/>
    <n v="727.05"/>
  </r>
  <r>
    <x v="303"/>
    <x v="1"/>
    <x v="1"/>
    <s v="United States"/>
    <x v="13"/>
    <x v="7"/>
    <x v="2"/>
    <n v="4"/>
    <n v="556"/>
    <n v="85.63"/>
  </r>
  <r>
    <x v="554"/>
    <x v="9"/>
    <x v="2"/>
    <s v="United States"/>
    <x v="311"/>
    <x v="2"/>
    <x v="1"/>
    <n v="5"/>
    <n v="505"/>
    <n v="71.97"/>
  </r>
  <r>
    <x v="267"/>
    <x v="2"/>
    <x v="2"/>
    <s v="United States"/>
    <x v="51"/>
    <x v="30"/>
    <x v="0"/>
    <n v="5"/>
    <n v="2595"/>
    <n v="774.2"/>
  </r>
  <r>
    <x v="955"/>
    <x v="4"/>
    <x v="1"/>
    <s v="United States"/>
    <x v="317"/>
    <x v="8"/>
    <x v="3"/>
    <n v="5"/>
    <n v="2820"/>
    <n v="737.68"/>
  </r>
  <r>
    <x v="115"/>
    <x v="8"/>
    <x v="1"/>
    <s v="United States"/>
    <x v="127"/>
    <x v="30"/>
    <x v="0"/>
    <n v="2"/>
    <n v="1018"/>
    <n v="297.20999999999998"/>
  </r>
  <r>
    <x v="956"/>
    <x v="9"/>
    <x v="2"/>
    <s v="United States"/>
    <x v="2"/>
    <x v="2"/>
    <x v="1"/>
    <n v="4"/>
    <n v="944"/>
    <n v="176.56"/>
  </r>
  <r>
    <x v="614"/>
    <x v="2"/>
    <x v="2"/>
    <s v="United States"/>
    <x v="175"/>
    <x v="2"/>
    <x v="1"/>
    <n v="1"/>
    <n v="610"/>
    <n v="44.99"/>
  </r>
  <r>
    <x v="538"/>
    <x v="3"/>
    <x v="2"/>
    <s v="United States"/>
    <x v="6"/>
    <x v="5"/>
    <x v="3"/>
    <n v="4"/>
    <n v="912"/>
    <n v="81.650000000000006"/>
  </r>
  <r>
    <x v="610"/>
    <x v="6"/>
    <x v="1"/>
    <s v="United States"/>
    <x v="29"/>
    <x v="24"/>
    <x v="0"/>
    <n v="9"/>
    <n v="10413"/>
    <n v="1738.63"/>
  </r>
  <r>
    <x v="346"/>
    <x v="0"/>
    <x v="0"/>
    <s v="United States"/>
    <x v="256"/>
    <x v="5"/>
    <x v="3"/>
    <n v="8"/>
    <n v="2176"/>
    <n v="398.29"/>
  </r>
  <r>
    <x v="814"/>
    <x v="0"/>
    <x v="0"/>
    <s v="United States"/>
    <x v="341"/>
    <x v="20"/>
    <x v="2"/>
    <n v="6"/>
    <n v="6108"/>
    <n v="1488.4"/>
  </r>
  <r>
    <x v="921"/>
    <x v="1"/>
    <x v="1"/>
    <s v="United States"/>
    <x v="170"/>
    <x v="2"/>
    <x v="1"/>
    <n v="2"/>
    <n v="1148"/>
    <n v="173.89"/>
  </r>
  <r>
    <x v="957"/>
    <x v="6"/>
    <x v="1"/>
    <s v="United States"/>
    <x v="270"/>
    <x v="9"/>
    <x v="0"/>
    <n v="8"/>
    <n v="8824"/>
    <n v="597.1"/>
  </r>
  <r>
    <x v="669"/>
    <x v="4"/>
    <x v="1"/>
    <s v="United States"/>
    <x v="270"/>
    <x v="9"/>
    <x v="0"/>
    <n v="5"/>
    <n v="2240"/>
    <n v="159.58000000000001"/>
  </r>
  <r>
    <x v="958"/>
    <x v="3"/>
    <x v="2"/>
    <s v="United States"/>
    <x v="37"/>
    <x v="20"/>
    <x v="2"/>
    <n v="2"/>
    <n v="1312"/>
    <n v="386.79"/>
  </r>
  <r>
    <x v="374"/>
    <x v="9"/>
    <x v="2"/>
    <s v="United States"/>
    <x v="37"/>
    <x v="20"/>
    <x v="2"/>
    <n v="9"/>
    <n v="10620"/>
    <n v="2946.93"/>
  </r>
  <r>
    <x v="58"/>
    <x v="2"/>
    <x v="2"/>
    <s v="United States"/>
    <x v="37"/>
    <x v="20"/>
    <x v="2"/>
    <n v="2"/>
    <n v="2178"/>
    <n v="574.4"/>
  </r>
  <r>
    <x v="446"/>
    <x v="6"/>
    <x v="1"/>
    <s v="United States"/>
    <x v="3"/>
    <x v="3"/>
    <x v="2"/>
    <n v="3"/>
    <n v="1671"/>
    <n v="94.52"/>
  </r>
  <r>
    <x v="311"/>
    <x v="6"/>
    <x v="1"/>
    <s v="United States"/>
    <x v="3"/>
    <x v="3"/>
    <x v="2"/>
    <n v="3"/>
    <n v="2025"/>
    <n v="355.59"/>
  </r>
  <r>
    <x v="252"/>
    <x v="1"/>
    <x v="1"/>
    <s v="United States"/>
    <x v="342"/>
    <x v="24"/>
    <x v="0"/>
    <n v="6"/>
    <n v="2886"/>
    <n v="355.32"/>
  </r>
  <r>
    <x v="624"/>
    <x v="0"/>
    <x v="0"/>
    <s v="United States"/>
    <x v="116"/>
    <x v="5"/>
    <x v="3"/>
    <n v="2"/>
    <n v="1868"/>
    <n v="307.32"/>
  </r>
  <r>
    <x v="690"/>
    <x v="4"/>
    <x v="1"/>
    <s v="United States"/>
    <x v="2"/>
    <x v="2"/>
    <x v="1"/>
    <n v="4"/>
    <n v="3280"/>
    <n v="826.94"/>
  </r>
  <r>
    <x v="531"/>
    <x v="2"/>
    <x v="2"/>
    <s v="United States"/>
    <x v="99"/>
    <x v="2"/>
    <x v="1"/>
    <n v="2"/>
    <n v="1768"/>
    <n v="375.86"/>
  </r>
  <r>
    <x v="768"/>
    <x v="3"/>
    <x v="2"/>
    <s v="United States"/>
    <x v="15"/>
    <x v="13"/>
    <x v="1"/>
    <n v="7"/>
    <n v="6937"/>
    <n v="1753.02"/>
  </r>
  <r>
    <x v="769"/>
    <x v="5"/>
    <x v="2"/>
    <s v="United States"/>
    <x v="6"/>
    <x v="5"/>
    <x v="3"/>
    <n v="6"/>
    <n v="3012"/>
    <n v="307.47000000000003"/>
  </r>
  <r>
    <x v="49"/>
    <x v="4"/>
    <x v="1"/>
    <s v="United States"/>
    <x v="343"/>
    <x v="19"/>
    <x v="2"/>
    <n v="3"/>
    <n v="777"/>
    <n v="147.93"/>
  </r>
  <r>
    <x v="959"/>
    <x v="7"/>
    <x v="2"/>
    <s v="United States"/>
    <x v="20"/>
    <x v="20"/>
    <x v="2"/>
    <n v="6"/>
    <n v="4056"/>
    <n v="452.14"/>
  </r>
  <r>
    <x v="960"/>
    <x v="0"/>
    <x v="0"/>
    <s v="United States"/>
    <x v="20"/>
    <x v="20"/>
    <x v="2"/>
    <n v="4"/>
    <n v="3212"/>
    <n v="514.91999999999996"/>
  </r>
  <r>
    <x v="444"/>
    <x v="5"/>
    <x v="2"/>
    <s v="United States"/>
    <x v="76"/>
    <x v="15"/>
    <x v="2"/>
    <n v="1"/>
    <n v="952"/>
    <n v="179.4"/>
  </r>
  <r>
    <x v="282"/>
    <x v="7"/>
    <x v="2"/>
    <s v="United States"/>
    <x v="13"/>
    <x v="7"/>
    <x v="2"/>
    <n v="3"/>
    <n v="1674"/>
    <n v="106.24"/>
  </r>
  <r>
    <x v="792"/>
    <x v="5"/>
    <x v="2"/>
    <s v="United States"/>
    <x v="19"/>
    <x v="14"/>
    <x v="2"/>
    <n v="5"/>
    <n v="4315"/>
    <n v="1019.91"/>
  </r>
  <r>
    <x v="228"/>
    <x v="1"/>
    <x v="1"/>
    <s v="United States"/>
    <x v="19"/>
    <x v="14"/>
    <x v="2"/>
    <n v="7"/>
    <n v="1722"/>
    <n v="162.38999999999999"/>
  </r>
  <r>
    <x v="415"/>
    <x v="8"/>
    <x v="1"/>
    <s v="United States"/>
    <x v="259"/>
    <x v="30"/>
    <x v="0"/>
    <n v="5"/>
    <n v="2895"/>
    <n v="334.35"/>
  </r>
  <r>
    <x v="846"/>
    <x v="2"/>
    <x v="2"/>
    <s v="United States"/>
    <x v="144"/>
    <x v="5"/>
    <x v="3"/>
    <n v="2"/>
    <n v="1280"/>
    <n v="335.22"/>
  </r>
  <r>
    <x v="243"/>
    <x v="4"/>
    <x v="1"/>
    <s v="United States"/>
    <x v="15"/>
    <x v="13"/>
    <x v="1"/>
    <n v="5"/>
    <n v="4295"/>
    <n v="414.42"/>
  </r>
  <r>
    <x v="659"/>
    <x v="0"/>
    <x v="0"/>
    <s v="United States"/>
    <x v="174"/>
    <x v="18"/>
    <x v="2"/>
    <n v="6"/>
    <n v="4434"/>
    <n v="306.63"/>
  </r>
  <r>
    <x v="24"/>
    <x v="8"/>
    <x v="1"/>
    <s v="United States"/>
    <x v="174"/>
    <x v="18"/>
    <x v="2"/>
    <n v="6"/>
    <n v="3816"/>
    <n v="623.78"/>
  </r>
  <r>
    <x v="549"/>
    <x v="4"/>
    <x v="1"/>
    <s v="United States"/>
    <x v="288"/>
    <x v="3"/>
    <x v="2"/>
    <n v="7"/>
    <n v="6335"/>
    <n v="1137.08"/>
  </r>
  <r>
    <x v="599"/>
    <x v="1"/>
    <x v="1"/>
    <s v="United States"/>
    <x v="237"/>
    <x v="32"/>
    <x v="2"/>
    <n v="3"/>
    <n v="315"/>
    <n v="78.41"/>
  </r>
  <r>
    <x v="492"/>
    <x v="3"/>
    <x v="2"/>
    <s v="United States"/>
    <x v="177"/>
    <x v="5"/>
    <x v="3"/>
    <n v="2"/>
    <n v="626"/>
    <n v="168.82"/>
  </r>
  <r>
    <x v="324"/>
    <x v="5"/>
    <x v="2"/>
    <s v="United States"/>
    <x v="236"/>
    <x v="38"/>
    <x v="2"/>
    <n v="1"/>
    <n v="1140"/>
    <n v="85.75"/>
  </r>
  <r>
    <x v="724"/>
    <x v="7"/>
    <x v="2"/>
    <s v="United States"/>
    <x v="236"/>
    <x v="38"/>
    <x v="2"/>
    <n v="5"/>
    <n v="590"/>
    <n v="52.55"/>
  </r>
  <r>
    <x v="915"/>
    <x v="2"/>
    <x v="2"/>
    <s v="United States"/>
    <x v="236"/>
    <x v="38"/>
    <x v="2"/>
    <n v="1"/>
    <n v="631"/>
    <n v="99.31"/>
  </r>
  <r>
    <x v="235"/>
    <x v="6"/>
    <x v="1"/>
    <s v="United States"/>
    <x v="236"/>
    <x v="38"/>
    <x v="2"/>
    <n v="8"/>
    <n v="1944"/>
    <n v="134.94"/>
  </r>
  <r>
    <x v="153"/>
    <x v="7"/>
    <x v="2"/>
    <s v="United States"/>
    <x v="6"/>
    <x v="5"/>
    <x v="3"/>
    <n v="6"/>
    <n v="5100"/>
    <n v="1461.79"/>
  </r>
  <r>
    <x v="902"/>
    <x v="8"/>
    <x v="1"/>
    <s v="United States"/>
    <x v="6"/>
    <x v="5"/>
    <x v="3"/>
    <n v="6"/>
    <n v="1092"/>
    <n v="176.52"/>
  </r>
  <r>
    <x v="212"/>
    <x v="6"/>
    <x v="1"/>
    <s v="United States"/>
    <x v="9"/>
    <x v="8"/>
    <x v="3"/>
    <n v="7"/>
    <n v="4662"/>
    <n v="1007.43"/>
  </r>
  <r>
    <x v="961"/>
    <x v="4"/>
    <x v="1"/>
    <s v="United States"/>
    <x v="344"/>
    <x v="6"/>
    <x v="3"/>
    <n v="7"/>
    <n v="4312"/>
    <n v="1088.3399999999999"/>
  </r>
  <r>
    <x v="199"/>
    <x v="1"/>
    <x v="1"/>
    <s v="United States"/>
    <x v="345"/>
    <x v="9"/>
    <x v="0"/>
    <n v="6"/>
    <n v="4056"/>
    <n v="815.1"/>
  </r>
  <r>
    <x v="962"/>
    <x v="4"/>
    <x v="1"/>
    <s v="United States"/>
    <x v="345"/>
    <x v="9"/>
    <x v="0"/>
    <n v="3"/>
    <n v="534"/>
    <n v="120.53"/>
  </r>
  <r>
    <x v="70"/>
    <x v="0"/>
    <x v="0"/>
    <s v="United States"/>
    <x v="15"/>
    <x v="13"/>
    <x v="1"/>
    <n v="5"/>
    <n v="3475"/>
    <n v="991.47"/>
  </r>
  <r>
    <x v="398"/>
    <x v="2"/>
    <x v="2"/>
    <s v="United States"/>
    <x v="58"/>
    <x v="25"/>
    <x v="0"/>
    <n v="5"/>
    <n v="4880"/>
    <n v="829.03"/>
  </r>
  <r>
    <x v="876"/>
    <x v="2"/>
    <x v="2"/>
    <s v="United States"/>
    <x v="2"/>
    <x v="2"/>
    <x v="1"/>
    <n v="8"/>
    <n v="8336"/>
    <n v="782.8"/>
  </r>
  <r>
    <x v="194"/>
    <x v="1"/>
    <x v="1"/>
    <s v="United States"/>
    <x v="45"/>
    <x v="5"/>
    <x v="3"/>
    <n v="8"/>
    <n v="9232"/>
    <n v="490.66"/>
  </r>
  <r>
    <x v="804"/>
    <x v="7"/>
    <x v="2"/>
    <s v="United States"/>
    <x v="6"/>
    <x v="5"/>
    <x v="3"/>
    <n v="3"/>
    <n v="2031"/>
    <n v="466.25"/>
  </r>
  <r>
    <x v="135"/>
    <x v="5"/>
    <x v="2"/>
    <s v="United States"/>
    <x v="346"/>
    <x v="5"/>
    <x v="3"/>
    <n v="3"/>
    <n v="2412"/>
    <n v="640.35"/>
  </r>
  <r>
    <x v="963"/>
    <x v="7"/>
    <x v="2"/>
    <s v="United States"/>
    <x v="309"/>
    <x v="18"/>
    <x v="2"/>
    <n v="1"/>
    <n v="1039"/>
    <n v="137.24"/>
  </r>
  <r>
    <x v="564"/>
    <x v="3"/>
    <x v="2"/>
    <s v="United States"/>
    <x v="309"/>
    <x v="18"/>
    <x v="2"/>
    <n v="6"/>
    <n v="696"/>
    <n v="100.78"/>
  </r>
  <r>
    <x v="697"/>
    <x v="9"/>
    <x v="2"/>
    <s v="United States"/>
    <x v="309"/>
    <x v="18"/>
    <x v="2"/>
    <n v="8"/>
    <n v="6160"/>
    <n v="1617.32"/>
  </r>
  <r>
    <x v="787"/>
    <x v="3"/>
    <x v="2"/>
    <s v="United States"/>
    <x v="29"/>
    <x v="15"/>
    <x v="2"/>
    <n v="3"/>
    <n v="447"/>
    <n v="58.4"/>
  </r>
  <r>
    <x v="964"/>
    <x v="8"/>
    <x v="1"/>
    <s v="United States"/>
    <x v="29"/>
    <x v="15"/>
    <x v="2"/>
    <n v="6"/>
    <n v="6102"/>
    <n v="364.82"/>
  </r>
  <r>
    <x v="840"/>
    <x v="3"/>
    <x v="2"/>
    <s v="United States"/>
    <x v="2"/>
    <x v="2"/>
    <x v="1"/>
    <n v="9"/>
    <n v="5085"/>
    <n v="1372.83"/>
  </r>
  <r>
    <x v="797"/>
    <x v="9"/>
    <x v="2"/>
    <s v="United States"/>
    <x v="25"/>
    <x v="17"/>
    <x v="3"/>
    <n v="7"/>
    <n v="3038"/>
    <n v="158.82"/>
  </r>
  <r>
    <x v="919"/>
    <x v="4"/>
    <x v="1"/>
    <s v="United States"/>
    <x v="3"/>
    <x v="3"/>
    <x v="2"/>
    <n v="1"/>
    <n v="882"/>
    <n v="215.24"/>
  </r>
  <r>
    <x v="745"/>
    <x v="6"/>
    <x v="1"/>
    <s v="United States"/>
    <x v="29"/>
    <x v="24"/>
    <x v="0"/>
    <n v="6"/>
    <n v="2490"/>
    <n v="720.06"/>
  </r>
  <r>
    <x v="965"/>
    <x v="3"/>
    <x v="2"/>
    <s v="United States"/>
    <x v="29"/>
    <x v="24"/>
    <x v="0"/>
    <n v="1"/>
    <n v="635"/>
    <n v="101.09"/>
  </r>
  <r>
    <x v="528"/>
    <x v="9"/>
    <x v="2"/>
    <s v="United States"/>
    <x v="14"/>
    <x v="12"/>
    <x v="1"/>
    <n v="1"/>
    <n v="1083"/>
    <n v="152.5"/>
  </r>
  <r>
    <x v="966"/>
    <x v="8"/>
    <x v="1"/>
    <s v="United States"/>
    <x v="76"/>
    <x v="25"/>
    <x v="0"/>
    <n v="6"/>
    <n v="720"/>
    <n v="144.26"/>
  </r>
  <r>
    <x v="816"/>
    <x v="0"/>
    <x v="0"/>
    <s v="United States"/>
    <x v="6"/>
    <x v="5"/>
    <x v="3"/>
    <n v="3"/>
    <n v="3111"/>
    <n v="382.52"/>
  </r>
  <r>
    <x v="584"/>
    <x v="5"/>
    <x v="2"/>
    <s v="United States"/>
    <x v="79"/>
    <x v="16"/>
    <x v="3"/>
    <n v="6"/>
    <n v="1242"/>
    <n v="87.37"/>
  </r>
  <r>
    <x v="786"/>
    <x v="5"/>
    <x v="2"/>
    <s v="United States"/>
    <x v="347"/>
    <x v="1"/>
    <x v="0"/>
    <n v="5"/>
    <n v="5845"/>
    <n v="978.75"/>
  </r>
  <r>
    <x v="46"/>
    <x v="5"/>
    <x v="2"/>
    <s v="United States"/>
    <x v="41"/>
    <x v="28"/>
    <x v="2"/>
    <n v="1"/>
    <n v="835"/>
    <n v="131.69999999999999"/>
  </r>
  <r>
    <x v="967"/>
    <x v="6"/>
    <x v="1"/>
    <s v="United States"/>
    <x v="77"/>
    <x v="11"/>
    <x v="3"/>
    <n v="2"/>
    <n v="2314"/>
    <n v="305.42"/>
  </r>
  <r>
    <x v="968"/>
    <x v="5"/>
    <x v="2"/>
    <s v="United States"/>
    <x v="348"/>
    <x v="5"/>
    <x v="3"/>
    <n v="7"/>
    <n v="6041"/>
    <n v="776.09"/>
  </r>
  <r>
    <x v="510"/>
    <x v="1"/>
    <x v="1"/>
    <s v="United States"/>
    <x v="349"/>
    <x v="12"/>
    <x v="1"/>
    <n v="3"/>
    <n v="369"/>
    <n v="19.22"/>
  </r>
  <r>
    <x v="209"/>
    <x v="2"/>
    <x v="2"/>
    <s v="United States"/>
    <x v="13"/>
    <x v="7"/>
    <x v="2"/>
    <n v="5"/>
    <n v="1635"/>
    <n v="321.83999999999997"/>
  </r>
  <r>
    <x v="709"/>
    <x v="8"/>
    <x v="1"/>
    <s v="United States"/>
    <x v="13"/>
    <x v="7"/>
    <x v="2"/>
    <n v="3"/>
    <n v="2067"/>
    <n v="465.39"/>
  </r>
  <r>
    <x v="969"/>
    <x v="7"/>
    <x v="2"/>
    <s v="United States"/>
    <x v="13"/>
    <x v="7"/>
    <x v="2"/>
    <n v="6"/>
    <n v="7128"/>
    <n v="544.54"/>
  </r>
  <r>
    <x v="134"/>
    <x v="0"/>
    <x v="0"/>
    <s v="United States"/>
    <x v="2"/>
    <x v="2"/>
    <x v="1"/>
    <n v="2"/>
    <n v="944"/>
    <n v="94.4"/>
  </r>
  <r>
    <x v="42"/>
    <x v="2"/>
    <x v="2"/>
    <s v="United States"/>
    <x v="144"/>
    <x v="5"/>
    <x v="3"/>
    <n v="5"/>
    <n v="5160"/>
    <n v="698.15"/>
  </r>
  <r>
    <x v="316"/>
    <x v="7"/>
    <x v="2"/>
    <s v="United States"/>
    <x v="13"/>
    <x v="7"/>
    <x v="2"/>
    <n v="8"/>
    <n v="8032"/>
    <n v="1987.82"/>
  </r>
  <r>
    <x v="877"/>
    <x v="3"/>
    <x v="2"/>
    <s v="United States"/>
    <x v="268"/>
    <x v="3"/>
    <x v="2"/>
    <n v="2"/>
    <n v="376"/>
    <n v="99.16"/>
  </r>
  <r>
    <x v="936"/>
    <x v="7"/>
    <x v="2"/>
    <s v="United States"/>
    <x v="3"/>
    <x v="3"/>
    <x v="2"/>
    <n v="7"/>
    <n v="4144"/>
    <n v="426.39"/>
  </r>
  <r>
    <x v="143"/>
    <x v="3"/>
    <x v="2"/>
    <s v="United States"/>
    <x v="15"/>
    <x v="13"/>
    <x v="1"/>
    <n v="4"/>
    <n v="2228"/>
    <n v="293.25"/>
  </r>
  <r>
    <x v="872"/>
    <x v="2"/>
    <x v="2"/>
    <s v="United States"/>
    <x v="51"/>
    <x v="30"/>
    <x v="0"/>
    <n v="1"/>
    <n v="1178"/>
    <n v="182.76"/>
  </r>
  <r>
    <x v="448"/>
    <x v="1"/>
    <x v="1"/>
    <s v="United States"/>
    <x v="2"/>
    <x v="2"/>
    <x v="1"/>
    <n v="5"/>
    <n v="2505"/>
    <n v="303.61"/>
  </r>
  <r>
    <x v="970"/>
    <x v="5"/>
    <x v="2"/>
    <s v="United States"/>
    <x v="228"/>
    <x v="9"/>
    <x v="0"/>
    <n v="4"/>
    <n v="1872"/>
    <n v="418.05"/>
  </r>
  <r>
    <x v="379"/>
    <x v="0"/>
    <x v="0"/>
    <s v="United States"/>
    <x v="15"/>
    <x v="13"/>
    <x v="1"/>
    <n v="2"/>
    <n v="340"/>
    <n v="59.56"/>
  </r>
  <r>
    <x v="971"/>
    <x v="9"/>
    <x v="2"/>
    <s v="United States"/>
    <x v="1"/>
    <x v="1"/>
    <x v="0"/>
    <n v="1"/>
    <n v="589"/>
    <n v="158.85"/>
  </r>
  <r>
    <x v="706"/>
    <x v="9"/>
    <x v="2"/>
    <s v="United States"/>
    <x v="6"/>
    <x v="5"/>
    <x v="3"/>
    <n v="3"/>
    <n v="2598"/>
    <n v="560.82000000000005"/>
  </r>
  <r>
    <x v="958"/>
    <x v="2"/>
    <x v="2"/>
    <s v="United States"/>
    <x v="174"/>
    <x v="2"/>
    <x v="1"/>
    <n v="1"/>
    <n v="502"/>
    <n v="92.31"/>
  </r>
  <r>
    <x v="450"/>
    <x v="9"/>
    <x v="2"/>
    <s v="United States"/>
    <x v="59"/>
    <x v="15"/>
    <x v="2"/>
    <n v="3"/>
    <n v="3576"/>
    <n v="546.44000000000005"/>
  </r>
  <r>
    <x v="33"/>
    <x v="8"/>
    <x v="1"/>
    <s v="United States"/>
    <x v="42"/>
    <x v="8"/>
    <x v="3"/>
    <n v="3"/>
    <n v="2412"/>
    <n v="468.27"/>
  </r>
  <r>
    <x v="363"/>
    <x v="0"/>
    <x v="0"/>
    <s v="United States"/>
    <x v="42"/>
    <x v="8"/>
    <x v="3"/>
    <n v="5"/>
    <n v="1145"/>
    <n v="244.72"/>
  </r>
  <r>
    <x v="106"/>
    <x v="8"/>
    <x v="1"/>
    <s v="United States"/>
    <x v="350"/>
    <x v="5"/>
    <x v="3"/>
    <n v="2"/>
    <n v="2116"/>
    <n v="159.30000000000001"/>
  </r>
  <r>
    <x v="877"/>
    <x v="9"/>
    <x v="2"/>
    <s v="United States"/>
    <x v="28"/>
    <x v="2"/>
    <x v="1"/>
    <n v="1"/>
    <n v="707"/>
    <n v="100.16"/>
  </r>
  <r>
    <x v="455"/>
    <x v="1"/>
    <x v="1"/>
    <s v="United States"/>
    <x v="228"/>
    <x v="9"/>
    <x v="0"/>
    <n v="9"/>
    <n v="657"/>
    <n v="109.39"/>
  </r>
  <r>
    <x v="859"/>
    <x v="9"/>
    <x v="2"/>
    <s v="United States"/>
    <x v="228"/>
    <x v="9"/>
    <x v="0"/>
    <n v="5"/>
    <n v="5345"/>
    <n v="1060.46"/>
  </r>
  <r>
    <x v="739"/>
    <x v="2"/>
    <x v="2"/>
    <s v="United States"/>
    <x v="13"/>
    <x v="7"/>
    <x v="2"/>
    <n v="8"/>
    <n v="4032"/>
    <n v="251.05"/>
  </r>
  <r>
    <x v="493"/>
    <x v="3"/>
    <x v="2"/>
    <s v="United States"/>
    <x v="2"/>
    <x v="2"/>
    <x v="1"/>
    <n v="4"/>
    <n v="3840"/>
    <n v="552.57000000000005"/>
  </r>
  <r>
    <x v="744"/>
    <x v="6"/>
    <x v="1"/>
    <s v="United States"/>
    <x v="53"/>
    <x v="2"/>
    <x v="1"/>
    <n v="5"/>
    <n v="575"/>
    <n v="47.35"/>
  </r>
  <r>
    <x v="622"/>
    <x v="9"/>
    <x v="2"/>
    <s v="United States"/>
    <x v="28"/>
    <x v="2"/>
    <x v="1"/>
    <n v="9"/>
    <n v="9315"/>
    <n v="1808.68"/>
  </r>
  <r>
    <x v="890"/>
    <x v="1"/>
    <x v="1"/>
    <s v="United States"/>
    <x v="6"/>
    <x v="5"/>
    <x v="3"/>
    <n v="7"/>
    <n v="3423"/>
    <n v="435.06"/>
  </r>
  <r>
    <x v="972"/>
    <x v="6"/>
    <x v="1"/>
    <s v="United States"/>
    <x v="6"/>
    <x v="5"/>
    <x v="3"/>
    <n v="6"/>
    <n v="3942"/>
    <n v="748.74"/>
  </r>
  <r>
    <x v="903"/>
    <x v="9"/>
    <x v="2"/>
    <s v="United States"/>
    <x v="34"/>
    <x v="9"/>
    <x v="0"/>
    <n v="2"/>
    <n v="574"/>
    <n v="70.16"/>
  </r>
  <r>
    <x v="712"/>
    <x v="4"/>
    <x v="1"/>
    <s v="United States"/>
    <x v="34"/>
    <x v="9"/>
    <x v="0"/>
    <n v="6"/>
    <n v="3024"/>
    <n v="336.28"/>
  </r>
  <r>
    <x v="520"/>
    <x v="4"/>
    <x v="1"/>
    <s v="United States"/>
    <x v="15"/>
    <x v="13"/>
    <x v="1"/>
    <n v="7"/>
    <n v="952"/>
    <n v="215.51"/>
  </r>
  <r>
    <x v="574"/>
    <x v="7"/>
    <x v="2"/>
    <s v="United States"/>
    <x v="351"/>
    <x v="36"/>
    <x v="1"/>
    <n v="9"/>
    <n v="9090"/>
    <n v="937.69"/>
  </r>
  <r>
    <x v="148"/>
    <x v="2"/>
    <x v="2"/>
    <s v="United States"/>
    <x v="53"/>
    <x v="2"/>
    <x v="1"/>
    <n v="2"/>
    <n v="1166"/>
    <n v="170.11"/>
  </r>
  <r>
    <x v="77"/>
    <x v="8"/>
    <x v="1"/>
    <s v="United States"/>
    <x v="11"/>
    <x v="32"/>
    <x v="2"/>
    <n v="3"/>
    <n v="2925"/>
    <n v="433.95"/>
  </r>
  <r>
    <x v="132"/>
    <x v="3"/>
    <x v="2"/>
    <s v="United States"/>
    <x v="74"/>
    <x v="12"/>
    <x v="1"/>
    <n v="5"/>
    <n v="3455"/>
    <n v="867.55"/>
  </r>
  <r>
    <x v="521"/>
    <x v="7"/>
    <x v="2"/>
    <s v="United States"/>
    <x v="156"/>
    <x v="5"/>
    <x v="3"/>
    <n v="2"/>
    <n v="1614"/>
    <n v="331.3"/>
  </r>
  <r>
    <x v="852"/>
    <x v="1"/>
    <x v="1"/>
    <s v="United States"/>
    <x v="13"/>
    <x v="7"/>
    <x v="2"/>
    <n v="7"/>
    <n v="1771"/>
    <n v="171.26"/>
  </r>
  <r>
    <x v="519"/>
    <x v="0"/>
    <x v="0"/>
    <s v="United States"/>
    <x v="6"/>
    <x v="5"/>
    <x v="3"/>
    <n v="6"/>
    <n v="5658"/>
    <n v="1504.97"/>
  </r>
  <r>
    <x v="407"/>
    <x v="1"/>
    <x v="1"/>
    <s v="United States"/>
    <x v="352"/>
    <x v="42"/>
    <x v="1"/>
    <n v="9"/>
    <n v="8460"/>
    <n v="1515.06"/>
  </r>
  <r>
    <x v="973"/>
    <x v="0"/>
    <x v="0"/>
    <s v="United States"/>
    <x v="91"/>
    <x v="30"/>
    <x v="0"/>
    <n v="5"/>
    <n v="1925"/>
    <n v="570.92999999999995"/>
  </r>
  <r>
    <x v="542"/>
    <x v="9"/>
    <x v="2"/>
    <s v="United States"/>
    <x v="91"/>
    <x v="30"/>
    <x v="0"/>
    <n v="6"/>
    <n v="2196"/>
    <n v="572.16999999999996"/>
  </r>
  <r>
    <x v="528"/>
    <x v="8"/>
    <x v="1"/>
    <s v="United States"/>
    <x v="258"/>
    <x v="37"/>
    <x v="3"/>
    <n v="2"/>
    <n v="1696"/>
    <n v="500.56"/>
  </r>
  <r>
    <x v="974"/>
    <x v="0"/>
    <x v="0"/>
    <s v="United States"/>
    <x v="353"/>
    <x v="7"/>
    <x v="2"/>
    <n v="9"/>
    <n v="6813"/>
    <n v="1966.66"/>
  </r>
  <r>
    <x v="975"/>
    <x v="8"/>
    <x v="1"/>
    <s v="United States"/>
    <x v="110"/>
    <x v="22"/>
    <x v="1"/>
    <n v="5"/>
    <n v="3670"/>
    <n v="790.67"/>
  </r>
  <r>
    <x v="152"/>
    <x v="8"/>
    <x v="1"/>
    <s v="United States"/>
    <x v="95"/>
    <x v="25"/>
    <x v="0"/>
    <n v="4"/>
    <n v="2936"/>
    <n v="204.55"/>
  </r>
  <r>
    <x v="778"/>
    <x v="6"/>
    <x v="1"/>
    <s v="United States"/>
    <x v="168"/>
    <x v="30"/>
    <x v="0"/>
    <n v="5"/>
    <n v="5165"/>
    <n v="283.60000000000002"/>
  </r>
  <r>
    <x v="942"/>
    <x v="3"/>
    <x v="2"/>
    <s v="United States"/>
    <x v="309"/>
    <x v="18"/>
    <x v="2"/>
    <n v="5"/>
    <n v="5940"/>
    <n v="467.31"/>
  </r>
  <r>
    <x v="606"/>
    <x v="5"/>
    <x v="2"/>
    <s v="United States"/>
    <x v="9"/>
    <x v="8"/>
    <x v="3"/>
    <n v="6"/>
    <n v="2664"/>
    <n v="520.29999999999995"/>
  </r>
  <r>
    <x v="294"/>
    <x v="4"/>
    <x v="1"/>
    <s v="United States"/>
    <x v="15"/>
    <x v="13"/>
    <x v="1"/>
    <n v="2"/>
    <n v="1198"/>
    <n v="134.38999999999999"/>
  </r>
  <r>
    <x v="589"/>
    <x v="4"/>
    <x v="1"/>
    <s v="United States"/>
    <x v="354"/>
    <x v="2"/>
    <x v="1"/>
    <n v="4"/>
    <n v="1340"/>
    <n v="309.8"/>
  </r>
  <r>
    <x v="591"/>
    <x v="6"/>
    <x v="1"/>
    <s v="United States"/>
    <x v="29"/>
    <x v="24"/>
    <x v="0"/>
    <n v="9"/>
    <n v="9657"/>
    <n v="1233.47"/>
  </r>
  <r>
    <x v="620"/>
    <x v="3"/>
    <x v="2"/>
    <s v="United States"/>
    <x v="53"/>
    <x v="2"/>
    <x v="1"/>
    <n v="8"/>
    <n v="2592"/>
    <n v="191.66"/>
  </r>
  <r>
    <x v="174"/>
    <x v="3"/>
    <x v="2"/>
    <s v="United States"/>
    <x v="303"/>
    <x v="5"/>
    <x v="3"/>
    <n v="4"/>
    <n v="1168"/>
    <n v="135.36000000000001"/>
  </r>
  <r>
    <x v="580"/>
    <x v="4"/>
    <x v="1"/>
    <s v="United States"/>
    <x v="2"/>
    <x v="2"/>
    <x v="1"/>
    <n v="8"/>
    <n v="5920"/>
    <n v="1241.27"/>
  </r>
  <r>
    <x v="958"/>
    <x v="7"/>
    <x v="2"/>
    <s v="United States"/>
    <x v="42"/>
    <x v="8"/>
    <x v="3"/>
    <n v="2"/>
    <n v="2260"/>
    <n v="268.47000000000003"/>
  </r>
  <r>
    <x v="910"/>
    <x v="0"/>
    <x v="0"/>
    <s v="United States"/>
    <x v="42"/>
    <x v="8"/>
    <x v="3"/>
    <n v="8"/>
    <n v="7016"/>
    <n v="1490.07"/>
  </r>
  <r>
    <x v="181"/>
    <x v="4"/>
    <x v="1"/>
    <s v="United States"/>
    <x v="304"/>
    <x v="25"/>
    <x v="0"/>
    <n v="6"/>
    <n v="546"/>
    <n v="79.94"/>
  </r>
  <r>
    <x v="976"/>
    <x v="9"/>
    <x v="2"/>
    <s v="United States"/>
    <x v="355"/>
    <x v="1"/>
    <x v="0"/>
    <n v="1"/>
    <n v="839"/>
    <n v="228.72"/>
  </r>
  <r>
    <x v="751"/>
    <x v="2"/>
    <x v="2"/>
    <s v="United States"/>
    <x v="88"/>
    <x v="8"/>
    <x v="3"/>
    <n v="8"/>
    <n v="5176"/>
    <n v="619.45000000000005"/>
  </r>
  <r>
    <x v="610"/>
    <x v="9"/>
    <x v="2"/>
    <s v="United States"/>
    <x v="156"/>
    <x v="5"/>
    <x v="3"/>
    <n v="4"/>
    <n v="280"/>
    <n v="24.9"/>
  </r>
  <r>
    <x v="66"/>
    <x v="6"/>
    <x v="1"/>
    <s v="United States"/>
    <x v="156"/>
    <x v="5"/>
    <x v="3"/>
    <n v="9"/>
    <n v="2097"/>
    <n v="210.59"/>
  </r>
  <r>
    <x v="342"/>
    <x v="1"/>
    <x v="1"/>
    <s v="United States"/>
    <x v="79"/>
    <x v="16"/>
    <x v="3"/>
    <n v="6"/>
    <n v="4632"/>
    <n v="799.16"/>
  </r>
  <r>
    <x v="977"/>
    <x v="8"/>
    <x v="1"/>
    <s v="United States"/>
    <x v="356"/>
    <x v="16"/>
    <x v="3"/>
    <n v="4"/>
    <n v="1088"/>
    <n v="283.61"/>
  </r>
  <r>
    <x v="652"/>
    <x v="3"/>
    <x v="2"/>
    <s v="United States"/>
    <x v="14"/>
    <x v="8"/>
    <x v="3"/>
    <n v="2"/>
    <n v="1314"/>
    <n v="391.55"/>
  </r>
  <r>
    <x v="344"/>
    <x v="1"/>
    <x v="1"/>
    <s v="United States"/>
    <x v="38"/>
    <x v="9"/>
    <x v="0"/>
    <n v="8"/>
    <n v="7960"/>
    <n v="804.11"/>
  </r>
  <r>
    <x v="424"/>
    <x v="0"/>
    <x v="0"/>
    <s v="United States"/>
    <x v="51"/>
    <x v="1"/>
    <x v="0"/>
    <n v="8"/>
    <n v="2856"/>
    <n v="350.32"/>
  </r>
  <r>
    <x v="467"/>
    <x v="5"/>
    <x v="2"/>
    <s v="United States"/>
    <x v="173"/>
    <x v="1"/>
    <x v="0"/>
    <n v="4"/>
    <n v="1680"/>
    <n v="385.92"/>
  </r>
  <r>
    <x v="211"/>
    <x v="6"/>
    <x v="1"/>
    <s v="United States"/>
    <x v="6"/>
    <x v="5"/>
    <x v="3"/>
    <n v="4"/>
    <n v="4464"/>
    <n v="1069.6300000000001"/>
  </r>
  <r>
    <x v="682"/>
    <x v="7"/>
    <x v="2"/>
    <s v="United States"/>
    <x v="304"/>
    <x v="25"/>
    <x v="0"/>
    <n v="6"/>
    <n v="2940"/>
    <n v="184.97"/>
  </r>
  <r>
    <x v="978"/>
    <x v="6"/>
    <x v="1"/>
    <s v="United States"/>
    <x v="304"/>
    <x v="25"/>
    <x v="0"/>
    <n v="8"/>
    <n v="1272"/>
    <n v="344.45"/>
  </r>
  <r>
    <x v="546"/>
    <x v="0"/>
    <x v="0"/>
    <s v="United States"/>
    <x v="3"/>
    <x v="3"/>
    <x v="2"/>
    <n v="6"/>
    <n v="1728"/>
    <n v="247.86"/>
  </r>
  <r>
    <x v="979"/>
    <x v="6"/>
    <x v="1"/>
    <s v="United States"/>
    <x v="13"/>
    <x v="7"/>
    <x v="2"/>
    <n v="3"/>
    <n v="3153"/>
    <n v="563.55999999999995"/>
  </r>
  <r>
    <x v="628"/>
    <x v="7"/>
    <x v="2"/>
    <s v="United States"/>
    <x v="2"/>
    <x v="2"/>
    <x v="1"/>
    <n v="4"/>
    <n v="2536"/>
    <n v="285.72000000000003"/>
  </r>
  <r>
    <x v="746"/>
    <x v="2"/>
    <x v="2"/>
    <s v="United States"/>
    <x v="144"/>
    <x v="5"/>
    <x v="3"/>
    <n v="3"/>
    <n v="2508"/>
    <n v="431.53"/>
  </r>
  <r>
    <x v="941"/>
    <x v="2"/>
    <x v="2"/>
    <s v="United States"/>
    <x v="9"/>
    <x v="8"/>
    <x v="3"/>
    <n v="1"/>
    <n v="123"/>
    <n v="12.36"/>
  </r>
  <r>
    <x v="924"/>
    <x v="7"/>
    <x v="2"/>
    <s v="United States"/>
    <x v="9"/>
    <x v="8"/>
    <x v="3"/>
    <n v="3"/>
    <n v="2379"/>
    <n v="148.68"/>
  </r>
  <r>
    <x v="980"/>
    <x v="0"/>
    <x v="0"/>
    <s v="United States"/>
    <x v="51"/>
    <x v="30"/>
    <x v="0"/>
    <n v="6"/>
    <n v="6924"/>
    <n v="1693.77"/>
  </r>
  <r>
    <x v="70"/>
    <x v="5"/>
    <x v="2"/>
    <s v="United States"/>
    <x v="76"/>
    <x v="23"/>
    <x v="3"/>
    <n v="9"/>
    <n v="9054"/>
    <n v="644.36"/>
  </r>
  <r>
    <x v="856"/>
    <x v="3"/>
    <x v="2"/>
    <s v="United States"/>
    <x v="11"/>
    <x v="9"/>
    <x v="0"/>
    <n v="9"/>
    <n v="9936"/>
    <n v="2797.45"/>
  </r>
  <r>
    <x v="981"/>
    <x v="7"/>
    <x v="2"/>
    <s v="United States"/>
    <x v="3"/>
    <x v="3"/>
    <x v="2"/>
    <n v="1"/>
    <n v="393"/>
    <n v="41.05"/>
  </r>
  <r>
    <x v="315"/>
    <x v="0"/>
    <x v="0"/>
    <s v="United States"/>
    <x v="79"/>
    <x v="16"/>
    <x v="3"/>
    <n v="2"/>
    <n v="308"/>
    <n v="35.32"/>
  </r>
  <r>
    <x v="756"/>
    <x v="2"/>
    <x v="2"/>
    <s v="United States"/>
    <x v="13"/>
    <x v="7"/>
    <x v="2"/>
    <n v="5"/>
    <n v="4900"/>
    <n v="347.25"/>
  </r>
  <r>
    <x v="715"/>
    <x v="9"/>
    <x v="2"/>
    <s v="United States"/>
    <x v="76"/>
    <x v="25"/>
    <x v="0"/>
    <n v="1"/>
    <n v="927"/>
    <n v="103.95"/>
  </r>
  <r>
    <x v="962"/>
    <x v="8"/>
    <x v="1"/>
    <s v="United States"/>
    <x v="200"/>
    <x v="12"/>
    <x v="1"/>
    <n v="1"/>
    <n v="266"/>
    <n v="22.42"/>
  </r>
  <r>
    <x v="254"/>
    <x v="0"/>
    <x v="0"/>
    <s v="United States"/>
    <x v="13"/>
    <x v="7"/>
    <x v="2"/>
    <n v="5"/>
    <n v="4750"/>
    <n v="1179.56"/>
  </r>
  <r>
    <x v="241"/>
    <x v="5"/>
    <x v="2"/>
    <s v="United States"/>
    <x v="13"/>
    <x v="7"/>
    <x v="2"/>
    <n v="8"/>
    <n v="3272"/>
    <n v="460.82"/>
  </r>
  <r>
    <x v="901"/>
    <x v="1"/>
    <x v="1"/>
    <s v="United States"/>
    <x v="357"/>
    <x v="20"/>
    <x v="2"/>
    <n v="5"/>
    <n v="4350"/>
    <n v="688.77"/>
  </r>
  <r>
    <x v="624"/>
    <x v="8"/>
    <x v="1"/>
    <s v="United States"/>
    <x v="357"/>
    <x v="20"/>
    <x v="2"/>
    <n v="1"/>
    <n v="706"/>
    <n v="63.82"/>
  </r>
  <r>
    <x v="342"/>
    <x v="9"/>
    <x v="2"/>
    <s v="United States"/>
    <x v="15"/>
    <x v="13"/>
    <x v="1"/>
    <n v="3"/>
    <n v="213"/>
    <n v="30.68"/>
  </r>
  <r>
    <x v="809"/>
    <x v="7"/>
    <x v="2"/>
    <s v="United States"/>
    <x v="25"/>
    <x v="17"/>
    <x v="3"/>
    <n v="2"/>
    <n v="1614"/>
    <n v="376.31"/>
  </r>
  <r>
    <x v="977"/>
    <x v="1"/>
    <x v="1"/>
    <s v="United States"/>
    <x v="262"/>
    <x v="22"/>
    <x v="1"/>
    <n v="8"/>
    <n v="6232"/>
    <n v="499.63"/>
  </r>
  <r>
    <x v="268"/>
    <x v="0"/>
    <x v="0"/>
    <s v="United States"/>
    <x v="358"/>
    <x v="1"/>
    <x v="0"/>
    <n v="4"/>
    <n v="3864"/>
    <n v="717.45"/>
  </r>
  <r>
    <x v="982"/>
    <x v="4"/>
    <x v="1"/>
    <s v="United States"/>
    <x v="13"/>
    <x v="7"/>
    <x v="2"/>
    <n v="3"/>
    <n v="2601"/>
    <n v="363.64"/>
  </r>
  <r>
    <x v="73"/>
    <x v="1"/>
    <x v="1"/>
    <s v="United States"/>
    <x v="2"/>
    <x v="2"/>
    <x v="1"/>
    <n v="6"/>
    <n v="4944"/>
    <n v="758.46"/>
  </r>
  <r>
    <x v="974"/>
    <x v="0"/>
    <x v="0"/>
    <s v="United States"/>
    <x v="2"/>
    <x v="2"/>
    <x v="1"/>
    <n v="4"/>
    <n v="4680"/>
    <n v="301.91000000000003"/>
  </r>
  <r>
    <x v="196"/>
    <x v="1"/>
    <x v="1"/>
    <s v="United States"/>
    <x v="15"/>
    <x v="13"/>
    <x v="1"/>
    <n v="8"/>
    <n v="2112"/>
    <n v="418.58"/>
  </r>
  <r>
    <x v="163"/>
    <x v="6"/>
    <x v="1"/>
    <s v="United States"/>
    <x v="67"/>
    <x v="13"/>
    <x v="1"/>
    <n v="6"/>
    <n v="7140"/>
    <n v="869.93"/>
  </r>
  <r>
    <x v="834"/>
    <x v="8"/>
    <x v="1"/>
    <s v="United States"/>
    <x v="3"/>
    <x v="3"/>
    <x v="2"/>
    <n v="1"/>
    <n v="750"/>
    <n v="37.97"/>
  </r>
  <r>
    <x v="209"/>
    <x v="1"/>
    <x v="1"/>
    <s v="United States"/>
    <x v="0"/>
    <x v="0"/>
    <x v="0"/>
    <n v="4"/>
    <n v="392"/>
    <n v="39.229999999999997"/>
  </r>
  <r>
    <x v="710"/>
    <x v="9"/>
    <x v="2"/>
    <s v="United States"/>
    <x v="6"/>
    <x v="5"/>
    <x v="3"/>
    <n v="4"/>
    <n v="2408"/>
    <n v="721.8"/>
  </r>
  <r>
    <x v="280"/>
    <x v="6"/>
    <x v="1"/>
    <s v="United States"/>
    <x v="8"/>
    <x v="15"/>
    <x v="2"/>
    <n v="2"/>
    <n v="2016"/>
    <n v="151.4"/>
  </r>
  <r>
    <x v="879"/>
    <x v="6"/>
    <x v="1"/>
    <s v="United States"/>
    <x v="6"/>
    <x v="5"/>
    <x v="3"/>
    <n v="4"/>
    <n v="464"/>
    <n v="47.93"/>
  </r>
  <r>
    <x v="644"/>
    <x v="4"/>
    <x v="1"/>
    <s v="United States"/>
    <x v="3"/>
    <x v="3"/>
    <x v="2"/>
    <n v="1"/>
    <n v="832"/>
    <n v="227.11"/>
  </r>
  <r>
    <x v="376"/>
    <x v="4"/>
    <x v="1"/>
    <s v="United States"/>
    <x v="3"/>
    <x v="3"/>
    <x v="2"/>
    <n v="8"/>
    <n v="1296"/>
    <n v="374.8"/>
  </r>
  <r>
    <x v="472"/>
    <x v="7"/>
    <x v="2"/>
    <s v="United States"/>
    <x v="6"/>
    <x v="5"/>
    <x v="3"/>
    <n v="1"/>
    <n v="300"/>
    <n v="45.81"/>
  </r>
  <r>
    <x v="983"/>
    <x v="6"/>
    <x v="1"/>
    <s v="United States"/>
    <x v="6"/>
    <x v="5"/>
    <x v="3"/>
    <n v="6"/>
    <n v="2856"/>
    <n v="226.53"/>
  </r>
  <r>
    <x v="901"/>
    <x v="2"/>
    <x v="2"/>
    <s v="United States"/>
    <x v="59"/>
    <x v="15"/>
    <x v="2"/>
    <n v="5"/>
    <n v="3380"/>
    <n v="287.05"/>
  </r>
  <r>
    <x v="45"/>
    <x v="2"/>
    <x v="2"/>
    <s v="United States"/>
    <x v="359"/>
    <x v="32"/>
    <x v="2"/>
    <n v="5"/>
    <n v="400"/>
    <n v="86.52"/>
  </r>
  <r>
    <x v="634"/>
    <x v="3"/>
    <x v="2"/>
    <s v="United States"/>
    <x v="3"/>
    <x v="3"/>
    <x v="2"/>
    <n v="1"/>
    <n v="722"/>
    <n v="49.7"/>
  </r>
  <r>
    <x v="862"/>
    <x v="9"/>
    <x v="2"/>
    <s v="United States"/>
    <x v="360"/>
    <x v="16"/>
    <x v="3"/>
    <n v="4"/>
    <n v="4596"/>
    <n v="947.45"/>
  </r>
  <r>
    <x v="984"/>
    <x v="8"/>
    <x v="1"/>
    <s v="United States"/>
    <x v="360"/>
    <x v="16"/>
    <x v="3"/>
    <n v="8"/>
    <n v="1176"/>
    <n v="313.58"/>
  </r>
  <r>
    <x v="155"/>
    <x v="3"/>
    <x v="2"/>
    <s v="United States"/>
    <x v="299"/>
    <x v="2"/>
    <x v="1"/>
    <n v="2"/>
    <n v="644"/>
    <n v="45.72"/>
  </r>
  <r>
    <x v="256"/>
    <x v="7"/>
    <x v="2"/>
    <s v="United States"/>
    <x v="327"/>
    <x v="2"/>
    <x v="1"/>
    <n v="8"/>
    <n v="544"/>
    <n v="40.78"/>
  </r>
  <r>
    <x v="985"/>
    <x v="6"/>
    <x v="1"/>
    <s v="United States"/>
    <x v="327"/>
    <x v="2"/>
    <x v="1"/>
    <n v="2"/>
    <n v="586"/>
    <n v="101.64"/>
  </r>
  <r>
    <x v="881"/>
    <x v="8"/>
    <x v="1"/>
    <s v="United States"/>
    <x v="124"/>
    <x v="2"/>
    <x v="1"/>
    <n v="5"/>
    <n v="3835"/>
    <n v="229.11"/>
  </r>
  <r>
    <x v="841"/>
    <x v="0"/>
    <x v="0"/>
    <s v="United States"/>
    <x v="361"/>
    <x v="18"/>
    <x v="2"/>
    <n v="5"/>
    <n v="1415"/>
    <n v="358.39"/>
  </r>
  <r>
    <x v="742"/>
    <x v="8"/>
    <x v="1"/>
    <s v="United States"/>
    <x v="28"/>
    <x v="2"/>
    <x v="1"/>
    <n v="9"/>
    <n v="1125"/>
    <n v="138.49"/>
  </r>
  <r>
    <x v="513"/>
    <x v="3"/>
    <x v="2"/>
    <s v="United States"/>
    <x v="28"/>
    <x v="2"/>
    <x v="1"/>
    <n v="3"/>
    <n v="3399"/>
    <n v="489.36"/>
  </r>
  <r>
    <x v="204"/>
    <x v="6"/>
    <x v="1"/>
    <s v="United States"/>
    <x v="3"/>
    <x v="3"/>
    <x v="2"/>
    <n v="6"/>
    <n v="5370"/>
    <n v="1501.06"/>
  </r>
  <r>
    <x v="301"/>
    <x v="8"/>
    <x v="1"/>
    <s v="United States"/>
    <x v="120"/>
    <x v="35"/>
    <x v="0"/>
    <n v="3"/>
    <n v="2331"/>
    <n v="419.26"/>
  </r>
  <r>
    <x v="777"/>
    <x v="9"/>
    <x v="2"/>
    <s v="United States"/>
    <x v="2"/>
    <x v="2"/>
    <x v="1"/>
    <n v="9"/>
    <n v="10728"/>
    <n v="1967.84"/>
  </r>
  <r>
    <x v="885"/>
    <x v="6"/>
    <x v="1"/>
    <s v="United States"/>
    <x v="2"/>
    <x v="2"/>
    <x v="1"/>
    <n v="8"/>
    <n v="9056"/>
    <n v="1860.37"/>
  </r>
  <r>
    <x v="143"/>
    <x v="6"/>
    <x v="1"/>
    <s v="United States"/>
    <x v="29"/>
    <x v="15"/>
    <x v="2"/>
    <n v="9"/>
    <n v="4581"/>
    <n v="250.06"/>
  </r>
  <r>
    <x v="244"/>
    <x v="3"/>
    <x v="2"/>
    <s v="United States"/>
    <x v="28"/>
    <x v="2"/>
    <x v="1"/>
    <n v="3"/>
    <n v="1074"/>
    <n v="240.44"/>
  </r>
  <r>
    <x v="427"/>
    <x v="2"/>
    <x v="2"/>
    <s v="United States"/>
    <x v="11"/>
    <x v="23"/>
    <x v="3"/>
    <n v="4"/>
    <n v="4572"/>
    <n v="1199.49"/>
  </r>
  <r>
    <x v="159"/>
    <x v="9"/>
    <x v="2"/>
    <s v="United States"/>
    <x v="11"/>
    <x v="23"/>
    <x v="3"/>
    <n v="7"/>
    <n v="8141"/>
    <n v="651.16"/>
  </r>
  <r>
    <x v="661"/>
    <x v="0"/>
    <x v="0"/>
    <s v="United States"/>
    <x v="15"/>
    <x v="13"/>
    <x v="1"/>
    <n v="4"/>
    <n v="604"/>
    <n v="180.93"/>
  </r>
  <r>
    <x v="28"/>
    <x v="1"/>
    <x v="1"/>
    <s v="United States"/>
    <x v="25"/>
    <x v="17"/>
    <x v="3"/>
    <n v="2"/>
    <n v="906"/>
    <n v="59.06"/>
  </r>
  <r>
    <x v="986"/>
    <x v="4"/>
    <x v="1"/>
    <s v="United States"/>
    <x v="111"/>
    <x v="34"/>
    <x v="1"/>
    <n v="7"/>
    <n v="1582"/>
    <n v="278.14"/>
  </r>
  <r>
    <x v="76"/>
    <x v="1"/>
    <x v="1"/>
    <s v="United States"/>
    <x v="234"/>
    <x v="7"/>
    <x v="2"/>
    <n v="6"/>
    <n v="3306"/>
    <n v="216.91"/>
  </r>
  <r>
    <x v="161"/>
    <x v="4"/>
    <x v="1"/>
    <s v="United States"/>
    <x v="13"/>
    <x v="7"/>
    <x v="2"/>
    <n v="1"/>
    <n v="847"/>
    <n v="237.41"/>
  </r>
  <r>
    <x v="987"/>
    <x v="0"/>
    <x v="0"/>
    <s v="United States"/>
    <x v="3"/>
    <x v="3"/>
    <x v="2"/>
    <n v="6"/>
    <n v="3222"/>
    <n v="846.27"/>
  </r>
  <r>
    <x v="327"/>
    <x v="8"/>
    <x v="1"/>
    <s v="United States"/>
    <x v="15"/>
    <x v="13"/>
    <x v="1"/>
    <n v="3"/>
    <n v="189"/>
    <n v="33.94"/>
  </r>
  <r>
    <x v="212"/>
    <x v="9"/>
    <x v="2"/>
    <s v="United States"/>
    <x v="20"/>
    <x v="16"/>
    <x v="3"/>
    <n v="4"/>
    <n v="1224"/>
    <n v="348.91"/>
  </r>
  <r>
    <x v="929"/>
    <x v="3"/>
    <x v="2"/>
    <s v="United States"/>
    <x v="91"/>
    <x v="30"/>
    <x v="0"/>
    <n v="7"/>
    <n v="5621"/>
    <n v="1390.73"/>
  </r>
  <r>
    <x v="750"/>
    <x v="2"/>
    <x v="2"/>
    <s v="United States"/>
    <x v="144"/>
    <x v="5"/>
    <x v="3"/>
    <n v="6"/>
    <n v="966"/>
    <n v="246.21"/>
  </r>
  <r>
    <x v="786"/>
    <x v="2"/>
    <x v="2"/>
    <s v="United States"/>
    <x v="3"/>
    <x v="3"/>
    <x v="2"/>
    <n v="9"/>
    <n v="1728"/>
    <n v="179.64"/>
  </r>
  <r>
    <x v="791"/>
    <x v="1"/>
    <x v="1"/>
    <s v="United States"/>
    <x v="59"/>
    <x v="15"/>
    <x v="2"/>
    <n v="9"/>
    <n v="6138"/>
    <n v="1478.57"/>
  </r>
  <r>
    <x v="211"/>
    <x v="6"/>
    <x v="1"/>
    <s v="United States"/>
    <x v="362"/>
    <x v="5"/>
    <x v="3"/>
    <n v="4"/>
    <n v="964"/>
    <n v="184.03"/>
  </r>
  <r>
    <x v="533"/>
    <x v="7"/>
    <x v="2"/>
    <s v="United States"/>
    <x v="13"/>
    <x v="7"/>
    <x v="2"/>
    <n v="7"/>
    <n v="4697"/>
    <n v="976.26"/>
  </r>
  <r>
    <x v="255"/>
    <x v="7"/>
    <x v="2"/>
    <s v="United States"/>
    <x v="13"/>
    <x v="7"/>
    <x v="2"/>
    <n v="2"/>
    <n v="1232"/>
    <n v="155.52000000000001"/>
  </r>
  <r>
    <x v="981"/>
    <x v="6"/>
    <x v="1"/>
    <s v="United States"/>
    <x v="6"/>
    <x v="5"/>
    <x v="3"/>
    <n v="7"/>
    <n v="6384"/>
    <n v="734.79"/>
  </r>
  <r>
    <x v="988"/>
    <x v="1"/>
    <x v="1"/>
    <s v="United States"/>
    <x v="6"/>
    <x v="5"/>
    <x v="3"/>
    <n v="4"/>
    <n v="780"/>
    <n v="162.72"/>
  </r>
  <r>
    <x v="760"/>
    <x v="0"/>
    <x v="0"/>
    <s v="United States"/>
    <x v="2"/>
    <x v="2"/>
    <x v="1"/>
    <n v="4"/>
    <n v="1256"/>
    <n v="362.22"/>
  </r>
  <r>
    <x v="176"/>
    <x v="1"/>
    <x v="1"/>
    <s v="United States"/>
    <x v="71"/>
    <x v="13"/>
    <x v="1"/>
    <n v="1"/>
    <n v="1162"/>
    <n v="220.93"/>
  </r>
  <r>
    <x v="291"/>
    <x v="1"/>
    <x v="1"/>
    <s v="United States"/>
    <x v="97"/>
    <x v="1"/>
    <x v="0"/>
    <n v="8"/>
    <n v="7520"/>
    <n v="995.03"/>
  </r>
  <r>
    <x v="38"/>
    <x v="4"/>
    <x v="1"/>
    <s v="United States"/>
    <x v="8"/>
    <x v="15"/>
    <x v="2"/>
    <n v="7"/>
    <n v="2387"/>
    <n v="463.92"/>
  </r>
  <r>
    <x v="85"/>
    <x v="8"/>
    <x v="1"/>
    <s v="United States"/>
    <x v="8"/>
    <x v="15"/>
    <x v="2"/>
    <n v="8"/>
    <n v="2256"/>
    <n v="316.77"/>
  </r>
  <r>
    <x v="151"/>
    <x v="6"/>
    <x v="1"/>
    <s v="United States"/>
    <x v="8"/>
    <x v="15"/>
    <x v="2"/>
    <n v="8"/>
    <n v="7792"/>
    <n v="913.12"/>
  </r>
  <r>
    <x v="947"/>
    <x v="9"/>
    <x v="2"/>
    <s v="United States"/>
    <x v="363"/>
    <x v="2"/>
    <x v="1"/>
    <n v="8"/>
    <n v="3944"/>
    <n v="296.35000000000002"/>
  </r>
  <r>
    <x v="232"/>
    <x v="7"/>
    <x v="2"/>
    <s v="United States"/>
    <x v="363"/>
    <x v="2"/>
    <x v="1"/>
    <n v="2"/>
    <n v="822"/>
    <n v="183.45"/>
  </r>
  <r>
    <x v="295"/>
    <x v="4"/>
    <x v="1"/>
    <s v="United States"/>
    <x v="15"/>
    <x v="13"/>
    <x v="1"/>
    <n v="3"/>
    <n v="1962"/>
    <n v="469.94"/>
  </r>
  <r>
    <x v="981"/>
    <x v="0"/>
    <x v="0"/>
    <s v="United States"/>
    <x v="9"/>
    <x v="8"/>
    <x v="3"/>
    <n v="4"/>
    <n v="1016"/>
    <n v="269.88"/>
  </r>
  <r>
    <x v="657"/>
    <x v="2"/>
    <x v="2"/>
    <s v="United States"/>
    <x v="13"/>
    <x v="7"/>
    <x v="2"/>
    <n v="2"/>
    <n v="1980"/>
    <n v="125.99"/>
  </r>
  <r>
    <x v="982"/>
    <x v="4"/>
    <x v="1"/>
    <s v="United States"/>
    <x v="13"/>
    <x v="7"/>
    <x v="2"/>
    <n v="4"/>
    <n v="3996"/>
    <n v="965.26"/>
  </r>
  <r>
    <x v="222"/>
    <x v="5"/>
    <x v="2"/>
    <s v="United States"/>
    <x v="15"/>
    <x v="13"/>
    <x v="1"/>
    <n v="1"/>
    <n v="663"/>
    <n v="183.82"/>
  </r>
  <r>
    <x v="19"/>
    <x v="9"/>
    <x v="2"/>
    <s v="United States"/>
    <x v="218"/>
    <x v="32"/>
    <x v="2"/>
    <n v="1"/>
    <n v="575"/>
    <n v="104.31"/>
  </r>
  <r>
    <x v="339"/>
    <x v="2"/>
    <x v="2"/>
    <s v="United States"/>
    <x v="29"/>
    <x v="15"/>
    <x v="2"/>
    <n v="1"/>
    <n v="187"/>
    <n v="33.76"/>
  </r>
  <r>
    <x v="598"/>
    <x v="2"/>
    <x v="2"/>
    <s v="United States"/>
    <x v="29"/>
    <x v="15"/>
    <x v="2"/>
    <n v="7"/>
    <n v="6216"/>
    <n v="378.24"/>
  </r>
  <r>
    <x v="408"/>
    <x v="3"/>
    <x v="2"/>
    <s v="United States"/>
    <x v="26"/>
    <x v="1"/>
    <x v="0"/>
    <n v="1"/>
    <n v="189"/>
    <n v="19.02"/>
  </r>
  <r>
    <x v="581"/>
    <x v="2"/>
    <x v="2"/>
    <s v="United States"/>
    <x v="81"/>
    <x v="22"/>
    <x v="1"/>
    <n v="2"/>
    <n v="358"/>
    <n v="41.46"/>
  </r>
  <r>
    <x v="118"/>
    <x v="8"/>
    <x v="1"/>
    <s v="United States"/>
    <x v="22"/>
    <x v="12"/>
    <x v="1"/>
    <n v="6"/>
    <n v="6192"/>
    <n v="316.23"/>
  </r>
  <r>
    <x v="40"/>
    <x v="2"/>
    <x v="2"/>
    <s v="United States"/>
    <x v="13"/>
    <x v="7"/>
    <x v="2"/>
    <n v="7"/>
    <n v="4382"/>
    <n v="592.46"/>
  </r>
  <r>
    <x v="836"/>
    <x v="8"/>
    <x v="1"/>
    <s v="United States"/>
    <x v="13"/>
    <x v="7"/>
    <x v="2"/>
    <n v="2"/>
    <n v="1122"/>
    <n v="100.78"/>
  </r>
  <r>
    <x v="925"/>
    <x v="9"/>
    <x v="2"/>
    <s v="United States"/>
    <x v="104"/>
    <x v="22"/>
    <x v="1"/>
    <n v="8"/>
    <n v="8192"/>
    <n v="2081.7199999999998"/>
  </r>
  <r>
    <x v="326"/>
    <x v="9"/>
    <x v="2"/>
    <s v="United States"/>
    <x v="13"/>
    <x v="7"/>
    <x v="2"/>
    <n v="6"/>
    <n v="2658"/>
    <n v="200.79"/>
  </r>
  <r>
    <x v="278"/>
    <x v="2"/>
    <x v="2"/>
    <s v="United States"/>
    <x v="13"/>
    <x v="7"/>
    <x v="2"/>
    <n v="6"/>
    <n v="606"/>
    <n v="127.68"/>
  </r>
  <r>
    <x v="795"/>
    <x v="6"/>
    <x v="1"/>
    <s v="United States"/>
    <x v="3"/>
    <x v="3"/>
    <x v="2"/>
    <n v="8"/>
    <n v="448"/>
    <n v="45.43"/>
  </r>
  <r>
    <x v="386"/>
    <x v="0"/>
    <x v="0"/>
    <s v="United States"/>
    <x v="2"/>
    <x v="2"/>
    <x v="1"/>
    <n v="3"/>
    <n v="1674"/>
    <n v="435.95"/>
  </r>
  <r>
    <x v="516"/>
    <x v="2"/>
    <x v="2"/>
    <s v="United States"/>
    <x v="15"/>
    <x v="13"/>
    <x v="1"/>
    <n v="6"/>
    <n v="1944"/>
    <n v="366.18"/>
  </r>
  <r>
    <x v="736"/>
    <x v="6"/>
    <x v="1"/>
    <s v="United States"/>
    <x v="13"/>
    <x v="7"/>
    <x v="2"/>
    <n v="6"/>
    <n v="1716"/>
    <n v="302.08999999999997"/>
  </r>
  <r>
    <x v="582"/>
    <x v="3"/>
    <x v="2"/>
    <s v="United States"/>
    <x v="252"/>
    <x v="7"/>
    <x v="2"/>
    <n v="6"/>
    <n v="2982"/>
    <n v="445.01"/>
  </r>
  <r>
    <x v="201"/>
    <x v="9"/>
    <x v="2"/>
    <s v="United States"/>
    <x v="156"/>
    <x v="5"/>
    <x v="3"/>
    <n v="9"/>
    <n v="7497"/>
    <n v="2241.59"/>
  </r>
  <r>
    <x v="611"/>
    <x v="4"/>
    <x v="1"/>
    <s v="United States"/>
    <x v="144"/>
    <x v="5"/>
    <x v="3"/>
    <n v="3"/>
    <n v="1026"/>
    <n v="142.71"/>
  </r>
  <r>
    <x v="731"/>
    <x v="9"/>
    <x v="2"/>
    <s v="United States"/>
    <x v="169"/>
    <x v="37"/>
    <x v="3"/>
    <n v="7"/>
    <n v="7392"/>
    <n v="2063.23"/>
  </r>
  <r>
    <x v="172"/>
    <x v="0"/>
    <x v="0"/>
    <s v="United States"/>
    <x v="74"/>
    <x v="0"/>
    <x v="0"/>
    <n v="4"/>
    <n v="2604"/>
    <n v="271.22000000000003"/>
  </r>
  <r>
    <x v="962"/>
    <x v="5"/>
    <x v="2"/>
    <s v="United States"/>
    <x v="15"/>
    <x v="13"/>
    <x v="1"/>
    <n v="6"/>
    <n v="1746"/>
    <n v="289.2"/>
  </r>
  <r>
    <x v="838"/>
    <x v="4"/>
    <x v="1"/>
    <s v="United States"/>
    <x v="13"/>
    <x v="7"/>
    <x v="2"/>
    <n v="6"/>
    <n v="5682"/>
    <n v="1365.87"/>
  </r>
  <r>
    <x v="887"/>
    <x v="1"/>
    <x v="1"/>
    <s v="United States"/>
    <x v="13"/>
    <x v="7"/>
    <x v="2"/>
    <n v="8"/>
    <n v="8664"/>
    <n v="2131.16"/>
  </r>
  <r>
    <x v="596"/>
    <x v="2"/>
    <x v="2"/>
    <s v="United States"/>
    <x v="13"/>
    <x v="7"/>
    <x v="2"/>
    <n v="3"/>
    <n v="1887"/>
    <n v="363.42"/>
  </r>
  <r>
    <x v="774"/>
    <x v="7"/>
    <x v="2"/>
    <s v="United States"/>
    <x v="9"/>
    <x v="8"/>
    <x v="3"/>
    <n v="7"/>
    <n v="6013"/>
    <n v="1544.51"/>
  </r>
  <r>
    <x v="638"/>
    <x v="5"/>
    <x v="2"/>
    <s v="United States"/>
    <x v="6"/>
    <x v="5"/>
    <x v="3"/>
    <n v="2"/>
    <n v="1578"/>
    <n v="463.58"/>
  </r>
  <r>
    <x v="688"/>
    <x v="3"/>
    <x v="2"/>
    <s v="United States"/>
    <x v="167"/>
    <x v="47"/>
    <x v="2"/>
    <n v="3"/>
    <n v="285"/>
    <n v="38.369999999999997"/>
  </r>
  <r>
    <x v="760"/>
    <x v="9"/>
    <x v="2"/>
    <s v="United States"/>
    <x v="364"/>
    <x v="37"/>
    <x v="3"/>
    <n v="6"/>
    <n v="5448"/>
    <n v="963.82"/>
  </r>
  <r>
    <x v="27"/>
    <x v="0"/>
    <x v="0"/>
    <s v="United States"/>
    <x v="79"/>
    <x v="16"/>
    <x v="3"/>
    <n v="2"/>
    <n v="1710"/>
    <n v="468.76"/>
  </r>
  <r>
    <x v="236"/>
    <x v="8"/>
    <x v="1"/>
    <s v="United States"/>
    <x v="28"/>
    <x v="2"/>
    <x v="1"/>
    <n v="9"/>
    <n v="2817"/>
    <n v="432.67"/>
  </r>
  <r>
    <x v="584"/>
    <x v="7"/>
    <x v="2"/>
    <s v="United States"/>
    <x v="144"/>
    <x v="5"/>
    <x v="3"/>
    <n v="9"/>
    <n v="9117"/>
    <n v="1780.52"/>
  </r>
  <r>
    <x v="479"/>
    <x v="5"/>
    <x v="2"/>
    <s v="United States"/>
    <x v="15"/>
    <x v="13"/>
    <x v="1"/>
    <n v="2"/>
    <n v="274"/>
    <n v="42.37"/>
  </r>
  <r>
    <x v="889"/>
    <x v="8"/>
    <x v="1"/>
    <s v="United States"/>
    <x v="13"/>
    <x v="7"/>
    <x v="2"/>
    <n v="6"/>
    <n v="6408"/>
    <n v="885.71"/>
  </r>
  <r>
    <x v="967"/>
    <x v="8"/>
    <x v="1"/>
    <s v="United States"/>
    <x v="9"/>
    <x v="8"/>
    <x v="3"/>
    <n v="5"/>
    <n v="5755"/>
    <n v="1441.84"/>
  </r>
  <r>
    <x v="989"/>
    <x v="2"/>
    <x v="2"/>
    <s v="United States"/>
    <x v="28"/>
    <x v="2"/>
    <x v="1"/>
    <n v="3"/>
    <n v="2262"/>
    <n v="245.66"/>
  </r>
  <r>
    <x v="410"/>
    <x v="4"/>
    <x v="1"/>
    <s v="United States"/>
    <x v="43"/>
    <x v="22"/>
    <x v="1"/>
    <n v="7"/>
    <n v="1785"/>
    <n v="233.77"/>
  </r>
  <r>
    <x v="68"/>
    <x v="0"/>
    <x v="0"/>
    <s v="United States"/>
    <x v="6"/>
    <x v="5"/>
    <x v="3"/>
    <n v="8"/>
    <n v="5128"/>
    <n v="657.87"/>
  </r>
  <r>
    <x v="990"/>
    <x v="3"/>
    <x v="2"/>
    <s v="United States"/>
    <x v="131"/>
    <x v="12"/>
    <x v="1"/>
    <n v="8"/>
    <n v="5176"/>
    <n v="1400.82"/>
  </r>
  <r>
    <x v="991"/>
    <x v="8"/>
    <x v="1"/>
    <s v="United States"/>
    <x v="29"/>
    <x v="15"/>
    <x v="2"/>
    <n v="5"/>
    <n v="1510"/>
    <n v="331.76"/>
  </r>
  <r>
    <x v="278"/>
    <x v="8"/>
    <x v="1"/>
    <s v="United States"/>
    <x v="6"/>
    <x v="5"/>
    <x v="3"/>
    <n v="1"/>
    <n v="947"/>
    <n v="77.209999999999994"/>
  </r>
  <r>
    <x v="383"/>
    <x v="7"/>
    <x v="2"/>
    <s v="United States"/>
    <x v="19"/>
    <x v="15"/>
    <x v="2"/>
    <n v="9"/>
    <n v="5427"/>
    <n v="731.33"/>
  </r>
  <r>
    <x v="584"/>
    <x v="5"/>
    <x v="2"/>
    <s v="United States"/>
    <x v="26"/>
    <x v="1"/>
    <x v="0"/>
    <n v="4"/>
    <n v="4560"/>
    <n v="507.87"/>
  </r>
  <r>
    <x v="318"/>
    <x v="2"/>
    <x v="2"/>
    <s v="United States"/>
    <x v="135"/>
    <x v="2"/>
    <x v="1"/>
    <n v="6"/>
    <n v="2100"/>
    <n v="268.39999999999998"/>
  </r>
  <r>
    <x v="870"/>
    <x v="9"/>
    <x v="2"/>
    <s v="United States"/>
    <x v="21"/>
    <x v="5"/>
    <x v="3"/>
    <n v="1"/>
    <n v="1054"/>
    <n v="288.14999999999998"/>
  </r>
  <r>
    <x v="480"/>
    <x v="5"/>
    <x v="2"/>
    <s v="United States"/>
    <x v="21"/>
    <x v="5"/>
    <x v="3"/>
    <n v="6"/>
    <n v="7026"/>
    <n v="1814.21"/>
  </r>
  <r>
    <x v="992"/>
    <x v="3"/>
    <x v="2"/>
    <s v="United States"/>
    <x v="13"/>
    <x v="7"/>
    <x v="2"/>
    <n v="9"/>
    <n v="513"/>
    <n v="151.87"/>
  </r>
  <r>
    <x v="423"/>
    <x v="4"/>
    <x v="1"/>
    <s v="United States"/>
    <x v="13"/>
    <x v="7"/>
    <x v="2"/>
    <n v="2"/>
    <n v="2244"/>
    <n v="353.83"/>
  </r>
  <r>
    <x v="932"/>
    <x v="7"/>
    <x v="2"/>
    <s v="United States"/>
    <x v="102"/>
    <x v="5"/>
    <x v="3"/>
    <n v="5"/>
    <n v="1785"/>
    <n v="134.94999999999999"/>
  </r>
  <r>
    <x v="96"/>
    <x v="8"/>
    <x v="1"/>
    <s v="United States"/>
    <x v="102"/>
    <x v="5"/>
    <x v="3"/>
    <n v="5"/>
    <n v="725"/>
    <n v="77.91"/>
  </r>
  <r>
    <x v="880"/>
    <x v="7"/>
    <x v="2"/>
    <s v="United States"/>
    <x v="155"/>
    <x v="2"/>
    <x v="1"/>
    <n v="4"/>
    <n v="2516"/>
    <n v="689.29"/>
  </r>
  <r>
    <x v="377"/>
    <x v="6"/>
    <x v="1"/>
    <s v="United States"/>
    <x v="77"/>
    <x v="7"/>
    <x v="2"/>
    <n v="8"/>
    <n v="6256"/>
    <n v="1152.99"/>
  </r>
  <r>
    <x v="223"/>
    <x v="3"/>
    <x v="2"/>
    <s v="United States"/>
    <x v="2"/>
    <x v="2"/>
    <x v="1"/>
    <n v="2"/>
    <n v="452"/>
    <n v="74.34"/>
  </r>
  <r>
    <x v="408"/>
    <x v="9"/>
    <x v="2"/>
    <s v="United States"/>
    <x v="144"/>
    <x v="5"/>
    <x v="3"/>
    <n v="7"/>
    <n v="5285"/>
    <n v="1338.58"/>
  </r>
  <r>
    <x v="569"/>
    <x v="7"/>
    <x v="2"/>
    <s v="United States"/>
    <x v="144"/>
    <x v="5"/>
    <x v="3"/>
    <n v="6"/>
    <n v="4872"/>
    <n v="786.79"/>
  </r>
  <r>
    <x v="858"/>
    <x v="8"/>
    <x v="1"/>
    <s v="United States"/>
    <x v="114"/>
    <x v="20"/>
    <x v="2"/>
    <n v="5"/>
    <n v="2495"/>
    <n v="164.56"/>
  </r>
  <r>
    <x v="273"/>
    <x v="6"/>
    <x v="1"/>
    <s v="United States"/>
    <x v="15"/>
    <x v="13"/>
    <x v="1"/>
    <n v="1"/>
    <n v="442"/>
    <n v="82.73"/>
  </r>
  <r>
    <x v="545"/>
    <x v="0"/>
    <x v="0"/>
    <s v="United States"/>
    <x v="15"/>
    <x v="13"/>
    <x v="1"/>
    <n v="9"/>
    <n v="8595"/>
    <n v="1312.19"/>
  </r>
  <r>
    <x v="183"/>
    <x v="8"/>
    <x v="1"/>
    <s v="United States"/>
    <x v="41"/>
    <x v="30"/>
    <x v="0"/>
    <n v="4"/>
    <n v="3528"/>
    <n v="411.5"/>
  </r>
  <r>
    <x v="428"/>
    <x v="9"/>
    <x v="2"/>
    <s v="United States"/>
    <x v="15"/>
    <x v="13"/>
    <x v="1"/>
    <n v="7"/>
    <n v="7777"/>
    <n v="746.84"/>
  </r>
  <r>
    <x v="861"/>
    <x v="5"/>
    <x v="2"/>
    <s v="United States"/>
    <x v="15"/>
    <x v="13"/>
    <x v="1"/>
    <n v="4"/>
    <n v="2008"/>
    <n v="451.68"/>
  </r>
  <r>
    <x v="806"/>
    <x v="1"/>
    <x v="1"/>
    <s v="United States"/>
    <x v="2"/>
    <x v="2"/>
    <x v="1"/>
    <n v="2"/>
    <n v="596"/>
    <n v="41.37"/>
  </r>
  <r>
    <x v="366"/>
    <x v="5"/>
    <x v="2"/>
    <s v="United States"/>
    <x v="2"/>
    <x v="2"/>
    <x v="1"/>
    <n v="9"/>
    <n v="4950"/>
    <n v="1402.67"/>
  </r>
  <r>
    <x v="821"/>
    <x v="8"/>
    <x v="1"/>
    <s v="United States"/>
    <x v="13"/>
    <x v="7"/>
    <x v="2"/>
    <n v="2"/>
    <n v="630"/>
    <n v="86.07"/>
  </r>
  <r>
    <x v="528"/>
    <x v="3"/>
    <x v="2"/>
    <s v="United States"/>
    <x v="13"/>
    <x v="7"/>
    <x v="2"/>
    <n v="6"/>
    <n v="6144"/>
    <n v="754.18"/>
  </r>
  <r>
    <x v="963"/>
    <x v="6"/>
    <x v="1"/>
    <s v="United States"/>
    <x v="2"/>
    <x v="2"/>
    <x v="1"/>
    <n v="1"/>
    <n v="140"/>
    <n v="24.21"/>
  </r>
  <r>
    <x v="475"/>
    <x v="4"/>
    <x v="1"/>
    <s v="United States"/>
    <x v="2"/>
    <x v="2"/>
    <x v="1"/>
    <n v="2"/>
    <n v="2014"/>
    <n v="215.06"/>
  </r>
  <r>
    <x v="933"/>
    <x v="1"/>
    <x v="1"/>
    <s v="United States"/>
    <x v="175"/>
    <x v="2"/>
    <x v="1"/>
    <n v="2"/>
    <n v="384"/>
    <n v="99.02"/>
  </r>
  <r>
    <x v="842"/>
    <x v="0"/>
    <x v="0"/>
    <s v="United States"/>
    <x v="28"/>
    <x v="2"/>
    <x v="1"/>
    <n v="7"/>
    <n v="3780"/>
    <n v="351.51"/>
  </r>
  <r>
    <x v="993"/>
    <x v="6"/>
    <x v="1"/>
    <s v="United States"/>
    <x v="6"/>
    <x v="5"/>
    <x v="3"/>
    <n v="7"/>
    <n v="5047"/>
    <n v="915.75"/>
  </r>
  <r>
    <x v="866"/>
    <x v="4"/>
    <x v="1"/>
    <s v="United States"/>
    <x v="3"/>
    <x v="3"/>
    <x v="2"/>
    <n v="3"/>
    <n v="2658"/>
    <n v="175.89"/>
  </r>
  <r>
    <x v="662"/>
    <x v="1"/>
    <x v="1"/>
    <s v="United States"/>
    <x v="2"/>
    <x v="2"/>
    <x v="1"/>
    <n v="8"/>
    <n v="528"/>
    <n v="53.91"/>
  </r>
  <r>
    <x v="994"/>
    <x v="8"/>
    <x v="1"/>
    <s v="United States"/>
    <x v="2"/>
    <x v="2"/>
    <x v="1"/>
    <n v="9"/>
    <n v="6507"/>
    <n v="1045.1400000000001"/>
  </r>
  <r>
    <x v="642"/>
    <x v="3"/>
    <x v="2"/>
    <s v="United States"/>
    <x v="3"/>
    <x v="3"/>
    <x v="2"/>
    <n v="7"/>
    <n v="5887"/>
    <n v="1035.5"/>
  </r>
  <r>
    <x v="162"/>
    <x v="4"/>
    <x v="1"/>
    <s v="United States"/>
    <x v="356"/>
    <x v="16"/>
    <x v="3"/>
    <n v="8"/>
    <n v="8224"/>
    <n v="1679.16"/>
  </r>
  <r>
    <x v="655"/>
    <x v="9"/>
    <x v="2"/>
    <s v="United States"/>
    <x v="13"/>
    <x v="7"/>
    <x v="2"/>
    <n v="3"/>
    <n v="723"/>
    <n v="115.25"/>
  </r>
  <r>
    <x v="937"/>
    <x v="1"/>
    <x v="1"/>
    <s v="United States"/>
    <x v="247"/>
    <x v="25"/>
    <x v="0"/>
    <n v="2"/>
    <n v="2272"/>
    <n v="504.72"/>
  </r>
  <r>
    <x v="995"/>
    <x v="8"/>
    <x v="1"/>
    <s v="United States"/>
    <x v="259"/>
    <x v="43"/>
    <x v="2"/>
    <n v="9"/>
    <n v="8640"/>
    <n v="1963.34"/>
  </r>
  <r>
    <x v="496"/>
    <x v="3"/>
    <x v="2"/>
    <s v="United States"/>
    <x v="2"/>
    <x v="2"/>
    <x v="1"/>
    <n v="8"/>
    <n v="2984"/>
    <n v="631.80999999999995"/>
  </r>
  <r>
    <x v="503"/>
    <x v="7"/>
    <x v="2"/>
    <s v="United States"/>
    <x v="2"/>
    <x v="2"/>
    <x v="1"/>
    <n v="2"/>
    <n v="606"/>
    <n v="150.94999999999999"/>
  </r>
  <r>
    <x v="183"/>
    <x v="6"/>
    <x v="1"/>
    <s v="United States"/>
    <x v="9"/>
    <x v="8"/>
    <x v="3"/>
    <n v="2"/>
    <n v="170"/>
    <n v="48.69"/>
  </r>
  <r>
    <x v="996"/>
    <x v="4"/>
    <x v="1"/>
    <s v="United States"/>
    <x v="9"/>
    <x v="8"/>
    <x v="3"/>
    <n v="9"/>
    <n v="5283"/>
    <n v="1550.3"/>
  </r>
  <r>
    <x v="946"/>
    <x v="5"/>
    <x v="2"/>
    <s v="United States"/>
    <x v="52"/>
    <x v="25"/>
    <x v="0"/>
    <n v="6"/>
    <n v="1350"/>
    <n v="356.88"/>
  </r>
  <r>
    <x v="380"/>
    <x v="4"/>
    <x v="1"/>
    <s v="United States"/>
    <x v="28"/>
    <x v="2"/>
    <x v="1"/>
    <n v="4"/>
    <n v="2500"/>
    <n v="467.34"/>
  </r>
  <r>
    <x v="691"/>
    <x v="3"/>
    <x v="2"/>
    <s v="United States"/>
    <x v="173"/>
    <x v="1"/>
    <x v="0"/>
    <n v="4"/>
    <n v="4648"/>
    <n v="689.85"/>
  </r>
  <r>
    <x v="722"/>
    <x v="0"/>
    <x v="0"/>
    <s v="United States"/>
    <x v="21"/>
    <x v="5"/>
    <x v="3"/>
    <n v="5"/>
    <n v="650"/>
    <n v="93.41"/>
  </r>
  <r>
    <x v="415"/>
    <x v="6"/>
    <x v="1"/>
    <s v="United States"/>
    <x v="309"/>
    <x v="18"/>
    <x v="2"/>
    <n v="2"/>
    <n v="1538"/>
    <n v="97.15"/>
  </r>
  <r>
    <x v="689"/>
    <x v="5"/>
    <x v="2"/>
    <s v="United States"/>
    <x v="247"/>
    <x v="25"/>
    <x v="0"/>
    <n v="4"/>
    <n v="3928"/>
    <n v="325.32"/>
  </r>
  <r>
    <x v="510"/>
    <x v="4"/>
    <x v="1"/>
    <s v="United States"/>
    <x v="6"/>
    <x v="5"/>
    <x v="3"/>
    <n v="2"/>
    <n v="2258"/>
    <n v="175.86"/>
  </r>
  <r>
    <x v="317"/>
    <x v="6"/>
    <x v="1"/>
    <s v="United States"/>
    <x v="6"/>
    <x v="5"/>
    <x v="3"/>
    <n v="9"/>
    <n v="2988"/>
    <n v="447.93"/>
  </r>
  <r>
    <x v="529"/>
    <x v="4"/>
    <x v="1"/>
    <s v="United States"/>
    <x v="6"/>
    <x v="5"/>
    <x v="3"/>
    <n v="8"/>
    <n v="4136"/>
    <n v="810.82"/>
  </r>
  <r>
    <x v="708"/>
    <x v="1"/>
    <x v="1"/>
    <s v="United States"/>
    <x v="6"/>
    <x v="5"/>
    <x v="3"/>
    <n v="7"/>
    <n v="3605"/>
    <n v="387.82"/>
  </r>
  <r>
    <x v="966"/>
    <x v="5"/>
    <x v="2"/>
    <s v="United States"/>
    <x v="13"/>
    <x v="7"/>
    <x v="2"/>
    <n v="3"/>
    <n v="1656"/>
    <n v="469.28"/>
  </r>
  <r>
    <x v="997"/>
    <x v="0"/>
    <x v="0"/>
    <s v="United States"/>
    <x v="1"/>
    <x v="1"/>
    <x v="0"/>
    <n v="8"/>
    <n v="7072"/>
    <n v="2113.06"/>
  </r>
  <r>
    <x v="235"/>
    <x v="8"/>
    <x v="1"/>
    <s v="United States"/>
    <x v="168"/>
    <x v="30"/>
    <x v="0"/>
    <n v="8"/>
    <n v="5368"/>
    <n v="542.52"/>
  </r>
  <r>
    <x v="31"/>
    <x v="9"/>
    <x v="2"/>
    <s v="United States"/>
    <x v="66"/>
    <x v="1"/>
    <x v="0"/>
    <n v="4"/>
    <n v="1356"/>
    <n v="374.79"/>
  </r>
  <r>
    <x v="697"/>
    <x v="0"/>
    <x v="0"/>
    <s v="United States"/>
    <x v="28"/>
    <x v="2"/>
    <x v="1"/>
    <n v="6"/>
    <n v="1326"/>
    <n v="338.66"/>
  </r>
  <r>
    <x v="756"/>
    <x v="0"/>
    <x v="0"/>
    <s v="United States"/>
    <x v="127"/>
    <x v="30"/>
    <x v="0"/>
    <n v="1"/>
    <n v="730"/>
    <n v="55.72"/>
  </r>
  <r>
    <x v="870"/>
    <x v="4"/>
    <x v="1"/>
    <s v="United States"/>
    <x v="365"/>
    <x v="5"/>
    <x v="3"/>
    <n v="4"/>
    <n v="4664"/>
    <n v="294.05"/>
  </r>
  <r>
    <x v="10"/>
    <x v="9"/>
    <x v="2"/>
    <s v="United States"/>
    <x v="101"/>
    <x v="5"/>
    <x v="3"/>
    <n v="8"/>
    <n v="3528"/>
    <n v="593.11"/>
  </r>
  <r>
    <x v="569"/>
    <x v="1"/>
    <x v="1"/>
    <s v="United States"/>
    <x v="62"/>
    <x v="2"/>
    <x v="1"/>
    <n v="3"/>
    <n v="1497"/>
    <n v="190.59"/>
  </r>
  <r>
    <x v="364"/>
    <x v="2"/>
    <x v="2"/>
    <s v="United States"/>
    <x v="42"/>
    <x v="8"/>
    <x v="3"/>
    <n v="3"/>
    <n v="2628"/>
    <n v="781.94"/>
  </r>
  <r>
    <x v="900"/>
    <x v="9"/>
    <x v="2"/>
    <s v="United States"/>
    <x v="2"/>
    <x v="2"/>
    <x v="1"/>
    <n v="4"/>
    <n v="4196"/>
    <n v="655.29"/>
  </r>
  <r>
    <x v="382"/>
    <x v="6"/>
    <x v="1"/>
    <s v="United States"/>
    <x v="13"/>
    <x v="7"/>
    <x v="2"/>
    <n v="7"/>
    <n v="1204"/>
    <n v="317.12"/>
  </r>
  <r>
    <x v="635"/>
    <x v="0"/>
    <x v="0"/>
    <s v="United States"/>
    <x v="13"/>
    <x v="7"/>
    <x v="2"/>
    <n v="7"/>
    <n v="7119"/>
    <n v="1555.05"/>
  </r>
  <r>
    <x v="446"/>
    <x v="2"/>
    <x v="2"/>
    <s v="United States"/>
    <x v="28"/>
    <x v="2"/>
    <x v="1"/>
    <n v="8"/>
    <n v="1848"/>
    <n v="351.02"/>
  </r>
  <r>
    <x v="342"/>
    <x v="2"/>
    <x v="2"/>
    <s v="United States"/>
    <x v="15"/>
    <x v="13"/>
    <x v="1"/>
    <n v="4"/>
    <n v="2232"/>
    <n v="531.12"/>
  </r>
  <r>
    <x v="221"/>
    <x v="1"/>
    <x v="1"/>
    <s v="United States"/>
    <x v="52"/>
    <x v="6"/>
    <x v="3"/>
    <n v="6"/>
    <n v="5190"/>
    <n v="898.86"/>
  </r>
  <r>
    <x v="245"/>
    <x v="7"/>
    <x v="2"/>
    <s v="United States"/>
    <x v="366"/>
    <x v="15"/>
    <x v="2"/>
    <n v="3"/>
    <n v="1830"/>
    <n v="403.42"/>
  </r>
  <r>
    <x v="196"/>
    <x v="1"/>
    <x v="1"/>
    <s v="United States"/>
    <x v="13"/>
    <x v="7"/>
    <x v="2"/>
    <n v="1"/>
    <n v="1033"/>
    <n v="302.68"/>
  </r>
  <r>
    <x v="506"/>
    <x v="5"/>
    <x v="2"/>
    <s v="United States"/>
    <x v="79"/>
    <x v="16"/>
    <x v="3"/>
    <n v="7"/>
    <n v="2324"/>
    <n v="611.70000000000005"/>
  </r>
  <r>
    <x v="388"/>
    <x v="8"/>
    <x v="1"/>
    <s v="United States"/>
    <x v="79"/>
    <x v="16"/>
    <x v="3"/>
    <n v="2"/>
    <n v="1942"/>
    <n v="235.42"/>
  </r>
  <r>
    <x v="743"/>
    <x v="0"/>
    <x v="0"/>
    <s v="United States"/>
    <x v="130"/>
    <x v="15"/>
    <x v="2"/>
    <n v="7"/>
    <n v="5740"/>
    <n v="1615.9"/>
  </r>
  <r>
    <x v="418"/>
    <x v="5"/>
    <x v="2"/>
    <s v="United States"/>
    <x v="130"/>
    <x v="15"/>
    <x v="2"/>
    <n v="9"/>
    <n v="6435"/>
    <n v="1096.8800000000001"/>
  </r>
  <r>
    <x v="540"/>
    <x v="1"/>
    <x v="1"/>
    <s v="United States"/>
    <x v="76"/>
    <x v="15"/>
    <x v="2"/>
    <n v="2"/>
    <n v="1168"/>
    <n v="172.18"/>
  </r>
  <r>
    <x v="356"/>
    <x v="2"/>
    <x v="2"/>
    <s v="United States"/>
    <x v="74"/>
    <x v="12"/>
    <x v="1"/>
    <n v="9"/>
    <n v="7362"/>
    <n v="441.36"/>
  </r>
  <r>
    <x v="391"/>
    <x v="5"/>
    <x v="2"/>
    <s v="United States"/>
    <x v="118"/>
    <x v="5"/>
    <x v="3"/>
    <n v="2"/>
    <n v="862"/>
    <n v="105.97"/>
  </r>
  <r>
    <x v="809"/>
    <x v="1"/>
    <x v="1"/>
    <s v="United States"/>
    <x v="261"/>
    <x v="2"/>
    <x v="1"/>
    <n v="1"/>
    <n v="956"/>
    <n v="167.16"/>
  </r>
  <r>
    <x v="935"/>
    <x v="7"/>
    <x v="2"/>
    <s v="United States"/>
    <x v="261"/>
    <x v="2"/>
    <x v="1"/>
    <n v="7"/>
    <n v="4438"/>
    <n v="770.3"/>
  </r>
  <r>
    <x v="14"/>
    <x v="8"/>
    <x v="1"/>
    <s v="United States"/>
    <x v="261"/>
    <x v="2"/>
    <x v="1"/>
    <n v="9"/>
    <n v="972"/>
    <n v="100"/>
  </r>
  <r>
    <x v="851"/>
    <x v="8"/>
    <x v="1"/>
    <s v="United States"/>
    <x v="261"/>
    <x v="2"/>
    <x v="1"/>
    <n v="2"/>
    <n v="1816"/>
    <n v="129.24"/>
  </r>
  <r>
    <x v="526"/>
    <x v="6"/>
    <x v="1"/>
    <s v="United States"/>
    <x v="367"/>
    <x v="2"/>
    <x v="1"/>
    <n v="4"/>
    <n v="596"/>
    <n v="105.89"/>
  </r>
  <r>
    <x v="153"/>
    <x v="1"/>
    <x v="1"/>
    <s v="United States"/>
    <x v="149"/>
    <x v="26"/>
    <x v="3"/>
    <n v="9"/>
    <n v="1233"/>
    <n v="346.9"/>
  </r>
  <r>
    <x v="188"/>
    <x v="4"/>
    <x v="1"/>
    <s v="United States"/>
    <x v="368"/>
    <x v="5"/>
    <x v="3"/>
    <n v="1"/>
    <n v="1055"/>
    <n v="88.61"/>
  </r>
  <r>
    <x v="514"/>
    <x v="2"/>
    <x v="2"/>
    <s v="United States"/>
    <x v="28"/>
    <x v="2"/>
    <x v="1"/>
    <n v="2"/>
    <n v="952"/>
    <n v="112.39"/>
  </r>
  <r>
    <x v="956"/>
    <x v="1"/>
    <x v="1"/>
    <s v="United States"/>
    <x v="369"/>
    <x v="2"/>
    <x v="1"/>
    <n v="1"/>
    <n v="312"/>
    <n v="40.47"/>
  </r>
  <r>
    <x v="998"/>
    <x v="2"/>
    <x v="2"/>
    <s v="United States"/>
    <x v="2"/>
    <x v="2"/>
    <x v="1"/>
    <n v="2"/>
    <n v="294"/>
    <n v="35.049999999999997"/>
  </r>
  <r>
    <x v="312"/>
    <x v="5"/>
    <x v="2"/>
    <s v="United States"/>
    <x v="13"/>
    <x v="7"/>
    <x v="2"/>
    <n v="2"/>
    <n v="474"/>
    <n v="120.91"/>
  </r>
  <r>
    <x v="642"/>
    <x v="3"/>
    <x v="2"/>
    <s v="United States"/>
    <x v="370"/>
    <x v="6"/>
    <x v="3"/>
    <n v="2"/>
    <n v="788"/>
    <n v="195.15"/>
  </r>
  <r>
    <x v="16"/>
    <x v="1"/>
    <x v="1"/>
    <s v="United States"/>
    <x v="2"/>
    <x v="2"/>
    <x v="1"/>
    <n v="8"/>
    <n v="2760"/>
    <n v="156.53"/>
  </r>
  <r>
    <x v="662"/>
    <x v="9"/>
    <x v="2"/>
    <s v="United States"/>
    <x v="6"/>
    <x v="5"/>
    <x v="3"/>
    <n v="4"/>
    <n v="908"/>
    <n v="219.79"/>
  </r>
  <r>
    <x v="461"/>
    <x v="7"/>
    <x v="2"/>
    <s v="United States"/>
    <x v="19"/>
    <x v="14"/>
    <x v="2"/>
    <n v="1"/>
    <n v="593"/>
    <n v="133.01"/>
  </r>
  <r>
    <x v="940"/>
    <x v="4"/>
    <x v="1"/>
    <s v="United States"/>
    <x v="120"/>
    <x v="35"/>
    <x v="0"/>
    <n v="6"/>
    <n v="1698"/>
    <n v="193.42"/>
  </r>
  <r>
    <x v="104"/>
    <x v="0"/>
    <x v="0"/>
    <s v="United States"/>
    <x v="89"/>
    <x v="1"/>
    <x v="0"/>
    <n v="1"/>
    <n v="546"/>
    <n v="124.1"/>
  </r>
  <r>
    <x v="783"/>
    <x v="9"/>
    <x v="2"/>
    <s v="United States"/>
    <x v="46"/>
    <x v="2"/>
    <x v="1"/>
    <n v="5"/>
    <n v="4380"/>
    <n v="275.83999999999997"/>
  </r>
  <r>
    <x v="223"/>
    <x v="3"/>
    <x v="2"/>
    <s v="United States"/>
    <x v="0"/>
    <x v="0"/>
    <x v="0"/>
    <n v="4"/>
    <n v="2472"/>
    <n v="594.62"/>
  </r>
  <r>
    <x v="330"/>
    <x v="7"/>
    <x v="2"/>
    <s v="United States"/>
    <x v="0"/>
    <x v="0"/>
    <x v="0"/>
    <n v="4"/>
    <n v="1996"/>
    <n v="396.63"/>
  </r>
  <r>
    <x v="366"/>
    <x v="3"/>
    <x v="2"/>
    <s v="United States"/>
    <x v="1"/>
    <x v="1"/>
    <x v="0"/>
    <n v="5"/>
    <n v="2525"/>
    <n v="699.74"/>
  </r>
  <r>
    <x v="782"/>
    <x v="4"/>
    <x v="1"/>
    <s v="United States"/>
    <x v="2"/>
    <x v="2"/>
    <x v="1"/>
    <n v="9"/>
    <n v="4041"/>
    <n v="517.23"/>
  </r>
  <r>
    <x v="909"/>
    <x v="8"/>
    <x v="1"/>
    <s v="United States"/>
    <x v="2"/>
    <x v="2"/>
    <x v="1"/>
    <n v="3"/>
    <n v="858"/>
    <n v="246.86"/>
  </r>
  <r>
    <x v="91"/>
    <x v="8"/>
    <x v="1"/>
    <s v="United States"/>
    <x v="3"/>
    <x v="3"/>
    <x v="2"/>
    <n v="9"/>
    <n v="4221"/>
    <n v="1238.5999999999999"/>
  </r>
  <r>
    <x v="390"/>
    <x v="2"/>
    <x v="2"/>
    <s v="United States"/>
    <x v="4"/>
    <x v="4"/>
    <x v="1"/>
    <n v="2"/>
    <n v="858"/>
    <n v="73.489999999999995"/>
  </r>
  <r>
    <x v="227"/>
    <x v="8"/>
    <x v="1"/>
    <s v="United States"/>
    <x v="3"/>
    <x v="3"/>
    <x v="2"/>
    <n v="1"/>
    <n v="776"/>
    <n v="172.19"/>
  </r>
  <r>
    <x v="635"/>
    <x v="9"/>
    <x v="2"/>
    <s v="United States"/>
    <x v="3"/>
    <x v="3"/>
    <x v="2"/>
    <n v="7"/>
    <n v="3654"/>
    <n v="871.81"/>
  </r>
  <r>
    <x v="921"/>
    <x v="4"/>
    <x v="1"/>
    <s v="United States"/>
    <x v="5"/>
    <x v="5"/>
    <x v="3"/>
    <n v="3"/>
    <n v="384"/>
    <n v="45.99"/>
  </r>
  <r>
    <x v="991"/>
    <x v="0"/>
    <x v="0"/>
    <s v="United States"/>
    <x v="6"/>
    <x v="5"/>
    <x v="3"/>
    <n v="5"/>
    <n v="535"/>
    <n v="43.47"/>
  </r>
  <r>
    <x v="818"/>
    <x v="4"/>
    <x v="1"/>
    <s v="United States"/>
    <x v="6"/>
    <x v="5"/>
    <x v="3"/>
    <n v="9"/>
    <n v="7992"/>
    <n v="1979.53"/>
  </r>
  <r>
    <x v="562"/>
    <x v="1"/>
    <x v="1"/>
    <s v="United States"/>
    <x v="7"/>
    <x v="6"/>
    <x v="3"/>
    <n v="7"/>
    <n v="3892"/>
    <n v="350.57"/>
  </r>
  <r>
    <x v="999"/>
    <x v="2"/>
    <x v="2"/>
    <s v="United States"/>
    <x v="7"/>
    <x v="6"/>
    <x v="3"/>
    <n v="3"/>
    <n v="2637"/>
    <n v="468.6"/>
  </r>
  <r>
    <x v="1000"/>
    <x v="1"/>
    <x v="1"/>
    <s v="United States"/>
    <x v="8"/>
    <x v="7"/>
    <x v="2"/>
    <n v="8"/>
    <n v="8664"/>
    <n v="2349.6799999999998"/>
  </r>
  <r>
    <x v="855"/>
    <x v="5"/>
    <x v="2"/>
    <s v="United States"/>
    <x v="2"/>
    <x v="2"/>
    <x v="1"/>
    <n v="6"/>
    <n v="918"/>
    <n v="116.87"/>
  </r>
  <r>
    <x v="607"/>
    <x v="6"/>
    <x v="1"/>
    <s v="United States"/>
    <x v="9"/>
    <x v="8"/>
    <x v="3"/>
    <n v="5"/>
    <n v="5625"/>
    <n v="1006.95"/>
  </r>
  <r>
    <x v="642"/>
    <x v="2"/>
    <x v="2"/>
    <s v="United States"/>
    <x v="10"/>
    <x v="9"/>
    <x v="0"/>
    <n v="6"/>
    <n v="6030"/>
    <n v="511.7"/>
  </r>
  <r>
    <x v="802"/>
    <x v="0"/>
    <x v="0"/>
    <s v="United States"/>
    <x v="10"/>
    <x v="9"/>
    <x v="0"/>
    <n v="8"/>
    <n v="432"/>
    <n v="98.44"/>
  </r>
  <r>
    <x v="819"/>
    <x v="9"/>
    <x v="2"/>
    <s v="United States"/>
    <x v="6"/>
    <x v="5"/>
    <x v="3"/>
    <n v="6"/>
    <n v="1884"/>
    <n v="190.58"/>
  </r>
  <r>
    <x v="801"/>
    <x v="9"/>
    <x v="2"/>
    <s v="United States"/>
    <x v="6"/>
    <x v="5"/>
    <x v="3"/>
    <n v="9"/>
    <n v="9225"/>
    <n v="2526.27"/>
  </r>
  <r>
    <x v="210"/>
    <x v="0"/>
    <x v="0"/>
    <s v="United States"/>
    <x v="11"/>
    <x v="10"/>
    <x v="0"/>
    <n v="2"/>
    <n v="954"/>
    <n v="71"/>
  </r>
  <r>
    <x v="33"/>
    <x v="5"/>
    <x v="2"/>
    <s v="United States"/>
    <x v="12"/>
    <x v="11"/>
    <x v="3"/>
    <n v="8"/>
    <n v="7072"/>
    <n v="1983.42"/>
  </r>
  <r>
    <x v="852"/>
    <x v="7"/>
    <x v="2"/>
    <s v="United States"/>
    <x v="13"/>
    <x v="7"/>
    <x v="2"/>
    <n v="3"/>
    <n v="342"/>
    <n v="89.67"/>
  </r>
  <r>
    <x v="43"/>
    <x v="0"/>
    <x v="0"/>
    <s v="United States"/>
    <x v="14"/>
    <x v="12"/>
    <x v="1"/>
    <n v="4"/>
    <n v="2440"/>
    <n v="410.86"/>
  </r>
  <r>
    <x v="31"/>
    <x v="1"/>
    <x v="1"/>
    <s v="United States"/>
    <x v="13"/>
    <x v="7"/>
    <x v="2"/>
    <n v="5"/>
    <n v="510"/>
    <n v="82.47"/>
  </r>
  <r>
    <x v="305"/>
    <x v="7"/>
    <x v="2"/>
    <s v="United States"/>
    <x v="15"/>
    <x v="13"/>
    <x v="1"/>
    <n v="1"/>
    <n v="192"/>
    <n v="16.47"/>
  </r>
  <r>
    <x v="673"/>
    <x v="1"/>
    <x v="1"/>
    <s v="United States"/>
    <x v="16"/>
    <x v="14"/>
    <x v="2"/>
    <n v="5"/>
    <n v="3600"/>
    <n v="712.3"/>
  </r>
  <r>
    <x v="1001"/>
    <x v="3"/>
    <x v="2"/>
    <s v="United States"/>
    <x v="6"/>
    <x v="5"/>
    <x v="3"/>
    <n v="7"/>
    <n v="2597"/>
    <n v="766.32"/>
  </r>
  <r>
    <x v="212"/>
    <x v="3"/>
    <x v="2"/>
    <s v="United States"/>
    <x v="17"/>
    <x v="8"/>
    <x v="3"/>
    <n v="4"/>
    <n v="772"/>
    <n v="215.62"/>
  </r>
  <r>
    <x v="665"/>
    <x v="1"/>
    <x v="1"/>
    <s v="United States"/>
    <x v="2"/>
    <x v="2"/>
    <x v="1"/>
    <n v="2"/>
    <n v="646"/>
    <n v="180.5"/>
  </r>
  <r>
    <x v="181"/>
    <x v="7"/>
    <x v="2"/>
    <s v="United States"/>
    <x v="2"/>
    <x v="2"/>
    <x v="1"/>
    <n v="7"/>
    <n v="2947"/>
    <n v="809.46"/>
  </r>
  <r>
    <x v="801"/>
    <x v="9"/>
    <x v="2"/>
    <s v="United States"/>
    <x v="18"/>
    <x v="2"/>
    <x v="1"/>
    <n v="5"/>
    <n v="880"/>
    <n v="255.9"/>
  </r>
  <r>
    <x v="691"/>
    <x v="3"/>
    <x v="2"/>
    <s v="United States"/>
    <x v="3"/>
    <x v="3"/>
    <x v="2"/>
    <n v="3"/>
    <n v="1038"/>
    <n v="219.69"/>
  </r>
  <r>
    <x v="965"/>
    <x v="0"/>
    <x v="0"/>
    <s v="United States"/>
    <x v="19"/>
    <x v="15"/>
    <x v="2"/>
    <n v="1"/>
    <n v="714"/>
    <n v="209.69"/>
  </r>
  <r>
    <x v="275"/>
    <x v="9"/>
    <x v="2"/>
    <s v="United States"/>
    <x v="20"/>
    <x v="16"/>
    <x v="3"/>
    <n v="4"/>
    <n v="1792"/>
    <n v="506.56"/>
  </r>
  <r>
    <x v="116"/>
    <x v="4"/>
    <x v="1"/>
    <s v="United States"/>
    <x v="15"/>
    <x v="13"/>
    <x v="1"/>
    <n v="6"/>
    <n v="5874"/>
    <n v="1386.51"/>
  </r>
  <r>
    <x v="162"/>
    <x v="5"/>
    <x v="2"/>
    <s v="United States"/>
    <x v="21"/>
    <x v="5"/>
    <x v="3"/>
    <n v="6"/>
    <n v="2496"/>
    <n v="332.08"/>
  </r>
  <r>
    <x v="841"/>
    <x v="5"/>
    <x v="2"/>
    <s v="United States"/>
    <x v="2"/>
    <x v="2"/>
    <x v="1"/>
    <n v="3"/>
    <n v="795"/>
    <n v="60.34"/>
  </r>
  <r>
    <x v="350"/>
    <x v="7"/>
    <x v="2"/>
    <s v="United States"/>
    <x v="19"/>
    <x v="15"/>
    <x v="2"/>
    <n v="7"/>
    <n v="7238"/>
    <n v="1597.03"/>
  </r>
  <r>
    <x v="409"/>
    <x v="2"/>
    <x v="2"/>
    <s v="United States"/>
    <x v="13"/>
    <x v="7"/>
    <x v="2"/>
    <n v="1"/>
    <n v="430"/>
    <n v="83.33"/>
  </r>
  <r>
    <x v="135"/>
    <x v="4"/>
    <x v="1"/>
    <s v="United States"/>
    <x v="13"/>
    <x v="7"/>
    <x v="2"/>
    <n v="4"/>
    <n v="1728"/>
    <n v="239.64"/>
  </r>
  <r>
    <x v="709"/>
    <x v="6"/>
    <x v="1"/>
    <s v="United States"/>
    <x v="22"/>
    <x v="12"/>
    <x v="1"/>
    <n v="3"/>
    <n v="1833"/>
    <n v="314.79000000000002"/>
  </r>
  <r>
    <x v="320"/>
    <x v="6"/>
    <x v="1"/>
    <s v="United States"/>
    <x v="20"/>
    <x v="9"/>
    <x v="0"/>
    <n v="7"/>
    <n v="7280"/>
    <n v="1682.79"/>
  </r>
  <r>
    <x v="458"/>
    <x v="5"/>
    <x v="2"/>
    <s v="United States"/>
    <x v="23"/>
    <x v="15"/>
    <x v="2"/>
    <n v="1"/>
    <n v="814"/>
    <n v="197.91"/>
  </r>
  <r>
    <x v="536"/>
    <x v="0"/>
    <x v="0"/>
    <s v="United States"/>
    <x v="24"/>
    <x v="15"/>
    <x v="2"/>
    <n v="8"/>
    <n v="4696"/>
    <n v="410.03"/>
  </r>
  <r>
    <x v="346"/>
    <x v="1"/>
    <x v="1"/>
    <s v="United States"/>
    <x v="25"/>
    <x v="17"/>
    <x v="3"/>
    <n v="5"/>
    <n v="1190"/>
    <n v="235.64"/>
  </r>
  <r>
    <x v="750"/>
    <x v="0"/>
    <x v="0"/>
    <s v="United States"/>
    <x v="11"/>
    <x v="9"/>
    <x v="0"/>
    <n v="1"/>
    <n v="591"/>
    <n v="39.06"/>
  </r>
  <r>
    <x v="639"/>
    <x v="1"/>
    <x v="1"/>
    <s v="United States"/>
    <x v="11"/>
    <x v="9"/>
    <x v="0"/>
    <n v="9"/>
    <n v="8100"/>
    <n v="2203.56"/>
  </r>
  <r>
    <x v="552"/>
    <x v="9"/>
    <x v="2"/>
    <s v="United States"/>
    <x v="26"/>
    <x v="1"/>
    <x v="0"/>
    <n v="6"/>
    <n v="1500"/>
    <n v="183.31"/>
  </r>
  <r>
    <x v="501"/>
    <x v="5"/>
    <x v="2"/>
    <s v="United States"/>
    <x v="26"/>
    <x v="1"/>
    <x v="0"/>
    <n v="2"/>
    <n v="300"/>
    <n v="48.69"/>
  </r>
  <r>
    <x v="70"/>
    <x v="5"/>
    <x v="2"/>
    <s v="United States"/>
    <x v="26"/>
    <x v="1"/>
    <x v="0"/>
    <n v="9"/>
    <n v="1098"/>
    <n v="106.97"/>
  </r>
  <r>
    <x v="828"/>
    <x v="6"/>
    <x v="1"/>
    <s v="United States"/>
    <x v="9"/>
    <x v="8"/>
    <x v="3"/>
    <n v="4"/>
    <n v="2336"/>
    <n v="509.49"/>
  </r>
  <r>
    <x v="323"/>
    <x v="3"/>
    <x v="2"/>
    <s v="United States"/>
    <x v="9"/>
    <x v="8"/>
    <x v="3"/>
    <n v="5"/>
    <n v="410"/>
    <n v="40.96"/>
  </r>
  <r>
    <x v="6"/>
    <x v="1"/>
    <x v="1"/>
    <s v="United States"/>
    <x v="9"/>
    <x v="8"/>
    <x v="3"/>
    <n v="9"/>
    <n v="594"/>
    <n v="51.49"/>
  </r>
  <r>
    <x v="39"/>
    <x v="5"/>
    <x v="2"/>
    <s v="United States"/>
    <x v="9"/>
    <x v="8"/>
    <x v="3"/>
    <n v="2"/>
    <n v="218"/>
    <n v="38.93"/>
  </r>
  <r>
    <x v="1002"/>
    <x v="2"/>
    <x v="2"/>
    <s v="United States"/>
    <x v="27"/>
    <x v="11"/>
    <x v="3"/>
    <n v="2"/>
    <n v="1298"/>
    <n v="123.9"/>
  </r>
  <r>
    <x v="594"/>
    <x v="2"/>
    <x v="2"/>
    <s v="United States"/>
    <x v="28"/>
    <x v="2"/>
    <x v="1"/>
    <n v="5"/>
    <n v="895"/>
    <n v="180.64"/>
  </r>
  <r>
    <x v="713"/>
    <x v="8"/>
    <x v="1"/>
    <s v="United States"/>
    <x v="9"/>
    <x v="8"/>
    <x v="3"/>
    <n v="4"/>
    <n v="2828"/>
    <n v="539.42999999999995"/>
  </r>
  <r>
    <x v="886"/>
    <x v="2"/>
    <x v="2"/>
    <s v="United States"/>
    <x v="28"/>
    <x v="2"/>
    <x v="1"/>
    <n v="3"/>
    <n v="813"/>
    <n v="188.94"/>
  </r>
  <r>
    <x v="534"/>
    <x v="6"/>
    <x v="1"/>
    <s v="United States"/>
    <x v="2"/>
    <x v="2"/>
    <x v="1"/>
    <n v="4"/>
    <n v="1800"/>
    <n v="170.19"/>
  </r>
  <r>
    <x v="751"/>
    <x v="2"/>
    <x v="2"/>
    <s v="United States"/>
    <x v="29"/>
    <x v="15"/>
    <x v="2"/>
    <n v="1"/>
    <n v="99"/>
    <n v="12.79"/>
  </r>
  <r>
    <x v="481"/>
    <x v="4"/>
    <x v="1"/>
    <s v="United States"/>
    <x v="30"/>
    <x v="12"/>
    <x v="1"/>
    <n v="8"/>
    <n v="7576"/>
    <n v="1703.42"/>
  </r>
  <r>
    <x v="450"/>
    <x v="5"/>
    <x v="2"/>
    <s v="United States"/>
    <x v="30"/>
    <x v="12"/>
    <x v="1"/>
    <n v="3"/>
    <n v="1317"/>
    <n v="71.02"/>
  </r>
  <r>
    <x v="726"/>
    <x v="5"/>
    <x v="2"/>
    <s v="United States"/>
    <x v="30"/>
    <x v="12"/>
    <x v="1"/>
    <n v="3"/>
    <n v="957"/>
    <n v="120.27"/>
  </r>
  <r>
    <x v="47"/>
    <x v="1"/>
    <x v="1"/>
    <s v="United States"/>
    <x v="31"/>
    <x v="18"/>
    <x v="2"/>
    <n v="4"/>
    <n v="1316"/>
    <n v="244.13"/>
  </r>
  <r>
    <x v="888"/>
    <x v="4"/>
    <x v="1"/>
    <s v="United States"/>
    <x v="9"/>
    <x v="8"/>
    <x v="3"/>
    <n v="6"/>
    <n v="5346"/>
    <n v="351.93"/>
  </r>
  <r>
    <x v="401"/>
    <x v="7"/>
    <x v="2"/>
    <s v="United States"/>
    <x v="13"/>
    <x v="7"/>
    <x v="2"/>
    <n v="1"/>
    <n v="464"/>
    <n v="66.260000000000005"/>
  </r>
  <r>
    <x v="711"/>
    <x v="8"/>
    <x v="1"/>
    <s v="United States"/>
    <x v="32"/>
    <x v="12"/>
    <x v="1"/>
    <n v="7"/>
    <n v="3752"/>
    <n v="835.34"/>
  </r>
  <r>
    <x v="827"/>
    <x v="8"/>
    <x v="1"/>
    <s v="United States"/>
    <x v="32"/>
    <x v="12"/>
    <x v="1"/>
    <n v="6"/>
    <n v="1962"/>
    <n v="301.57"/>
  </r>
  <r>
    <x v="492"/>
    <x v="7"/>
    <x v="2"/>
    <s v="United States"/>
    <x v="32"/>
    <x v="12"/>
    <x v="1"/>
    <n v="6"/>
    <n v="2310"/>
    <n v="202.98"/>
  </r>
  <r>
    <x v="125"/>
    <x v="2"/>
    <x v="2"/>
    <s v="United States"/>
    <x v="33"/>
    <x v="18"/>
    <x v="2"/>
    <n v="4"/>
    <n v="3028"/>
    <n v="685.23"/>
  </r>
  <r>
    <x v="843"/>
    <x v="6"/>
    <x v="1"/>
    <s v="United States"/>
    <x v="13"/>
    <x v="7"/>
    <x v="2"/>
    <n v="3"/>
    <n v="2994"/>
    <n v="877.92"/>
  </r>
  <r>
    <x v="113"/>
    <x v="2"/>
    <x v="2"/>
    <s v="United States"/>
    <x v="34"/>
    <x v="9"/>
    <x v="0"/>
    <n v="3"/>
    <n v="3393"/>
    <n v="313.45"/>
  </r>
  <r>
    <x v="447"/>
    <x v="3"/>
    <x v="2"/>
    <s v="United States"/>
    <x v="3"/>
    <x v="3"/>
    <x v="2"/>
    <n v="3"/>
    <n v="1209"/>
    <n v="320.61"/>
  </r>
  <r>
    <x v="417"/>
    <x v="8"/>
    <x v="1"/>
    <s v="United States"/>
    <x v="28"/>
    <x v="2"/>
    <x v="1"/>
    <n v="8"/>
    <n v="5784"/>
    <n v="1276.57"/>
  </r>
  <r>
    <x v="149"/>
    <x v="9"/>
    <x v="2"/>
    <s v="United States"/>
    <x v="13"/>
    <x v="7"/>
    <x v="2"/>
    <n v="9"/>
    <n v="3078"/>
    <n v="285.05"/>
  </r>
  <r>
    <x v="927"/>
    <x v="0"/>
    <x v="0"/>
    <s v="United States"/>
    <x v="13"/>
    <x v="7"/>
    <x v="2"/>
    <n v="4"/>
    <n v="2464"/>
    <n v="602.29999999999995"/>
  </r>
  <r>
    <x v="1003"/>
    <x v="3"/>
    <x v="2"/>
    <s v="United States"/>
    <x v="13"/>
    <x v="7"/>
    <x v="2"/>
    <n v="5"/>
    <n v="2445"/>
    <n v="146.6"/>
  </r>
  <r>
    <x v="144"/>
    <x v="8"/>
    <x v="1"/>
    <s v="United States"/>
    <x v="35"/>
    <x v="19"/>
    <x v="2"/>
    <n v="8"/>
    <n v="5312"/>
    <n v="841.13"/>
  </r>
  <r>
    <x v="133"/>
    <x v="8"/>
    <x v="1"/>
    <s v="United States"/>
    <x v="20"/>
    <x v="20"/>
    <x v="2"/>
    <n v="1"/>
    <n v="657"/>
    <n v="101.85"/>
  </r>
  <r>
    <x v="432"/>
    <x v="8"/>
    <x v="1"/>
    <s v="United States"/>
    <x v="36"/>
    <x v="1"/>
    <x v="0"/>
    <n v="3"/>
    <n v="2580"/>
    <n v="173.89"/>
  </r>
  <r>
    <x v="323"/>
    <x v="9"/>
    <x v="2"/>
    <s v="United States"/>
    <x v="3"/>
    <x v="3"/>
    <x v="2"/>
    <n v="8"/>
    <n v="4624"/>
    <n v="893.74"/>
  </r>
  <r>
    <x v="424"/>
    <x v="5"/>
    <x v="2"/>
    <s v="United States"/>
    <x v="6"/>
    <x v="5"/>
    <x v="3"/>
    <n v="2"/>
    <n v="1258"/>
    <n v="146.69999999999999"/>
  </r>
  <r>
    <x v="311"/>
    <x v="3"/>
    <x v="2"/>
    <s v="United States"/>
    <x v="28"/>
    <x v="2"/>
    <x v="1"/>
    <n v="7"/>
    <n v="6468"/>
    <n v="398.23"/>
  </r>
  <r>
    <x v="947"/>
    <x v="6"/>
    <x v="1"/>
    <s v="United States"/>
    <x v="28"/>
    <x v="2"/>
    <x v="1"/>
    <n v="3"/>
    <n v="1359"/>
    <n v="152.85"/>
  </r>
  <r>
    <x v="271"/>
    <x v="9"/>
    <x v="2"/>
    <s v="United States"/>
    <x v="28"/>
    <x v="2"/>
    <x v="1"/>
    <n v="1"/>
    <n v="104"/>
    <n v="18.670000000000002"/>
  </r>
  <r>
    <x v="125"/>
    <x v="4"/>
    <x v="1"/>
    <s v="United States"/>
    <x v="15"/>
    <x v="13"/>
    <x v="1"/>
    <n v="3"/>
    <n v="1785"/>
    <n v="93.17"/>
  </r>
  <r>
    <x v="824"/>
    <x v="6"/>
    <x v="1"/>
    <s v="United States"/>
    <x v="2"/>
    <x v="2"/>
    <x v="1"/>
    <n v="8"/>
    <n v="7728"/>
    <n v="1748.26"/>
  </r>
  <r>
    <x v="748"/>
    <x v="7"/>
    <x v="2"/>
    <s v="United States"/>
    <x v="37"/>
    <x v="20"/>
    <x v="2"/>
    <n v="6"/>
    <n v="4188"/>
    <n v="1231.1600000000001"/>
  </r>
  <r>
    <x v="1004"/>
    <x v="5"/>
    <x v="2"/>
    <s v="United States"/>
    <x v="38"/>
    <x v="21"/>
    <x v="0"/>
    <n v="8"/>
    <n v="3520"/>
    <n v="359.84"/>
  </r>
  <r>
    <x v="212"/>
    <x v="3"/>
    <x v="2"/>
    <s v="United States"/>
    <x v="39"/>
    <x v="17"/>
    <x v="3"/>
    <n v="3"/>
    <n v="2280"/>
    <n v="365.17"/>
  </r>
  <r>
    <x v="53"/>
    <x v="0"/>
    <x v="0"/>
    <s v="United States"/>
    <x v="13"/>
    <x v="7"/>
    <x v="2"/>
    <n v="9"/>
    <n v="2484"/>
    <n v="655.54"/>
  </r>
  <r>
    <x v="57"/>
    <x v="2"/>
    <x v="2"/>
    <s v="United States"/>
    <x v="25"/>
    <x v="17"/>
    <x v="3"/>
    <n v="3"/>
    <n v="1248"/>
    <n v="348.19"/>
  </r>
  <r>
    <x v="706"/>
    <x v="5"/>
    <x v="2"/>
    <s v="United States"/>
    <x v="25"/>
    <x v="17"/>
    <x v="3"/>
    <n v="2"/>
    <n v="850"/>
    <n v="59.92"/>
  </r>
  <r>
    <x v="804"/>
    <x v="0"/>
    <x v="0"/>
    <s v="United States"/>
    <x v="29"/>
    <x v="6"/>
    <x v="3"/>
    <n v="4"/>
    <n v="1412"/>
    <n v="150.13"/>
  </r>
  <r>
    <x v="56"/>
    <x v="4"/>
    <x v="1"/>
    <s v="United States"/>
    <x v="40"/>
    <x v="15"/>
    <x v="2"/>
    <n v="1"/>
    <n v="465"/>
    <n v="26.5"/>
  </r>
  <r>
    <x v="828"/>
    <x v="0"/>
    <x v="0"/>
    <s v="United States"/>
    <x v="41"/>
    <x v="2"/>
    <x v="1"/>
    <n v="1"/>
    <n v="293"/>
    <n v="29.58"/>
  </r>
  <r>
    <x v="105"/>
    <x v="2"/>
    <x v="2"/>
    <s v="United States"/>
    <x v="42"/>
    <x v="8"/>
    <x v="3"/>
    <n v="9"/>
    <n v="9234"/>
    <n v="2523.67"/>
  </r>
  <r>
    <x v="906"/>
    <x v="2"/>
    <x v="2"/>
    <s v="United States"/>
    <x v="43"/>
    <x v="22"/>
    <x v="1"/>
    <n v="2"/>
    <n v="1298"/>
    <n v="239.45"/>
  </r>
  <r>
    <x v="852"/>
    <x v="0"/>
    <x v="0"/>
    <s v="United States"/>
    <x v="43"/>
    <x v="22"/>
    <x v="1"/>
    <n v="9"/>
    <n v="9477"/>
    <n v="2443.62"/>
  </r>
  <r>
    <x v="1005"/>
    <x v="0"/>
    <x v="0"/>
    <s v="United States"/>
    <x v="44"/>
    <x v="8"/>
    <x v="3"/>
    <n v="7"/>
    <n v="6713"/>
    <n v="457.99"/>
  </r>
  <r>
    <x v="803"/>
    <x v="9"/>
    <x v="2"/>
    <s v="United States"/>
    <x v="45"/>
    <x v="5"/>
    <x v="3"/>
    <n v="5"/>
    <n v="5700"/>
    <n v="999.26"/>
  </r>
  <r>
    <x v="600"/>
    <x v="3"/>
    <x v="2"/>
    <s v="United States"/>
    <x v="28"/>
    <x v="2"/>
    <x v="1"/>
    <n v="6"/>
    <n v="4146"/>
    <n v="700.46"/>
  </r>
  <r>
    <x v="893"/>
    <x v="2"/>
    <x v="2"/>
    <s v="United States"/>
    <x v="8"/>
    <x v="7"/>
    <x v="2"/>
    <n v="8"/>
    <n v="6968"/>
    <n v="704.55"/>
  </r>
  <r>
    <x v="299"/>
    <x v="3"/>
    <x v="2"/>
    <s v="United States"/>
    <x v="2"/>
    <x v="2"/>
    <x v="1"/>
    <n v="2"/>
    <n v="1054"/>
    <n v="243.5"/>
  </r>
  <r>
    <x v="532"/>
    <x v="8"/>
    <x v="1"/>
    <s v="United States"/>
    <x v="10"/>
    <x v="9"/>
    <x v="0"/>
    <n v="3"/>
    <n v="1983"/>
    <n v="453.09"/>
  </r>
  <r>
    <x v="845"/>
    <x v="8"/>
    <x v="1"/>
    <s v="United States"/>
    <x v="46"/>
    <x v="2"/>
    <x v="1"/>
    <n v="5"/>
    <n v="875"/>
    <n v="70.72"/>
  </r>
  <r>
    <x v="889"/>
    <x v="0"/>
    <x v="0"/>
    <s v="United States"/>
    <x v="46"/>
    <x v="2"/>
    <x v="1"/>
    <n v="2"/>
    <n v="268"/>
    <n v="63.01"/>
  </r>
  <r>
    <x v="426"/>
    <x v="4"/>
    <x v="1"/>
    <s v="United States"/>
    <x v="46"/>
    <x v="2"/>
    <x v="1"/>
    <n v="6"/>
    <n v="5370"/>
    <n v="1045.0999999999999"/>
  </r>
  <r>
    <x v="433"/>
    <x v="6"/>
    <x v="1"/>
    <s v="United States"/>
    <x v="47"/>
    <x v="12"/>
    <x v="1"/>
    <n v="8"/>
    <n v="3624"/>
    <n v="1071.43"/>
  </r>
  <r>
    <x v="807"/>
    <x v="5"/>
    <x v="2"/>
    <s v="United States"/>
    <x v="48"/>
    <x v="23"/>
    <x v="3"/>
    <n v="4"/>
    <n v="1932"/>
    <n v="301.16000000000003"/>
  </r>
  <r>
    <x v="1006"/>
    <x v="7"/>
    <x v="2"/>
    <s v="United States"/>
    <x v="25"/>
    <x v="17"/>
    <x v="3"/>
    <n v="7"/>
    <n v="6020"/>
    <n v="384.74"/>
  </r>
  <r>
    <x v="348"/>
    <x v="4"/>
    <x v="1"/>
    <s v="United States"/>
    <x v="49"/>
    <x v="1"/>
    <x v="0"/>
    <n v="5"/>
    <n v="1775"/>
    <n v="234.67"/>
  </r>
  <r>
    <x v="1007"/>
    <x v="5"/>
    <x v="2"/>
    <s v="United States"/>
    <x v="49"/>
    <x v="1"/>
    <x v="0"/>
    <n v="3"/>
    <n v="1488"/>
    <n v="382.09"/>
  </r>
  <r>
    <x v="769"/>
    <x v="8"/>
    <x v="1"/>
    <s v="United States"/>
    <x v="2"/>
    <x v="2"/>
    <x v="1"/>
    <n v="6"/>
    <n v="6720"/>
    <n v="1113.56"/>
  </r>
  <r>
    <x v="78"/>
    <x v="1"/>
    <x v="1"/>
    <s v="United States"/>
    <x v="2"/>
    <x v="2"/>
    <x v="1"/>
    <n v="7"/>
    <n v="5047"/>
    <n v="1356.23"/>
  </r>
  <r>
    <x v="1008"/>
    <x v="2"/>
    <x v="2"/>
    <s v="United States"/>
    <x v="0"/>
    <x v="0"/>
    <x v="0"/>
    <n v="5"/>
    <n v="3735"/>
    <n v="957.13"/>
  </r>
  <r>
    <x v="999"/>
    <x v="8"/>
    <x v="1"/>
    <s v="United States"/>
    <x v="50"/>
    <x v="5"/>
    <x v="3"/>
    <n v="5"/>
    <n v="1250"/>
    <n v="120.74"/>
  </r>
  <r>
    <x v="182"/>
    <x v="2"/>
    <x v="2"/>
    <s v="United States"/>
    <x v="28"/>
    <x v="2"/>
    <x v="1"/>
    <n v="7"/>
    <n v="2751"/>
    <n v="548.04999999999995"/>
  </r>
  <r>
    <x v="63"/>
    <x v="9"/>
    <x v="2"/>
    <s v="United States"/>
    <x v="51"/>
    <x v="1"/>
    <x v="0"/>
    <n v="9"/>
    <n v="468"/>
    <n v="58.98"/>
  </r>
  <r>
    <x v="573"/>
    <x v="0"/>
    <x v="0"/>
    <s v="United States"/>
    <x v="2"/>
    <x v="2"/>
    <x v="1"/>
    <n v="4"/>
    <n v="632"/>
    <n v="114.82"/>
  </r>
  <r>
    <x v="481"/>
    <x v="8"/>
    <x v="1"/>
    <s v="United States"/>
    <x v="28"/>
    <x v="2"/>
    <x v="1"/>
    <n v="7"/>
    <n v="798"/>
    <n v="219.2"/>
  </r>
  <r>
    <x v="245"/>
    <x v="5"/>
    <x v="2"/>
    <s v="United States"/>
    <x v="26"/>
    <x v="1"/>
    <x v="0"/>
    <n v="5"/>
    <n v="1295"/>
    <n v="104.26"/>
  </r>
  <r>
    <x v="989"/>
    <x v="3"/>
    <x v="2"/>
    <s v="United States"/>
    <x v="15"/>
    <x v="13"/>
    <x v="1"/>
    <n v="4"/>
    <n v="3360"/>
    <n v="540.38"/>
  </r>
  <r>
    <x v="223"/>
    <x v="3"/>
    <x v="2"/>
    <s v="United States"/>
    <x v="9"/>
    <x v="8"/>
    <x v="3"/>
    <n v="5"/>
    <n v="995"/>
    <n v="206.95"/>
  </r>
  <r>
    <x v="888"/>
    <x v="5"/>
    <x v="2"/>
    <s v="United States"/>
    <x v="52"/>
    <x v="0"/>
    <x v="0"/>
    <n v="5"/>
    <n v="550"/>
    <n v="28.72"/>
  </r>
  <r>
    <x v="946"/>
    <x v="6"/>
    <x v="1"/>
    <s v="United States"/>
    <x v="53"/>
    <x v="2"/>
    <x v="1"/>
    <n v="8"/>
    <n v="5384"/>
    <n v="724.8"/>
  </r>
  <r>
    <x v="359"/>
    <x v="0"/>
    <x v="0"/>
    <s v="United States"/>
    <x v="26"/>
    <x v="1"/>
    <x v="0"/>
    <n v="3"/>
    <n v="3534"/>
    <n v="489.06"/>
  </r>
  <r>
    <x v="205"/>
    <x v="7"/>
    <x v="2"/>
    <s v="United States"/>
    <x v="13"/>
    <x v="7"/>
    <x v="2"/>
    <n v="9"/>
    <n v="6813"/>
    <n v="890.05"/>
  </r>
  <r>
    <x v="412"/>
    <x v="5"/>
    <x v="2"/>
    <s v="United States"/>
    <x v="13"/>
    <x v="7"/>
    <x v="2"/>
    <n v="6"/>
    <n v="5508"/>
    <n v="1632.37"/>
  </r>
  <r>
    <x v="45"/>
    <x v="4"/>
    <x v="1"/>
    <s v="United States"/>
    <x v="13"/>
    <x v="7"/>
    <x v="2"/>
    <n v="1"/>
    <n v="966"/>
    <n v="202.53"/>
  </r>
  <r>
    <x v="562"/>
    <x v="1"/>
    <x v="1"/>
    <s v="United States"/>
    <x v="54"/>
    <x v="17"/>
    <x v="3"/>
    <n v="4"/>
    <n v="460"/>
    <n v="92.24"/>
  </r>
  <r>
    <x v="334"/>
    <x v="7"/>
    <x v="2"/>
    <s v="United States"/>
    <x v="13"/>
    <x v="7"/>
    <x v="2"/>
    <n v="6"/>
    <n v="7026"/>
    <n v="459.4"/>
  </r>
  <r>
    <x v="342"/>
    <x v="7"/>
    <x v="2"/>
    <s v="United States"/>
    <x v="55"/>
    <x v="24"/>
    <x v="0"/>
    <n v="5"/>
    <n v="910"/>
    <n v="116.47"/>
  </r>
  <r>
    <x v="326"/>
    <x v="6"/>
    <x v="1"/>
    <s v="United States"/>
    <x v="56"/>
    <x v="2"/>
    <x v="1"/>
    <n v="9"/>
    <n v="5796"/>
    <n v="1729.18"/>
  </r>
  <r>
    <x v="711"/>
    <x v="6"/>
    <x v="1"/>
    <s v="United States"/>
    <x v="12"/>
    <x v="11"/>
    <x v="3"/>
    <n v="3"/>
    <n v="1050"/>
    <n v="292.64"/>
  </r>
  <r>
    <x v="828"/>
    <x v="1"/>
    <x v="1"/>
    <s v="United States"/>
    <x v="57"/>
    <x v="13"/>
    <x v="1"/>
    <n v="1"/>
    <n v="1043"/>
    <n v="151.13"/>
  </r>
  <r>
    <x v="727"/>
    <x v="0"/>
    <x v="0"/>
    <s v="United States"/>
    <x v="14"/>
    <x v="8"/>
    <x v="3"/>
    <n v="3"/>
    <n v="3330"/>
    <n v="503.85"/>
  </r>
  <r>
    <x v="260"/>
    <x v="1"/>
    <x v="1"/>
    <s v="United States"/>
    <x v="58"/>
    <x v="5"/>
    <x v="3"/>
    <n v="8"/>
    <n v="1896"/>
    <n v="448.53"/>
  </r>
  <r>
    <x v="964"/>
    <x v="3"/>
    <x v="2"/>
    <s v="United States"/>
    <x v="59"/>
    <x v="15"/>
    <x v="2"/>
    <n v="5"/>
    <n v="5170"/>
    <n v="1248.6600000000001"/>
  </r>
  <r>
    <x v="1009"/>
    <x v="0"/>
    <x v="0"/>
    <s v="United States"/>
    <x v="9"/>
    <x v="8"/>
    <x v="3"/>
    <n v="2"/>
    <n v="466"/>
    <n v="25.04"/>
  </r>
  <r>
    <x v="1010"/>
    <x v="1"/>
    <x v="1"/>
    <s v="United States"/>
    <x v="9"/>
    <x v="8"/>
    <x v="3"/>
    <n v="8"/>
    <n v="6032"/>
    <n v="1636.61"/>
  </r>
  <r>
    <x v="565"/>
    <x v="3"/>
    <x v="2"/>
    <s v="United States"/>
    <x v="60"/>
    <x v="5"/>
    <x v="3"/>
    <n v="1"/>
    <n v="1084"/>
    <n v="103.06"/>
  </r>
  <r>
    <x v="39"/>
    <x v="8"/>
    <x v="1"/>
    <s v="United States"/>
    <x v="13"/>
    <x v="7"/>
    <x v="2"/>
    <n v="2"/>
    <n v="490"/>
    <n v="45.34"/>
  </r>
  <r>
    <x v="718"/>
    <x v="6"/>
    <x v="1"/>
    <s v="United States"/>
    <x v="61"/>
    <x v="25"/>
    <x v="0"/>
    <n v="6"/>
    <n v="558"/>
    <n v="57.01"/>
  </r>
  <r>
    <x v="226"/>
    <x v="6"/>
    <x v="1"/>
    <s v="United States"/>
    <x v="59"/>
    <x v="15"/>
    <x v="2"/>
    <n v="4"/>
    <n v="4024"/>
    <n v="787.06"/>
  </r>
  <r>
    <x v="374"/>
    <x v="1"/>
    <x v="1"/>
    <s v="United States"/>
    <x v="15"/>
    <x v="13"/>
    <x v="1"/>
    <n v="4"/>
    <n v="1560"/>
    <n v="461.15"/>
  </r>
  <r>
    <x v="729"/>
    <x v="9"/>
    <x v="2"/>
    <s v="United States"/>
    <x v="62"/>
    <x v="2"/>
    <x v="1"/>
    <n v="1"/>
    <n v="126"/>
    <n v="26.62"/>
  </r>
  <r>
    <x v="370"/>
    <x v="1"/>
    <x v="1"/>
    <s v="United States"/>
    <x v="13"/>
    <x v="7"/>
    <x v="2"/>
    <n v="7"/>
    <n v="4921"/>
    <n v="827.87"/>
  </r>
  <r>
    <x v="14"/>
    <x v="4"/>
    <x v="1"/>
    <s v="United States"/>
    <x v="63"/>
    <x v="14"/>
    <x v="2"/>
    <n v="5"/>
    <n v="2665"/>
    <n v="532.76"/>
  </r>
  <r>
    <x v="246"/>
    <x v="4"/>
    <x v="1"/>
    <s v="United States"/>
    <x v="19"/>
    <x v="15"/>
    <x v="2"/>
    <n v="4"/>
    <n v="200"/>
    <n v="58.42"/>
  </r>
  <r>
    <x v="452"/>
    <x v="5"/>
    <x v="2"/>
    <s v="United States"/>
    <x v="4"/>
    <x v="4"/>
    <x v="1"/>
    <n v="2"/>
    <n v="186"/>
    <n v="32.479999999999997"/>
  </r>
  <r>
    <x v="100"/>
    <x v="6"/>
    <x v="1"/>
    <s v="United States"/>
    <x v="25"/>
    <x v="17"/>
    <x v="3"/>
    <n v="8"/>
    <n v="5456"/>
    <n v="898.06"/>
  </r>
  <r>
    <x v="559"/>
    <x v="5"/>
    <x v="2"/>
    <s v="United States"/>
    <x v="3"/>
    <x v="3"/>
    <x v="2"/>
    <n v="9"/>
    <n v="3321"/>
    <n v="540.66999999999996"/>
  </r>
  <r>
    <x v="792"/>
    <x v="4"/>
    <x v="1"/>
    <s v="United States"/>
    <x v="64"/>
    <x v="7"/>
    <x v="2"/>
    <n v="7"/>
    <n v="3766"/>
    <n v="914.49"/>
  </r>
  <r>
    <x v="829"/>
    <x v="8"/>
    <x v="1"/>
    <s v="United States"/>
    <x v="64"/>
    <x v="7"/>
    <x v="2"/>
    <n v="6"/>
    <n v="3150"/>
    <n v="498.63"/>
  </r>
  <r>
    <x v="913"/>
    <x v="9"/>
    <x v="2"/>
    <s v="United States"/>
    <x v="15"/>
    <x v="13"/>
    <x v="1"/>
    <n v="2"/>
    <n v="646"/>
    <n v="110.13"/>
  </r>
  <r>
    <x v="209"/>
    <x v="7"/>
    <x v="2"/>
    <s v="United States"/>
    <x v="53"/>
    <x v="2"/>
    <x v="1"/>
    <n v="5"/>
    <n v="2665"/>
    <n v="369.73"/>
  </r>
  <r>
    <x v="533"/>
    <x v="5"/>
    <x v="2"/>
    <s v="United States"/>
    <x v="65"/>
    <x v="17"/>
    <x v="3"/>
    <n v="9"/>
    <n v="1467"/>
    <n v="384.22"/>
  </r>
  <r>
    <x v="528"/>
    <x v="2"/>
    <x v="2"/>
    <s v="United States"/>
    <x v="2"/>
    <x v="2"/>
    <x v="1"/>
    <n v="7"/>
    <n v="4620"/>
    <n v="990.79"/>
  </r>
  <r>
    <x v="278"/>
    <x v="2"/>
    <x v="2"/>
    <s v="United States"/>
    <x v="51"/>
    <x v="1"/>
    <x v="0"/>
    <n v="8"/>
    <n v="1184"/>
    <n v="148.69"/>
  </r>
  <r>
    <x v="285"/>
    <x v="3"/>
    <x v="2"/>
    <s v="United States"/>
    <x v="66"/>
    <x v="1"/>
    <x v="0"/>
    <n v="1"/>
    <n v="113"/>
    <n v="20.07"/>
  </r>
  <r>
    <x v="710"/>
    <x v="0"/>
    <x v="0"/>
    <s v="United States"/>
    <x v="58"/>
    <x v="25"/>
    <x v="0"/>
    <n v="8"/>
    <n v="3336"/>
    <n v="492.76"/>
  </r>
  <r>
    <x v="32"/>
    <x v="7"/>
    <x v="2"/>
    <s v="United States"/>
    <x v="67"/>
    <x v="26"/>
    <x v="3"/>
    <n v="4"/>
    <n v="4224"/>
    <n v="477.33"/>
  </r>
  <r>
    <x v="24"/>
    <x v="4"/>
    <x v="1"/>
    <s v="United States"/>
    <x v="28"/>
    <x v="2"/>
    <x v="1"/>
    <n v="3"/>
    <n v="1098"/>
    <n v="144.24"/>
  </r>
  <r>
    <x v="951"/>
    <x v="3"/>
    <x v="2"/>
    <s v="United States"/>
    <x v="29"/>
    <x v="15"/>
    <x v="2"/>
    <n v="8"/>
    <n v="4400"/>
    <n v="351.82"/>
  </r>
  <r>
    <x v="176"/>
    <x v="0"/>
    <x v="0"/>
    <s v="United States"/>
    <x v="68"/>
    <x v="2"/>
    <x v="1"/>
    <n v="8"/>
    <n v="5616"/>
    <n v="723.42"/>
  </r>
  <r>
    <x v="578"/>
    <x v="0"/>
    <x v="0"/>
    <s v="United States"/>
    <x v="52"/>
    <x v="25"/>
    <x v="0"/>
    <n v="7"/>
    <n v="4676"/>
    <n v="520.38"/>
  </r>
  <r>
    <x v="1011"/>
    <x v="5"/>
    <x v="2"/>
    <s v="United States"/>
    <x v="69"/>
    <x v="2"/>
    <x v="1"/>
    <n v="2"/>
    <n v="2370"/>
    <n v="641.23"/>
  </r>
  <r>
    <x v="955"/>
    <x v="1"/>
    <x v="1"/>
    <s v="United States"/>
    <x v="53"/>
    <x v="2"/>
    <x v="1"/>
    <n v="7"/>
    <n v="4487"/>
    <n v="688.76"/>
  </r>
  <r>
    <x v="244"/>
    <x v="3"/>
    <x v="2"/>
    <s v="United States"/>
    <x v="28"/>
    <x v="2"/>
    <x v="1"/>
    <n v="6"/>
    <n v="6384"/>
    <n v="1754.15"/>
  </r>
  <r>
    <x v="367"/>
    <x v="8"/>
    <x v="1"/>
    <s v="United States"/>
    <x v="70"/>
    <x v="27"/>
    <x v="3"/>
    <n v="8"/>
    <n v="2960"/>
    <n v="878.11"/>
  </r>
  <r>
    <x v="1012"/>
    <x v="5"/>
    <x v="2"/>
    <s v="United States"/>
    <x v="71"/>
    <x v="13"/>
    <x v="1"/>
    <n v="1"/>
    <n v="897"/>
    <n v="250.78"/>
  </r>
  <r>
    <x v="1002"/>
    <x v="7"/>
    <x v="2"/>
    <s v="United States"/>
    <x v="72"/>
    <x v="2"/>
    <x v="1"/>
    <n v="2"/>
    <n v="1178"/>
    <n v="120.51"/>
  </r>
  <r>
    <x v="1013"/>
    <x v="5"/>
    <x v="2"/>
    <s v="United States"/>
    <x v="3"/>
    <x v="3"/>
    <x v="2"/>
    <n v="2"/>
    <n v="1026"/>
    <n v="64.510000000000005"/>
  </r>
  <r>
    <x v="371"/>
    <x v="0"/>
    <x v="0"/>
    <s v="United States"/>
    <x v="73"/>
    <x v="0"/>
    <x v="0"/>
    <n v="1"/>
    <n v="1148"/>
    <n v="89.04"/>
  </r>
  <r>
    <x v="831"/>
    <x v="0"/>
    <x v="0"/>
    <s v="United States"/>
    <x v="13"/>
    <x v="7"/>
    <x v="2"/>
    <n v="7"/>
    <n v="3185"/>
    <n v="765.41"/>
  </r>
  <r>
    <x v="204"/>
    <x v="7"/>
    <x v="2"/>
    <s v="United States"/>
    <x v="74"/>
    <x v="0"/>
    <x v="0"/>
    <n v="7"/>
    <n v="5180"/>
    <n v="463.35"/>
  </r>
  <r>
    <x v="592"/>
    <x v="4"/>
    <x v="1"/>
    <s v="United States"/>
    <x v="75"/>
    <x v="15"/>
    <x v="2"/>
    <n v="5"/>
    <n v="2025"/>
    <n v="295.13"/>
  </r>
  <r>
    <x v="413"/>
    <x v="2"/>
    <x v="2"/>
    <s v="United States"/>
    <x v="13"/>
    <x v="7"/>
    <x v="2"/>
    <n v="9"/>
    <n v="1359"/>
    <n v="187.72"/>
  </r>
  <r>
    <x v="367"/>
    <x v="3"/>
    <x v="2"/>
    <s v="United States"/>
    <x v="76"/>
    <x v="25"/>
    <x v="0"/>
    <n v="4"/>
    <n v="1836"/>
    <n v="462.52"/>
  </r>
  <r>
    <x v="553"/>
    <x v="2"/>
    <x v="2"/>
    <s v="United States"/>
    <x v="41"/>
    <x v="28"/>
    <x v="2"/>
    <n v="2"/>
    <n v="702"/>
    <n v="112.04"/>
  </r>
  <r>
    <x v="820"/>
    <x v="7"/>
    <x v="2"/>
    <s v="United States"/>
    <x v="13"/>
    <x v="7"/>
    <x v="2"/>
    <n v="8"/>
    <n v="6576"/>
    <n v="1337.38"/>
  </r>
  <r>
    <x v="588"/>
    <x v="5"/>
    <x v="2"/>
    <s v="United States"/>
    <x v="25"/>
    <x v="17"/>
    <x v="3"/>
    <n v="2"/>
    <n v="1428"/>
    <n v="398.24"/>
  </r>
  <r>
    <x v="690"/>
    <x v="3"/>
    <x v="2"/>
    <s v="United States"/>
    <x v="77"/>
    <x v="7"/>
    <x v="2"/>
    <n v="7"/>
    <n v="6853"/>
    <n v="1259.03"/>
  </r>
  <r>
    <x v="967"/>
    <x v="3"/>
    <x v="2"/>
    <s v="United States"/>
    <x v="13"/>
    <x v="7"/>
    <x v="2"/>
    <n v="2"/>
    <n v="1492"/>
    <n v="276.56"/>
  </r>
  <r>
    <x v="423"/>
    <x v="0"/>
    <x v="0"/>
    <s v="United States"/>
    <x v="78"/>
    <x v="19"/>
    <x v="2"/>
    <n v="6"/>
    <n v="1938"/>
    <n v="146.72999999999999"/>
  </r>
  <r>
    <x v="690"/>
    <x v="3"/>
    <x v="2"/>
    <s v="United States"/>
    <x v="79"/>
    <x v="16"/>
    <x v="3"/>
    <n v="5"/>
    <n v="905"/>
    <n v="70.91"/>
  </r>
  <r>
    <x v="543"/>
    <x v="0"/>
    <x v="0"/>
    <s v="United States"/>
    <x v="21"/>
    <x v="5"/>
    <x v="3"/>
    <n v="3"/>
    <n v="2571"/>
    <n v="510.01"/>
  </r>
  <r>
    <x v="497"/>
    <x v="2"/>
    <x v="2"/>
    <s v="United States"/>
    <x v="21"/>
    <x v="5"/>
    <x v="3"/>
    <n v="4"/>
    <n v="1500"/>
    <n v="127.81"/>
  </r>
  <r>
    <x v="278"/>
    <x v="5"/>
    <x v="2"/>
    <s v="United States"/>
    <x v="80"/>
    <x v="2"/>
    <x v="1"/>
    <n v="9"/>
    <n v="8712"/>
    <n v="1034.27"/>
  </r>
  <r>
    <x v="825"/>
    <x v="6"/>
    <x v="1"/>
    <s v="United States"/>
    <x v="81"/>
    <x v="22"/>
    <x v="1"/>
    <n v="4"/>
    <n v="1308"/>
    <n v="368.28"/>
  </r>
  <r>
    <x v="489"/>
    <x v="7"/>
    <x v="2"/>
    <s v="United States"/>
    <x v="3"/>
    <x v="3"/>
    <x v="2"/>
    <n v="4"/>
    <n v="2648"/>
    <n v="707.32"/>
  </r>
  <r>
    <x v="1014"/>
    <x v="3"/>
    <x v="2"/>
    <s v="United States"/>
    <x v="3"/>
    <x v="3"/>
    <x v="2"/>
    <n v="9"/>
    <n v="9810"/>
    <n v="1666.96"/>
  </r>
  <r>
    <x v="51"/>
    <x v="4"/>
    <x v="1"/>
    <s v="United States"/>
    <x v="3"/>
    <x v="3"/>
    <x v="2"/>
    <n v="3"/>
    <n v="3291"/>
    <n v="274.10000000000002"/>
  </r>
  <r>
    <x v="362"/>
    <x v="5"/>
    <x v="2"/>
    <s v="United States"/>
    <x v="3"/>
    <x v="3"/>
    <x v="2"/>
    <n v="1"/>
    <n v="758"/>
    <n v="96.44"/>
  </r>
  <r>
    <x v="464"/>
    <x v="8"/>
    <x v="1"/>
    <s v="United States"/>
    <x v="82"/>
    <x v="5"/>
    <x v="3"/>
    <n v="7"/>
    <n v="2436"/>
    <n v="715.14"/>
  </r>
  <r>
    <x v="1001"/>
    <x v="5"/>
    <x v="2"/>
    <s v="United States"/>
    <x v="64"/>
    <x v="2"/>
    <x v="1"/>
    <n v="7"/>
    <n v="560"/>
    <n v="163.16"/>
  </r>
  <r>
    <x v="199"/>
    <x v="7"/>
    <x v="2"/>
    <s v="United States"/>
    <x v="28"/>
    <x v="2"/>
    <x v="1"/>
    <n v="8"/>
    <n v="4240"/>
    <n v="519.72"/>
  </r>
  <r>
    <x v="640"/>
    <x v="6"/>
    <x v="1"/>
    <s v="United States"/>
    <x v="3"/>
    <x v="3"/>
    <x v="2"/>
    <n v="8"/>
    <n v="5416"/>
    <n v="403.52"/>
  </r>
  <r>
    <x v="940"/>
    <x v="7"/>
    <x v="2"/>
    <s v="United States"/>
    <x v="13"/>
    <x v="7"/>
    <x v="2"/>
    <n v="8"/>
    <n v="1728"/>
    <n v="477.7"/>
  </r>
  <r>
    <x v="160"/>
    <x v="8"/>
    <x v="1"/>
    <s v="United States"/>
    <x v="74"/>
    <x v="12"/>
    <x v="1"/>
    <n v="9"/>
    <n v="6309"/>
    <n v="801.15"/>
  </r>
  <r>
    <x v="259"/>
    <x v="8"/>
    <x v="1"/>
    <s v="United States"/>
    <x v="83"/>
    <x v="7"/>
    <x v="2"/>
    <n v="8"/>
    <n v="3400"/>
    <n v="758.57"/>
  </r>
  <r>
    <x v="754"/>
    <x v="9"/>
    <x v="2"/>
    <s v="United States"/>
    <x v="51"/>
    <x v="1"/>
    <x v="0"/>
    <n v="1"/>
    <n v="403"/>
    <n v="72.45"/>
  </r>
  <r>
    <x v="527"/>
    <x v="8"/>
    <x v="1"/>
    <s v="United States"/>
    <x v="0"/>
    <x v="0"/>
    <x v="0"/>
    <n v="4"/>
    <n v="2108"/>
    <n v="375.62"/>
  </r>
  <r>
    <x v="365"/>
    <x v="4"/>
    <x v="1"/>
    <s v="United States"/>
    <x v="0"/>
    <x v="0"/>
    <x v="0"/>
    <n v="2"/>
    <n v="1090"/>
    <n v="296.12"/>
  </r>
  <r>
    <x v="785"/>
    <x v="8"/>
    <x v="1"/>
    <s v="United States"/>
    <x v="13"/>
    <x v="7"/>
    <x v="2"/>
    <n v="7"/>
    <n v="1274"/>
    <n v="317.92"/>
  </r>
  <r>
    <x v="896"/>
    <x v="1"/>
    <x v="1"/>
    <s v="United States"/>
    <x v="53"/>
    <x v="2"/>
    <x v="1"/>
    <n v="3"/>
    <n v="1056"/>
    <n v="70.540000000000006"/>
  </r>
  <r>
    <x v="473"/>
    <x v="1"/>
    <x v="1"/>
    <s v="United States"/>
    <x v="84"/>
    <x v="13"/>
    <x v="1"/>
    <n v="9"/>
    <n v="5247"/>
    <n v="921.09"/>
  </r>
  <r>
    <x v="577"/>
    <x v="1"/>
    <x v="1"/>
    <s v="United States"/>
    <x v="15"/>
    <x v="13"/>
    <x v="1"/>
    <n v="7"/>
    <n v="6006"/>
    <n v="1595.22"/>
  </r>
  <r>
    <x v="927"/>
    <x v="6"/>
    <x v="1"/>
    <s v="United States"/>
    <x v="13"/>
    <x v="7"/>
    <x v="2"/>
    <n v="5"/>
    <n v="5415"/>
    <n v="1261.6500000000001"/>
  </r>
  <r>
    <x v="857"/>
    <x v="7"/>
    <x v="2"/>
    <s v="United States"/>
    <x v="13"/>
    <x v="7"/>
    <x v="2"/>
    <n v="1"/>
    <n v="632"/>
    <n v="81.540000000000006"/>
  </r>
  <r>
    <x v="76"/>
    <x v="0"/>
    <x v="0"/>
    <s v="United States"/>
    <x v="85"/>
    <x v="29"/>
    <x v="2"/>
    <n v="8"/>
    <n v="6160"/>
    <n v="947.96"/>
  </r>
  <r>
    <x v="251"/>
    <x v="0"/>
    <x v="0"/>
    <s v="United States"/>
    <x v="33"/>
    <x v="18"/>
    <x v="2"/>
    <n v="1"/>
    <n v="857"/>
    <n v="172.91"/>
  </r>
  <r>
    <x v="438"/>
    <x v="2"/>
    <x v="2"/>
    <s v="United States"/>
    <x v="33"/>
    <x v="18"/>
    <x v="2"/>
    <n v="1"/>
    <n v="169"/>
    <n v="22.99"/>
  </r>
  <r>
    <x v="487"/>
    <x v="2"/>
    <x v="2"/>
    <s v="United States"/>
    <x v="86"/>
    <x v="23"/>
    <x v="3"/>
    <n v="7"/>
    <n v="1463"/>
    <n v="175.13"/>
  </r>
  <r>
    <x v="675"/>
    <x v="3"/>
    <x v="2"/>
    <s v="United States"/>
    <x v="87"/>
    <x v="23"/>
    <x v="3"/>
    <n v="8"/>
    <n v="7528"/>
    <n v="1283.07"/>
  </r>
  <r>
    <x v="997"/>
    <x v="5"/>
    <x v="2"/>
    <s v="United States"/>
    <x v="13"/>
    <x v="7"/>
    <x v="2"/>
    <n v="2"/>
    <n v="1158"/>
    <n v="227.61"/>
  </r>
  <r>
    <x v="669"/>
    <x v="6"/>
    <x v="1"/>
    <s v="United States"/>
    <x v="88"/>
    <x v="8"/>
    <x v="3"/>
    <n v="4"/>
    <n v="200"/>
    <n v="20.25"/>
  </r>
  <r>
    <x v="313"/>
    <x v="7"/>
    <x v="2"/>
    <s v="United States"/>
    <x v="89"/>
    <x v="1"/>
    <x v="0"/>
    <n v="2"/>
    <n v="1514"/>
    <n v="180.67"/>
  </r>
  <r>
    <x v="109"/>
    <x v="5"/>
    <x v="2"/>
    <s v="United States"/>
    <x v="3"/>
    <x v="3"/>
    <x v="2"/>
    <n v="7"/>
    <n v="2632"/>
    <n v="738.93"/>
  </r>
  <r>
    <x v="462"/>
    <x v="8"/>
    <x v="1"/>
    <s v="United States"/>
    <x v="3"/>
    <x v="3"/>
    <x v="2"/>
    <n v="1"/>
    <n v="358"/>
    <n v="77.84"/>
  </r>
  <r>
    <x v="388"/>
    <x v="3"/>
    <x v="2"/>
    <s v="United States"/>
    <x v="13"/>
    <x v="7"/>
    <x v="2"/>
    <n v="8"/>
    <n v="2360"/>
    <n v="653.29999999999995"/>
  </r>
  <r>
    <x v="556"/>
    <x v="8"/>
    <x v="1"/>
    <s v="United States"/>
    <x v="6"/>
    <x v="5"/>
    <x v="3"/>
    <n v="5"/>
    <n v="5275"/>
    <n v="594.29"/>
  </r>
  <r>
    <x v="98"/>
    <x v="6"/>
    <x v="1"/>
    <s v="United States"/>
    <x v="28"/>
    <x v="2"/>
    <x v="1"/>
    <n v="9"/>
    <n v="1719"/>
    <n v="251.85"/>
  </r>
  <r>
    <x v="968"/>
    <x v="7"/>
    <x v="2"/>
    <s v="United States"/>
    <x v="25"/>
    <x v="17"/>
    <x v="3"/>
    <n v="6"/>
    <n v="1956"/>
    <n v="434.03"/>
  </r>
  <r>
    <x v="866"/>
    <x v="8"/>
    <x v="1"/>
    <s v="United States"/>
    <x v="90"/>
    <x v="7"/>
    <x v="2"/>
    <n v="3"/>
    <n v="1875"/>
    <n v="152.07"/>
  </r>
  <r>
    <x v="355"/>
    <x v="6"/>
    <x v="1"/>
    <s v="United States"/>
    <x v="91"/>
    <x v="30"/>
    <x v="0"/>
    <n v="4"/>
    <n v="984"/>
    <n v="157.72"/>
  </r>
  <r>
    <x v="500"/>
    <x v="3"/>
    <x v="2"/>
    <s v="United States"/>
    <x v="2"/>
    <x v="2"/>
    <x v="1"/>
    <n v="4"/>
    <n v="3616"/>
    <n v="789.63"/>
  </r>
  <r>
    <x v="941"/>
    <x v="2"/>
    <x v="2"/>
    <s v="United States"/>
    <x v="28"/>
    <x v="2"/>
    <x v="1"/>
    <n v="5"/>
    <n v="4560"/>
    <n v="1180.8"/>
  </r>
  <r>
    <x v="277"/>
    <x v="7"/>
    <x v="2"/>
    <s v="United States"/>
    <x v="6"/>
    <x v="5"/>
    <x v="3"/>
    <n v="8"/>
    <n v="7496"/>
    <n v="2019.32"/>
  </r>
  <r>
    <x v="653"/>
    <x v="3"/>
    <x v="2"/>
    <s v="United States"/>
    <x v="92"/>
    <x v="2"/>
    <x v="1"/>
    <n v="5"/>
    <n v="5070"/>
    <n v="889.97"/>
  </r>
  <r>
    <x v="915"/>
    <x v="5"/>
    <x v="2"/>
    <s v="United States"/>
    <x v="93"/>
    <x v="31"/>
    <x v="0"/>
    <n v="5"/>
    <n v="4505"/>
    <n v="1351.28"/>
  </r>
  <r>
    <x v="555"/>
    <x v="2"/>
    <x v="2"/>
    <s v="United States"/>
    <x v="93"/>
    <x v="31"/>
    <x v="0"/>
    <n v="2"/>
    <n v="1916"/>
    <n v="503.83"/>
  </r>
  <r>
    <x v="94"/>
    <x v="3"/>
    <x v="2"/>
    <s v="United States"/>
    <x v="76"/>
    <x v="25"/>
    <x v="0"/>
    <n v="7"/>
    <n v="8113"/>
    <n v="1103.57"/>
  </r>
  <r>
    <x v="581"/>
    <x v="9"/>
    <x v="2"/>
    <s v="United States"/>
    <x v="2"/>
    <x v="2"/>
    <x v="1"/>
    <n v="9"/>
    <n v="1809"/>
    <n v="392.44"/>
  </r>
  <r>
    <x v="300"/>
    <x v="9"/>
    <x v="2"/>
    <s v="United States"/>
    <x v="94"/>
    <x v="15"/>
    <x v="2"/>
    <n v="3"/>
    <n v="1227"/>
    <n v="229.75"/>
  </r>
  <r>
    <x v="50"/>
    <x v="9"/>
    <x v="2"/>
    <s v="United States"/>
    <x v="95"/>
    <x v="25"/>
    <x v="0"/>
    <n v="6"/>
    <n v="2040"/>
    <n v="124.65"/>
  </r>
  <r>
    <x v="733"/>
    <x v="2"/>
    <x v="2"/>
    <s v="United States"/>
    <x v="95"/>
    <x v="25"/>
    <x v="0"/>
    <n v="6"/>
    <n v="6324"/>
    <n v="629.20000000000005"/>
  </r>
  <r>
    <x v="1002"/>
    <x v="0"/>
    <x v="0"/>
    <s v="United States"/>
    <x v="2"/>
    <x v="2"/>
    <x v="1"/>
    <n v="3"/>
    <n v="2724"/>
    <n v="521.24"/>
  </r>
  <r>
    <x v="654"/>
    <x v="9"/>
    <x v="2"/>
    <s v="United States"/>
    <x v="13"/>
    <x v="7"/>
    <x v="2"/>
    <n v="1"/>
    <n v="1188"/>
    <n v="110.32"/>
  </r>
  <r>
    <x v="203"/>
    <x v="8"/>
    <x v="1"/>
    <s v="United States"/>
    <x v="96"/>
    <x v="32"/>
    <x v="2"/>
    <n v="8"/>
    <n v="8776"/>
    <n v="1561.07"/>
  </r>
  <r>
    <x v="1002"/>
    <x v="9"/>
    <x v="2"/>
    <s v="United States"/>
    <x v="2"/>
    <x v="2"/>
    <x v="1"/>
    <n v="9"/>
    <n v="5553"/>
    <n v="1432.76"/>
  </r>
  <r>
    <x v="866"/>
    <x v="7"/>
    <x v="2"/>
    <s v="United States"/>
    <x v="97"/>
    <x v="1"/>
    <x v="0"/>
    <n v="2"/>
    <n v="970"/>
    <n v="262.19"/>
  </r>
  <r>
    <x v="494"/>
    <x v="8"/>
    <x v="1"/>
    <s v="United States"/>
    <x v="97"/>
    <x v="1"/>
    <x v="0"/>
    <n v="5"/>
    <n v="940"/>
    <n v="56.7"/>
  </r>
  <r>
    <x v="1015"/>
    <x v="0"/>
    <x v="0"/>
    <s v="United States"/>
    <x v="6"/>
    <x v="5"/>
    <x v="3"/>
    <n v="1"/>
    <n v="1175"/>
    <n v="171.51"/>
  </r>
  <r>
    <x v="256"/>
    <x v="9"/>
    <x v="2"/>
    <s v="United States"/>
    <x v="22"/>
    <x v="12"/>
    <x v="1"/>
    <n v="9"/>
    <n v="4860"/>
    <n v="1425.54"/>
  </r>
  <r>
    <x v="264"/>
    <x v="4"/>
    <x v="1"/>
    <s v="United States"/>
    <x v="22"/>
    <x v="12"/>
    <x v="1"/>
    <n v="1"/>
    <n v="987"/>
    <n v="207.69"/>
  </r>
  <r>
    <x v="432"/>
    <x v="3"/>
    <x v="2"/>
    <s v="United States"/>
    <x v="13"/>
    <x v="7"/>
    <x v="2"/>
    <n v="7"/>
    <n v="2968"/>
    <n v="485.13"/>
  </r>
  <r>
    <x v="402"/>
    <x v="1"/>
    <x v="1"/>
    <s v="United States"/>
    <x v="3"/>
    <x v="3"/>
    <x v="2"/>
    <n v="3"/>
    <n v="2172"/>
    <n v="364.77"/>
  </r>
  <r>
    <x v="105"/>
    <x v="4"/>
    <x v="1"/>
    <s v="United States"/>
    <x v="3"/>
    <x v="3"/>
    <x v="2"/>
    <n v="7"/>
    <n v="3941"/>
    <n v="628.96"/>
  </r>
  <r>
    <x v="753"/>
    <x v="4"/>
    <x v="1"/>
    <s v="United States"/>
    <x v="13"/>
    <x v="7"/>
    <x v="2"/>
    <n v="7"/>
    <n v="2261"/>
    <n v="566.36"/>
  </r>
  <r>
    <x v="494"/>
    <x v="5"/>
    <x v="2"/>
    <s v="United States"/>
    <x v="2"/>
    <x v="2"/>
    <x v="1"/>
    <n v="9"/>
    <n v="8802"/>
    <n v="2519.9299999999998"/>
  </r>
  <r>
    <x v="745"/>
    <x v="0"/>
    <x v="0"/>
    <s v="United States"/>
    <x v="98"/>
    <x v="1"/>
    <x v="0"/>
    <n v="5"/>
    <n v="3025"/>
    <n v="172.43"/>
  </r>
  <r>
    <x v="714"/>
    <x v="0"/>
    <x v="0"/>
    <s v="United States"/>
    <x v="98"/>
    <x v="1"/>
    <x v="0"/>
    <n v="4"/>
    <n v="4428"/>
    <n v="600.54999999999995"/>
  </r>
  <r>
    <x v="166"/>
    <x v="1"/>
    <x v="1"/>
    <s v="United States"/>
    <x v="98"/>
    <x v="1"/>
    <x v="0"/>
    <n v="9"/>
    <n v="7344"/>
    <n v="1417.84"/>
  </r>
  <r>
    <x v="770"/>
    <x v="8"/>
    <x v="1"/>
    <s v="United States"/>
    <x v="15"/>
    <x v="13"/>
    <x v="1"/>
    <n v="4"/>
    <n v="2236"/>
    <n v="167.78"/>
  </r>
  <r>
    <x v="1016"/>
    <x v="7"/>
    <x v="2"/>
    <s v="United States"/>
    <x v="99"/>
    <x v="2"/>
    <x v="1"/>
    <n v="8"/>
    <n v="536"/>
    <n v="57.08"/>
  </r>
  <r>
    <x v="836"/>
    <x v="6"/>
    <x v="1"/>
    <s v="United States"/>
    <x v="99"/>
    <x v="2"/>
    <x v="1"/>
    <n v="5"/>
    <n v="1980"/>
    <n v="249.22"/>
  </r>
  <r>
    <x v="833"/>
    <x v="0"/>
    <x v="0"/>
    <s v="United States"/>
    <x v="99"/>
    <x v="2"/>
    <x v="1"/>
    <n v="6"/>
    <n v="2100"/>
    <n v="202.86"/>
  </r>
  <r>
    <x v="498"/>
    <x v="5"/>
    <x v="2"/>
    <s v="United States"/>
    <x v="13"/>
    <x v="7"/>
    <x v="2"/>
    <n v="3"/>
    <n v="1497"/>
    <n v="122.76"/>
  </r>
  <r>
    <x v="361"/>
    <x v="9"/>
    <x v="2"/>
    <s v="United States"/>
    <x v="100"/>
    <x v="3"/>
    <x v="2"/>
    <n v="6"/>
    <n v="4200"/>
    <n v="1013.7"/>
  </r>
  <r>
    <x v="853"/>
    <x v="4"/>
    <x v="1"/>
    <s v="United States"/>
    <x v="100"/>
    <x v="3"/>
    <x v="2"/>
    <n v="2"/>
    <n v="1242"/>
    <n v="191.82"/>
  </r>
  <r>
    <x v="1017"/>
    <x v="5"/>
    <x v="2"/>
    <s v="United States"/>
    <x v="101"/>
    <x v="6"/>
    <x v="3"/>
    <n v="5"/>
    <n v="1570"/>
    <n v="312.81"/>
  </r>
  <r>
    <x v="336"/>
    <x v="6"/>
    <x v="1"/>
    <s v="United States"/>
    <x v="2"/>
    <x v="2"/>
    <x v="1"/>
    <n v="4"/>
    <n v="428"/>
    <n v="86.62"/>
  </r>
  <r>
    <x v="374"/>
    <x v="0"/>
    <x v="0"/>
    <s v="United States"/>
    <x v="74"/>
    <x v="12"/>
    <x v="1"/>
    <n v="1"/>
    <n v="914"/>
    <n v="270.74"/>
  </r>
  <r>
    <x v="764"/>
    <x v="2"/>
    <x v="2"/>
    <s v="United States"/>
    <x v="50"/>
    <x v="5"/>
    <x v="3"/>
    <n v="3"/>
    <n v="465"/>
    <n v="98.93"/>
  </r>
  <r>
    <x v="866"/>
    <x v="5"/>
    <x v="2"/>
    <s v="United States"/>
    <x v="13"/>
    <x v="7"/>
    <x v="2"/>
    <n v="2"/>
    <n v="1062"/>
    <n v="83.49"/>
  </r>
  <r>
    <x v="1018"/>
    <x v="3"/>
    <x v="2"/>
    <s v="United States"/>
    <x v="76"/>
    <x v="25"/>
    <x v="0"/>
    <n v="8"/>
    <n v="8720"/>
    <n v="1984.11"/>
  </r>
  <r>
    <x v="649"/>
    <x v="1"/>
    <x v="1"/>
    <s v="United States"/>
    <x v="76"/>
    <x v="25"/>
    <x v="0"/>
    <n v="6"/>
    <n v="1308"/>
    <n v="343.61"/>
  </r>
  <r>
    <x v="1019"/>
    <x v="4"/>
    <x v="1"/>
    <s v="United States"/>
    <x v="58"/>
    <x v="25"/>
    <x v="0"/>
    <n v="9"/>
    <n v="8514"/>
    <n v="1291.97"/>
  </r>
  <r>
    <x v="33"/>
    <x v="2"/>
    <x v="2"/>
    <s v="United States"/>
    <x v="29"/>
    <x v="24"/>
    <x v="0"/>
    <n v="2"/>
    <n v="1212"/>
    <n v="151.07"/>
  </r>
  <r>
    <x v="1009"/>
    <x v="4"/>
    <x v="1"/>
    <s v="United States"/>
    <x v="102"/>
    <x v="2"/>
    <x v="1"/>
    <n v="4"/>
    <n v="2576"/>
    <n v="503.57"/>
  </r>
  <r>
    <x v="673"/>
    <x v="8"/>
    <x v="1"/>
    <s v="United States"/>
    <x v="29"/>
    <x v="15"/>
    <x v="2"/>
    <n v="8"/>
    <n v="4800"/>
    <n v="606.19000000000005"/>
  </r>
  <r>
    <x v="186"/>
    <x v="5"/>
    <x v="2"/>
    <s v="United States"/>
    <x v="2"/>
    <x v="2"/>
    <x v="1"/>
    <n v="5"/>
    <n v="1440"/>
    <n v="274.54000000000002"/>
  </r>
  <r>
    <x v="854"/>
    <x v="5"/>
    <x v="2"/>
    <s v="United States"/>
    <x v="3"/>
    <x v="3"/>
    <x v="2"/>
    <n v="9"/>
    <n v="10251"/>
    <n v="737.45"/>
  </r>
  <r>
    <x v="961"/>
    <x v="7"/>
    <x v="2"/>
    <s v="United States"/>
    <x v="28"/>
    <x v="2"/>
    <x v="1"/>
    <n v="7"/>
    <n v="3038"/>
    <n v="570.98"/>
  </r>
  <r>
    <x v="167"/>
    <x v="6"/>
    <x v="1"/>
    <s v="United States"/>
    <x v="2"/>
    <x v="2"/>
    <x v="1"/>
    <n v="9"/>
    <n v="6993"/>
    <n v="1945.56"/>
  </r>
  <r>
    <x v="588"/>
    <x v="6"/>
    <x v="1"/>
    <s v="United States"/>
    <x v="13"/>
    <x v="7"/>
    <x v="2"/>
    <n v="4"/>
    <n v="1632"/>
    <n v="247.88"/>
  </r>
  <r>
    <x v="943"/>
    <x v="8"/>
    <x v="1"/>
    <s v="United States"/>
    <x v="103"/>
    <x v="8"/>
    <x v="3"/>
    <n v="9"/>
    <n v="5706"/>
    <n v="1704.8"/>
  </r>
  <r>
    <x v="891"/>
    <x v="3"/>
    <x v="2"/>
    <s v="United States"/>
    <x v="28"/>
    <x v="2"/>
    <x v="1"/>
    <n v="9"/>
    <n v="9657"/>
    <n v="1187.22"/>
  </r>
  <r>
    <x v="429"/>
    <x v="5"/>
    <x v="2"/>
    <s v="United States"/>
    <x v="50"/>
    <x v="5"/>
    <x v="3"/>
    <n v="5"/>
    <n v="4405"/>
    <n v="450.83"/>
  </r>
  <r>
    <x v="1020"/>
    <x v="8"/>
    <x v="1"/>
    <s v="United States"/>
    <x v="2"/>
    <x v="2"/>
    <x v="1"/>
    <n v="4"/>
    <n v="1720"/>
    <n v="360.78"/>
  </r>
  <r>
    <x v="162"/>
    <x v="3"/>
    <x v="2"/>
    <s v="United States"/>
    <x v="104"/>
    <x v="22"/>
    <x v="1"/>
    <n v="7"/>
    <n v="4557"/>
    <n v="234.62"/>
  </r>
  <r>
    <x v="1019"/>
    <x v="4"/>
    <x v="1"/>
    <s v="United States"/>
    <x v="105"/>
    <x v="2"/>
    <x v="1"/>
    <n v="7"/>
    <n v="2380"/>
    <n v="431.43"/>
  </r>
  <r>
    <x v="691"/>
    <x v="4"/>
    <x v="1"/>
    <s v="United States"/>
    <x v="30"/>
    <x v="12"/>
    <x v="1"/>
    <n v="8"/>
    <n v="456"/>
    <n v="74.989999999999995"/>
  </r>
  <r>
    <x v="974"/>
    <x v="3"/>
    <x v="2"/>
    <s v="United States"/>
    <x v="106"/>
    <x v="4"/>
    <x v="1"/>
    <n v="6"/>
    <n v="6534"/>
    <n v="355.03"/>
  </r>
  <r>
    <x v="969"/>
    <x v="7"/>
    <x v="2"/>
    <s v="United States"/>
    <x v="14"/>
    <x v="8"/>
    <x v="3"/>
    <n v="6"/>
    <n v="3456"/>
    <n v="307.45999999999998"/>
  </r>
  <r>
    <x v="1021"/>
    <x v="8"/>
    <x v="1"/>
    <s v="United States"/>
    <x v="107"/>
    <x v="24"/>
    <x v="0"/>
    <n v="9"/>
    <n v="8163"/>
    <n v="2352.46"/>
  </r>
  <r>
    <x v="1022"/>
    <x v="4"/>
    <x v="1"/>
    <s v="United States"/>
    <x v="107"/>
    <x v="24"/>
    <x v="0"/>
    <n v="6"/>
    <n v="4656"/>
    <n v="601.71"/>
  </r>
  <r>
    <x v="615"/>
    <x v="7"/>
    <x v="2"/>
    <s v="United States"/>
    <x v="14"/>
    <x v="8"/>
    <x v="3"/>
    <n v="2"/>
    <n v="966"/>
    <n v="241.54"/>
  </r>
  <r>
    <x v="899"/>
    <x v="1"/>
    <x v="1"/>
    <s v="United States"/>
    <x v="14"/>
    <x v="8"/>
    <x v="3"/>
    <n v="4"/>
    <n v="2580"/>
    <n v="669.67"/>
  </r>
  <r>
    <x v="186"/>
    <x v="3"/>
    <x v="2"/>
    <s v="United States"/>
    <x v="29"/>
    <x v="15"/>
    <x v="2"/>
    <n v="9"/>
    <n v="8127"/>
    <n v="1906.5"/>
  </r>
  <r>
    <x v="913"/>
    <x v="5"/>
    <x v="2"/>
    <s v="United States"/>
    <x v="3"/>
    <x v="3"/>
    <x v="2"/>
    <n v="4"/>
    <n v="2128"/>
    <n v="614.04999999999995"/>
  </r>
  <r>
    <x v="918"/>
    <x v="7"/>
    <x v="2"/>
    <s v="United States"/>
    <x v="13"/>
    <x v="7"/>
    <x v="2"/>
    <n v="9"/>
    <n v="6417"/>
    <n v="1100.52"/>
  </r>
  <r>
    <x v="165"/>
    <x v="8"/>
    <x v="1"/>
    <s v="United States"/>
    <x v="43"/>
    <x v="22"/>
    <x v="1"/>
    <n v="7"/>
    <n v="3997"/>
    <n v="494.78"/>
  </r>
  <r>
    <x v="107"/>
    <x v="9"/>
    <x v="2"/>
    <s v="United States"/>
    <x v="13"/>
    <x v="7"/>
    <x v="2"/>
    <n v="1"/>
    <n v="879"/>
    <n v="149.52000000000001"/>
  </r>
  <r>
    <x v="319"/>
    <x v="9"/>
    <x v="2"/>
    <s v="United States"/>
    <x v="13"/>
    <x v="7"/>
    <x v="2"/>
    <n v="3"/>
    <n v="2415"/>
    <n v="538.39"/>
  </r>
  <r>
    <x v="352"/>
    <x v="3"/>
    <x v="2"/>
    <s v="United States"/>
    <x v="46"/>
    <x v="2"/>
    <x v="1"/>
    <n v="4"/>
    <n v="1064"/>
    <n v="314.83999999999997"/>
  </r>
  <r>
    <x v="958"/>
    <x v="1"/>
    <x v="1"/>
    <s v="United States"/>
    <x v="6"/>
    <x v="5"/>
    <x v="3"/>
    <n v="4"/>
    <n v="1156"/>
    <n v="326.92"/>
  </r>
  <r>
    <x v="381"/>
    <x v="7"/>
    <x v="2"/>
    <s v="United States"/>
    <x v="73"/>
    <x v="33"/>
    <x v="0"/>
    <n v="1"/>
    <n v="1184"/>
    <n v="218.27"/>
  </r>
  <r>
    <x v="272"/>
    <x v="8"/>
    <x v="1"/>
    <s v="United States"/>
    <x v="45"/>
    <x v="5"/>
    <x v="3"/>
    <n v="3"/>
    <n v="1950"/>
    <n v="211.16"/>
  </r>
  <r>
    <x v="891"/>
    <x v="9"/>
    <x v="2"/>
    <s v="United States"/>
    <x v="9"/>
    <x v="8"/>
    <x v="3"/>
    <n v="4"/>
    <n v="1088"/>
    <n v="295.08999999999997"/>
  </r>
  <r>
    <x v="10"/>
    <x v="0"/>
    <x v="0"/>
    <s v="United States"/>
    <x v="29"/>
    <x v="24"/>
    <x v="0"/>
    <n v="6"/>
    <n v="4380"/>
    <n v="522.29999999999995"/>
  </r>
  <r>
    <x v="341"/>
    <x v="3"/>
    <x v="2"/>
    <s v="United States"/>
    <x v="108"/>
    <x v="19"/>
    <x v="2"/>
    <n v="1"/>
    <n v="998"/>
    <n v="196.17"/>
  </r>
  <r>
    <x v="538"/>
    <x v="7"/>
    <x v="2"/>
    <s v="United States"/>
    <x v="109"/>
    <x v="18"/>
    <x v="2"/>
    <n v="6"/>
    <n v="5766"/>
    <n v="675.17"/>
  </r>
  <r>
    <x v="62"/>
    <x v="2"/>
    <x v="2"/>
    <s v="United States"/>
    <x v="102"/>
    <x v="5"/>
    <x v="3"/>
    <n v="6"/>
    <n v="3120"/>
    <n v="274.64999999999998"/>
  </r>
  <r>
    <x v="1008"/>
    <x v="0"/>
    <x v="0"/>
    <s v="United States"/>
    <x v="110"/>
    <x v="22"/>
    <x v="1"/>
    <n v="7"/>
    <n v="637"/>
    <n v="68.11"/>
  </r>
  <r>
    <x v="845"/>
    <x v="9"/>
    <x v="2"/>
    <s v="United States"/>
    <x v="25"/>
    <x v="17"/>
    <x v="3"/>
    <n v="6"/>
    <n v="3306"/>
    <n v="697.74"/>
  </r>
  <r>
    <x v="169"/>
    <x v="6"/>
    <x v="1"/>
    <s v="United States"/>
    <x v="6"/>
    <x v="5"/>
    <x v="3"/>
    <n v="6"/>
    <n v="7020"/>
    <n v="726.72"/>
  </r>
  <r>
    <x v="615"/>
    <x v="3"/>
    <x v="2"/>
    <s v="United States"/>
    <x v="2"/>
    <x v="2"/>
    <x v="1"/>
    <n v="7"/>
    <n v="5971"/>
    <n v="502.14"/>
  </r>
  <r>
    <x v="424"/>
    <x v="9"/>
    <x v="2"/>
    <s v="United States"/>
    <x v="13"/>
    <x v="7"/>
    <x v="2"/>
    <n v="2"/>
    <n v="750"/>
    <n v="77.680000000000007"/>
  </r>
  <r>
    <x v="395"/>
    <x v="2"/>
    <x v="2"/>
    <s v="United States"/>
    <x v="57"/>
    <x v="13"/>
    <x v="1"/>
    <n v="3"/>
    <n v="2379"/>
    <n v="523"/>
  </r>
  <r>
    <x v="116"/>
    <x v="3"/>
    <x v="2"/>
    <s v="United States"/>
    <x v="2"/>
    <x v="2"/>
    <x v="1"/>
    <n v="1"/>
    <n v="699"/>
    <n v="108.94"/>
  </r>
  <r>
    <x v="283"/>
    <x v="3"/>
    <x v="2"/>
    <s v="United States"/>
    <x v="2"/>
    <x v="2"/>
    <x v="1"/>
    <n v="9"/>
    <n v="6876"/>
    <n v="1895.24"/>
  </r>
  <r>
    <x v="914"/>
    <x v="6"/>
    <x v="1"/>
    <s v="United States"/>
    <x v="2"/>
    <x v="2"/>
    <x v="1"/>
    <n v="8"/>
    <n v="1800"/>
    <n v="494.02"/>
  </r>
  <r>
    <x v="325"/>
    <x v="2"/>
    <x v="2"/>
    <s v="United States"/>
    <x v="3"/>
    <x v="3"/>
    <x v="2"/>
    <n v="5"/>
    <n v="1255"/>
    <n v="236.25"/>
  </r>
  <r>
    <x v="824"/>
    <x v="5"/>
    <x v="2"/>
    <s v="United States"/>
    <x v="111"/>
    <x v="34"/>
    <x v="1"/>
    <n v="9"/>
    <n v="1998"/>
    <n v="343.58"/>
  </r>
  <r>
    <x v="818"/>
    <x v="4"/>
    <x v="1"/>
    <s v="United States"/>
    <x v="104"/>
    <x v="22"/>
    <x v="1"/>
    <n v="1"/>
    <n v="307"/>
    <n v="80.19"/>
  </r>
  <r>
    <x v="759"/>
    <x v="0"/>
    <x v="0"/>
    <s v="United States"/>
    <x v="112"/>
    <x v="3"/>
    <x v="2"/>
    <n v="1"/>
    <n v="235"/>
    <n v="54.87"/>
  </r>
  <r>
    <x v="285"/>
    <x v="6"/>
    <x v="1"/>
    <s v="United States"/>
    <x v="113"/>
    <x v="2"/>
    <x v="1"/>
    <n v="6"/>
    <n v="1506"/>
    <n v="407.73"/>
  </r>
  <r>
    <x v="756"/>
    <x v="2"/>
    <x v="2"/>
    <s v="United States"/>
    <x v="114"/>
    <x v="20"/>
    <x v="2"/>
    <n v="8"/>
    <n v="2464"/>
    <n v="216.51"/>
  </r>
  <r>
    <x v="193"/>
    <x v="5"/>
    <x v="2"/>
    <s v="United States"/>
    <x v="29"/>
    <x v="15"/>
    <x v="2"/>
    <n v="2"/>
    <n v="322"/>
    <n v="42.03"/>
  </r>
  <r>
    <x v="956"/>
    <x v="0"/>
    <x v="0"/>
    <s v="United States"/>
    <x v="115"/>
    <x v="7"/>
    <x v="2"/>
    <n v="4"/>
    <n v="1100"/>
    <n v="100.02"/>
  </r>
  <r>
    <x v="123"/>
    <x v="8"/>
    <x v="1"/>
    <s v="United States"/>
    <x v="15"/>
    <x v="13"/>
    <x v="1"/>
    <n v="4"/>
    <n v="2188"/>
    <n v="265.54000000000002"/>
  </r>
  <r>
    <x v="488"/>
    <x v="0"/>
    <x v="0"/>
    <s v="United States"/>
    <x v="13"/>
    <x v="7"/>
    <x v="2"/>
    <n v="9"/>
    <n v="2934"/>
    <n v="473.34"/>
  </r>
  <r>
    <x v="254"/>
    <x v="4"/>
    <x v="1"/>
    <s v="United States"/>
    <x v="2"/>
    <x v="2"/>
    <x v="1"/>
    <n v="8"/>
    <n v="9224"/>
    <n v="514.05999999999995"/>
  </r>
  <r>
    <x v="787"/>
    <x v="6"/>
    <x v="1"/>
    <s v="United States"/>
    <x v="2"/>
    <x v="2"/>
    <x v="1"/>
    <n v="4"/>
    <n v="2436"/>
    <n v="142.81"/>
  </r>
  <r>
    <x v="482"/>
    <x v="5"/>
    <x v="2"/>
    <s v="United States"/>
    <x v="116"/>
    <x v="5"/>
    <x v="3"/>
    <n v="4"/>
    <n v="972"/>
    <n v="97.55"/>
  </r>
  <r>
    <x v="141"/>
    <x v="9"/>
    <x v="2"/>
    <s v="United States"/>
    <x v="13"/>
    <x v="7"/>
    <x v="2"/>
    <n v="6"/>
    <n v="5484"/>
    <n v="540.4"/>
  </r>
  <r>
    <x v="892"/>
    <x v="3"/>
    <x v="2"/>
    <s v="United States"/>
    <x v="13"/>
    <x v="7"/>
    <x v="2"/>
    <n v="8"/>
    <n v="3152"/>
    <n v="337.36"/>
  </r>
  <r>
    <x v="122"/>
    <x v="8"/>
    <x v="1"/>
    <s v="United States"/>
    <x v="13"/>
    <x v="7"/>
    <x v="2"/>
    <n v="8"/>
    <n v="6032"/>
    <n v="870.17"/>
  </r>
  <r>
    <x v="434"/>
    <x v="3"/>
    <x v="2"/>
    <s v="United States"/>
    <x v="117"/>
    <x v="8"/>
    <x v="3"/>
    <n v="7"/>
    <n v="6384"/>
    <n v="1324.49"/>
  </r>
  <r>
    <x v="749"/>
    <x v="0"/>
    <x v="0"/>
    <s v="United States"/>
    <x v="29"/>
    <x v="15"/>
    <x v="2"/>
    <n v="5"/>
    <n v="3705"/>
    <n v="707.08"/>
  </r>
  <r>
    <x v="254"/>
    <x v="5"/>
    <x v="2"/>
    <s v="United States"/>
    <x v="13"/>
    <x v="7"/>
    <x v="2"/>
    <n v="6"/>
    <n v="5580"/>
    <n v="394.03"/>
  </r>
  <r>
    <x v="812"/>
    <x v="3"/>
    <x v="2"/>
    <s v="United States"/>
    <x v="118"/>
    <x v="5"/>
    <x v="3"/>
    <n v="2"/>
    <n v="1236"/>
    <n v="120.74"/>
  </r>
  <r>
    <x v="610"/>
    <x v="3"/>
    <x v="2"/>
    <s v="United States"/>
    <x v="63"/>
    <x v="14"/>
    <x v="2"/>
    <n v="8"/>
    <n v="7040"/>
    <n v="1969.93"/>
  </r>
  <r>
    <x v="525"/>
    <x v="3"/>
    <x v="2"/>
    <s v="United States"/>
    <x v="2"/>
    <x v="2"/>
    <x v="1"/>
    <n v="9"/>
    <n v="909"/>
    <n v="138.04"/>
  </r>
  <r>
    <x v="618"/>
    <x v="1"/>
    <x v="1"/>
    <s v="United States"/>
    <x v="119"/>
    <x v="13"/>
    <x v="1"/>
    <n v="1"/>
    <n v="106"/>
    <n v="7.24"/>
  </r>
  <r>
    <x v="916"/>
    <x v="5"/>
    <x v="2"/>
    <s v="United States"/>
    <x v="120"/>
    <x v="35"/>
    <x v="0"/>
    <n v="1"/>
    <n v="281"/>
    <n v="67.849999999999994"/>
  </r>
  <r>
    <x v="179"/>
    <x v="3"/>
    <x v="2"/>
    <s v="United States"/>
    <x v="59"/>
    <x v="15"/>
    <x v="2"/>
    <n v="6"/>
    <n v="6768"/>
    <n v="1851.01"/>
  </r>
  <r>
    <x v="401"/>
    <x v="9"/>
    <x v="2"/>
    <s v="United States"/>
    <x v="85"/>
    <x v="29"/>
    <x v="2"/>
    <n v="6"/>
    <n v="4302"/>
    <n v="276.35000000000002"/>
  </r>
  <r>
    <x v="511"/>
    <x v="7"/>
    <x v="2"/>
    <s v="United States"/>
    <x v="79"/>
    <x v="16"/>
    <x v="3"/>
    <n v="9"/>
    <n v="7146"/>
    <n v="2125.44"/>
  </r>
  <r>
    <x v="390"/>
    <x v="7"/>
    <x v="2"/>
    <s v="United States"/>
    <x v="13"/>
    <x v="7"/>
    <x v="2"/>
    <n v="3"/>
    <n v="582"/>
    <n v="48.08"/>
  </r>
  <r>
    <x v="452"/>
    <x v="4"/>
    <x v="1"/>
    <s v="United States"/>
    <x v="6"/>
    <x v="5"/>
    <x v="3"/>
    <n v="6"/>
    <n v="576"/>
    <n v="162.75"/>
  </r>
  <r>
    <x v="425"/>
    <x v="8"/>
    <x v="1"/>
    <s v="United States"/>
    <x v="3"/>
    <x v="3"/>
    <x v="2"/>
    <n v="5"/>
    <n v="4265"/>
    <n v="796.12"/>
  </r>
  <r>
    <x v="96"/>
    <x v="5"/>
    <x v="2"/>
    <s v="United States"/>
    <x v="28"/>
    <x v="2"/>
    <x v="1"/>
    <n v="8"/>
    <n v="5368"/>
    <n v="333.53"/>
  </r>
  <r>
    <x v="10"/>
    <x v="4"/>
    <x v="1"/>
    <s v="United States"/>
    <x v="3"/>
    <x v="3"/>
    <x v="2"/>
    <n v="1"/>
    <n v="314"/>
    <n v="66.23"/>
  </r>
  <r>
    <x v="413"/>
    <x v="2"/>
    <x v="2"/>
    <s v="United States"/>
    <x v="3"/>
    <x v="3"/>
    <x v="2"/>
    <n v="6"/>
    <n v="2676"/>
    <n v="646.70000000000005"/>
  </r>
  <r>
    <x v="516"/>
    <x v="9"/>
    <x v="2"/>
    <s v="United States"/>
    <x v="29"/>
    <x v="15"/>
    <x v="2"/>
    <n v="4"/>
    <n v="3384"/>
    <n v="947.52"/>
  </r>
  <r>
    <x v="50"/>
    <x v="1"/>
    <x v="1"/>
    <s v="United States"/>
    <x v="15"/>
    <x v="13"/>
    <x v="1"/>
    <n v="6"/>
    <n v="3186"/>
    <n v="794.94"/>
  </r>
  <r>
    <x v="888"/>
    <x v="5"/>
    <x v="2"/>
    <s v="United States"/>
    <x v="13"/>
    <x v="7"/>
    <x v="2"/>
    <n v="4"/>
    <n v="1832"/>
    <n v="528.69000000000005"/>
  </r>
  <r>
    <x v="795"/>
    <x v="0"/>
    <x v="0"/>
    <s v="United States"/>
    <x v="28"/>
    <x v="2"/>
    <x v="1"/>
    <n v="8"/>
    <n v="4784"/>
    <n v="769.91"/>
  </r>
  <r>
    <x v="959"/>
    <x v="2"/>
    <x v="2"/>
    <s v="United States"/>
    <x v="9"/>
    <x v="8"/>
    <x v="3"/>
    <n v="1"/>
    <n v="381"/>
    <n v="63.18"/>
  </r>
  <r>
    <x v="1017"/>
    <x v="7"/>
    <x v="2"/>
    <s v="United States"/>
    <x v="28"/>
    <x v="2"/>
    <x v="1"/>
    <n v="9"/>
    <n v="4527"/>
    <n v="677.34"/>
  </r>
  <r>
    <x v="779"/>
    <x v="0"/>
    <x v="0"/>
    <s v="United States"/>
    <x v="13"/>
    <x v="7"/>
    <x v="2"/>
    <n v="4"/>
    <n v="1612"/>
    <n v="240.42"/>
  </r>
  <r>
    <x v="707"/>
    <x v="0"/>
    <x v="0"/>
    <s v="United States"/>
    <x v="13"/>
    <x v="7"/>
    <x v="2"/>
    <n v="2"/>
    <n v="1918"/>
    <n v="435.56"/>
  </r>
  <r>
    <x v="990"/>
    <x v="3"/>
    <x v="2"/>
    <s v="United States"/>
    <x v="9"/>
    <x v="8"/>
    <x v="3"/>
    <n v="1"/>
    <n v="179"/>
    <n v="42.37"/>
  </r>
  <r>
    <x v="678"/>
    <x v="5"/>
    <x v="2"/>
    <s v="United States"/>
    <x v="24"/>
    <x v="15"/>
    <x v="2"/>
    <n v="3"/>
    <n v="3153"/>
    <n v="224.29"/>
  </r>
  <r>
    <x v="35"/>
    <x v="2"/>
    <x v="2"/>
    <s v="United States"/>
    <x v="3"/>
    <x v="3"/>
    <x v="2"/>
    <n v="8"/>
    <n v="3864"/>
    <n v="855.75"/>
  </r>
  <r>
    <x v="920"/>
    <x v="0"/>
    <x v="0"/>
    <s v="United States"/>
    <x v="21"/>
    <x v="5"/>
    <x v="3"/>
    <n v="5"/>
    <n v="2440"/>
    <n v="570.78"/>
  </r>
  <r>
    <x v="524"/>
    <x v="3"/>
    <x v="2"/>
    <s v="United States"/>
    <x v="121"/>
    <x v="2"/>
    <x v="1"/>
    <n v="6"/>
    <n v="3660"/>
    <n v="675.38"/>
  </r>
  <r>
    <x v="444"/>
    <x v="5"/>
    <x v="2"/>
    <s v="United States"/>
    <x v="53"/>
    <x v="2"/>
    <x v="1"/>
    <n v="3"/>
    <n v="318"/>
    <n v="49.93"/>
  </r>
  <r>
    <x v="309"/>
    <x v="1"/>
    <x v="1"/>
    <s v="United States"/>
    <x v="53"/>
    <x v="2"/>
    <x v="1"/>
    <n v="3"/>
    <n v="483"/>
    <n v="63.27"/>
  </r>
  <r>
    <x v="200"/>
    <x v="4"/>
    <x v="1"/>
    <s v="United States"/>
    <x v="122"/>
    <x v="25"/>
    <x v="0"/>
    <n v="6"/>
    <n v="6774"/>
    <n v="960.41"/>
  </r>
  <r>
    <x v="240"/>
    <x v="6"/>
    <x v="1"/>
    <s v="United States"/>
    <x v="123"/>
    <x v="16"/>
    <x v="3"/>
    <n v="5"/>
    <n v="5310"/>
    <n v="806.12"/>
  </r>
  <r>
    <x v="489"/>
    <x v="8"/>
    <x v="1"/>
    <s v="United States"/>
    <x v="124"/>
    <x v="2"/>
    <x v="1"/>
    <n v="6"/>
    <n v="5154"/>
    <n v="779.43"/>
  </r>
  <r>
    <x v="910"/>
    <x v="8"/>
    <x v="1"/>
    <s v="United States"/>
    <x v="83"/>
    <x v="13"/>
    <x v="1"/>
    <n v="9"/>
    <n v="6741"/>
    <n v="823.17"/>
  </r>
  <r>
    <x v="728"/>
    <x v="3"/>
    <x v="2"/>
    <s v="United States"/>
    <x v="9"/>
    <x v="8"/>
    <x v="3"/>
    <n v="2"/>
    <n v="520"/>
    <n v="61.33"/>
  </r>
  <r>
    <x v="534"/>
    <x v="2"/>
    <x v="2"/>
    <s v="United States"/>
    <x v="95"/>
    <x v="25"/>
    <x v="0"/>
    <n v="7"/>
    <n v="1120"/>
    <n v="111.79"/>
  </r>
  <r>
    <x v="535"/>
    <x v="8"/>
    <x v="1"/>
    <s v="United States"/>
    <x v="19"/>
    <x v="15"/>
    <x v="2"/>
    <n v="1"/>
    <n v="911"/>
    <n v="155.30000000000001"/>
  </r>
  <r>
    <x v="996"/>
    <x v="6"/>
    <x v="1"/>
    <s v="United States"/>
    <x v="19"/>
    <x v="15"/>
    <x v="2"/>
    <n v="8"/>
    <n v="1064"/>
    <n v="190.73"/>
  </r>
  <r>
    <x v="74"/>
    <x v="9"/>
    <x v="2"/>
    <s v="United States"/>
    <x v="2"/>
    <x v="2"/>
    <x v="1"/>
    <n v="7"/>
    <n v="1981"/>
    <n v="404.3"/>
  </r>
  <r>
    <x v="776"/>
    <x v="3"/>
    <x v="2"/>
    <s v="United States"/>
    <x v="9"/>
    <x v="8"/>
    <x v="3"/>
    <n v="5"/>
    <n v="4280"/>
    <n v="540.47"/>
  </r>
  <r>
    <x v="759"/>
    <x v="5"/>
    <x v="2"/>
    <s v="United States"/>
    <x v="9"/>
    <x v="8"/>
    <x v="3"/>
    <n v="5"/>
    <n v="5125"/>
    <n v="268.39"/>
  </r>
  <r>
    <x v="618"/>
    <x v="6"/>
    <x v="1"/>
    <s v="United States"/>
    <x v="125"/>
    <x v="36"/>
    <x v="1"/>
    <n v="7"/>
    <n v="1575"/>
    <n v="313.95999999999998"/>
  </r>
  <r>
    <x v="74"/>
    <x v="2"/>
    <x v="2"/>
    <s v="United States"/>
    <x v="125"/>
    <x v="36"/>
    <x v="1"/>
    <n v="9"/>
    <n v="9972"/>
    <n v="1868.64"/>
  </r>
  <r>
    <x v="430"/>
    <x v="7"/>
    <x v="2"/>
    <s v="United States"/>
    <x v="126"/>
    <x v="37"/>
    <x v="3"/>
    <n v="8"/>
    <n v="4576"/>
    <n v="900.04"/>
  </r>
  <r>
    <x v="1001"/>
    <x v="6"/>
    <x v="1"/>
    <s v="United States"/>
    <x v="91"/>
    <x v="30"/>
    <x v="0"/>
    <n v="7"/>
    <n v="6559"/>
    <n v="1141.32"/>
  </r>
  <r>
    <x v="50"/>
    <x v="2"/>
    <x v="2"/>
    <s v="United States"/>
    <x v="127"/>
    <x v="30"/>
    <x v="0"/>
    <n v="1"/>
    <n v="619"/>
    <n v="35.36"/>
  </r>
  <r>
    <x v="83"/>
    <x v="4"/>
    <x v="1"/>
    <s v="United States"/>
    <x v="128"/>
    <x v="0"/>
    <x v="0"/>
    <n v="8"/>
    <n v="2488"/>
    <n v="151.94999999999999"/>
  </r>
  <r>
    <x v="952"/>
    <x v="1"/>
    <x v="1"/>
    <s v="United States"/>
    <x v="21"/>
    <x v="5"/>
    <x v="3"/>
    <n v="4"/>
    <n v="2536"/>
    <n v="148.85"/>
  </r>
  <r>
    <x v="106"/>
    <x v="2"/>
    <x v="2"/>
    <s v="United States"/>
    <x v="85"/>
    <x v="29"/>
    <x v="2"/>
    <n v="8"/>
    <n v="5416"/>
    <n v="297.5"/>
  </r>
  <r>
    <x v="694"/>
    <x v="5"/>
    <x v="2"/>
    <s v="United States"/>
    <x v="2"/>
    <x v="2"/>
    <x v="1"/>
    <n v="2"/>
    <n v="2334"/>
    <n v="158.07"/>
  </r>
  <r>
    <x v="1023"/>
    <x v="3"/>
    <x v="2"/>
    <s v="United States"/>
    <x v="13"/>
    <x v="7"/>
    <x v="2"/>
    <n v="9"/>
    <n v="1080"/>
    <n v="183.42"/>
  </r>
  <r>
    <x v="111"/>
    <x v="2"/>
    <x v="2"/>
    <s v="United States"/>
    <x v="14"/>
    <x v="12"/>
    <x v="1"/>
    <n v="4"/>
    <n v="1324"/>
    <n v="127.07"/>
  </r>
  <r>
    <x v="940"/>
    <x v="3"/>
    <x v="2"/>
    <s v="United States"/>
    <x v="14"/>
    <x v="12"/>
    <x v="1"/>
    <n v="2"/>
    <n v="2304"/>
    <n v="444.08"/>
  </r>
  <r>
    <x v="819"/>
    <x v="7"/>
    <x v="2"/>
    <s v="United States"/>
    <x v="0"/>
    <x v="34"/>
    <x v="1"/>
    <n v="4"/>
    <n v="4736"/>
    <n v="1026.24"/>
  </r>
  <r>
    <x v="939"/>
    <x v="1"/>
    <x v="1"/>
    <s v="United States"/>
    <x v="28"/>
    <x v="2"/>
    <x v="1"/>
    <n v="9"/>
    <n v="2925"/>
    <n v="457.49"/>
  </r>
  <r>
    <x v="760"/>
    <x v="9"/>
    <x v="2"/>
    <s v="United States"/>
    <x v="28"/>
    <x v="2"/>
    <x v="1"/>
    <n v="9"/>
    <n v="6345"/>
    <n v="1627.26"/>
  </r>
  <r>
    <x v="355"/>
    <x v="4"/>
    <x v="1"/>
    <s v="United States"/>
    <x v="129"/>
    <x v="13"/>
    <x v="1"/>
    <n v="9"/>
    <n v="4221"/>
    <n v="912.84"/>
  </r>
  <r>
    <x v="521"/>
    <x v="4"/>
    <x v="1"/>
    <s v="United States"/>
    <x v="62"/>
    <x v="7"/>
    <x v="2"/>
    <n v="7"/>
    <n v="462"/>
    <n v="56.89"/>
  </r>
  <r>
    <x v="728"/>
    <x v="6"/>
    <x v="1"/>
    <s v="United States"/>
    <x v="2"/>
    <x v="2"/>
    <x v="1"/>
    <n v="7"/>
    <n v="7588"/>
    <n v="1625.55"/>
  </r>
  <r>
    <x v="36"/>
    <x v="8"/>
    <x v="1"/>
    <s v="United States"/>
    <x v="13"/>
    <x v="7"/>
    <x v="2"/>
    <n v="6"/>
    <n v="5232"/>
    <n v="1270.6400000000001"/>
  </r>
  <r>
    <x v="452"/>
    <x v="3"/>
    <x v="2"/>
    <s v="United States"/>
    <x v="28"/>
    <x v="2"/>
    <x v="1"/>
    <n v="8"/>
    <n v="1440"/>
    <n v="402.06"/>
  </r>
  <r>
    <x v="524"/>
    <x v="6"/>
    <x v="1"/>
    <s v="United States"/>
    <x v="130"/>
    <x v="15"/>
    <x v="2"/>
    <n v="2"/>
    <n v="1026"/>
    <n v="226.4"/>
  </r>
  <r>
    <x v="769"/>
    <x v="3"/>
    <x v="2"/>
    <s v="United States"/>
    <x v="89"/>
    <x v="1"/>
    <x v="0"/>
    <n v="7"/>
    <n v="7455"/>
    <n v="1008.42"/>
  </r>
  <r>
    <x v="639"/>
    <x v="0"/>
    <x v="0"/>
    <s v="United States"/>
    <x v="76"/>
    <x v="36"/>
    <x v="1"/>
    <n v="8"/>
    <n v="2456"/>
    <n v="404.35"/>
  </r>
  <r>
    <x v="506"/>
    <x v="3"/>
    <x v="2"/>
    <s v="United States"/>
    <x v="2"/>
    <x v="2"/>
    <x v="1"/>
    <n v="3"/>
    <n v="2859"/>
    <n v="404.56"/>
  </r>
  <r>
    <x v="288"/>
    <x v="8"/>
    <x v="1"/>
    <s v="United States"/>
    <x v="64"/>
    <x v="7"/>
    <x v="2"/>
    <n v="1"/>
    <n v="311"/>
    <n v="50.66"/>
  </r>
  <r>
    <x v="934"/>
    <x v="0"/>
    <x v="0"/>
    <s v="United States"/>
    <x v="115"/>
    <x v="7"/>
    <x v="2"/>
    <n v="9"/>
    <n v="1260"/>
    <n v="246.6"/>
  </r>
  <r>
    <x v="842"/>
    <x v="8"/>
    <x v="1"/>
    <s v="United States"/>
    <x v="120"/>
    <x v="35"/>
    <x v="0"/>
    <n v="1"/>
    <n v="466"/>
    <n v="102.48"/>
  </r>
  <r>
    <x v="1024"/>
    <x v="9"/>
    <x v="2"/>
    <s v="United States"/>
    <x v="120"/>
    <x v="35"/>
    <x v="0"/>
    <n v="3"/>
    <n v="867"/>
    <n v="58.2"/>
  </r>
  <r>
    <x v="144"/>
    <x v="6"/>
    <x v="1"/>
    <s v="United States"/>
    <x v="28"/>
    <x v="2"/>
    <x v="1"/>
    <n v="6"/>
    <n v="3888"/>
    <n v="275.72000000000003"/>
  </r>
  <r>
    <x v="294"/>
    <x v="2"/>
    <x v="2"/>
    <s v="United States"/>
    <x v="131"/>
    <x v="12"/>
    <x v="1"/>
    <n v="4"/>
    <n v="3032"/>
    <n v="347.2"/>
  </r>
  <r>
    <x v="488"/>
    <x v="2"/>
    <x v="2"/>
    <s v="United States"/>
    <x v="13"/>
    <x v="7"/>
    <x v="2"/>
    <n v="7"/>
    <n v="4704"/>
    <n v="978.81"/>
  </r>
  <r>
    <x v="930"/>
    <x v="0"/>
    <x v="0"/>
    <s v="United States"/>
    <x v="13"/>
    <x v="7"/>
    <x v="2"/>
    <n v="3"/>
    <n v="3186"/>
    <n v="527.75"/>
  </r>
  <r>
    <x v="1025"/>
    <x v="0"/>
    <x v="0"/>
    <s v="United States"/>
    <x v="13"/>
    <x v="7"/>
    <x v="2"/>
    <n v="9"/>
    <n v="6183"/>
    <n v="359.54"/>
  </r>
  <r>
    <x v="634"/>
    <x v="5"/>
    <x v="2"/>
    <s v="United States"/>
    <x v="132"/>
    <x v="33"/>
    <x v="0"/>
    <n v="1"/>
    <n v="243"/>
    <n v="21.75"/>
  </r>
  <r>
    <x v="657"/>
    <x v="7"/>
    <x v="2"/>
    <s v="United States"/>
    <x v="110"/>
    <x v="22"/>
    <x v="1"/>
    <n v="3"/>
    <n v="897"/>
    <n v="235.67"/>
  </r>
  <r>
    <x v="453"/>
    <x v="4"/>
    <x v="1"/>
    <s v="United States"/>
    <x v="133"/>
    <x v="2"/>
    <x v="1"/>
    <n v="9"/>
    <n v="4563"/>
    <n v="675.62"/>
  </r>
  <r>
    <x v="1026"/>
    <x v="9"/>
    <x v="2"/>
    <s v="United States"/>
    <x v="76"/>
    <x v="23"/>
    <x v="3"/>
    <n v="4"/>
    <n v="628"/>
    <n v="156.97999999999999"/>
  </r>
  <r>
    <x v="378"/>
    <x v="6"/>
    <x v="1"/>
    <s v="United States"/>
    <x v="6"/>
    <x v="5"/>
    <x v="3"/>
    <n v="6"/>
    <n v="1050"/>
    <n v="172.83"/>
  </r>
  <r>
    <x v="967"/>
    <x v="6"/>
    <x v="1"/>
    <s v="United States"/>
    <x v="74"/>
    <x v="0"/>
    <x v="0"/>
    <n v="8"/>
    <n v="3032"/>
    <n v="278.85000000000002"/>
  </r>
  <r>
    <x v="850"/>
    <x v="8"/>
    <x v="1"/>
    <s v="United States"/>
    <x v="9"/>
    <x v="8"/>
    <x v="3"/>
    <n v="1"/>
    <n v="920"/>
    <n v="118.24"/>
  </r>
  <r>
    <x v="578"/>
    <x v="9"/>
    <x v="2"/>
    <s v="United States"/>
    <x v="83"/>
    <x v="33"/>
    <x v="0"/>
    <n v="2"/>
    <n v="668"/>
    <n v="90.67"/>
  </r>
  <r>
    <x v="678"/>
    <x v="1"/>
    <x v="1"/>
    <s v="United States"/>
    <x v="134"/>
    <x v="38"/>
    <x v="2"/>
    <n v="5"/>
    <n v="5990"/>
    <n v="1403.53"/>
  </r>
  <r>
    <x v="117"/>
    <x v="2"/>
    <x v="2"/>
    <s v="United States"/>
    <x v="15"/>
    <x v="13"/>
    <x v="1"/>
    <n v="9"/>
    <n v="9324"/>
    <n v="1223.9000000000001"/>
  </r>
  <r>
    <x v="832"/>
    <x v="8"/>
    <x v="1"/>
    <s v="United States"/>
    <x v="77"/>
    <x v="11"/>
    <x v="3"/>
    <n v="8"/>
    <n v="5768"/>
    <n v="368.49"/>
  </r>
  <r>
    <x v="957"/>
    <x v="9"/>
    <x v="2"/>
    <s v="United States"/>
    <x v="117"/>
    <x v="22"/>
    <x v="1"/>
    <n v="1"/>
    <n v="1123"/>
    <n v="318.08999999999997"/>
  </r>
  <r>
    <x v="888"/>
    <x v="8"/>
    <x v="1"/>
    <s v="United States"/>
    <x v="3"/>
    <x v="3"/>
    <x v="2"/>
    <n v="4"/>
    <n v="2336"/>
    <n v="453.04"/>
  </r>
  <r>
    <x v="424"/>
    <x v="9"/>
    <x v="2"/>
    <s v="United States"/>
    <x v="3"/>
    <x v="3"/>
    <x v="2"/>
    <n v="6"/>
    <n v="438"/>
    <n v="26.03"/>
  </r>
  <r>
    <x v="717"/>
    <x v="2"/>
    <x v="2"/>
    <s v="United States"/>
    <x v="3"/>
    <x v="3"/>
    <x v="2"/>
    <n v="6"/>
    <n v="5940"/>
    <n v="318.72000000000003"/>
  </r>
  <r>
    <x v="753"/>
    <x v="3"/>
    <x v="2"/>
    <s v="United States"/>
    <x v="52"/>
    <x v="6"/>
    <x v="3"/>
    <n v="3"/>
    <n v="1848"/>
    <n v="549.34"/>
  </r>
  <r>
    <x v="278"/>
    <x v="8"/>
    <x v="1"/>
    <s v="United States"/>
    <x v="25"/>
    <x v="17"/>
    <x v="3"/>
    <n v="3"/>
    <n v="2118"/>
    <n v="321.05"/>
  </r>
  <r>
    <x v="714"/>
    <x v="7"/>
    <x v="2"/>
    <s v="United States"/>
    <x v="25"/>
    <x v="17"/>
    <x v="3"/>
    <n v="3"/>
    <n v="231"/>
    <n v="36.729999999999997"/>
  </r>
  <r>
    <x v="1027"/>
    <x v="4"/>
    <x v="1"/>
    <s v="United States"/>
    <x v="2"/>
    <x v="2"/>
    <x v="1"/>
    <n v="6"/>
    <n v="978"/>
    <n v="182.46"/>
  </r>
  <r>
    <x v="608"/>
    <x v="6"/>
    <x v="1"/>
    <s v="United States"/>
    <x v="135"/>
    <x v="2"/>
    <x v="1"/>
    <n v="5"/>
    <n v="4960"/>
    <n v="420.98"/>
  </r>
  <r>
    <x v="402"/>
    <x v="3"/>
    <x v="2"/>
    <s v="United States"/>
    <x v="136"/>
    <x v="2"/>
    <x v="1"/>
    <n v="3"/>
    <n v="1377"/>
    <n v="330.44"/>
  </r>
  <r>
    <x v="977"/>
    <x v="3"/>
    <x v="2"/>
    <s v="United States"/>
    <x v="28"/>
    <x v="2"/>
    <x v="1"/>
    <n v="2"/>
    <n v="1958"/>
    <n v="227.77"/>
  </r>
  <r>
    <x v="810"/>
    <x v="1"/>
    <x v="1"/>
    <s v="United States"/>
    <x v="43"/>
    <x v="22"/>
    <x v="1"/>
    <n v="7"/>
    <n v="5607"/>
    <n v="1288.04"/>
  </r>
  <r>
    <x v="167"/>
    <x v="5"/>
    <x v="2"/>
    <s v="United States"/>
    <x v="16"/>
    <x v="14"/>
    <x v="2"/>
    <n v="6"/>
    <n v="3504"/>
    <n v="980.7"/>
  </r>
  <r>
    <x v="546"/>
    <x v="1"/>
    <x v="1"/>
    <s v="United States"/>
    <x v="137"/>
    <x v="11"/>
    <x v="3"/>
    <n v="4"/>
    <n v="796"/>
    <n v="75.150000000000006"/>
  </r>
  <r>
    <x v="72"/>
    <x v="6"/>
    <x v="1"/>
    <s v="United States"/>
    <x v="104"/>
    <x v="22"/>
    <x v="1"/>
    <n v="1"/>
    <n v="342"/>
    <n v="37.64"/>
  </r>
  <r>
    <x v="72"/>
    <x v="6"/>
    <x v="1"/>
    <s v="United States"/>
    <x v="138"/>
    <x v="2"/>
    <x v="1"/>
    <n v="7"/>
    <n v="6769"/>
    <n v="1549.67"/>
  </r>
  <r>
    <x v="556"/>
    <x v="4"/>
    <x v="1"/>
    <s v="United States"/>
    <x v="138"/>
    <x v="2"/>
    <x v="1"/>
    <n v="9"/>
    <n v="10080"/>
    <n v="1794.73"/>
  </r>
  <r>
    <x v="953"/>
    <x v="5"/>
    <x v="2"/>
    <s v="United States"/>
    <x v="77"/>
    <x v="7"/>
    <x v="2"/>
    <n v="7"/>
    <n v="3948"/>
    <n v="758.36"/>
  </r>
  <r>
    <x v="128"/>
    <x v="4"/>
    <x v="1"/>
    <s v="United States"/>
    <x v="139"/>
    <x v="2"/>
    <x v="1"/>
    <n v="4"/>
    <n v="1488"/>
    <n v="74.52"/>
  </r>
  <r>
    <x v="607"/>
    <x v="1"/>
    <x v="1"/>
    <s v="United States"/>
    <x v="140"/>
    <x v="17"/>
    <x v="3"/>
    <n v="5"/>
    <n v="1200"/>
    <n v="201.8"/>
  </r>
  <r>
    <x v="537"/>
    <x v="5"/>
    <x v="2"/>
    <s v="United States"/>
    <x v="3"/>
    <x v="3"/>
    <x v="2"/>
    <n v="4"/>
    <n v="4476"/>
    <n v="977.6"/>
  </r>
  <r>
    <x v="598"/>
    <x v="6"/>
    <x v="1"/>
    <s v="United States"/>
    <x v="63"/>
    <x v="28"/>
    <x v="2"/>
    <n v="1"/>
    <n v="1178"/>
    <n v="292.14999999999998"/>
  </r>
  <r>
    <x v="618"/>
    <x v="5"/>
    <x v="2"/>
    <s v="United States"/>
    <x v="141"/>
    <x v="5"/>
    <x v="3"/>
    <n v="8"/>
    <n v="2888"/>
    <n v="149.91999999999999"/>
  </r>
  <r>
    <x v="764"/>
    <x v="7"/>
    <x v="2"/>
    <s v="United States"/>
    <x v="62"/>
    <x v="7"/>
    <x v="2"/>
    <n v="6"/>
    <n v="1704"/>
    <n v="193.18"/>
  </r>
  <r>
    <x v="461"/>
    <x v="0"/>
    <x v="0"/>
    <s v="United States"/>
    <x v="142"/>
    <x v="3"/>
    <x v="2"/>
    <n v="8"/>
    <n v="4200"/>
    <n v="1017.94"/>
  </r>
  <r>
    <x v="416"/>
    <x v="8"/>
    <x v="1"/>
    <s v="United States"/>
    <x v="41"/>
    <x v="2"/>
    <x v="1"/>
    <n v="7"/>
    <n v="4417"/>
    <n v="562.79"/>
  </r>
  <r>
    <x v="229"/>
    <x v="3"/>
    <x v="2"/>
    <s v="United States"/>
    <x v="143"/>
    <x v="5"/>
    <x v="3"/>
    <n v="4"/>
    <n v="764"/>
    <n v="178.83"/>
  </r>
  <r>
    <x v="168"/>
    <x v="4"/>
    <x v="1"/>
    <s v="United States"/>
    <x v="144"/>
    <x v="5"/>
    <x v="3"/>
    <n v="4"/>
    <n v="4000"/>
    <n v="964.43"/>
  </r>
  <r>
    <x v="257"/>
    <x v="6"/>
    <x v="1"/>
    <s v="United States"/>
    <x v="145"/>
    <x v="15"/>
    <x v="2"/>
    <n v="9"/>
    <n v="2331"/>
    <n v="558"/>
  </r>
  <r>
    <x v="171"/>
    <x v="1"/>
    <x v="1"/>
    <s v="United States"/>
    <x v="146"/>
    <x v="5"/>
    <x v="3"/>
    <n v="9"/>
    <n v="8172"/>
    <n v="1296.29"/>
  </r>
  <r>
    <x v="888"/>
    <x v="9"/>
    <x v="2"/>
    <s v="United States"/>
    <x v="147"/>
    <x v="5"/>
    <x v="3"/>
    <n v="1"/>
    <n v="761"/>
    <n v="61.15"/>
  </r>
  <r>
    <x v="574"/>
    <x v="3"/>
    <x v="2"/>
    <s v="United States"/>
    <x v="13"/>
    <x v="7"/>
    <x v="2"/>
    <n v="2"/>
    <n v="494"/>
    <n v="56.41"/>
  </r>
  <r>
    <x v="1028"/>
    <x v="4"/>
    <x v="1"/>
    <s v="United States"/>
    <x v="13"/>
    <x v="7"/>
    <x v="2"/>
    <n v="2"/>
    <n v="194"/>
    <n v="52.16"/>
  </r>
  <r>
    <x v="541"/>
    <x v="2"/>
    <x v="2"/>
    <s v="United States"/>
    <x v="29"/>
    <x v="6"/>
    <x v="3"/>
    <n v="6"/>
    <n v="5820"/>
    <n v="1423.67"/>
  </r>
  <r>
    <x v="721"/>
    <x v="3"/>
    <x v="2"/>
    <s v="United States"/>
    <x v="148"/>
    <x v="31"/>
    <x v="0"/>
    <n v="5"/>
    <n v="410"/>
    <n v="121.77"/>
  </r>
  <r>
    <x v="486"/>
    <x v="7"/>
    <x v="2"/>
    <s v="United States"/>
    <x v="15"/>
    <x v="13"/>
    <x v="1"/>
    <n v="6"/>
    <n v="1254"/>
    <n v="360.87"/>
  </r>
  <r>
    <x v="824"/>
    <x v="2"/>
    <x v="2"/>
    <s v="United States"/>
    <x v="68"/>
    <x v="3"/>
    <x v="2"/>
    <n v="6"/>
    <n v="3432"/>
    <n v="452.4"/>
  </r>
  <r>
    <x v="122"/>
    <x v="3"/>
    <x v="2"/>
    <s v="United States"/>
    <x v="13"/>
    <x v="7"/>
    <x v="2"/>
    <n v="4"/>
    <n v="3792"/>
    <n v="997.99"/>
  </r>
  <r>
    <x v="422"/>
    <x v="2"/>
    <x v="2"/>
    <s v="United States"/>
    <x v="98"/>
    <x v="1"/>
    <x v="0"/>
    <n v="7"/>
    <n v="546"/>
    <n v="117.9"/>
  </r>
  <r>
    <x v="857"/>
    <x v="5"/>
    <x v="2"/>
    <s v="United States"/>
    <x v="15"/>
    <x v="13"/>
    <x v="1"/>
    <n v="3"/>
    <n v="1452"/>
    <n v="217.06"/>
  </r>
  <r>
    <x v="137"/>
    <x v="8"/>
    <x v="1"/>
    <s v="United States"/>
    <x v="99"/>
    <x v="2"/>
    <x v="1"/>
    <n v="8"/>
    <n v="9296"/>
    <n v="1556.05"/>
  </r>
  <r>
    <x v="5"/>
    <x v="1"/>
    <x v="1"/>
    <s v="United States"/>
    <x v="99"/>
    <x v="2"/>
    <x v="1"/>
    <n v="1"/>
    <n v="1160"/>
    <n v="149.81"/>
  </r>
  <r>
    <x v="1029"/>
    <x v="9"/>
    <x v="2"/>
    <s v="United States"/>
    <x v="99"/>
    <x v="2"/>
    <x v="1"/>
    <n v="6"/>
    <n v="4728"/>
    <n v="682.01"/>
  </r>
  <r>
    <x v="1030"/>
    <x v="3"/>
    <x v="2"/>
    <s v="United States"/>
    <x v="13"/>
    <x v="7"/>
    <x v="2"/>
    <n v="6"/>
    <n v="1836"/>
    <n v="508.81"/>
  </r>
  <r>
    <x v="280"/>
    <x v="5"/>
    <x v="2"/>
    <s v="United States"/>
    <x v="100"/>
    <x v="3"/>
    <x v="2"/>
    <n v="7"/>
    <n v="6237"/>
    <n v="1784.89"/>
  </r>
  <r>
    <x v="207"/>
    <x v="9"/>
    <x v="2"/>
    <s v="United States"/>
    <x v="100"/>
    <x v="3"/>
    <x v="2"/>
    <n v="5"/>
    <n v="5845"/>
    <n v="941.79"/>
  </r>
  <r>
    <x v="18"/>
    <x v="6"/>
    <x v="1"/>
    <s v="United States"/>
    <x v="101"/>
    <x v="6"/>
    <x v="3"/>
    <n v="9"/>
    <n v="6138"/>
    <n v="851.14"/>
  </r>
  <r>
    <x v="510"/>
    <x v="3"/>
    <x v="2"/>
    <s v="United States"/>
    <x v="2"/>
    <x v="2"/>
    <x v="1"/>
    <n v="2"/>
    <n v="1416"/>
    <n v="136.75"/>
  </r>
  <r>
    <x v="874"/>
    <x v="8"/>
    <x v="1"/>
    <s v="United States"/>
    <x v="74"/>
    <x v="12"/>
    <x v="1"/>
    <n v="3"/>
    <n v="1851"/>
    <n v="348.9"/>
  </r>
  <r>
    <x v="771"/>
    <x v="0"/>
    <x v="0"/>
    <s v="United States"/>
    <x v="50"/>
    <x v="5"/>
    <x v="3"/>
    <n v="9"/>
    <n v="7452"/>
    <n v="1259.82"/>
  </r>
  <r>
    <x v="639"/>
    <x v="2"/>
    <x v="2"/>
    <s v="United States"/>
    <x v="13"/>
    <x v="7"/>
    <x v="2"/>
    <n v="5"/>
    <n v="1630"/>
    <n v="190.38"/>
  </r>
  <r>
    <x v="1031"/>
    <x v="3"/>
    <x v="2"/>
    <s v="United States"/>
    <x v="76"/>
    <x v="25"/>
    <x v="0"/>
    <n v="6"/>
    <n v="4800"/>
    <n v="930.44"/>
  </r>
  <r>
    <x v="962"/>
    <x v="5"/>
    <x v="2"/>
    <s v="United States"/>
    <x v="76"/>
    <x v="25"/>
    <x v="0"/>
    <n v="1"/>
    <n v="61"/>
    <n v="16.11"/>
  </r>
  <r>
    <x v="630"/>
    <x v="6"/>
    <x v="1"/>
    <s v="United States"/>
    <x v="58"/>
    <x v="25"/>
    <x v="0"/>
    <n v="6"/>
    <n v="942"/>
    <n v="80.27"/>
  </r>
  <r>
    <x v="924"/>
    <x v="7"/>
    <x v="2"/>
    <s v="United States"/>
    <x v="29"/>
    <x v="24"/>
    <x v="0"/>
    <n v="8"/>
    <n v="7640"/>
    <n v="1663.63"/>
  </r>
  <r>
    <x v="381"/>
    <x v="3"/>
    <x v="2"/>
    <s v="United States"/>
    <x v="102"/>
    <x v="2"/>
    <x v="1"/>
    <n v="5"/>
    <n v="4540"/>
    <n v="939.71"/>
  </r>
  <r>
    <x v="1"/>
    <x v="4"/>
    <x v="1"/>
    <s v="United States"/>
    <x v="29"/>
    <x v="15"/>
    <x v="2"/>
    <n v="1"/>
    <n v="1030"/>
    <n v="190.47"/>
  </r>
  <r>
    <x v="39"/>
    <x v="0"/>
    <x v="0"/>
    <s v="United States"/>
    <x v="2"/>
    <x v="2"/>
    <x v="1"/>
    <n v="2"/>
    <n v="384"/>
    <n v="30.84"/>
  </r>
  <r>
    <x v="1016"/>
    <x v="5"/>
    <x v="2"/>
    <s v="United States"/>
    <x v="3"/>
    <x v="3"/>
    <x v="2"/>
    <n v="8"/>
    <n v="8560"/>
    <n v="991.94"/>
  </r>
  <r>
    <x v="1032"/>
    <x v="3"/>
    <x v="2"/>
    <s v="United States"/>
    <x v="28"/>
    <x v="2"/>
    <x v="1"/>
    <n v="9"/>
    <n v="1557"/>
    <n v="117.36"/>
  </r>
  <r>
    <x v="34"/>
    <x v="2"/>
    <x v="2"/>
    <s v="United States"/>
    <x v="2"/>
    <x v="2"/>
    <x v="1"/>
    <n v="7"/>
    <n v="707"/>
    <n v="124.59"/>
  </r>
  <r>
    <x v="87"/>
    <x v="1"/>
    <x v="1"/>
    <s v="United States"/>
    <x v="13"/>
    <x v="7"/>
    <x v="2"/>
    <n v="5"/>
    <n v="3405"/>
    <n v="476.39"/>
  </r>
  <r>
    <x v="131"/>
    <x v="2"/>
    <x v="2"/>
    <s v="United States"/>
    <x v="103"/>
    <x v="8"/>
    <x v="3"/>
    <n v="6"/>
    <n v="4722"/>
    <n v="522.16"/>
  </r>
  <r>
    <x v="814"/>
    <x v="4"/>
    <x v="1"/>
    <s v="United States"/>
    <x v="28"/>
    <x v="2"/>
    <x v="1"/>
    <n v="2"/>
    <n v="2150"/>
    <n v="625.92999999999995"/>
  </r>
  <r>
    <x v="254"/>
    <x v="6"/>
    <x v="1"/>
    <s v="United States"/>
    <x v="50"/>
    <x v="5"/>
    <x v="3"/>
    <n v="7"/>
    <n v="3619"/>
    <n v="827.39"/>
  </r>
  <r>
    <x v="479"/>
    <x v="5"/>
    <x v="2"/>
    <s v="United States"/>
    <x v="2"/>
    <x v="2"/>
    <x v="1"/>
    <n v="4"/>
    <n v="3892"/>
    <n v="909.22"/>
  </r>
  <r>
    <x v="382"/>
    <x v="3"/>
    <x v="2"/>
    <s v="United States"/>
    <x v="104"/>
    <x v="22"/>
    <x v="1"/>
    <n v="1"/>
    <n v="54"/>
    <n v="13.29"/>
  </r>
  <r>
    <x v="10"/>
    <x v="8"/>
    <x v="1"/>
    <s v="United States"/>
    <x v="105"/>
    <x v="2"/>
    <x v="1"/>
    <n v="1"/>
    <n v="612"/>
    <n v="136.25"/>
  </r>
  <r>
    <x v="52"/>
    <x v="6"/>
    <x v="1"/>
    <s v="United States"/>
    <x v="30"/>
    <x v="12"/>
    <x v="1"/>
    <n v="5"/>
    <n v="3850"/>
    <n v="419.55"/>
  </r>
  <r>
    <x v="341"/>
    <x v="3"/>
    <x v="2"/>
    <s v="United States"/>
    <x v="106"/>
    <x v="4"/>
    <x v="1"/>
    <n v="5"/>
    <n v="3005"/>
    <n v="389.93"/>
  </r>
  <r>
    <x v="903"/>
    <x v="4"/>
    <x v="1"/>
    <s v="United States"/>
    <x v="14"/>
    <x v="8"/>
    <x v="3"/>
    <n v="9"/>
    <n v="5256"/>
    <n v="1296.6500000000001"/>
  </r>
  <r>
    <x v="420"/>
    <x v="0"/>
    <x v="0"/>
    <s v="United States"/>
    <x v="107"/>
    <x v="24"/>
    <x v="0"/>
    <n v="6"/>
    <n v="3576"/>
    <n v="1033.3"/>
  </r>
  <r>
    <x v="1033"/>
    <x v="2"/>
    <x v="2"/>
    <s v="United States"/>
    <x v="107"/>
    <x v="24"/>
    <x v="0"/>
    <n v="5"/>
    <n v="3415"/>
    <n v="496.48"/>
  </r>
  <r>
    <x v="616"/>
    <x v="3"/>
    <x v="2"/>
    <s v="United States"/>
    <x v="14"/>
    <x v="8"/>
    <x v="3"/>
    <n v="3"/>
    <n v="1722"/>
    <n v="203.04"/>
  </r>
  <r>
    <x v="406"/>
    <x v="1"/>
    <x v="1"/>
    <s v="United States"/>
    <x v="14"/>
    <x v="8"/>
    <x v="3"/>
    <n v="8"/>
    <n v="4088"/>
    <n v="853.36"/>
  </r>
  <r>
    <x v="703"/>
    <x v="4"/>
    <x v="1"/>
    <s v="United States"/>
    <x v="29"/>
    <x v="15"/>
    <x v="2"/>
    <n v="5"/>
    <n v="5320"/>
    <n v="882.84"/>
  </r>
  <r>
    <x v="1"/>
    <x v="1"/>
    <x v="1"/>
    <s v="United States"/>
    <x v="3"/>
    <x v="3"/>
    <x v="2"/>
    <n v="6"/>
    <n v="3660"/>
    <n v="1079"/>
  </r>
  <r>
    <x v="468"/>
    <x v="3"/>
    <x v="2"/>
    <s v="United States"/>
    <x v="13"/>
    <x v="7"/>
    <x v="2"/>
    <n v="6"/>
    <n v="5250"/>
    <n v="1228.49"/>
  </r>
  <r>
    <x v="118"/>
    <x v="9"/>
    <x v="2"/>
    <s v="United States"/>
    <x v="43"/>
    <x v="22"/>
    <x v="1"/>
    <n v="4"/>
    <n v="328"/>
    <n v="90.89"/>
  </r>
  <r>
    <x v="279"/>
    <x v="7"/>
    <x v="2"/>
    <s v="United States"/>
    <x v="13"/>
    <x v="7"/>
    <x v="2"/>
    <n v="7"/>
    <n v="1596"/>
    <n v="359.71"/>
  </r>
  <r>
    <x v="17"/>
    <x v="0"/>
    <x v="0"/>
    <s v="United States"/>
    <x v="13"/>
    <x v="7"/>
    <x v="2"/>
    <n v="7"/>
    <n v="2443"/>
    <n v="661.21"/>
  </r>
  <r>
    <x v="476"/>
    <x v="5"/>
    <x v="2"/>
    <s v="United States"/>
    <x v="46"/>
    <x v="2"/>
    <x v="1"/>
    <n v="7"/>
    <n v="5432"/>
    <n v="870.08"/>
  </r>
  <r>
    <x v="1034"/>
    <x v="0"/>
    <x v="0"/>
    <s v="United States"/>
    <x v="6"/>
    <x v="5"/>
    <x v="3"/>
    <n v="3"/>
    <n v="1254"/>
    <n v="221.19"/>
  </r>
  <r>
    <x v="273"/>
    <x v="2"/>
    <x v="2"/>
    <s v="United States"/>
    <x v="73"/>
    <x v="33"/>
    <x v="0"/>
    <n v="5"/>
    <n v="5495"/>
    <n v="1276.27"/>
  </r>
  <r>
    <x v="863"/>
    <x v="4"/>
    <x v="1"/>
    <s v="United States"/>
    <x v="45"/>
    <x v="5"/>
    <x v="3"/>
    <n v="4"/>
    <n v="596"/>
    <n v="72.650000000000006"/>
  </r>
  <r>
    <x v="941"/>
    <x v="0"/>
    <x v="0"/>
    <s v="United States"/>
    <x v="9"/>
    <x v="8"/>
    <x v="3"/>
    <n v="6"/>
    <n v="3696"/>
    <n v="597.66"/>
  </r>
  <r>
    <x v="1035"/>
    <x v="1"/>
    <x v="1"/>
    <s v="United States"/>
    <x v="29"/>
    <x v="24"/>
    <x v="0"/>
    <n v="6"/>
    <n v="4488"/>
    <n v="939.05"/>
  </r>
  <r>
    <x v="586"/>
    <x v="3"/>
    <x v="2"/>
    <s v="United States"/>
    <x v="108"/>
    <x v="19"/>
    <x v="2"/>
    <n v="6"/>
    <n v="6846"/>
    <n v="932.21"/>
  </r>
  <r>
    <x v="379"/>
    <x v="1"/>
    <x v="1"/>
    <s v="United States"/>
    <x v="109"/>
    <x v="18"/>
    <x v="2"/>
    <n v="8"/>
    <n v="2960"/>
    <n v="607.64"/>
  </r>
  <r>
    <x v="713"/>
    <x v="7"/>
    <x v="2"/>
    <s v="United States"/>
    <x v="102"/>
    <x v="5"/>
    <x v="3"/>
    <n v="1"/>
    <n v="419"/>
    <n v="99.5"/>
  </r>
  <r>
    <x v="465"/>
    <x v="9"/>
    <x v="2"/>
    <s v="United States"/>
    <x v="110"/>
    <x v="22"/>
    <x v="1"/>
    <n v="6"/>
    <n v="6246"/>
    <n v="327.14"/>
  </r>
  <r>
    <x v="854"/>
    <x v="2"/>
    <x v="2"/>
    <s v="United States"/>
    <x v="25"/>
    <x v="17"/>
    <x v="3"/>
    <n v="4"/>
    <n v="1900"/>
    <n v="372.18"/>
  </r>
  <r>
    <x v="682"/>
    <x v="6"/>
    <x v="1"/>
    <s v="United States"/>
    <x v="6"/>
    <x v="5"/>
    <x v="3"/>
    <n v="7"/>
    <n v="3451"/>
    <n v="397.29"/>
  </r>
  <r>
    <x v="1016"/>
    <x v="7"/>
    <x v="2"/>
    <s v="United States"/>
    <x v="2"/>
    <x v="2"/>
    <x v="1"/>
    <n v="2"/>
    <n v="1612"/>
    <n v="344.37"/>
  </r>
  <r>
    <x v="581"/>
    <x v="9"/>
    <x v="2"/>
    <s v="United States"/>
    <x v="13"/>
    <x v="7"/>
    <x v="2"/>
    <n v="5"/>
    <n v="4445"/>
    <n v="642.83000000000004"/>
  </r>
  <r>
    <x v="933"/>
    <x v="5"/>
    <x v="2"/>
    <s v="United States"/>
    <x v="57"/>
    <x v="13"/>
    <x v="1"/>
    <n v="5"/>
    <n v="720"/>
    <n v="63.84"/>
  </r>
  <r>
    <x v="397"/>
    <x v="1"/>
    <x v="1"/>
    <s v="United States"/>
    <x v="2"/>
    <x v="2"/>
    <x v="1"/>
    <n v="2"/>
    <n v="1428"/>
    <n v="234.49"/>
  </r>
  <r>
    <x v="874"/>
    <x v="2"/>
    <x v="2"/>
    <s v="United States"/>
    <x v="2"/>
    <x v="2"/>
    <x v="1"/>
    <n v="4"/>
    <n v="3532"/>
    <n v="665.2"/>
  </r>
  <r>
    <x v="303"/>
    <x v="3"/>
    <x v="2"/>
    <s v="United States"/>
    <x v="2"/>
    <x v="2"/>
    <x v="1"/>
    <n v="6"/>
    <n v="6528"/>
    <n v="549.62"/>
  </r>
  <r>
    <x v="339"/>
    <x v="6"/>
    <x v="1"/>
    <s v="United States"/>
    <x v="3"/>
    <x v="3"/>
    <x v="2"/>
    <n v="1"/>
    <n v="743"/>
    <n v="216.5"/>
  </r>
  <r>
    <x v="533"/>
    <x v="5"/>
    <x v="2"/>
    <s v="United States"/>
    <x v="111"/>
    <x v="34"/>
    <x v="1"/>
    <n v="6"/>
    <n v="1758"/>
    <n v="287.36"/>
  </r>
  <r>
    <x v="639"/>
    <x v="4"/>
    <x v="1"/>
    <s v="United States"/>
    <x v="104"/>
    <x v="22"/>
    <x v="1"/>
    <n v="8"/>
    <n v="1008"/>
    <n v="100.61"/>
  </r>
  <r>
    <x v="257"/>
    <x v="7"/>
    <x v="2"/>
    <s v="United States"/>
    <x v="112"/>
    <x v="3"/>
    <x v="2"/>
    <n v="1"/>
    <n v="995"/>
    <n v="149.86000000000001"/>
  </r>
  <r>
    <x v="220"/>
    <x v="8"/>
    <x v="1"/>
    <s v="United States"/>
    <x v="113"/>
    <x v="2"/>
    <x v="1"/>
    <n v="9"/>
    <n v="4032"/>
    <n v="876.91"/>
  </r>
  <r>
    <x v="952"/>
    <x v="7"/>
    <x v="2"/>
    <s v="United States"/>
    <x v="114"/>
    <x v="20"/>
    <x v="2"/>
    <n v="6"/>
    <n v="480"/>
    <n v="131.08000000000001"/>
  </r>
  <r>
    <x v="876"/>
    <x v="9"/>
    <x v="2"/>
    <s v="United States"/>
    <x v="29"/>
    <x v="15"/>
    <x v="2"/>
    <n v="1"/>
    <n v="989"/>
    <n v="149.99"/>
  </r>
  <r>
    <x v="823"/>
    <x v="7"/>
    <x v="2"/>
    <s v="United States"/>
    <x v="115"/>
    <x v="7"/>
    <x v="2"/>
    <n v="9"/>
    <n v="6606"/>
    <n v="759.55"/>
  </r>
  <r>
    <x v="895"/>
    <x v="5"/>
    <x v="2"/>
    <s v="United States"/>
    <x v="15"/>
    <x v="13"/>
    <x v="1"/>
    <n v="6"/>
    <n v="912"/>
    <n v="256.58"/>
  </r>
  <r>
    <x v="155"/>
    <x v="1"/>
    <x v="1"/>
    <s v="United States"/>
    <x v="13"/>
    <x v="7"/>
    <x v="2"/>
    <n v="4"/>
    <n v="2912"/>
    <n v="331.11"/>
  </r>
  <r>
    <x v="268"/>
    <x v="3"/>
    <x v="2"/>
    <s v="United States"/>
    <x v="2"/>
    <x v="2"/>
    <x v="1"/>
    <n v="5"/>
    <n v="845"/>
    <n v="69.349999999999994"/>
  </r>
  <r>
    <x v="966"/>
    <x v="6"/>
    <x v="1"/>
    <s v="United States"/>
    <x v="2"/>
    <x v="2"/>
    <x v="1"/>
    <n v="4"/>
    <n v="2804"/>
    <n v="382.82"/>
  </r>
  <r>
    <x v="66"/>
    <x v="9"/>
    <x v="2"/>
    <s v="United States"/>
    <x v="116"/>
    <x v="5"/>
    <x v="3"/>
    <n v="2"/>
    <n v="208"/>
    <n v="11.53"/>
  </r>
  <r>
    <x v="511"/>
    <x v="5"/>
    <x v="2"/>
    <s v="United States"/>
    <x v="13"/>
    <x v="7"/>
    <x v="2"/>
    <n v="1"/>
    <n v="379"/>
    <n v="42.24"/>
  </r>
  <r>
    <x v="463"/>
    <x v="1"/>
    <x v="1"/>
    <s v="United States"/>
    <x v="13"/>
    <x v="7"/>
    <x v="2"/>
    <n v="3"/>
    <n v="1227"/>
    <n v="113.38"/>
  </r>
  <r>
    <x v="871"/>
    <x v="4"/>
    <x v="1"/>
    <s v="United States"/>
    <x v="13"/>
    <x v="7"/>
    <x v="2"/>
    <n v="7"/>
    <n v="5551"/>
    <n v="392.37"/>
  </r>
  <r>
    <x v="67"/>
    <x v="4"/>
    <x v="1"/>
    <s v="United States"/>
    <x v="117"/>
    <x v="8"/>
    <x v="3"/>
    <n v="1"/>
    <n v="423"/>
    <n v="115.44"/>
  </r>
  <r>
    <x v="833"/>
    <x v="4"/>
    <x v="1"/>
    <s v="United States"/>
    <x v="29"/>
    <x v="15"/>
    <x v="2"/>
    <n v="6"/>
    <n v="5982"/>
    <n v="944.81"/>
  </r>
  <r>
    <x v="847"/>
    <x v="7"/>
    <x v="2"/>
    <s v="United States"/>
    <x v="13"/>
    <x v="7"/>
    <x v="2"/>
    <n v="4"/>
    <n v="3732"/>
    <n v="468.6"/>
  </r>
  <r>
    <x v="885"/>
    <x v="0"/>
    <x v="0"/>
    <s v="United States"/>
    <x v="118"/>
    <x v="5"/>
    <x v="3"/>
    <n v="9"/>
    <n v="5904"/>
    <n v="1152.23"/>
  </r>
  <r>
    <x v="69"/>
    <x v="4"/>
    <x v="1"/>
    <s v="United States"/>
    <x v="63"/>
    <x v="14"/>
    <x v="2"/>
    <n v="5"/>
    <n v="1810"/>
    <n v="171.47"/>
  </r>
  <r>
    <x v="894"/>
    <x v="7"/>
    <x v="2"/>
    <s v="United States"/>
    <x v="2"/>
    <x v="2"/>
    <x v="1"/>
    <n v="6"/>
    <n v="5604"/>
    <n v="615.07000000000005"/>
  </r>
  <r>
    <x v="503"/>
    <x v="9"/>
    <x v="2"/>
    <s v="United States"/>
    <x v="119"/>
    <x v="13"/>
    <x v="1"/>
    <n v="2"/>
    <n v="432"/>
    <n v="81.31"/>
  </r>
  <r>
    <x v="492"/>
    <x v="8"/>
    <x v="1"/>
    <s v="United States"/>
    <x v="120"/>
    <x v="35"/>
    <x v="0"/>
    <n v="2"/>
    <n v="416"/>
    <n v="68.58"/>
  </r>
  <r>
    <x v="566"/>
    <x v="6"/>
    <x v="1"/>
    <s v="United States"/>
    <x v="59"/>
    <x v="15"/>
    <x v="2"/>
    <n v="8"/>
    <n v="1224"/>
    <n v="281.43"/>
  </r>
  <r>
    <x v="655"/>
    <x v="0"/>
    <x v="0"/>
    <s v="United States"/>
    <x v="85"/>
    <x v="29"/>
    <x v="2"/>
    <n v="8"/>
    <n v="5168"/>
    <n v="672.6"/>
  </r>
  <r>
    <x v="771"/>
    <x v="6"/>
    <x v="1"/>
    <s v="United States"/>
    <x v="79"/>
    <x v="16"/>
    <x v="3"/>
    <n v="6"/>
    <n v="6522"/>
    <n v="502.98"/>
  </r>
  <r>
    <x v="52"/>
    <x v="8"/>
    <x v="1"/>
    <s v="United States"/>
    <x v="13"/>
    <x v="7"/>
    <x v="2"/>
    <n v="5"/>
    <n v="1090"/>
    <n v="140.69999999999999"/>
  </r>
  <r>
    <x v="58"/>
    <x v="9"/>
    <x v="2"/>
    <s v="United States"/>
    <x v="6"/>
    <x v="5"/>
    <x v="3"/>
    <n v="3"/>
    <n v="1737"/>
    <n v="353.17"/>
  </r>
  <r>
    <x v="729"/>
    <x v="0"/>
    <x v="0"/>
    <s v="United States"/>
    <x v="3"/>
    <x v="3"/>
    <x v="2"/>
    <n v="9"/>
    <n v="7281"/>
    <n v="1358.17"/>
  </r>
  <r>
    <x v="740"/>
    <x v="5"/>
    <x v="2"/>
    <s v="United States"/>
    <x v="28"/>
    <x v="2"/>
    <x v="1"/>
    <n v="9"/>
    <n v="5832"/>
    <n v="1007.54"/>
  </r>
  <r>
    <x v="1036"/>
    <x v="0"/>
    <x v="0"/>
    <s v="United States"/>
    <x v="3"/>
    <x v="3"/>
    <x v="2"/>
    <n v="9"/>
    <n v="7020"/>
    <n v="623.97"/>
  </r>
  <r>
    <x v="606"/>
    <x v="1"/>
    <x v="1"/>
    <s v="United States"/>
    <x v="3"/>
    <x v="3"/>
    <x v="2"/>
    <n v="3"/>
    <n v="2001"/>
    <n v="420.08"/>
  </r>
  <r>
    <x v="884"/>
    <x v="6"/>
    <x v="1"/>
    <s v="United States"/>
    <x v="29"/>
    <x v="15"/>
    <x v="2"/>
    <n v="2"/>
    <n v="1832"/>
    <n v="489.21"/>
  </r>
  <r>
    <x v="387"/>
    <x v="5"/>
    <x v="2"/>
    <s v="United States"/>
    <x v="15"/>
    <x v="13"/>
    <x v="1"/>
    <n v="6"/>
    <n v="3372"/>
    <n v="934.42"/>
  </r>
  <r>
    <x v="888"/>
    <x v="2"/>
    <x v="2"/>
    <s v="United States"/>
    <x v="13"/>
    <x v="7"/>
    <x v="2"/>
    <n v="6"/>
    <n v="3384"/>
    <n v="503.86"/>
  </r>
  <r>
    <x v="1037"/>
    <x v="6"/>
    <x v="1"/>
    <s v="United States"/>
    <x v="28"/>
    <x v="2"/>
    <x v="1"/>
    <n v="1"/>
    <n v="351"/>
    <n v="31.95"/>
  </r>
  <r>
    <x v="877"/>
    <x v="3"/>
    <x v="2"/>
    <s v="United States"/>
    <x v="9"/>
    <x v="8"/>
    <x v="3"/>
    <n v="2"/>
    <n v="2092"/>
    <n v="549.41999999999996"/>
  </r>
  <r>
    <x v="569"/>
    <x v="6"/>
    <x v="1"/>
    <s v="United States"/>
    <x v="28"/>
    <x v="2"/>
    <x v="1"/>
    <n v="7"/>
    <n v="1309"/>
    <n v="138.46"/>
  </r>
  <r>
    <x v="74"/>
    <x v="8"/>
    <x v="1"/>
    <s v="United States"/>
    <x v="13"/>
    <x v="7"/>
    <x v="2"/>
    <n v="9"/>
    <n v="6696"/>
    <n v="407.36"/>
  </r>
  <r>
    <x v="464"/>
    <x v="8"/>
    <x v="1"/>
    <s v="United States"/>
    <x v="13"/>
    <x v="7"/>
    <x v="2"/>
    <n v="5"/>
    <n v="1020"/>
    <n v="162.36000000000001"/>
  </r>
  <r>
    <x v="56"/>
    <x v="8"/>
    <x v="1"/>
    <s v="United States"/>
    <x v="9"/>
    <x v="8"/>
    <x v="3"/>
    <n v="8"/>
    <n v="8240"/>
    <n v="2006.72"/>
  </r>
  <r>
    <x v="1038"/>
    <x v="4"/>
    <x v="1"/>
    <s v="United States"/>
    <x v="24"/>
    <x v="15"/>
    <x v="2"/>
    <n v="9"/>
    <n v="9810"/>
    <n v="1008.6"/>
  </r>
  <r>
    <x v="616"/>
    <x v="2"/>
    <x v="2"/>
    <s v="United States"/>
    <x v="3"/>
    <x v="3"/>
    <x v="2"/>
    <n v="1"/>
    <n v="853"/>
    <n v="97.5"/>
  </r>
  <r>
    <x v="519"/>
    <x v="3"/>
    <x v="2"/>
    <s v="United States"/>
    <x v="21"/>
    <x v="5"/>
    <x v="3"/>
    <n v="4"/>
    <n v="4416"/>
    <n v="1081.53"/>
  </r>
  <r>
    <x v="351"/>
    <x v="4"/>
    <x v="1"/>
    <s v="United States"/>
    <x v="121"/>
    <x v="2"/>
    <x v="1"/>
    <n v="8"/>
    <n v="3832"/>
    <n v="741.44"/>
  </r>
  <r>
    <x v="877"/>
    <x v="6"/>
    <x v="1"/>
    <s v="United States"/>
    <x v="53"/>
    <x v="2"/>
    <x v="1"/>
    <n v="4"/>
    <n v="1876"/>
    <n v="221.18"/>
  </r>
  <r>
    <x v="685"/>
    <x v="9"/>
    <x v="2"/>
    <s v="United States"/>
    <x v="53"/>
    <x v="2"/>
    <x v="1"/>
    <n v="3"/>
    <n v="2634"/>
    <n v="392.21"/>
  </r>
  <r>
    <x v="1039"/>
    <x v="9"/>
    <x v="2"/>
    <s v="United States"/>
    <x v="122"/>
    <x v="25"/>
    <x v="0"/>
    <n v="1"/>
    <n v="1027"/>
    <n v="259.92"/>
  </r>
  <r>
    <x v="749"/>
    <x v="0"/>
    <x v="0"/>
    <s v="United States"/>
    <x v="123"/>
    <x v="16"/>
    <x v="3"/>
    <n v="5"/>
    <n v="3100"/>
    <n v="911.86"/>
  </r>
  <r>
    <x v="1014"/>
    <x v="1"/>
    <x v="1"/>
    <s v="United States"/>
    <x v="124"/>
    <x v="2"/>
    <x v="1"/>
    <n v="1"/>
    <n v="104"/>
    <n v="29.67"/>
  </r>
  <r>
    <x v="113"/>
    <x v="1"/>
    <x v="1"/>
    <s v="United States"/>
    <x v="83"/>
    <x v="13"/>
    <x v="1"/>
    <n v="2"/>
    <n v="1590"/>
    <n v="147.19999999999999"/>
  </r>
  <r>
    <x v="671"/>
    <x v="3"/>
    <x v="2"/>
    <s v="United States"/>
    <x v="9"/>
    <x v="8"/>
    <x v="3"/>
    <n v="4"/>
    <n v="1104"/>
    <n v="63.57"/>
  </r>
  <r>
    <x v="314"/>
    <x v="7"/>
    <x v="2"/>
    <s v="United States"/>
    <x v="95"/>
    <x v="25"/>
    <x v="0"/>
    <n v="3"/>
    <n v="1851"/>
    <n v="198.71"/>
  </r>
  <r>
    <x v="177"/>
    <x v="7"/>
    <x v="2"/>
    <s v="United States"/>
    <x v="19"/>
    <x v="15"/>
    <x v="2"/>
    <n v="2"/>
    <n v="1408"/>
    <n v="193.09"/>
  </r>
  <r>
    <x v="82"/>
    <x v="9"/>
    <x v="2"/>
    <s v="United States"/>
    <x v="19"/>
    <x v="15"/>
    <x v="2"/>
    <n v="7"/>
    <n v="4641"/>
    <n v="1341.98"/>
  </r>
  <r>
    <x v="430"/>
    <x v="2"/>
    <x v="2"/>
    <s v="United States"/>
    <x v="2"/>
    <x v="2"/>
    <x v="1"/>
    <n v="7"/>
    <n v="2611"/>
    <n v="539.37"/>
  </r>
  <r>
    <x v="64"/>
    <x v="9"/>
    <x v="2"/>
    <s v="United States"/>
    <x v="9"/>
    <x v="8"/>
    <x v="3"/>
    <n v="4"/>
    <n v="3824"/>
    <n v="711.92"/>
  </r>
  <r>
    <x v="971"/>
    <x v="7"/>
    <x v="2"/>
    <s v="United States"/>
    <x v="9"/>
    <x v="8"/>
    <x v="3"/>
    <n v="2"/>
    <n v="2042"/>
    <n v="501.34"/>
  </r>
  <r>
    <x v="924"/>
    <x v="2"/>
    <x v="2"/>
    <s v="United States"/>
    <x v="125"/>
    <x v="36"/>
    <x v="1"/>
    <n v="6"/>
    <n v="6378"/>
    <n v="1408.28"/>
  </r>
  <r>
    <x v="107"/>
    <x v="3"/>
    <x v="2"/>
    <s v="United States"/>
    <x v="125"/>
    <x v="36"/>
    <x v="1"/>
    <n v="4"/>
    <n v="4692"/>
    <n v="409.07"/>
  </r>
  <r>
    <x v="561"/>
    <x v="9"/>
    <x v="2"/>
    <s v="United States"/>
    <x v="126"/>
    <x v="37"/>
    <x v="3"/>
    <n v="6"/>
    <n v="6234"/>
    <n v="1829.07"/>
  </r>
  <r>
    <x v="407"/>
    <x v="7"/>
    <x v="2"/>
    <s v="United States"/>
    <x v="91"/>
    <x v="30"/>
    <x v="0"/>
    <n v="4"/>
    <n v="1852"/>
    <n v="535.07000000000005"/>
  </r>
  <r>
    <x v="272"/>
    <x v="6"/>
    <x v="1"/>
    <s v="United States"/>
    <x v="127"/>
    <x v="30"/>
    <x v="0"/>
    <n v="3"/>
    <n v="3075"/>
    <n v="804.06"/>
  </r>
  <r>
    <x v="126"/>
    <x v="0"/>
    <x v="0"/>
    <s v="United States"/>
    <x v="128"/>
    <x v="0"/>
    <x v="0"/>
    <n v="5"/>
    <n v="370"/>
    <n v="92.45"/>
  </r>
  <r>
    <x v="731"/>
    <x v="8"/>
    <x v="1"/>
    <s v="United States"/>
    <x v="21"/>
    <x v="5"/>
    <x v="3"/>
    <n v="6"/>
    <n v="624"/>
    <n v="66.989999999999995"/>
  </r>
  <r>
    <x v="442"/>
    <x v="5"/>
    <x v="2"/>
    <s v="United States"/>
    <x v="85"/>
    <x v="29"/>
    <x v="2"/>
    <n v="2"/>
    <n v="1734"/>
    <n v="310.76"/>
  </r>
  <r>
    <x v="345"/>
    <x v="0"/>
    <x v="0"/>
    <s v="United States"/>
    <x v="2"/>
    <x v="2"/>
    <x v="1"/>
    <n v="9"/>
    <n v="2268"/>
    <n v="361.62"/>
  </r>
  <r>
    <x v="1040"/>
    <x v="3"/>
    <x v="2"/>
    <s v="United States"/>
    <x v="13"/>
    <x v="7"/>
    <x v="2"/>
    <n v="5"/>
    <n v="3670"/>
    <n v="924.95"/>
  </r>
  <r>
    <x v="797"/>
    <x v="5"/>
    <x v="2"/>
    <s v="United States"/>
    <x v="14"/>
    <x v="12"/>
    <x v="1"/>
    <n v="7"/>
    <n v="4634"/>
    <n v="1358.44"/>
  </r>
  <r>
    <x v="44"/>
    <x v="4"/>
    <x v="1"/>
    <s v="United States"/>
    <x v="14"/>
    <x v="12"/>
    <x v="1"/>
    <n v="9"/>
    <n v="1440"/>
    <n v="94.41"/>
  </r>
  <r>
    <x v="832"/>
    <x v="9"/>
    <x v="2"/>
    <s v="United States"/>
    <x v="0"/>
    <x v="34"/>
    <x v="1"/>
    <n v="6"/>
    <n v="5136"/>
    <n v="1225.4000000000001"/>
  </r>
  <r>
    <x v="775"/>
    <x v="7"/>
    <x v="2"/>
    <s v="United States"/>
    <x v="28"/>
    <x v="2"/>
    <x v="1"/>
    <n v="1"/>
    <n v="166"/>
    <n v="31.72"/>
  </r>
  <r>
    <x v="106"/>
    <x v="8"/>
    <x v="1"/>
    <s v="United States"/>
    <x v="28"/>
    <x v="2"/>
    <x v="1"/>
    <n v="3"/>
    <n v="1422"/>
    <n v="328.98"/>
  </r>
  <r>
    <x v="513"/>
    <x v="4"/>
    <x v="1"/>
    <s v="United States"/>
    <x v="129"/>
    <x v="13"/>
    <x v="1"/>
    <n v="8"/>
    <n v="1832"/>
    <n v="532.97"/>
  </r>
  <r>
    <x v="952"/>
    <x v="0"/>
    <x v="0"/>
    <s v="United States"/>
    <x v="62"/>
    <x v="7"/>
    <x v="2"/>
    <n v="1"/>
    <n v="668"/>
    <n v="94.08"/>
  </r>
  <r>
    <x v="302"/>
    <x v="3"/>
    <x v="2"/>
    <s v="United States"/>
    <x v="2"/>
    <x v="2"/>
    <x v="1"/>
    <n v="6"/>
    <n v="1272"/>
    <n v="336.3"/>
  </r>
  <r>
    <x v="334"/>
    <x v="8"/>
    <x v="1"/>
    <s v="United States"/>
    <x v="13"/>
    <x v="7"/>
    <x v="2"/>
    <n v="8"/>
    <n v="984"/>
    <n v="72.540000000000006"/>
  </r>
  <r>
    <x v="619"/>
    <x v="0"/>
    <x v="0"/>
    <s v="United States"/>
    <x v="28"/>
    <x v="2"/>
    <x v="1"/>
    <n v="7"/>
    <n v="7896"/>
    <n v="484.76"/>
  </r>
  <r>
    <x v="900"/>
    <x v="7"/>
    <x v="2"/>
    <s v="United States"/>
    <x v="130"/>
    <x v="15"/>
    <x v="2"/>
    <n v="1"/>
    <n v="636"/>
    <n v="42.4"/>
  </r>
  <r>
    <x v="613"/>
    <x v="9"/>
    <x v="2"/>
    <s v="United States"/>
    <x v="89"/>
    <x v="1"/>
    <x v="0"/>
    <n v="3"/>
    <n v="2031"/>
    <n v="450.23"/>
  </r>
  <r>
    <x v="484"/>
    <x v="1"/>
    <x v="1"/>
    <s v="United States"/>
    <x v="76"/>
    <x v="36"/>
    <x v="1"/>
    <n v="9"/>
    <n v="3186"/>
    <n v="483.22"/>
  </r>
  <r>
    <x v="114"/>
    <x v="4"/>
    <x v="1"/>
    <s v="United States"/>
    <x v="2"/>
    <x v="2"/>
    <x v="1"/>
    <n v="1"/>
    <n v="134"/>
    <n v="33.119999999999997"/>
  </r>
  <r>
    <x v="448"/>
    <x v="2"/>
    <x v="2"/>
    <s v="United States"/>
    <x v="64"/>
    <x v="7"/>
    <x v="2"/>
    <n v="5"/>
    <n v="1765"/>
    <n v="347.42"/>
  </r>
  <r>
    <x v="846"/>
    <x v="8"/>
    <x v="1"/>
    <s v="United States"/>
    <x v="115"/>
    <x v="7"/>
    <x v="2"/>
    <n v="4"/>
    <n v="3628"/>
    <n v="717.81"/>
  </r>
  <r>
    <x v="486"/>
    <x v="6"/>
    <x v="1"/>
    <s v="United States"/>
    <x v="120"/>
    <x v="35"/>
    <x v="0"/>
    <n v="4"/>
    <n v="1000"/>
    <n v="198.92"/>
  </r>
  <r>
    <x v="971"/>
    <x v="3"/>
    <x v="2"/>
    <s v="United States"/>
    <x v="120"/>
    <x v="35"/>
    <x v="0"/>
    <n v="2"/>
    <n v="2134"/>
    <n v="119.89"/>
  </r>
  <r>
    <x v="40"/>
    <x v="5"/>
    <x v="2"/>
    <s v="United States"/>
    <x v="28"/>
    <x v="2"/>
    <x v="1"/>
    <n v="7"/>
    <n v="6706"/>
    <n v="1687.22"/>
  </r>
  <r>
    <x v="327"/>
    <x v="9"/>
    <x v="2"/>
    <s v="United States"/>
    <x v="131"/>
    <x v="12"/>
    <x v="1"/>
    <n v="3"/>
    <n v="321"/>
    <n v="72.13"/>
  </r>
  <r>
    <x v="817"/>
    <x v="3"/>
    <x v="2"/>
    <s v="United States"/>
    <x v="13"/>
    <x v="7"/>
    <x v="2"/>
    <n v="3"/>
    <n v="3126"/>
    <n v="710.14"/>
  </r>
  <r>
    <x v="572"/>
    <x v="6"/>
    <x v="1"/>
    <s v="United States"/>
    <x v="13"/>
    <x v="7"/>
    <x v="2"/>
    <n v="7"/>
    <n v="5446"/>
    <n v="697.21"/>
  </r>
  <r>
    <x v="772"/>
    <x v="2"/>
    <x v="2"/>
    <s v="United States"/>
    <x v="13"/>
    <x v="7"/>
    <x v="2"/>
    <n v="1"/>
    <n v="1131"/>
    <n v="140.55000000000001"/>
  </r>
  <r>
    <x v="684"/>
    <x v="0"/>
    <x v="0"/>
    <s v="United States"/>
    <x v="132"/>
    <x v="33"/>
    <x v="0"/>
    <n v="2"/>
    <n v="1946"/>
    <n v="141.75"/>
  </r>
  <r>
    <x v="991"/>
    <x v="9"/>
    <x v="2"/>
    <s v="United States"/>
    <x v="110"/>
    <x v="22"/>
    <x v="1"/>
    <n v="7"/>
    <n v="6818"/>
    <n v="1348.26"/>
  </r>
  <r>
    <x v="46"/>
    <x v="7"/>
    <x v="2"/>
    <s v="United States"/>
    <x v="133"/>
    <x v="2"/>
    <x v="1"/>
    <n v="7"/>
    <n v="2317"/>
    <n v="677.61"/>
  </r>
  <r>
    <x v="760"/>
    <x v="5"/>
    <x v="2"/>
    <s v="United States"/>
    <x v="76"/>
    <x v="23"/>
    <x v="3"/>
    <n v="6"/>
    <n v="396"/>
    <n v="89.51"/>
  </r>
  <r>
    <x v="974"/>
    <x v="7"/>
    <x v="2"/>
    <s v="United States"/>
    <x v="6"/>
    <x v="5"/>
    <x v="3"/>
    <n v="1"/>
    <n v="558"/>
    <n v="49.81"/>
  </r>
  <r>
    <x v="88"/>
    <x v="7"/>
    <x v="2"/>
    <s v="United States"/>
    <x v="74"/>
    <x v="0"/>
    <x v="0"/>
    <n v="9"/>
    <n v="2034"/>
    <n v="593.13"/>
  </r>
  <r>
    <x v="1041"/>
    <x v="1"/>
    <x v="1"/>
    <s v="United States"/>
    <x v="9"/>
    <x v="8"/>
    <x v="3"/>
    <n v="8"/>
    <n v="6080"/>
    <n v="1171.93"/>
  </r>
  <r>
    <x v="968"/>
    <x v="5"/>
    <x v="2"/>
    <s v="United States"/>
    <x v="83"/>
    <x v="33"/>
    <x v="0"/>
    <n v="2"/>
    <n v="1378"/>
    <n v="183.1"/>
  </r>
  <r>
    <x v="117"/>
    <x v="6"/>
    <x v="1"/>
    <s v="United States"/>
    <x v="134"/>
    <x v="38"/>
    <x v="2"/>
    <n v="3"/>
    <n v="483"/>
    <n v="120.11"/>
  </r>
  <r>
    <x v="834"/>
    <x v="8"/>
    <x v="1"/>
    <s v="United States"/>
    <x v="15"/>
    <x v="13"/>
    <x v="1"/>
    <n v="8"/>
    <n v="7864"/>
    <n v="1615.58"/>
  </r>
  <r>
    <x v="45"/>
    <x v="0"/>
    <x v="0"/>
    <s v="United States"/>
    <x v="77"/>
    <x v="11"/>
    <x v="3"/>
    <n v="2"/>
    <n v="1268"/>
    <n v="141.76"/>
  </r>
  <r>
    <x v="789"/>
    <x v="0"/>
    <x v="0"/>
    <s v="United States"/>
    <x v="117"/>
    <x v="22"/>
    <x v="1"/>
    <n v="6"/>
    <n v="3774"/>
    <n v="606.94000000000005"/>
  </r>
  <r>
    <x v="991"/>
    <x v="5"/>
    <x v="2"/>
    <s v="United States"/>
    <x v="3"/>
    <x v="3"/>
    <x v="2"/>
    <n v="9"/>
    <n v="9090"/>
    <n v="727.64"/>
  </r>
  <r>
    <x v="433"/>
    <x v="3"/>
    <x v="2"/>
    <s v="United States"/>
    <x v="3"/>
    <x v="3"/>
    <x v="2"/>
    <n v="5"/>
    <n v="3720"/>
    <n v="1077.21"/>
  </r>
  <r>
    <x v="1042"/>
    <x v="7"/>
    <x v="2"/>
    <s v="United States"/>
    <x v="3"/>
    <x v="3"/>
    <x v="2"/>
    <n v="8"/>
    <n v="8896"/>
    <n v="1825.26"/>
  </r>
  <r>
    <x v="244"/>
    <x v="1"/>
    <x v="1"/>
    <s v="United States"/>
    <x v="52"/>
    <x v="6"/>
    <x v="3"/>
    <n v="4"/>
    <n v="3264"/>
    <n v="639.79999999999995"/>
  </r>
  <r>
    <x v="956"/>
    <x v="0"/>
    <x v="0"/>
    <s v="United States"/>
    <x v="25"/>
    <x v="17"/>
    <x v="3"/>
    <n v="2"/>
    <n v="146"/>
    <n v="15.48"/>
  </r>
  <r>
    <x v="603"/>
    <x v="4"/>
    <x v="1"/>
    <s v="United States"/>
    <x v="25"/>
    <x v="17"/>
    <x v="3"/>
    <n v="3"/>
    <n v="1683"/>
    <n v="129.63999999999999"/>
  </r>
  <r>
    <x v="135"/>
    <x v="3"/>
    <x v="2"/>
    <s v="United States"/>
    <x v="2"/>
    <x v="2"/>
    <x v="1"/>
    <n v="7"/>
    <n v="6076"/>
    <n v="788.14"/>
  </r>
  <r>
    <x v="431"/>
    <x v="5"/>
    <x v="2"/>
    <s v="United States"/>
    <x v="135"/>
    <x v="2"/>
    <x v="1"/>
    <n v="2"/>
    <n v="2388"/>
    <n v="492.54"/>
  </r>
  <r>
    <x v="398"/>
    <x v="7"/>
    <x v="2"/>
    <s v="United States"/>
    <x v="136"/>
    <x v="2"/>
    <x v="1"/>
    <n v="6"/>
    <n v="882"/>
    <n v="180.63"/>
  </r>
  <r>
    <x v="918"/>
    <x v="9"/>
    <x v="2"/>
    <s v="United States"/>
    <x v="28"/>
    <x v="2"/>
    <x v="1"/>
    <n v="3"/>
    <n v="3561"/>
    <n v="206.87"/>
  </r>
  <r>
    <x v="836"/>
    <x v="2"/>
    <x v="2"/>
    <s v="United States"/>
    <x v="43"/>
    <x v="22"/>
    <x v="1"/>
    <n v="7"/>
    <n v="3395"/>
    <n v="350.26"/>
  </r>
  <r>
    <x v="429"/>
    <x v="7"/>
    <x v="2"/>
    <s v="United States"/>
    <x v="16"/>
    <x v="14"/>
    <x v="2"/>
    <n v="6"/>
    <n v="3366"/>
    <n v="460.75"/>
  </r>
  <r>
    <x v="860"/>
    <x v="1"/>
    <x v="1"/>
    <s v="United States"/>
    <x v="137"/>
    <x v="11"/>
    <x v="3"/>
    <n v="2"/>
    <n v="630"/>
    <n v="144.13999999999999"/>
  </r>
  <r>
    <x v="63"/>
    <x v="3"/>
    <x v="2"/>
    <s v="United States"/>
    <x v="104"/>
    <x v="22"/>
    <x v="1"/>
    <n v="1"/>
    <n v="440"/>
    <n v="34.74"/>
  </r>
  <r>
    <x v="807"/>
    <x v="5"/>
    <x v="2"/>
    <s v="United States"/>
    <x v="138"/>
    <x v="2"/>
    <x v="1"/>
    <n v="6"/>
    <n v="6462"/>
    <n v="1466.15"/>
  </r>
  <r>
    <x v="343"/>
    <x v="6"/>
    <x v="1"/>
    <s v="United States"/>
    <x v="138"/>
    <x v="2"/>
    <x v="1"/>
    <n v="6"/>
    <n v="5004"/>
    <n v="1197.3599999999999"/>
  </r>
  <r>
    <x v="93"/>
    <x v="9"/>
    <x v="2"/>
    <s v="United States"/>
    <x v="77"/>
    <x v="7"/>
    <x v="2"/>
    <n v="8"/>
    <n v="1840"/>
    <n v="461.21"/>
  </r>
  <r>
    <x v="785"/>
    <x v="2"/>
    <x v="2"/>
    <s v="United States"/>
    <x v="139"/>
    <x v="2"/>
    <x v="1"/>
    <n v="7"/>
    <n v="4466"/>
    <n v="763.14"/>
  </r>
  <r>
    <x v="289"/>
    <x v="2"/>
    <x v="2"/>
    <s v="United States"/>
    <x v="140"/>
    <x v="17"/>
    <x v="3"/>
    <n v="6"/>
    <n v="3048"/>
    <n v="823.36"/>
  </r>
  <r>
    <x v="202"/>
    <x v="1"/>
    <x v="1"/>
    <s v="United States"/>
    <x v="3"/>
    <x v="3"/>
    <x v="2"/>
    <n v="7"/>
    <n v="4977"/>
    <n v="516.70000000000005"/>
  </r>
  <r>
    <x v="595"/>
    <x v="8"/>
    <x v="1"/>
    <s v="United States"/>
    <x v="63"/>
    <x v="28"/>
    <x v="2"/>
    <n v="3"/>
    <n v="2010"/>
    <n v="387.31"/>
  </r>
  <r>
    <x v="1043"/>
    <x v="3"/>
    <x v="2"/>
    <s v="United States"/>
    <x v="141"/>
    <x v="5"/>
    <x v="3"/>
    <n v="8"/>
    <n v="5352"/>
    <n v="1133.57"/>
  </r>
  <r>
    <x v="737"/>
    <x v="3"/>
    <x v="2"/>
    <s v="United States"/>
    <x v="62"/>
    <x v="7"/>
    <x v="2"/>
    <n v="4"/>
    <n v="4136"/>
    <n v="294.20999999999998"/>
  </r>
  <r>
    <x v="881"/>
    <x v="3"/>
    <x v="2"/>
    <s v="United States"/>
    <x v="142"/>
    <x v="3"/>
    <x v="2"/>
    <n v="8"/>
    <n v="6336"/>
    <n v="439.42"/>
  </r>
  <r>
    <x v="687"/>
    <x v="9"/>
    <x v="2"/>
    <s v="United States"/>
    <x v="41"/>
    <x v="2"/>
    <x v="1"/>
    <n v="9"/>
    <n v="5481"/>
    <n v="1540.75"/>
  </r>
  <r>
    <x v="478"/>
    <x v="3"/>
    <x v="2"/>
    <s v="United States"/>
    <x v="143"/>
    <x v="5"/>
    <x v="3"/>
    <n v="6"/>
    <n v="6366"/>
    <n v="318.97000000000003"/>
  </r>
  <r>
    <x v="39"/>
    <x v="0"/>
    <x v="0"/>
    <s v="United States"/>
    <x v="144"/>
    <x v="5"/>
    <x v="3"/>
    <n v="1"/>
    <n v="623"/>
    <n v="81.239999999999995"/>
  </r>
  <r>
    <x v="888"/>
    <x v="1"/>
    <x v="1"/>
    <s v="United States"/>
    <x v="145"/>
    <x v="15"/>
    <x v="2"/>
    <n v="3"/>
    <n v="237"/>
    <n v="49.94"/>
  </r>
  <r>
    <x v="1014"/>
    <x v="8"/>
    <x v="1"/>
    <s v="United States"/>
    <x v="146"/>
    <x v="5"/>
    <x v="3"/>
    <n v="9"/>
    <n v="8370"/>
    <n v="1525.8"/>
  </r>
  <r>
    <x v="832"/>
    <x v="4"/>
    <x v="1"/>
    <s v="United States"/>
    <x v="147"/>
    <x v="5"/>
    <x v="3"/>
    <n v="5"/>
    <n v="4965"/>
    <n v="774.74"/>
  </r>
  <r>
    <x v="218"/>
    <x v="3"/>
    <x v="2"/>
    <s v="United States"/>
    <x v="13"/>
    <x v="7"/>
    <x v="2"/>
    <n v="7"/>
    <n v="7791"/>
    <n v="1844.69"/>
  </r>
  <r>
    <x v="158"/>
    <x v="7"/>
    <x v="2"/>
    <s v="United States"/>
    <x v="13"/>
    <x v="7"/>
    <x v="2"/>
    <n v="1"/>
    <n v="158"/>
    <n v="32.89"/>
  </r>
  <r>
    <x v="604"/>
    <x v="8"/>
    <x v="1"/>
    <s v="United States"/>
    <x v="29"/>
    <x v="6"/>
    <x v="3"/>
    <n v="7"/>
    <n v="4347"/>
    <n v="712.79"/>
  </r>
  <r>
    <x v="922"/>
    <x v="7"/>
    <x v="2"/>
    <s v="United States"/>
    <x v="148"/>
    <x v="31"/>
    <x v="0"/>
    <n v="4"/>
    <n v="3364"/>
    <n v="527.28"/>
  </r>
  <r>
    <x v="587"/>
    <x v="3"/>
    <x v="2"/>
    <s v="United States"/>
    <x v="15"/>
    <x v="13"/>
    <x v="1"/>
    <n v="3"/>
    <n v="1098"/>
    <n v="77.81"/>
  </r>
  <r>
    <x v="92"/>
    <x v="4"/>
    <x v="1"/>
    <s v="United States"/>
    <x v="68"/>
    <x v="3"/>
    <x v="2"/>
    <n v="3"/>
    <n v="1083"/>
    <n v="257.44"/>
  </r>
  <r>
    <x v="693"/>
    <x v="9"/>
    <x v="2"/>
    <s v="United States"/>
    <x v="13"/>
    <x v="7"/>
    <x v="2"/>
    <n v="4"/>
    <n v="1628"/>
    <n v="314.95999999999998"/>
  </r>
  <r>
    <x v="422"/>
    <x v="8"/>
    <x v="1"/>
    <s v="United States"/>
    <x v="41"/>
    <x v="2"/>
    <x v="1"/>
    <n v="4"/>
    <n v="1472"/>
    <n v="387.27"/>
  </r>
  <r>
    <x v="49"/>
    <x v="0"/>
    <x v="0"/>
    <s v="United States"/>
    <x v="261"/>
    <x v="2"/>
    <x v="1"/>
    <n v="9"/>
    <n v="3753"/>
    <n v="1114.8699999999999"/>
  </r>
  <r>
    <x v="237"/>
    <x v="6"/>
    <x v="1"/>
    <s v="United States"/>
    <x v="261"/>
    <x v="2"/>
    <x v="1"/>
    <n v="6"/>
    <n v="6402"/>
    <n v="1602.79"/>
  </r>
  <r>
    <x v="57"/>
    <x v="6"/>
    <x v="1"/>
    <s v="United States"/>
    <x v="127"/>
    <x v="30"/>
    <x v="0"/>
    <n v="3"/>
    <n v="2565"/>
    <n v="510.73"/>
  </r>
  <r>
    <x v="941"/>
    <x v="1"/>
    <x v="1"/>
    <s v="United States"/>
    <x v="19"/>
    <x v="15"/>
    <x v="2"/>
    <n v="3"/>
    <n v="2214"/>
    <n v="127.34"/>
  </r>
  <r>
    <x v="821"/>
    <x v="6"/>
    <x v="1"/>
    <s v="United States"/>
    <x v="19"/>
    <x v="15"/>
    <x v="2"/>
    <n v="3"/>
    <n v="975"/>
    <n v="291.81"/>
  </r>
  <r>
    <x v="662"/>
    <x v="0"/>
    <x v="0"/>
    <s v="United States"/>
    <x v="0"/>
    <x v="34"/>
    <x v="1"/>
    <n v="8"/>
    <n v="3312"/>
    <n v="854.12"/>
  </r>
  <r>
    <x v="305"/>
    <x v="0"/>
    <x v="0"/>
    <s v="United States"/>
    <x v="15"/>
    <x v="13"/>
    <x v="1"/>
    <n v="1"/>
    <n v="267"/>
    <n v="41.85"/>
  </r>
  <r>
    <x v="721"/>
    <x v="7"/>
    <x v="2"/>
    <s v="United States"/>
    <x v="13"/>
    <x v="7"/>
    <x v="2"/>
    <n v="9"/>
    <n v="8145"/>
    <n v="2384.42"/>
  </r>
  <r>
    <x v="1044"/>
    <x v="0"/>
    <x v="0"/>
    <s v="United States"/>
    <x v="19"/>
    <x v="14"/>
    <x v="2"/>
    <n v="1"/>
    <n v="232"/>
    <n v="34.26"/>
  </r>
  <r>
    <x v="258"/>
    <x v="7"/>
    <x v="2"/>
    <s v="United States"/>
    <x v="52"/>
    <x v="6"/>
    <x v="3"/>
    <n v="3"/>
    <n v="300"/>
    <n v="38.44"/>
  </r>
  <r>
    <x v="1045"/>
    <x v="6"/>
    <x v="1"/>
    <s v="United States"/>
    <x v="52"/>
    <x v="6"/>
    <x v="3"/>
    <n v="2"/>
    <n v="2248"/>
    <n v="473.21"/>
  </r>
  <r>
    <x v="14"/>
    <x v="6"/>
    <x v="1"/>
    <s v="United States"/>
    <x v="52"/>
    <x v="6"/>
    <x v="3"/>
    <n v="6"/>
    <n v="1614"/>
    <n v="166.62"/>
  </r>
  <r>
    <x v="806"/>
    <x v="6"/>
    <x v="1"/>
    <s v="United States"/>
    <x v="89"/>
    <x v="1"/>
    <x v="0"/>
    <n v="2"/>
    <n v="1476"/>
    <n v="195.74"/>
  </r>
  <r>
    <x v="1046"/>
    <x v="0"/>
    <x v="0"/>
    <s v="United States"/>
    <x v="317"/>
    <x v="23"/>
    <x v="3"/>
    <n v="5"/>
    <n v="4375"/>
    <n v="347.43"/>
  </r>
  <r>
    <x v="465"/>
    <x v="5"/>
    <x v="2"/>
    <s v="United States"/>
    <x v="304"/>
    <x v="25"/>
    <x v="0"/>
    <n v="4"/>
    <n v="1064"/>
    <n v="263.48"/>
  </r>
  <r>
    <x v="394"/>
    <x v="4"/>
    <x v="1"/>
    <s v="United States"/>
    <x v="3"/>
    <x v="3"/>
    <x v="2"/>
    <n v="6"/>
    <n v="1068"/>
    <n v="190.77"/>
  </r>
  <r>
    <x v="232"/>
    <x v="8"/>
    <x v="1"/>
    <s v="United States"/>
    <x v="318"/>
    <x v="33"/>
    <x v="0"/>
    <n v="1"/>
    <n v="190"/>
    <n v="27.43"/>
  </r>
  <r>
    <x v="777"/>
    <x v="0"/>
    <x v="0"/>
    <s v="United States"/>
    <x v="81"/>
    <x v="22"/>
    <x v="1"/>
    <n v="7"/>
    <n v="7868"/>
    <n v="862.38"/>
  </r>
  <r>
    <x v="353"/>
    <x v="8"/>
    <x v="1"/>
    <s v="United States"/>
    <x v="29"/>
    <x v="24"/>
    <x v="0"/>
    <n v="3"/>
    <n v="1239"/>
    <n v="143.35"/>
  </r>
  <r>
    <x v="593"/>
    <x v="6"/>
    <x v="1"/>
    <s v="United States"/>
    <x v="28"/>
    <x v="2"/>
    <x v="1"/>
    <n v="2"/>
    <n v="1394"/>
    <n v="408.32"/>
  </r>
  <r>
    <x v="725"/>
    <x v="7"/>
    <x v="2"/>
    <s v="United States"/>
    <x v="28"/>
    <x v="2"/>
    <x v="1"/>
    <n v="5"/>
    <n v="2060"/>
    <n v="403.19"/>
  </r>
  <r>
    <x v="636"/>
    <x v="9"/>
    <x v="2"/>
    <s v="United States"/>
    <x v="13"/>
    <x v="7"/>
    <x v="2"/>
    <n v="1"/>
    <n v="1060"/>
    <n v="57.26"/>
  </r>
  <r>
    <x v="1047"/>
    <x v="6"/>
    <x v="1"/>
    <s v="United States"/>
    <x v="237"/>
    <x v="32"/>
    <x v="2"/>
    <n v="7"/>
    <n v="7812"/>
    <n v="1478.43"/>
  </r>
  <r>
    <x v="373"/>
    <x v="3"/>
    <x v="2"/>
    <s v="United States"/>
    <x v="6"/>
    <x v="5"/>
    <x v="3"/>
    <n v="7"/>
    <n v="7077"/>
    <n v="804.15"/>
  </r>
  <r>
    <x v="174"/>
    <x v="7"/>
    <x v="2"/>
    <s v="United States"/>
    <x v="6"/>
    <x v="5"/>
    <x v="3"/>
    <n v="7"/>
    <n v="5712"/>
    <n v="929.42"/>
  </r>
  <r>
    <x v="357"/>
    <x v="0"/>
    <x v="0"/>
    <s v="United States"/>
    <x v="53"/>
    <x v="2"/>
    <x v="1"/>
    <n v="6"/>
    <n v="4146"/>
    <n v="966.79"/>
  </r>
  <r>
    <x v="113"/>
    <x v="2"/>
    <x v="2"/>
    <s v="United States"/>
    <x v="15"/>
    <x v="13"/>
    <x v="1"/>
    <n v="2"/>
    <n v="992"/>
    <n v="238.18"/>
  </r>
  <r>
    <x v="110"/>
    <x v="5"/>
    <x v="2"/>
    <s v="United States"/>
    <x v="1"/>
    <x v="1"/>
    <x v="0"/>
    <n v="2"/>
    <n v="1756"/>
    <n v="165.6"/>
  </r>
  <r>
    <x v="32"/>
    <x v="6"/>
    <x v="1"/>
    <s v="United States"/>
    <x v="77"/>
    <x v="7"/>
    <x v="2"/>
    <n v="4"/>
    <n v="3632"/>
    <n v="566.80999999999995"/>
  </r>
  <r>
    <x v="515"/>
    <x v="4"/>
    <x v="1"/>
    <s v="United States"/>
    <x v="317"/>
    <x v="8"/>
    <x v="3"/>
    <n v="4"/>
    <n v="3912"/>
    <n v="550.09"/>
  </r>
  <r>
    <x v="130"/>
    <x v="0"/>
    <x v="0"/>
    <s v="United States"/>
    <x v="28"/>
    <x v="2"/>
    <x v="1"/>
    <n v="9"/>
    <n v="3123"/>
    <n v="741.23"/>
  </r>
  <r>
    <x v="1048"/>
    <x v="0"/>
    <x v="0"/>
    <s v="United States"/>
    <x v="28"/>
    <x v="2"/>
    <x v="1"/>
    <n v="4"/>
    <n v="700"/>
    <n v="120.19"/>
  </r>
  <r>
    <x v="592"/>
    <x v="2"/>
    <x v="2"/>
    <s v="United States"/>
    <x v="13"/>
    <x v="7"/>
    <x v="2"/>
    <n v="8"/>
    <n v="408"/>
    <n v="83.16"/>
  </r>
  <r>
    <x v="675"/>
    <x v="7"/>
    <x v="2"/>
    <s v="United States"/>
    <x v="124"/>
    <x v="2"/>
    <x v="1"/>
    <n v="4"/>
    <n v="4056"/>
    <n v="768.81"/>
  </r>
  <r>
    <x v="517"/>
    <x v="9"/>
    <x v="2"/>
    <s v="United States"/>
    <x v="102"/>
    <x v="2"/>
    <x v="1"/>
    <n v="1"/>
    <n v="770"/>
    <n v="121.75"/>
  </r>
  <r>
    <x v="736"/>
    <x v="5"/>
    <x v="2"/>
    <s v="United States"/>
    <x v="102"/>
    <x v="2"/>
    <x v="1"/>
    <n v="3"/>
    <n v="531"/>
    <n v="73.349999999999994"/>
  </r>
  <r>
    <x v="937"/>
    <x v="6"/>
    <x v="1"/>
    <s v="United States"/>
    <x v="3"/>
    <x v="3"/>
    <x v="2"/>
    <n v="5"/>
    <n v="280"/>
    <n v="79.77"/>
  </r>
  <r>
    <x v="330"/>
    <x v="9"/>
    <x v="2"/>
    <s v="United States"/>
    <x v="29"/>
    <x v="15"/>
    <x v="2"/>
    <n v="7"/>
    <n v="4550"/>
    <n v="892.73"/>
  </r>
  <r>
    <x v="529"/>
    <x v="5"/>
    <x v="2"/>
    <s v="United States"/>
    <x v="319"/>
    <x v="16"/>
    <x v="3"/>
    <n v="5"/>
    <n v="2480"/>
    <n v="601.66"/>
  </r>
  <r>
    <x v="531"/>
    <x v="0"/>
    <x v="0"/>
    <s v="United States"/>
    <x v="6"/>
    <x v="5"/>
    <x v="3"/>
    <n v="6"/>
    <n v="2604"/>
    <n v="305.73"/>
  </r>
  <r>
    <x v="543"/>
    <x v="8"/>
    <x v="1"/>
    <s v="United States"/>
    <x v="41"/>
    <x v="30"/>
    <x v="0"/>
    <n v="7"/>
    <n v="1351"/>
    <n v="310.02999999999997"/>
  </r>
  <r>
    <x v="647"/>
    <x v="6"/>
    <x v="1"/>
    <s v="United States"/>
    <x v="124"/>
    <x v="2"/>
    <x v="1"/>
    <n v="5"/>
    <n v="4615"/>
    <n v="251"/>
  </r>
  <r>
    <x v="122"/>
    <x v="1"/>
    <x v="1"/>
    <s v="United States"/>
    <x v="320"/>
    <x v="46"/>
    <x v="1"/>
    <n v="1"/>
    <n v="829"/>
    <n v="165.05"/>
  </r>
  <r>
    <x v="878"/>
    <x v="3"/>
    <x v="2"/>
    <s v="United States"/>
    <x v="59"/>
    <x v="15"/>
    <x v="2"/>
    <n v="3"/>
    <n v="177"/>
    <n v="43.41"/>
  </r>
  <r>
    <x v="717"/>
    <x v="4"/>
    <x v="1"/>
    <s v="United States"/>
    <x v="199"/>
    <x v="1"/>
    <x v="0"/>
    <n v="1"/>
    <n v="1086"/>
    <n v="161.05000000000001"/>
  </r>
  <r>
    <x v="621"/>
    <x v="9"/>
    <x v="2"/>
    <s v="United States"/>
    <x v="9"/>
    <x v="8"/>
    <x v="3"/>
    <n v="5"/>
    <n v="275"/>
    <n v="64.900000000000006"/>
  </r>
  <r>
    <x v="787"/>
    <x v="1"/>
    <x v="1"/>
    <s v="United States"/>
    <x v="200"/>
    <x v="12"/>
    <x v="1"/>
    <n v="1"/>
    <n v="564"/>
    <n v="164.5"/>
  </r>
  <r>
    <x v="884"/>
    <x v="8"/>
    <x v="1"/>
    <s v="United States"/>
    <x v="13"/>
    <x v="7"/>
    <x v="2"/>
    <n v="2"/>
    <n v="684"/>
    <n v="71.39"/>
  </r>
  <r>
    <x v="85"/>
    <x v="9"/>
    <x v="2"/>
    <s v="United States"/>
    <x v="13"/>
    <x v="7"/>
    <x v="2"/>
    <n v="4"/>
    <n v="2656"/>
    <n v="687.63"/>
  </r>
  <r>
    <x v="681"/>
    <x v="9"/>
    <x v="2"/>
    <s v="United States"/>
    <x v="40"/>
    <x v="15"/>
    <x v="2"/>
    <n v="5"/>
    <n v="1190"/>
    <n v="346.79"/>
  </r>
  <r>
    <x v="84"/>
    <x v="0"/>
    <x v="0"/>
    <s v="United States"/>
    <x v="53"/>
    <x v="2"/>
    <x v="1"/>
    <n v="6"/>
    <n v="4854"/>
    <n v="510.88"/>
  </r>
  <r>
    <x v="921"/>
    <x v="0"/>
    <x v="0"/>
    <s v="United States"/>
    <x v="53"/>
    <x v="2"/>
    <x v="1"/>
    <n v="5"/>
    <n v="1060"/>
    <n v="217.96"/>
  </r>
  <r>
    <x v="557"/>
    <x v="9"/>
    <x v="2"/>
    <s v="United States"/>
    <x v="13"/>
    <x v="7"/>
    <x v="2"/>
    <n v="3"/>
    <n v="1527"/>
    <n v="364.05"/>
  </r>
  <r>
    <x v="668"/>
    <x v="1"/>
    <x v="1"/>
    <s v="United States"/>
    <x v="130"/>
    <x v="19"/>
    <x v="2"/>
    <n v="4"/>
    <n v="1168"/>
    <n v="177.54"/>
  </r>
  <r>
    <x v="498"/>
    <x v="2"/>
    <x v="2"/>
    <s v="United States"/>
    <x v="6"/>
    <x v="5"/>
    <x v="3"/>
    <n v="8"/>
    <n v="6328"/>
    <n v="1257.81"/>
  </r>
  <r>
    <x v="373"/>
    <x v="7"/>
    <x v="2"/>
    <s v="United States"/>
    <x v="6"/>
    <x v="5"/>
    <x v="3"/>
    <n v="3"/>
    <n v="2193"/>
    <n v="477.95"/>
  </r>
  <r>
    <x v="869"/>
    <x v="5"/>
    <x v="2"/>
    <s v="United States"/>
    <x v="141"/>
    <x v="5"/>
    <x v="3"/>
    <n v="8"/>
    <n v="7600"/>
    <n v="1099.8800000000001"/>
  </r>
  <r>
    <x v="745"/>
    <x v="0"/>
    <x v="0"/>
    <s v="United States"/>
    <x v="15"/>
    <x v="13"/>
    <x v="1"/>
    <n v="9"/>
    <n v="1764"/>
    <n v="322.11"/>
  </r>
  <r>
    <x v="696"/>
    <x v="8"/>
    <x v="1"/>
    <s v="United States"/>
    <x v="3"/>
    <x v="3"/>
    <x v="2"/>
    <n v="2"/>
    <n v="1270"/>
    <n v="84.29"/>
  </r>
  <r>
    <x v="304"/>
    <x v="2"/>
    <x v="2"/>
    <s v="United States"/>
    <x v="20"/>
    <x v="9"/>
    <x v="0"/>
    <n v="1"/>
    <n v="607"/>
    <n v="33.770000000000003"/>
  </r>
  <r>
    <x v="580"/>
    <x v="1"/>
    <x v="1"/>
    <s v="United States"/>
    <x v="2"/>
    <x v="2"/>
    <x v="1"/>
    <n v="2"/>
    <n v="1672"/>
    <n v="469.64"/>
  </r>
  <r>
    <x v="360"/>
    <x v="8"/>
    <x v="1"/>
    <s v="United States"/>
    <x v="13"/>
    <x v="7"/>
    <x v="2"/>
    <n v="6"/>
    <n v="5718"/>
    <n v="1358.26"/>
  </r>
  <r>
    <x v="881"/>
    <x v="4"/>
    <x v="1"/>
    <s v="United States"/>
    <x v="53"/>
    <x v="2"/>
    <x v="1"/>
    <n v="8"/>
    <n v="584"/>
    <n v="107.27"/>
  </r>
  <r>
    <x v="650"/>
    <x v="3"/>
    <x v="2"/>
    <s v="United States"/>
    <x v="3"/>
    <x v="3"/>
    <x v="2"/>
    <n v="7"/>
    <n v="7455"/>
    <n v="966.64"/>
  </r>
  <r>
    <x v="219"/>
    <x v="8"/>
    <x v="1"/>
    <s v="United States"/>
    <x v="201"/>
    <x v="21"/>
    <x v="0"/>
    <n v="7"/>
    <n v="7679"/>
    <n v="2270.08"/>
  </r>
  <r>
    <x v="928"/>
    <x v="2"/>
    <x v="2"/>
    <s v="United States"/>
    <x v="53"/>
    <x v="2"/>
    <x v="1"/>
    <n v="7"/>
    <n v="847"/>
    <n v="154.05000000000001"/>
  </r>
  <r>
    <x v="462"/>
    <x v="1"/>
    <x v="1"/>
    <s v="United States"/>
    <x v="64"/>
    <x v="7"/>
    <x v="2"/>
    <n v="3"/>
    <n v="1278"/>
    <n v="178.78"/>
  </r>
  <r>
    <x v="184"/>
    <x v="8"/>
    <x v="1"/>
    <s v="United States"/>
    <x v="82"/>
    <x v="5"/>
    <x v="3"/>
    <n v="8"/>
    <n v="6592"/>
    <n v="1024.82"/>
  </r>
  <r>
    <x v="280"/>
    <x v="6"/>
    <x v="1"/>
    <s v="United States"/>
    <x v="11"/>
    <x v="9"/>
    <x v="0"/>
    <n v="8"/>
    <n v="3544"/>
    <n v="454.14"/>
  </r>
  <r>
    <x v="453"/>
    <x v="3"/>
    <x v="2"/>
    <s v="United States"/>
    <x v="13"/>
    <x v="7"/>
    <x v="2"/>
    <n v="3"/>
    <n v="1959"/>
    <n v="274.27"/>
  </r>
  <r>
    <x v="382"/>
    <x v="1"/>
    <x v="1"/>
    <s v="United States"/>
    <x v="9"/>
    <x v="8"/>
    <x v="3"/>
    <n v="6"/>
    <n v="3384"/>
    <n v="924.03"/>
  </r>
  <r>
    <x v="574"/>
    <x v="7"/>
    <x v="2"/>
    <s v="United States"/>
    <x v="121"/>
    <x v="2"/>
    <x v="1"/>
    <n v="1"/>
    <n v="307"/>
    <n v="50.2"/>
  </r>
  <r>
    <x v="559"/>
    <x v="3"/>
    <x v="2"/>
    <s v="United States"/>
    <x v="121"/>
    <x v="2"/>
    <x v="1"/>
    <n v="9"/>
    <n v="10017"/>
    <n v="1468.72"/>
  </r>
  <r>
    <x v="143"/>
    <x v="2"/>
    <x v="2"/>
    <s v="United States"/>
    <x v="202"/>
    <x v="20"/>
    <x v="2"/>
    <n v="7"/>
    <n v="7931"/>
    <n v="504.39"/>
  </r>
  <r>
    <x v="836"/>
    <x v="9"/>
    <x v="2"/>
    <s v="United States"/>
    <x v="53"/>
    <x v="2"/>
    <x v="1"/>
    <n v="2"/>
    <n v="1168"/>
    <n v="198.4"/>
  </r>
  <r>
    <x v="740"/>
    <x v="7"/>
    <x v="2"/>
    <s v="United States"/>
    <x v="203"/>
    <x v="19"/>
    <x v="2"/>
    <n v="9"/>
    <n v="9765"/>
    <n v="909.99"/>
  </r>
  <r>
    <x v="630"/>
    <x v="2"/>
    <x v="2"/>
    <s v="United States"/>
    <x v="13"/>
    <x v="7"/>
    <x v="2"/>
    <n v="8"/>
    <n v="1456"/>
    <n v="271.26"/>
  </r>
  <r>
    <x v="815"/>
    <x v="7"/>
    <x v="2"/>
    <s v="United States"/>
    <x v="6"/>
    <x v="5"/>
    <x v="3"/>
    <n v="5"/>
    <n v="950"/>
    <n v="61.9"/>
  </r>
  <r>
    <x v="839"/>
    <x v="5"/>
    <x v="2"/>
    <s v="United States"/>
    <x v="204"/>
    <x v="2"/>
    <x v="1"/>
    <n v="2"/>
    <n v="2314"/>
    <n v="600.76"/>
  </r>
  <r>
    <x v="1049"/>
    <x v="5"/>
    <x v="2"/>
    <s v="United States"/>
    <x v="205"/>
    <x v="34"/>
    <x v="1"/>
    <n v="1"/>
    <n v="915"/>
    <n v="264.3"/>
  </r>
  <r>
    <x v="521"/>
    <x v="9"/>
    <x v="2"/>
    <s v="United States"/>
    <x v="206"/>
    <x v="7"/>
    <x v="2"/>
    <n v="1"/>
    <n v="290"/>
    <n v="61.14"/>
  </r>
  <r>
    <x v="147"/>
    <x v="2"/>
    <x v="2"/>
    <s v="United States"/>
    <x v="206"/>
    <x v="7"/>
    <x v="2"/>
    <n v="7"/>
    <n v="3584"/>
    <n v="940.88"/>
  </r>
  <r>
    <x v="117"/>
    <x v="1"/>
    <x v="1"/>
    <s v="United States"/>
    <x v="206"/>
    <x v="7"/>
    <x v="2"/>
    <n v="6"/>
    <n v="1254"/>
    <n v="205.57"/>
  </r>
  <r>
    <x v="955"/>
    <x v="9"/>
    <x v="2"/>
    <s v="United States"/>
    <x v="3"/>
    <x v="3"/>
    <x v="2"/>
    <n v="5"/>
    <n v="2410"/>
    <n v="636.83000000000004"/>
  </r>
  <r>
    <x v="487"/>
    <x v="0"/>
    <x v="0"/>
    <s v="United States"/>
    <x v="13"/>
    <x v="7"/>
    <x v="2"/>
    <n v="2"/>
    <n v="800"/>
    <n v="118.68"/>
  </r>
  <r>
    <x v="620"/>
    <x v="5"/>
    <x v="2"/>
    <s v="United States"/>
    <x v="127"/>
    <x v="30"/>
    <x v="0"/>
    <n v="5"/>
    <n v="990"/>
    <n v="87.61"/>
  </r>
  <r>
    <x v="654"/>
    <x v="9"/>
    <x v="2"/>
    <s v="United States"/>
    <x v="207"/>
    <x v="8"/>
    <x v="3"/>
    <n v="9"/>
    <n v="9702"/>
    <n v="2771.49"/>
  </r>
  <r>
    <x v="339"/>
    <x v="8"/>
    <x v="1"/>
    <s v="United States"/>
    <x v="6"/>
    <x v="5"/>
    <x v="3"/>
    <n v="8"/>
    <n v="5888"/>
    <n v="354.27"/>
  </r>
  <r>
    <x v="39"/>
    <x v="2"/>
    <x v="2"/>
    <s v="United States"/>
    <x v="29"/>
    <x v="15"/>
    <x v="2"/>
    <n v="4"/>
    <n v="1768"/>
    <n v="345.33"/>
  </r>
  <r>
    <x v="1041"/>
    <x v="4"/>
    <x v="1"/>
    <s v="United States"/>
    <x v="29"/>
    <x v="15"/>
    <x v="2"/>
    <n v="2"/>
    <n v="1022"/>
    <n v="76.040000000000006"/>
  </r>
  <r>
    <x v="963"/>
    <x v="2"/>
    <x v="2"/>
    <s v="United States"/>
    <x v="29"/>
    <x v="15"/>
    <x v="2"/>
    <n v="3"/>
    <n v="2883"/>
    <n v="671.91"/>
  </r>
  <r>
    <x v="831"/>
    <x v="6"/>
    <x v="1"/>
    <s v="United States"/>
    <x v="13"/>
    <x v="7"/>
    <x v="2"/>
    <n v="4"/>
    <n v="4064"/>
    <n v="771.16"/>
  </r>
  <r>
    <x v="1026"/>
    <x v="6"/>
    <x v="1"/>
    <s v="United States"/>
    <x v="208"/>
    <x v="26"/>
    <x v="3"/>
    <n v="1"/>
    <n v="1117"/>
    <n v="119.89"/>
  </r>
  <r>
    <x v="1050"/>
    <x v="9"/>
    <x v="2"/>
    <s v="United States"/>
    <x v="68"/>
    <x v="15"/>
    <x v="2"/>
    <n v="4"/>
    <n v="260"/>
    <n v="66.02"/>
  </r>
  <r>
    <x v="842"/>
    <x v="0"/>
    <x v="0"/>
    <s v="United States"/>
    <x v="209"/>
    <x v="2"/>
    <x v="1"/>
    <n v="3"/>
    <n v="222"/>
    <n v="50.28"/>
  </r>
  <r>
    <x v="252"/>
    <x v="5"/>
    <x v="2"/>
    <s v="United States"/>
    <x v="9"/>
    <x v="8"/>
    <x v="3"/>
    <n v="9"/>
    <n v="10530"/>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8:E12" firstHeaderRow="0" firstDataRow="1" firstDataCol="1"/>
  <pivotFields count="12">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pivotField showAll="0"/>
    <pivotField showAll="0">
      <items count="5">
        <item x="3"/>
        <item x="2"/>
        <item x="0"/>
        <item x="1"/>
        <item t="default"/>
      </items>
    </pivotField>
    <pivotField dataField="1" showAll="0"/>
    <pivotField dataField="1" showAll="0"/>
    <pivotField dataField="1" showAll="0"/>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11"/>
  </rowFields>
  <rowItems count="4">
    <i>
      <x v="1"/>
    </i>
    <i>
      <x v="2"/>
    </i>
    <i>
      <x v="3"/>
    </i>
    <i t="grand">
      <x/>
    </i>
  </rowItems>
  <colFields count="1">
    <field x="-2"/>
  </colFields>
  <colItems count="3">
    <i>
      <x/>
    </i>
    <i i="1">
      <x v="1"/>
    </i>
    <i i="2">
      <x v="2"/>
    </i>
  </colItems>
  <dataFields count="3">
    <dataField name="Sum of Sales" fld="8" baseField="0" baseItem="0"/>
    <dataField name="Sum of Quantity" fld="7" baseField="0" baseItem="0" numFmtId="165"/>
    <dataField name="Sum of Profit" fld="9" baseField="0" baseItem="0" numFmtId="164"/>
  </dataFields>
  <formats count="6">
    <format dxfId="468">
      <pivotArea collapsedLevelsAreSubtotals="1" fieldPosition="0">
        <references count="2">
          <reference field="4294967294" count="1" selected="0">
            <x v="0"/>
          </reference>
          <reference field="11" count="1">
            <x v="1"/>
          </reference>
        </references>
      </pivotArea>
    </format>
    <format dxfId="467">
      <pivotArea collapsedLevelsAreSubtotals="1" fieldPosition="0">
        <references count="2">
          <reference field="4294967294" count="1" selected="0">
            <x v="0"/>
          </reference>
          <reference field="11" count="1">
            <x v="2"/>
          </reference>
        </references>
      </pivotArea>
    </format>
    <format dxfId="466">
      <pivotArea collapsedLevelsAreSubtotals="1" fieldPosition="0">
        <references count="2">
          <reference field="4294967294" count="1" selected="0">
            <x v="0"/>
          </reference>
          <reference field="11" count="1">
            <x v="3"/>
          </reference>
        </references>
      </pivotArea>
    </format>
    <format dxfId="465">
      <pivotArea field="11" grandRow="1" outline="0" collapsedLevelsAreSubtotals="1" axis="axisRow" fieldPosition="0">
        <references count="1">
          <reference field="4294967294" count="1" selected="0">
            <x v="0"/>
          </reference>
        </references>
      </pivotArea>
    </format>
    <format dxfId="464">
      <pivotArea outline="0" collapsedLevelsAreSubtotals="1" fieldPosition="0">
        <references count="1">
          <reference field="4294967294" count="1" selected="0">
            <x v="2"/>
          </reference>
        </references>
      </pivotArea>
    </format>
    <format dxfId="46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I16:J22" firstHeaderRow="1" firstDataRow="1" firstDataCol="1"/>
  <pivotFields count="12">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dataField="1"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4"/>
  </rowFields>
  <rowItems count="6">
    <i>
      <x v="184"/>
    </i>
    <i>
      <x v="232"/>
    </i>
    <i>
      <x v="264"/>
    </i>
    <i>
      <x v="307"/>
    </i>
    <i>
      <x v="316"/>
    </i>
    <i t="grand">
      <x/>
    </i>
  </rowItems>
  <colItems count="1">
    <i/>
  </colItems>
  <dataFields count="1">
    <dataField name="Sum of Sales" fld="8" baseField="0" baseItem="0"/>
  </dataFields>
  <formats count="2">
    <format dxfId="470">
      <pivotArea field="11" grandRow="1" outline="0" collapsedLevelsAreSubtotals="1">
        <references count="1">
          <reference field="4294967294" count="1" selected="0">
            <x v="0"/>
          </reference>
        </references>
      </pivotArea>
    </format>
    <format dxfId="469">
      <pivotArea collapsedLevelsAreSubtotals="1" fieldPosition="0">
        <references count="1">
          <reference field="4" count="5">
            <x v="184"/>
            <x v="232"/>
            <x v="264"/>
            <x v="307"/>
            <x v="316"/>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4:D5" firstHeaderRow="0" firstDataRow="1" firstDataCol="0"/>
  <pivotFields count="12">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pivotField showAll="0"/>
    <pivotField showAll="0">
      <items count="5">
        <item x="3"/>
        <item x="2"/>
        <item x="0"/>
        <item x="1"/>
        <item t="default"/>
      </items>
    </pivotField>
    <pivotField dataField="1" showAll="0"/>
    <pivotField dataField="1" showAll="0"/>
    <pivotField dataField="1"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Fields count="1">
    <field x="-2"/>
  </colFields>
  <colItems count="3">
    <i>
      <x/>
    </i>
    <i i="1">
      <x v="1"/>
    </i>
    <i i="2">
      <x v="2"/>
    </i>
  </colItems>
  <dataFields count="3">
    <dataField name="Sum of Sales" fld="8" baseField="0" baseItem="0"/>
    <dataField name="Sum of Quantity"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region"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I44:J49" firstHeaderRow="1" firstDataRow="1" firstDataCol="1"/>
  <pivotFields count="12">
    <pivotField numFmtId="14" showAll="0">
      <items count="15">
        <item x="0"/>
        <item x="1"/>
        <item x="2"/>
        <item x="3"/>
        <item x="4"/>
        <item x="5"/>
        <item x="6"/>
        <item x="7"/>
        <item x="8"/>
        <item x="9"/>
        <item x="10"/>
        <item x="11"/>
        <item x="12"/>
        <item x="13"/>
        <item t="default"/>
      </items>
    </pivotField>
    <pivotField showAll="0" measureFilter="1">
      <items count="11">
        <item x="3"/>
        <item x="4"/>
        <item x="8"/>
        <item x="9"/>
        <item x="6"/>
        <item x="1"/>
        <item x="0"/>
        <item x="7"/>
        <item x="5"/>
        <item x="2"/>
        <item t="default"/>
      </items>
    </pivotField>
    <pivotField showAll="0">
      <items count="4">
        <item x="1"/>
        <item x="2"/>
        <item x="0"/>
        <item t="default"/>
      </items>
    </pivotField>
    <pivotField showAll="0"/>
    <pivotField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axis="axisRow" showAll="0">
      <items count="5">
        <item x="3"/>
        <item x="2"/>
        <item x="0"/>
        <item x="1"/>
        <item t="default"/>
      </items>
    </pivotField>
    <pivotField showAll="0"/>
    <pivotField dataField="1"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6"/>
  </rowFields>
  <rowItems count="5">
    <i>
      <x/>
    </i>
    <i>
      <x v="1"/>
    </i>
    <i>
      <x v="2"/>
    </i>
    <i>
      <x v="3"/>
    </i>
    <i t="grand">
      <x/>
    </i>
  </rowItems>
  <colItems count="1">
    <i/>
  </colItems>
  <dataFields count="1">
    <dataField name="Sum of Sales" fld="8" baseField="0" baseItem="0" numFmtId="168"/>
  </dataFields>
  <formats count="2">
    <format dxfId="472">
      <pivotArea field="11" grandRow="1" outline="0" collapsedLevelsAreSubtotals="1">
        <references count="1">
          <reference field="4294967294" count="1" selected="0">
            <x v="0"/>
          </reference>
        </references>
      </pivotArea>
    </format>
    <format dxfId="471">
      <pivotArea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5" filterVal="5"/>
        </filterColumn>
      </autoFilter>
    </filter>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I34:J40" firstHeaderRow="1" firstDataRow="1" firstDataCol="1"/>
  <pivotFields count="12">
    <pivotField numFmtId="14" showAll="0">
      <items count="15">
        <item x="0"/>
        <item x="1"/>
        <item x="2"/>
        <item x="3"/>
        <item x="4"/>
        <item x="5"/>
        <item x="6"/>
        <item x="7"/>
        <item x="8"/>
        <item x="9"/>
        <item x="10"/>
        <item x="11"/>
        <item x="12"/>
        <item x="13"/>
        <item t="default"/>
      </items>
    </pivotField>
    <pivotField axis="axisRow" showAll="0" measureFilter="1">
      <items count="11">
        <item x="3"/>
        <item x="4"/>
        <item x="8"/>
        <item x="9"/>
        <item x="6"/>
        <item x="1"/>
        <item x="0"/>
        <item x="7"/>
        <item x="5"/>
        <item x="2"/>
        <item t="default"/>
      </items>
    </pivotField>
    <pivotField showAll="0">
      <items count="4">
        <item x="1"/>
        <item x="2"/>
        <item x="0"/>
        <item t="default"/>
      </items>
    </pivotField>
    <pivotField showAll="0"/>
    <pivotField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dataField="1"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
  </rowFields>
  <rowItems count="6">
    <i>
      <x/>
    </i>
    <i>
      <x v="4"/>
    </i>
    <i>
      <x v="5"/>
    </i>
    <i>
      <x v="6"/>
    </i>
    <i>
      <x v="7"/>
    </i>
    <i t="grand">
      <x/>
    </i>
  </rowItems>
  <colItems count="1">
    <i/>
  </colItems>
  <dataFields count="1">
    <dataField name="Sum of Sales" fld="8" baseField="0" baseItem="0" numFmtId="168"/>
  </dataFields>
  <formats count="3">
    <format dxfId="475">
      <pivotArea field="11" grandRow="1" outline="0" collapsedLevelsAreSubtotals="1">
        <references count="1">
          <reference field="4294967294" count="1" selected="0">
            <x v="0"/>
          </reference>
        </references>
      </pivotArea>
    </format>
    <format dxfId="474">
      <pivotArea collapsedLevelsAreSubtotals="1" fieldPosition="0">
        <references count="1">
          <reference field="1" count="5">
            <x v="0"/>
            <x v="4"/>
            <x v="5"/>
            <x v="6"/>
            <x v="7"/>
          </reference>
        </references>
      </pivotArea>
    </format>
    <format dxfId="473">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5" filterVal="5"/>
        </filterColumn>
      </autoFilter>
    </filter>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B16:C29" firstHeaderRow="1" firstDataRow="1" firstDataCol="1"/>
  <pivotFields count="12">
    <pivotField axis="axisRow"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pivotField showAll="0"/>
    <pivotField showAll="0">
      <items count="5">
        <item x="3"/>
        <item x="2"/>
        <item x="0"/>
        <item x="1"/>
        <item t="default"/>
      </items>
    </pivotField>
    <pivotField showAll="0"/>
    <pivotField dataField="1"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Sales" fld="8" baseField="0" baseItem="0"/>
  </dataFields>
  <formats count="3">
    <format dxfId="478">
      <pivotArea field="11" grandRow="1" outline="0" collapsedLevelsAreSubtotals="1">
        <references count="1">
          <reference field="4294967294" count="1" selected="0">
            <x v="0"/>
          </reference>
        </references>
      </pivotArea>
    </format>
    <format dxfId="477">
      <pivotArea collapsedLevelsAreSubtotals="1" fieldPosition="0">
        <references count="1">
          <reference field="0" count="12">
            <x v="1"/>
            <x v="2"/>
            <x v="3"/>
            <x v="4"/>
            <x v="5"/>
            <x v="6"/>
            <x v="7"/>
            <x v="8"/>
            <x v="9"/>
            <x v="10"/>
            <x v="11"/>
            <x v="12"/>
          </reference>
        </references>
      </pivotArea>
    </format>
    <format dxfId="476">
      <pivotArea collapsedLevelsAreSubtotals="1" fieldPosition="0">
        <references count="1">
          <reference field="0" count="12">
            <x v="1"/>
            <x v="2"/>
            <x v="3"/>
            <x v="4"/>
            <x v="5"/>
            <x v="6"/>
            <x v="7"/>
            <x v="8"/>
            <x v="9"/>
            <x v="10"/>
            <x v="11"/>
            <x v="12"/>
          </reference>
        </references>
      </pivotArea>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ategor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I26:J30" firstHeaderRow="1" firstDataRow="1" firstDataCol="1"/>
  <pivotFields count="12">
    <pivotField numFmtId="14" showAll="0">
      <items count="15">
        <item x="0"/>
        <item x="1"/>
        <item x="2"/>
        <item x="3"/>
        <item x="4"/>
        <item x="5"/>
        <item x="6"/>
        <item x="7"/>
        <item x="8"/>
        <item x="9"/>
        <item x="10"/>
        <item x="11"/>
        <item x="12"/>
        <item x="13"/>
        <item t="default"/>
      </items>
    </pivotField>
    <pivotField showAll="0"/>
    <pivotField axis="axisRow" showAll="0">
      <items count="4">
        <item x="1"/>
        <item x="2"/>
        <item x="0"/>
        <item t="default"/>
      </items>
    </pivotField>
    <pivotField showAll="0"/>
    <pivotField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dataField="1"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
  </rowFields>
  <rowItems count="4">
    <i>
      <x/>
    </i>
    <i>
      <x v="1"/>
    </i>
    <i>
      <x v="2"/>
    </i>
    <i t="grand">
      <x/>
    </i>
  </rowItems>
  <colItems count="1">
    <i/>
  </colItems>
  <dataFields count="1">
    <dataField name="Sum of Sales" fld="8" baseField="0" baseItem="0"/>
  </dataFields>
  <formats count="2">
    <format dxfId="480">
      <pivotArea field="11" grandRow="1" outline="0" collapsedLevelsAreSubtotals="1">
        <references count="1">
          <reference field="4294967294" count="1" selected="0">
            <x v="0"/>
          </reference>
        </references>
      </pivotArea>
    </format>
    <format dxfId="479">
      <pivotArea collapsedLevelsAreSubtotals="1" fieldPosition="0">
        <references count="1">
          <reference field="2" count="0"/>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33:C82" firstHeaderRow="1" firstDataRow="1" firstDataCol="1"/>
  <pivotFields count="12">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dataField="1"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8" baseField="0" baseItem="0"/>
  </dataFields>
  <formats count="2">
    <format dxfId="482">
      <pivotArea field="11" grandRow="1" outline="0" collapsedLevelsAreSubtotals="1">
        <references count="1">
          <reference field="4294967294" count="1" selected="0">
            <x v="0"/>
          </reference>
        </references>
      </pivotArea>
    </format>
    <format dxfId="481">
      <pivotArea collapsedLevelsAreSubtotals="1" fieldPosition="0">
        <references count="1">
          <reference field="5" count="0"/>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0" applyNumberFormats="0" applyBorderFormats="0" applyFontFormats="1" applyPatternFormats="1" applyAlignmentFormats="0" applyWidthHeightFormats="0">
  <queryTableRefresh preserveSortFilterLayout="0" nextId="11">
    <queryTableFields count="10">
      <queryTableField id="1" name="Order Date" tableColumnId="21"/>
      <queryTableField id="2" name="Product Name" tableColumnId="22"/>
      <queryTableField id="3" name="Category" tableColumnId="23"/>
      <queryTableField id="4" name="Country" tableColumnId="24"/>
      <queryTableField id="5" name="City" tableColumnId="25"/>
      <queryTableField id="6" name="State" tableColumnId="26"/>
      <queryTableField id="7" name="Region" tableColumnId="27"/>
      <queryTableField id="8" name="Quantity" tableColumnId="28"/>
      <queryTableField id="9" name="Sales" tableColumnId="29"/>
      <queryTableField id="10" name="Profit"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BA02119-350B-4A78-BAFA-0FD38306AACB}" sourceName="Category">
  <pivotTables>
    <pivotTable tabId="3" name="PivotTable1"/>
    <pivotTable tabId="3" name="PivotTable2"/>
    <pivotTable tabId="3" name="PivotTable3"/>
    <pivotTable tabId="3" name="PivotTable4"/>
    <pivotTable tabId="3" name="PivotTable5"/>
    <pivotTable tabId="3" name="PivotTable7"/>
    <pivotTable tabId="3" name="region"/>
  </pivotTables>
  <data>
    <tabular pivotCacheId="204181686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723E87-8E43-4B41-8199-04803EDF4570}" sourceName="Region">
  <pivotTables>
    <pivotTable tabId="3" name="category"/>
    <pivotTable tabId="3" name="PivotTable1"/>
    <pivotTable tabId="3" name="PivotTable2"/>
    <pivotTable tabId="3" name="PivotTable3"/>
    <pivotTable tabId="3" name="PivotTable4"/>
    <pivotTable tabId="3" name="PivotTable5"/>
    <pivotTable tabId="3" name="PivotTable7"/>
  </pivotTables>
  <data>
    <tabular pivotCacheId="2041816860">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6BBB0DD-97F6-4F30-80FB-24170565C81B}" cache="Slicer_Category" caption="Category" columnCount="3" showCaption="0" style="Slicer Style 1" rowHeight="241300"/>
  <slicer name="Region" xr10:uid="{E080331D-020F-4674-A3D3-03F0E3C3D305}" cache="Slicer_Region" caption="Region" columnCount="4"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commerce_sales_data__2" displayName="ecommerce_sales_data__2" ref="A1:J3501" tableType="queryTable" totalsRowShown="0">
  <autoFilter ref="A1:J3501" xr:uid="{00000000-0009-0000-0100-000001000000}"/>
  <tableColumns count="10">
    <tableColumn id="21" xr3:uid="{00000000-0010-0000-0000-000015000000}" uniqueName="21" name="Order Date" queryTableFieldId="1" dataDxfId="483"/>
    <tableColumn id="22" xr3:uid="{00000000-0010-0000-0000-000016000000}" uniqueName="22" name="Product Name" queryTableFieldId="2"/>
    <tableColumn id="23" xr3:uid="{00000000-0010-0000-0000-000017000000}" uniqueName="23" name="Category" queryTableFieldId="3"/>
    <tableColumn id="24" xr3:uid="{00000000-0010-0000-0000-000018000000}" uniqueName="24" name="Country" queryTableFieldId="4"/>
    <tableColumn id="25" xr3:uid="{00000000-0010-0000-0000-000019000000}" uniqueName="25" name="City" queryTableFieldId="5"/>
    <tableColumn id="26" xr3:uid="{00000000-0010-0000-0000-00001A000000}" uniqueName="26" name="State" queryTableFieldId="6"/>
    <tableColumn id="27" xr3:uid="{00000000-0010-0000-0000-00001B000000}" uniqueName="27" name="Region" queryTableFieldId="7"/>
    <tableColumn id="28" xr3:uid="{00000000-0010-0000-0000-00001C000000}" uniqueName="28" name="Quantity" queryTableFieldId="8"/>
    <tableColumn id="29" xr3:uid="{00000000-0010-0000-0000-00001D000000}" uniqueName="29" name="Sales" queryTableFieldId="9"/>
    <tableColumn id="30" xr3:uid="{00000000-0010-0000-0000-00001E000000}" uniqueName="30" name="Profi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01"/>
  <sheetViews>
    <sheetView topLeftCell="A2" workbookViewId="0">
      <selection activeCell="F16" sqref="F16"/>
    </sheetView>
  </sheetViews>
  <sheetFormatPr defaultRowHeight="15" x14ac:dyDescent="0.25"/>
  <cols>
    <col min="1" max="1" width="12.42578125" bestFit="1" customWidth="1"/>
    <col min="2" max="2" width="15.140625" bestFit="1" customWidth="1"/>
    <col min="3" max="3" width="10.5703125" bestFit="1" customWidth="1"/>
    <col min="4" max="4" width="11.85546875" bestFit="1" customWidth="1"/>
    <col min="5" max="5" width="15.5703125" bestFit="1" customWidth="1"/>
    <col min="6" max="6" width="17.42578125" bestFit="1" customWidth="1"/>
    <col min="8" max="8" width="10.42578125" bestFit="1" customWidth="1"/>
    <col min="9" max="9" width="7.28515625" bestFit="1" customWidth="1"/>
    <col min="10" max="10" width="7.85546875" bestFit="1" customWidth="1"/>
  </cols>
  <sheetData>
    <row r="1" spans="1:10" x14ac:dyDescent="0.25">
      <c r="A1" t="s">
        <v>0</v>
      </c>
      <c r="B1" t="s">
        <v>1</v>
      </c>
      <c r="C1" t="s">
        <v>2</v>
      </c>
      <c r="D1" t="s">
        <v>3</v>
      </c>
      <c r="E1" t="s">
        <v>4</v>
      </c>
      <c r="F1" t="s">
        <v>5</v>
      </c>
      <c r="G1" t="s">
        <v>6</v>
      </c>
      <c r="H1" t="s">
        <v>7</v>
      </c>
      <c r="I1" t="s">
        <v>8</v>
      </c>
      <c r="J1" t="s">
        <v>9</v>
      </c>
    </row>
    <row r="2" spans="1:10" x14ac:dyDescent="0.25">
      <c r="A2" s="1">
        <v>45657</v>
      </c>
      <c r="B2" t="s">
        <v>10</v>
      </c>
      <c r="C2" t="s">
        <v>11</v>
      </c>
      <c r="D2" t="s">
        <v>12</v>
      </c>
      <c r="E2" t="s">
        <v>13</v>
      </c>
      <c r="F2" t="s">
        <v>14</v>
      </c>
      <c r="G2" t="s">
        <v>15</v>
      </c>
      <c r="H2">
        <v>4</v>
      </c>
      <c r="I2">
        <v>3640</v>
      </c>
      <c r="J2">
        <v>348.93</v>
      </c>
    </row>
    <row r="3" spans="1:10" x14ac:dyDescent="0.25">
      <c r="A3" s="1">
        <v>44892</v>
      </c>
      <c r="B3" t="s">
        <v>16</v>
      </c>
      <c r="C3" t="s">
        <v>17</v>
      </c>
      <c r="D3" t="s">
        <v>12</v>
      </c>
      <c r="E3" t="s">
        <v>13</v>
      </c>
      <c r="F3" t="s">
        <v>14</v>
      </c>
      <c r="G3" t="s">
        <v>15</v>
      </c>
      <c r="H3">
        <v>7</v>
      </c>
      <c r="I3">
        <v>1197</v>
      </c>
      <c r="J3">
        <v>106.53</v>
      </c>
    </row>
    <row r="4" spans="1:10" x14ac:dyDescent="0.25">
      <c r="A4" s="1">
        <v>44692</v>
      </c>
      <c r="B4" t="s">
        <v>18</v>
      </c>
      <c r="C4" t="s">
        <v>19</v>
      </c>
      <c r="D4" t="s">
        <v>12</v>
      </c>
      <c r="E4" t="s">
        <v>20</v>
      </c>
      <c r="F4" t="s">
        <v>21</v>
      </c>
      <c r="G4" t="s">
        <v>15</v>
      </c>
      <c r="H4">
        <v>5</v>
      </c>
      <c r="I4">
        <v>5865</v>
      </c>
      <c r="J4">
        <v>502.73</v>
      </c>
    </row>
    <row r="5" spans="1:10" x14ac:dyDescent="0.25">
      <c r="A5" s="1">
        <v>45367</v>
      </c>
      <c r="B5" t="s">
        <v>16</v>
      </c>
      <c r="C5" t="s">
        <v>17</v>
      </c>
      <c r="D5" t="s">
        <v>12</v>
      </c>
      <c r="E5" t="s">
        <v>22</v>
      </c>
      <c r="F5" t="s">
        <v>23</v>
      </c>
      <c r="G5" t="s">
        <v>24</v>
      </c>
      <c r="H5">
        <v>2</v>
      </c>
      <c r="I5">
        <v>786</v>
      </c>
      <c r="J5">
        <v>202.87</v>
      </c>
    </row>
    <row r="6" spans="1:10" x14ac:dyDescent="0.25">
      <c r="A6" s="1">
        <v>44814</v>
      </c>
      <c r="B6" t="s">
        <v>16</v>
      </c>
      <c r="C6" t="s">
        <v>17</v>
      </c>
      <c r="D6" t="s">
        <v>12</v>
      </c>
      <c r="E6" t="s">
        <v>22</v>
      </c>
      <c r="F6" t="s">
        <v>23</v>
      </c>
      <c r="G6" t="s">
        <v>24</v>
      </c>
      <c r="H6">
        <v>1</v>
      </c>
      <c r="I6">
        <v>509</v>
      </c>
      <c r="J6">
        <v>103.28</v>
      </c>
    </row>
    <row r="7" spans="1:10" x14ac:dyDescent="0.25">
      <c r="A7" s="1">
        <v>45261</v>
      </c>
      <c r="B7" t="s">
        <v>25</v>
      </c>
      <c r="C7" t="s">
        <v>19</v>
      </c>
      <c r="D7" t="s">
        <v>12</v>
      </c>
      <c r="E7" t="s">
        <v>26</v>
      </c>
      <c r="F7" t="s">
        <v>27</v>
      </c>
      <c r="G7" t="s">
        <v>28</v>
      </c>
      <c r="H7">
        <v>1</v>
      </c>
      <c r="I7">
        <v>524</v>
      </c>
      <c r="J7">
        <v>106.35</v>
      </c>
    </row>
    <row r="8" spans="1:10" x14ac:dyDescent="0.25">
      <c r="A8" s="1">
        <v>45208</v>
      </c>
      <c r="B8" t="s">
        <v>29</v>
      </c>
      <c r="C8" t="s">
        <v>17</v>
      </c>
      <c r="D8" t="s">
        <v>12</v>
      </c>
      <c r="E8" t="s">
        <v>30</v>
      </c>
      <c r="F8" t="s">
        <v>31</v>
      </c>
      <c r="G8" t="s">
        <v>24</v>
      </c>
      <c r="H8">
        <v>7</v>
      </c>
      <c r="I8">
        <v>6167</v>
      </c>
      <c r="J8">
        <v>1027.98</v>
      </c>
    </row>
    <row r="9" spans="1:10" x14ac:dyDescent="0.25">
      <c r="A9" s="1">
        <v>44575</v>
      </c>
      <c r="B9" t="s">
        <v>25</v>
      </c>
      <c r="C9" t="s">
        <v>19</v>
      </c>
      <c r="D9" t="s">
        <v>12</v>
      </c>
      <c r="E9" t="s">
        <v>26</v>
      </c>
      <c r="F9" t="s">
        <v>27</v>
      </c>
      <c r="G9" t="s">
        <v>28</v>
      </c>
      <c r="H9">
        <v>7</v>
      </c>
      <c r="I9">
        <v>3059</v>
      </c>
      <c r="J9">
        <v>873.5</v>
      </c>
    </row>
    <row r="10" spans="1:10" x14ac:dyDescent="0.25">
      <c r="A10" s="1">
        <v>44653</v>
      </c>
      <c r="B10" t="s">
        <v>32</v>
      </c>
      <c r="C10" t="s">
        <v>19</v>
      </c>
      <c r="D10" t="s">
        <v>12</v>
      </c>
      <c r="E10" t="s">
        <v>26</v>
      </c>
      <c r="F10" t="s">
        <v>27</v>
      </c>
      <c r="G10" t="s">
        <v>28</v>
      </c>
      <c r="H10">
        <v>9</v>
      </c>
      <c r="I10">
        <v>5526</v>
      </c>
      <c r="J10">
        <v>595.28</v>
      </c>
    </row>
    <row r="11" spans="1:10" x14ac:dyDescent="0.25">
      <c r="A11" s="1">
        <v>45587</v>
      </c>
      <c r="B11" t="s">
        <v>10</v>
      </c>
      <c r="C11" t="s">
        <v>11</v>
      </c>
      <c r="D11" t="s">
        <v>12</v>
      </c>
      <c r="E11" t="s">
        <v>33</v>
      </c>
      <c r="F11" t="s">
        <v>34</v>
      </c>
      <c r="G11" t="s">
        <v>35</v>
      </c>
      <c r="H11">
        <v>8</v>
      </c>
      <c r="I11">
        <v>672</v>
      </c>
      <c r="J11">
        <v>186.37</v>
      </c>
    </row>
    <row r="12" spans="1:10" x14ac:dyDescent="0.25">
      <c r="A12" s="1">
        <v>45264</v>
      </c>
      <c r="B12" t="s">
        <v>36</v>
      </c>
      <c r="C12" t="s">
        <v>17</v>
      </c>
      <c r="D12" t="s">
        <v>12</v>
      </c>
      <c r="E12" t="s">
        <v>37</v>
      </c>
      <c r="F12" t="s">
        <v>34</v>
      </c>
      <c r="G12" t="s">
        <v>35</v>
      </c>
      <c r="H12">
        <v>6</v>
      </c>
      <c r="I12">
        <v>7074</v>
      </c>
      <c r="J12">
        <v>1357.68</v>
      </c>
    </row>
    <row r="13" spans="1:10" x14ac:dyDescent="0.25">
      <c r="A13" s="1">
        <v>44831</v>
      </c>
      <c r="B13" t="s">
        <v>32</v>
      </c>
      <c r="C13" t="s">
        <v>19</v>
      </c>
      <c r="D13" t="s">
        <v>12</v>
      </c>
      <c r="E13" t="s">
        <v>37</v>
      </c>
      <c r="F13" t="s">
        <v>34</v>
      </c>
      <c r="G13" t="s">
        <v>35</v>
      </c>
      <c r="H13">
        <v>2</v>
      </c>
      <c r="I13">
        <v>502</v>
      </c>
      <c r="J13">
        <v>137.4</v>
      </c>
    </row>
    <row r="14" spans="1:10" x14ac:dyDescent="0.25">
      <c r="A14" s="1">
        <v>45281</v>
      </c>
      <c r="B14" t="s">
        <v>18</v>
      </c>
      <c r="C14" t="s">
        <v>19</v>
      </c>
      <c r="D14" t="s">
        <v>12</v>
      </c>
      <c r="E14" t="s">
        <v>38</v>
      </c>
      <c r="F14" t="s">
        <v>39</v>
      </c>
      <c r="G14" t="s">
        <v>35</v>
      </c>
      <c r="H14">
        <v>7</v>
      </c>
      <c r="I14">
        <v>7462</v>
      </c>
      <c r="J14">
        <v>2166.17</v>
      </c>
    </row>
    <row r="15" spans="1:10" x14ac:dyDescent="0.25">
      <c r="A15" s="1">
        <v>45325</v>
      </c>
      <c r="B15" t="s">
        <v>40</v>
      </c>
      <c r="C15" t="s">
        <v>19</v>
      </c>
      <c r="D15" t="s">
        <v>12</v>
      </c>
      <c r="E15" t="s">
        <v>38</v>
      </c>
      <c r="F15" t="s">
        <v>39</v>
      </c>
      <c r="G15" t="s">
        <v>35</v>
      </c>
      <c r="H15">
        <v>5</v>
      </c>
      <c r="I15">
        <v>4205</v>
      </c>
      <c r="J15">
        <v>585.29</v>
      </c>
    </row>
    <row r="16" spans="1:10" x14ac:dyDescent="0.25">
      <c r="A16" s="1">
        <v>45209</v>
      </c>
      <c r="B16" t="s">
        <v>25</v>
      </c>
      <c r="C16" t="s">
        <v>19</v>
      </c>
      <c r="D16" t="s">
        <v>12</v>
      </c>
      <c r="E16" t="s">
        <v>41</v>
      </c>
      <c r="F16" t="s">
        <v>42</v>
      </c>
      <c r="G16" t="s">
        <v>28</v>
      </c>
      <c r="H16">
        <v>1</v>
      </c>
      <c r="I16">
        <v>570</v>
      </c>
      <c r="J16">
        <v>138.54</v>
      </c>
    </row>
    <row r="17" spans="1:10" x14ac:dyDescent="0.25">
      <c r="A17" s="1">
        <v>44850</v>
      </c>
      <c r="B17" t="s">
        <v>29</v>
      </c>
      <c r="C17" t="s">
        <v>17</v>
      </c>
      <c r="D17" t="s">
        <v>12</v>
      </c>
      <c r="E17" t="s">
        <v>22</v>
      </c>
      <c r="F17" t="s">
        <v>23</v>
      </c>
      <c r="G17" t="s">
        <v>24</v>
      </c>
      <c r="H17">
        <v>1</v>
      </c>
      <c r="I17">
        <v>441</v>
      </c>
      <c r="J17">
        <v>102.42</v>
      </c>
    </row>
    <row r="18" spans="1:10" x14ac:dyDescent="0.25">
      <c r="A18" s="1">
        <v>44696</v>
      </c>
      <c r="B18" t="s">
        <v>16</v>
      </c>
      <c r="C18" t="s">
        <v>17</v>
      </c>
      <c r="D18" t="s">
        <v>12</v>
      </c>
      <c r="E18" t="s">
        <v>43</v>
      </c>
      <c r="F18" t="s">
        <v>44</v>
      </c>
      <c r="G18" t="s">
        <v>35</v>
      </c>
      <c r="H18">
        <v>7</v>
      </c>
      <c r="I18">
        <v>7469</v>
      </c>
      <c r="J18">
        <v>589.80999999999995</v>
      </c>
    </row>
    <row r="19" spans="1:10" x14ac:dyDescent="0.25">
      <c r="A19" s="1">
        <v>44968</v>
      </c>
      <c r="B19" t="s">
        <v>18</v>
      </c>
      <c r="C19" t="s">
        <v>19</v>
      </c>
      <c r="D19" t="s">
        <v>12</v>
      </c>
      <c r="E19" t="s">
        <v>45</v>
      </c>
      <c r="F19" t="s">
        <v>46</v>
      </c>
      <c r="G19" t="s">
        <v>15</v>
      </c>
      <c r="H19">
        <v>2</v>
      </c>
      <c r="I19">
        <v>2212</v>
      </c>
      <c r="J19">
        <v>145.75</v>
      </c>
    </row>
    <row r="20" spans="1:10" x14ac:dyDescent="0.25">
      <c r="A20" s="1">
        <v>45287</v>
      </c>
      <c r="B20" t="s">
        <v>18</v>
      </c>
      <c r="C20" t="s">
        <v>19</v>
      </c>
      <c r="D20" t="s">
        <v>12</v>
      </c>
      <c r="E20" t="s">
        <v>45</v>
      </c>
      <c r="F20" t="s">
        <v>46</v>
      </c>
      <c r="G20" t="s">
        <v>15</v>
      </c>
      <c r="H20">
        <v>5</v>
      </c>
      <c r="I20">
        <v>740</v>
      </c>
      <c r="J20">
        <v>146.38999999999999</v>
      </c>
    </row>
    <row r="21" spans="1:10" x14ac:dyDescent="0.25">
      <c r="A21" s="1">
        <v>45204</v>
      </c>
      <c r="B21" t="s">
        <v>29</v>
      </c>
      <c r="C21" t="s">
        <v>17</v>
      </c>
      <c r="D21" t="s">
        <v>12</v>
      </c>
      <c r="E21" t="s">
        <v>37</v>
      </c>
      <c r="F21" t="s">
        <v>34</v>
      </c>
      <c r="G21" t="s">
        <v>35</v>
      </c>
      <c r="H21">
        <v>1</v>
      </c>
      <c r="I21">
        <v>662</v>
      </c>
      <c r="J21">
        <v>193.92</v>
      </c>
    </row>
    <row r="22" spans="1:10" x14ac:dyDescent="0.25">
      <c r="A22" s="1">
        <v>45356</v>
      </c>
      <c r="B22" t="s">
        <v>16</v>
      </c>
      <c r="C22" t="s">
        <v>17</v>
      </c>
      <c r="D22" t="s">
        <v>12</v>
      </c>
      <c r="E22" t="s">
        <v>37</v>
      </c>
      <c r="F22" t="s">
        <v>34</v>
      </c>
      <c r="G22" t="s">
        <v>35</v>
      </c>
      <c r="H22">
        <v>7</v>
      </c>
      <c r="I22">
        <v>5712</v>
      </c>
      <c r="J22">
        <v>651.27</v>
      </c>
    </row>
    <row r="23" spans="1:10" x14ac:dyDescent="0.25">
      <c r="A23" s="1">
        <v>45125</v>
      </c>
      <c r="B23" t="s">
        <v>32</v>
      </c>
      <c r="C23" t="s">
        <v>19</v>
      </c>
      <c r="D23" t="s">
        <v>12</v>
      </c>
      <c r="E23" t="s">
        <v>47</v>
      </c>
      <c r="F23" t="s">
        <v>48</v>
      </c>
      <c r="G23" t="s">
        <v>15</v>
      </c>
      <c r="H23">
        <v>3</v>
      </c>
      <c r="I23">
        <v>2739</v>
      </c>
      <c r="J23">
        <v>572.73</v>
      </c>
    </row>
    <row r="24" spans="1:10" x14ac:dyDescent="0.25">
      <c r="A24" s="1">
        <v>45102</v>
      </c>
      <c r="B24" t="s">
        <v>49</v>
      </c>
      <c r="C24" t="s">
        <v>17</v>
      </c>
      <c r="D24" t="s">
        <v>12</v>
      </c>
      <c r="E24" t="s">
        <v>50</v>
      </c>
      <c r="F24" t="s">
        <v>51</v>
      </c>
      <c r="G24" t="s">
        <v>35</v>
      </c>
      <c r="H24">
        <v>5</v>
      </c>
      <c r="I24">
        <v>1400</v>
      </c>
      <c r="J24">
        <v>213.63</v>
      </c>
    </row>
    <row r="25" spans="1:10" x14ac:dyDescent="0.25">
      <c r="A25" s="1">
        <v>45243</v>
      </c>
      <c r="B25" t="s">
        <v>10</v>
      </c>
      <c r="C25" t="s">
        <v>11</v>
      </c>
      <c r="D25" t="s">
        <v>12</v>
      </c>
      <c r="E25" t="s">
        <v>52</v>
      </c>
      <c r="F25" t="s">
        <v>42</v>
      </c>
      <c r="G25" t="s">
        <v>28</v>
      </c>
      <c r="H25">
        <v>3</v>
      </c>
      <c r="I25">
        <v>3477</v>
      </c>
      <c r="J25">
        <v>939.2</v>
      </c>
    </row>
    <row r="26" spans="1:10" x14ac:dyDescent="0.25">
      <c r="A26" s="1">
        <v>44751</v>
      </c>
      <c r="B26" t="s">
        <v>25</v>
      </c>
      <c r="C26" t="s">
        <v>19</v>
      </c>
      <c r="D26" t="s">
        <v>12</v>
      </c>
      <c r="E26" t="s">
        <v>53</v>
      </c>
      <c r="F26" t="s">
        <v>54</v>
      </c>
      <c r="G26" t="s">
        <v>24</v>
      </c>
      <c r="H26">
        <v>5</v>
      </c>
      <c r="I26">
        <v>3475</v>
      </c>
      <c r="J26">
        <v>570.36</v>
      </c>
    </row>
    <row r="27" spans="1:10" x14ac:dyDescent="0.25">
      <c r="A27" s="1">
        <v>45271</v>
      </c>
      <c r="B27" t="s">
        <v>55</v>
      </c>
      <c r="C27" t="s">
        <v>19</v>
      </c>
      <c r="D27" t="s">
        <v>12</v>
      </c>
      <c r="E27" t="s">
        <v>52</v>
      </c>
      <c r="F27" t="s">
        <v>42</v>
      </c>
      <c r="G27" t="s">
        <v>28</v>
      </c>
      <c r="H27">
        <v>9</v>
      </c>
      <c r="I27">
        <v>6138</v>
      </c>
      <c r="J27">
        <v>1562.14</v>
      </c>
    </row>
    <row r="28" spans="1:10" x14ac:dyDescent="0.25">
      <c r="A28" s="1">
        <v>45003</v>
      </c>
      <c r="B28" t="s">
        <v>25</v>
      </c>
      <c r="C28" t="s">
        <v>19</v>
      </c>
      <c r="D28" t="s">
        <v>12</v>
      </c>
      <c r="E28" t="s">
        <v>56</v>
      </c>
      <c r="F28" t="s">
        <v>57</v>
      </c>
      <c r="G28" t="s">
        <v>24</v>
      </c>
      <c r="H28">
        <v>5</v>
      </c>
      <c r="I28">
        <v>3665</v>
      </c>
      <c r="J28">
        <v>406.93</v>
      </c>
    </row>
    <row r="29" spans="1:10" x14ac:dyDescent="0.25">
      <c r="A29" s="1">
        <v>45513</v>
      </c>
      <c r="B29" t="s">
        <v>10</v>
      </c>
      <c r="C29" t="s">
        <v>11</v>
      </c>
      <c r="D29" t="s">
        <v>12</v>
      </c>
      <c r="E29" t="s">
        <v>58</v>
      </c>
      <c r="F29" t="s">
        <v>59</v>
      </c>
      <c r="G29" t="s">
        <v>28</v>
      </c>
      <c r="H29">
        <v>2</v>
      </c>
      <c r="I29">
        <v>2372</v>
      </c>
      <c r="J29">
        <v>206.42</v>
      </c>
    </row>
    <row r="30" spans="1:10" x14ac:dyDescent="0.25">
      <c r="A30" s="1">
        <v>45416</v>
      </c>
      <c r="B30" t="s">
        <v>55</v>
      </c>
      <c r="C30" t="s">
        <v>19</v>
      </c>
      <c r="D30" t="s">
        <v>12</v>
      </c>
      <c r="E30" t="s">
        <v>37</v>
      </c>
      <c r="F30" t="s">
        <v>34</v>
      </c>
      <c r="G30" t="s">
        <v>35</v>
      </c>
      <c r="H30">
        <v>2</v>
      </c>
      <c r="I30">
        <v>1382</v>
      </c>
      <c r="J30">
        <v>211.11</v>
      </c>
    </row>
    <row r="31" spans="1:10" x14ac:dyDescent="0.25">
      <c r="A31" s="1">
        <v>44808</v>
      </c>
      <c r="B31" t="s">
        <v>55</v>
      </c>
      <c r="C31" t="s">
        <v>19</v>
      </c>
      <c r="D31" t="s">
        <v>12</v>
      </c>
      <c r="E31" t="s">
        <v>60</v>
      </c>
      <c r="F31" t="s">
        <v>44</v>
      </c>
      <c r="G31" t="s">
        <v>35</v>
      </c>
      <c r="H31">
        <v>1</v>
      </c>
      <c r="I31">
        <v>1126</v>
      </c>
      <c r="J31">
        <v>194.08</v>
      </c>
    </row>
    <row r="32" spans="1:10" x14ac:dyDescent="0.25">
      <c r="A32" s="1">
        <v>44855</v>
      </c>
      <c r="B32" t="s">
        <v>10</v>
      </c>
      <c r="C32" t="s">
        <v>11</v>
      </c>
      <c r="D32" t="s">
        <v>12</v>
      </c>
      <c r="E32" t="s">
        <v>22</v>
      </c>
      <c r="F32" t="s">
        <v>23</v>
      </c>
      <c r="G32" t="s">
        <v>24</v>
      </c>
      <c r="H32">
        <v>8</v>
      </c>
      <c r="I32">
        <v>1376</v>
      </c>
      <c r="J32">
        <v>152.1</v>
      </c>
    </row>
    <row r="33" spans="1:10" x14ac:dyDescent="0.25">
      <c r="A33" s="1">
        <v>45313</v>
      </c>
      <c r="B33" t="s">
        <v>16</v>
      </c>
      <c r="C33" t="s">
        <v>17</v>
      </c>
      <c r="D33" t="s">
        <v>12</v>
      </c>
      <c r="E33" t="s">
        <v>22</v>
      </c>
      <c r="F33" t="s">
        <v>23</v>
      </c>
      <c r="G33" t="s">
        <v>24</v>
      </c>
      <c r="H33">
        <v>4</v>
      </c>
      <c r="I33">
        <v>988</v>
      </c>
      <c r="J33">
        <v>147.91</v>
      </c>
    </row>
    <row r="34" spans="1:10" x14ac:dyDescent="0.25">
      <c r="A34" s="1">
        <v>45025</v>
      </c>
      <c r="B34" t="s">
        <v>55</v>
      </c>
      <c r="C34" t="s">
        <v>19</v>
      </c>
      <c r="D34" t="s">
        <v>12</v>
      </c>
      <c r="E34" t="s">
        <v>61</v>
      </c>
      <c r="F34" t="s">
        <v>23</v>
      </c>
      <c r="G34" t="s">
        <v>24</v>
      </c>
      <c r="H34">
        <v>9</v>
      </c>
      <c r="I34">
        <v>10773</v>
      </c>
      <c r="J34">
        <v>1907.36</v>
      </c>
    </row>
    <row r="35" spans="1:10" x14ac:dyDescent="0.25">
      <c r="A35" s="1">
        <v>44964</v>
      </c>
      <c r="B35" t="s">
        <v>29</v>
      </c>
      <c r="C35" t="s">
        <v>17</v>
      </c>
      <c r="D35" t="s">
        <v>12</v>
      </c>
      <c r="E35" t="s">
        <v>26</v>
      </c>
      <c r="F35" t="s">
        <v>27</v>
      </c>
      <c r="G35" t="s">
        <v>28</v>
      </c>
      <c r="H35">
        <v>4</v>
      </c>
      <c r="I35">
        <v>3252</v>
      </c>
      <c r="J35">
        <v>713.46</v>
      </c>
    </row>
    <row r="36" spans="1:10" x14ac:dyDescent="0.25">
      <c r="A36" s="1">
        <v>45050</v>
      </c>
      <c r="B36" t="s">
        <v>29</v>
      </c>
      <c r="C36" t="s">
        <v>17</v>
      </c>
      <c r="D36" t="s">
        <v>12</v>
      </c>
      <c r="E36" t="s">
        <v>62</v>
      </c>
      <c r="F36" t="s">
        <v>63</v>
      </c>
      <c r="G36" t="s">
        <v>28</v>
      </c>
      <c r="H36">
        <v>3</v>
      </c>
      <c r="I36">
        <v>2739</v>
      </c>
      <c r="J36">
        <v>202.81</v>
      </c>
    </row>
    <row r="37" spans="1:10" x14ac:dyDescent="0.25">
      <c r="A37" s="1">
        <v>45034</v>
      </c>
      <c r="B37" t="s">
        <v>18</v>
      </c>
      <c r="C37" t="s">
        <v>19</v>
      </c>
      <c r="D37" t="s">
        <v>12</v>
      </c>
      <c r="E37" t="s">
        <v>64</v>
      </c>
      <c r="F37" t="s">
        <v>65</v>
      </c>
      <c r="G37" t="s">
        <v>35</v>
      </c>
      <c r="H37">
        <v>7</v>
      </c>
      <c r="I37">
        <v>2709</v>
      </c>
      <c r="J37">
        <v>702.79</v>
      </c>
    </row>
    <row r="38" spans="1:10" x14ac:dyDescent="0.25">
      <c r="A38" s="1">
        <v>44907</v>
      </c>
      <c r="B38" t="s">
        <v>10</v>
      </c>
      <c r="C38" t="s">
        <v>11</v>
      </c>
      <c r="D38" t="s">
        <v>12</v>
      </c>
      <c r="E38" t="s">
        <v>56</v>
      </c>
      <c r="F38" t="s">
        <v>57</v>
      </c>
      <c r="G38" t="s">
        <v>24</v>
      </c>
      <c r="H38">
        <v>3</v>
      </c>
      <c r="I38">
        <v>936</v>
      </c>
      <c r="J38">
        <v>201.24</v>
      </c>
    </row>
    <row r="39" spans="1:10" x14ac:dyDescent="0.25">
      <c r="A39" s="1">
        <v>44815</v>
      </c>
      <c r="B39" t="s">
        <v>25</v>
      </c>
      <c r="C39" t="s">
        <v>19</v>
      </c>
      <c r="D39" t="s">
        <v>12</v>
      </c>
      <c r="E39" t="s">
        <v>66</v>
      </c>
      <c r="F39" t="s">
        <v>34</v>
      </c>
      <c r="G39" t="s">
        <v>35</v>
      </c>
      <c r="H39">
        <v>4</v>
      </c>
      <c r="I39">
        <v>3720</v>
      </c>
      <c r="J39">
        <v>410.92</v>
      </c>
    </row>
    <row r="40" spans="1:10" x14ac:dyDescent="0.25">
      <c r="A40" s="1">
        <v>45377</v>
      </c>
      <c r="B40" t="s">
        <v>16</v>
      </c>
      <c r="C40" t="s">
        <v>17</v>
      </c>
      <c r="D40" t="s">
        <v>12</v>
      </c>
      <c r="E40" t="s">
        <v>22</v>
      </c>
      <c r="F40" t="s">
        <v>23</v>
      </c>
      <c r="G40" t="s">
        <v>24</v>
      </c>
      <c r="H40">
        <v>5</v>
      </c>
      <c r="I40">
        <v>5320</v>
      </c>
      <c r="J40">
        <v>716.91</v>
      </c>
    </row>
    <row r="41" spans="1:10" x14ac:dyDescent="0.25">
      <c r="A41" s="1">
        <v>45189</v>
      </c>
      <c r="B41" t="s">
        <v>29</v>
      </c>
      <c r="C41" t="s">
        <v>17</v>
      </c>
      <c r="D41" t="s">
        <v>12</v>
      </c>
      <c r="E41" t="s">
        <v>62</v>
      </c>
      <c r="F41" t="s">
        <v>63</v>
      </c>
      <c r="G41" t="s">
        <v>28</v>
      </c>
      <c r="H41">
        <v>4</v>
      </c>
      <c r="I41">
        <v>804</v>
      </c>
      <c r="J41">
        <v>121.51</v>
      </c>
    </row>
    <row r="42" spans="1:10" x14ac:dyDescent="0.25">
      <c r="A42" s="1">
        <v>45071</v>
      </c>
      <c r="B42" t="s">
        <v>55</v>
      </c>
      <c r="C42" t="s">
        <v>19</v>
      </c>
      <c r="D42" t="s">
        <v>12</v>
      </c>
      <c r="E42" t="s">
        <v>52</v>
      </c>
      <c r="F42" t="s">
        <v>42</v>
      </c>
      <c r="G42" t="s">
        <v>28</v>
      </c>
      <c r="H42">
        <v>8</v>
      </c>
      <c r="I42">
        <v>1224</v>
      </c>
      <c r="J42">
        <v>246.77</v>
      </c>
    </row>
    <row r="43" spans="1:10" x14ac:dyDescent="0.25">
      <c r="A43" s="1">
        <v>44899</v>
      </c>
      <c r="B43" t="s">
        <v>29</v>
      </c>
      <c r="C43" t="s">
        <v>17</v>
      </c>
      <c r="D43" t="s">
        <v>12</v>
      </c>
      <c r="E43" t="s">
        <v>52</v>
      </c>
      <c r="F43" t="s">
        <v>42</v>
      </c>
      <c r="G43" t="s">
        <v>28</v>
      </c>
      <c r="H43">
        <v>9</v>
      </c>
      <c r="I43">
        <v>8667</v>
      </c>
      <c r="J43">
        <v>781.78</v>
      </c>
    </row>
    <row r="44" spans="1:10" x14ac:dyDescent="0.25">
      <c r="A44" s="1">
        <v>44722</v>
      </c>
      <c r="B44" t="s">
        <v>36</v>
      </c>
      <c r="C44" t="s">
        <v>17</v>
      </c>
      <c r="D44" t="s">
        <v>12</v>
      </c>
      <c r="E44" t="s">
        <v>67</v>
      </c>
      <c r="F44" t="s">
        <v>54</v>
      </c>
      <c r="G44" t="s">
        <v>24</v>
      </c>
      <c r="H44">
        <v>3</v>
      </c>
      <c r="I44">
        <v>3018</v>
      </c>
      <c r="J44">
        <v>320.11</v>
      </c>
    </row>
    <row r="45" spans="1:10" x14ac:dyDescent="0.25">
      <c r="A45" s="1">
        <v>44962</v>
      </c>
      <c r="B45" t="s">
        <v>55</v>
      </c>
      <c r="C45" t="s">
        <v>19</v>
      </c>
      <c r="D45" t="s">
        <v>12</v>
      </c>
      <c r="E45" t="s">
        <v>64</v>
      </c>
      <c r="F45" t="s">
        <v>46</v>
      </c>
      <c r="G45" t="s">
        <v>15</v>
      </c>
      <c r="H45">
        <v>5</v>
      </c>
      <c r="I45">
        <v>4325</v>
      </c>
      <c r="J45">
        <v>1023.39</v>
      </c>
    </row>
    <row r="46" spans="1:10" x14ac:dyDescent="0.25">
      <c r="A46" s="1">
        <v>45311</v>
      </c>
      <c r="B46" t="s">
        <v>55</v>
      </c>
      <c r="C46" t="s">
        <v>19</v>
      </c>
      <c r="D46" t="s">
        <v>12</v>
      </c>
      <c r="E46" t="s">
        <v>68</v>
      </c>
      <c r="F46" t="s">
        <v>63</v>
      </c>
      <c r="G46" t="s">
        <v>28</v>
      </c>
      <c r="H46">
        <v>3</v>
      </c>
      <c r="I46">
        <v>1557</v>
      </c>
      <c r="J46">
        <v>181.08</v>
      </c>
    </row>
    <row r="47" spans="1:10" x14ac:dyDescent="0.25">
      <c r="A47" s="1">
        <v>44588</v>
      </c>
      <c r="B47" t="s">
        <v>36</v>
      </c>
      <c r="C47" t="s">
        <v>17</v>
      </c>
      <c r="D47" t="s">
        <v>12</v>
      </c>
      <c r="E47" t="s">
        <v>69</v>
      </c>
      <c r="F47" t="s">
        <v>63</v>
      </c>
      <c r="G47" t="s">
        <v>28</v>
      </c>
      <c r="H47">
        <v>6</v>
      </c>
      <c r="I47">
        <v>3672</v>
      </c>
      <c r="J47">
        <v>1002.5</v>
      </c>
    </row>
    <row r="48" spans="1:10" x14ac:dyDescent="0.25">
      <c r="A48" s="1">
        <v>45014</v>
      </c>
      <c r="B48" t="s">
        <v>16</v>
      </c>
      <c r="C48" t="s">
        <v>17</v>
      </c>
      <c r="D48" t="s">
        <v>12</v>
      </c>
      <c r="E48" t="s">
        <v>70</v>
      </c>
      <c r="F48" t="s">
        <v>71</v>
      </c>
      <c r="G48" t="s">
        <v>35</v>
      </c>
      <c r="H48">
        <v>1</v>
      </c>
      <c r="I48">
        <v>333</v>
      </c>
      <c r="J48">
        <v>72.34</v>
      </c>
    </row>
    <row r="49" spans="1:10" x14ac:dyDescent="0.25">
      <c r="A49" s="1">
        <v>44578</v>
      </c>
      <c r="B49" t="s">
        <v>29</v>
      </c>
      <c r="C49" t="s">
        <v>17</v>
      </c>
      <c r="D49" t="s">
        <v>12</v>
      </c>
      <c r="E49" t="s">
        <v>47</v>
      </c>
      <c r="F49" t="s">
        <v>46</v>
      </c>
      <c r="G49" t="s">
        <v>15</v>
      </c>
      <c r="H49">
        <v>4</v>
      </c>
      <c r="I49">
        <v>2384</v>
      </c>
      <c r="J49">
        <v>577.26</v>
      </c>
    </row>
    <row r="50" spans="1:10" x14ac:dyDescent="0.25">
      <c r="A50" s="1">
        <v>45622</v>
      </c>
      <c r="B50" t="s">
        <v>16</v>
      </c>
      <c r="C50" t="s">
        <v>17</v>
      </c>
      <c r="D50" t="s">
        <v>12</v>
      </c>
      <c r="E50" t="s">
        <v>47</v>
      </c>
      <c r="F50" t="s">
        <v>46</v>
      </c>
      <c r="G50" t="s">
        <v>15</v>
      </c>
      <c r="H50">
        <v>6</v>
      </c>
      <c r="I50">
        <v>888</v>
      </c>
      <c r="J50">
        <v>210.39</v>
      </c>
    </row>
    <row r="51" spans="1:10" x14ac:dyDescent="0.25">
      <c r="A51" s="1">
        <v>45554</v>
      </c>
      <c r="B51" t="s">
        <v>55</v>
      </c>
      <c r="C51" t="s">
        <v>19</v>
      </c>
      <c r="D51" t="s">
        <v>12</v>
      </c>
      <c r="E51" t="s">
        <v>72</v>
      </c>
      <c r="F51" t="s">
        <v>21</v>
      </c>
      <c r="G51" t="s">
        <v>15</v>
      </c>
      <c r="H51">
        <v>5</v>
      </c>
      <c r="I51">
        <v>3280</v>
      </c>
      <c r="J51">
        <v>954.17</v>
      </c>
    </row>
    <row r="52" spans="1:10" x14ac:dyDescent="0.25">
      <c r="A52" s="1">
        <v>45127</v>
      </c>
      <c r="B52" t="s">
        <v>16</v>
      </c>
      <c r="C52" t="s">
        <v>17</v>
      </c>
      <c r="D52" t="s">
        <v>12</v>
      </c>
      <c r="E52" t="s">
        <v>72</v>
      </c>
      <c r="F52" t="s">
        <v>21</v>
      </c>
      <c r="G52" t="s">
        <v>15</v>
      </c>
      <c r="H52">
        <v>7</v>
      </c>
      <c r="I52">
        <v>1239</v>
      </c>
      <c r="J52">
        <v>177.39</v>
      </c>
    </row>
    <row r="53" spans="1:10" x14ac:dyDescent="0.25">
      <c r="A53" s="1">
        <v>45415</v>
      </c>
      <c r="B53" t="s">
        <v>29</v>
      </c>
      <c r="C53" t="s">
        <v>17</v>
      </c>
      <c r="D53" t="s">
        <v>12</v>
      </c>
      <c r="E53" t="s">
        <v>72</v>
      </c>
      <c r="F53" t="s">
        <v>21</v>
      </c>
      <c r="G53" t="s">
        <v>15</v>
      </c>
      <c r="H53">
        <v>8</v>
      </c>
      <c r="I53">
        <v>5880</v>
      </c>
      <c r="J53">
        <v>436.85</v>
      </c>
    </row>
    <row r="54" spans="1:10" x14ac:dyDescent="0.25">
      <c r="A54" s="1">
        <v>44807</v>
      </c>
      <c r="B54" t="s">
        <v>40</v>
      </c>
      <c r="C54" t="s">
        <v>19</v>
      </c>
      <c r="D54" t="s">
        <v>12</v>
      </c>
      <c r="E54" t="s">
        <v>43</v>
      </c>
      <c r="F54" t="s">
        <v>44</v>
      </c>
      <c r="G54" t="s">
        <v>35</v>
      </c>
      <c r="H54">
        <v>2</v>
      </c>
      <c r="I54">
        <v>1668</v>
      </c>
      <c r="J54">
        <v>437.3</v>
      </c>
    </row>
    <row r="55" spans="1:10" x14ac:dyDescent="0.25">
      <c r="A55" s="1">
        <v>45482</v>
      </c>
      <c r="B55" t="s">
        <v>10</v>
      </c>
      <c r="C55" t="s">
        <v>11</v>
      </c>
      <c r="D55" t="s">
        <v>12</v>
      </c>
      <c r="E55" t="s">
        <v>43</v>
      </c>
      <c r="F55" t="s">
        <v>44</v>
      </c>
      <c r="G55" t="s">
        <v>35</v>
      </c>
      <c r="H55">
        <v>7</v>
      </c>
      <c r="I55">
        <v>4109</v>
      </c>
      <c r="J55">
        <v>1037.6400000000001</v>
      </c>
    </row>
    <row r="56" spans="1:10" x14ac:dyDescent="0.25">
      <c r="A56" s="1">
        <v>44882</v>
      </c>
      <c r="B56" t="s">
        <v>32</v>
      </c>
      <c r="C56" t="s">
        <v>19</v>
      </c>
      <c r="D56" t="s">
        <v>12</v>
      </c>
      <c r="E56" t="s">
        <v>43</v>
      </c>
      <c r="F56" t="s">
        <v>44</v>
      </c>
      <c r="G56" t="s">
        <v>35</v>
      </c>
      <c r="H56">
        <v>7</v>
      </c>
      <c r="I56">
        <v>595</v>
      </c>
      <c r="J56">
        <v>148.5</v>
      </c>
    </row>
    <row r="57" spans="1:10" x14ac:dyDescent="0.25">
      <c r="A57" s="1">
        <v>45288</v>
      </c>
      <c r="B57" t="s">
        <v>29</v>
      </c>
      <c r="C57" t="s">
        <v>17</v>
      </c>
      <c r="D57" t="s">
        <v>12</v>
      </c>
      <c r="E57" t="s">
        <v>43</v>
      </c>
      <c r="F57" t="s">
        <v>44</v>
      </c>
      <c r="G57" t="s">
        <v>35</v>
      </c>
      <c r="H57">
        <v>7</v>
      </c>
      <c r="I57">
        <v>8155</v>
      </c>
      <c r="J57">
        <v>1587.91</v>
      </c>
    </row>
    <row r="58" spans="1:10" x14ac:dyDescent="0.25">
      <c r="A58" s="1">
        <v>44711</v>
      </c>
      <c r="B58" t="s">
        <v>36</v>
      </c>
      <c r="C58" t="s">
        <v>17</v>
      </c>
      <c r="D58" t="s">
        <v>12</v>
      </c>
      <c r="E58" t="s">
        <v>73</v>
      </c>
      <c r="F58" t="s">
        <v>51</v>
      </c>
      <c r="G58" t="s">
        <v>35</v>
      </c>
      <c r="H58">
        <v>3</v>
      </c>
      <c r="I58">
        <v>1872</v>
      </c>
      <c r="J58">
        <v>553.1</v>
      </c>
    </row>
    <row r="59" spans="1:10" x14ac:dyDescent="0.25">
      <c r="A59" s="1">
        <v>45399</v>
      </c>
      <c r="B59" t="s">
        <v>32</v>
      </c>
      <c r="C59" t="s">
        <v>19</v>
      </c>
      <c r="D59" t="s">
        <v>12</v>
      </c>
      <c r="E59" t="s">
        <v>74</v>
      </c>
      <c r="F59" t="s">
        <v>23</v>
      </c>
      <c r="G59" t="s">
        <v>24</v>
      </c>
      <c r="H59">
        <v>6</v>
      </c>
      <c r="I59">
        <v>2124</v>
      </c>
      <c r="J59">
        <v>126.03</v>
      </c>
    </row>
    <row r="60" spans="1:10" x14ac:dyDescent="0.25">
      <c r="A60" s="1">
        <v>45565</v>
      </c>
      <c r="B60" t="s">
        <v>36</v>
      </c>
      <c r="C60" t="s">
        <v>17</v>
      </c>
      <c r="D60" t="s">
        <v>12</v>
      </c>
      <c r="E60" t="s">
        <v>43</v>
      </c>
      <c r="F60" t="s">
        <v>44</v>
      </c>
      <c r="G60" t="s">
        <v>35</v>
      </c>
      <c r="H60">
        <v>5</v>
      </c>
      <c r="I60">
        <v>5210</v>
      </c>
      <c r="J60">
        <v>1338.8</v>
      </c>
    </row>
    <row r="61" spans="1:10" x14ac:dyDescent="0.25">
      <c r="A61" s="1">
        <v>45445</v>
      </c>
      <c r="B61" t="s">
        <v>16</v>
      </c>
      <c r="C61" t="s">
        <v>17</v>
      </c>
      <c r="D61" t="s">
        <v>12</v>
      </c>
      <c r="E61" t="s">
        <v>74</v>
      </c>
      <c r="F61" t="s">
        <v>23</v>
      </c>
      <c r="G61" t="s">
        <v>24</v>
      </c>
      <c r="H61">
        <v>7</v>
      </c>
      <c r="I61">
        <v>5761</v>
      </c>
      <c r="J61">
        <v>362.48</v>
      </c>
    </row>
    <row r="62" spans="1:10" x14ac:dyDescent="0.25">
      <c r="A62" s="1">
        <v>44830</v>
      </c>
      <c r="B62" t="s">
        <v>29</v>
      </c>
      <c r="C62" t="s">
        <v>17</v>
      </c>
      <c r="D62" t="s">
        <v>12</v>
      </c>
      <c r="E62" t="s">
        <v>22</v>
      </c>
      <c r="F62" t="s">
        <v>23</v>
      </c>
      <c r="G62" t="s">
        <v>24</v>
      </c>
      <c r="H62">
        <v>7</v>
      </c>
      <c r="I62">
        <v>6895</v>
      </c>
      <c r="J62">
        <v>1596.35</v>
      </c>
    </row>
    <row r="63" spans="1:10" x14ac:dyDescent="0.25">
      <c r="A63" s="1">
        <v>45643</v>
      </c>
      <c r="B63" t="s">
        <v>32</v>
      </c>
      <c r="C63" t="s">
        <v>19</v>
      </c>
      <c r="D63" t="s">
        <v>12</v>
      </c>
      <c r="E63" t="s">
        <v>75</v>
      </c>
      <c r="F63" t="s">
        <v>63</v>
      </c>
      <c r="G63" t="s">
        <v>28</v>
      </c>
      <c r="H63">
        <v>3</v>
      </c>
      <c r="I63">
        <v>2118</v>
      </c>
      <c r="J63">
        <v>317.08</v>
      </c>
    </row>
    <row r="64" spans="1:10" x14ac:dyDescent="0.25">
      <c r="A64" s="1">
        <v>45574</v>
      </c>
      <c r="B64" t="s">
        <v>32</v>
      </c>
      <c r="C64" t="s">
        <v>19</v>
      </c>
      <c r="D64" t="s">
        <v>12</v>
      </c>
      <c r="E64" t="s">
        <v>76</v>
      </c>
      <c r="F64" t="s">
        <v>54</v>
      </c>
      <c r="G64" t="s">
        <v>24</v>
      </c>
      <c r="H64">
        <v>5</v>
      </c>
      <c r="I64">
        <v>830</v>
      </c>
      <c r="J64">
        <v>58.28</v>
      </c>
    </row>
    <row r="65" spans="1:10" x14ac:dyDescent="0.25">
      <c r="A65" s="1">
        <v>45121</v>
      </c>
      <c r="B65" t="s">
        <v>32</v>
      </c>
      <c r="C65" t="s">
        <v>19</v>
      </c>
      <c r="D65" t="s">
        <v>12</v>
      </c>
      <c r="E65" t="s">
        <v>76</v>
      </c>
      <c r="F65" t="s">
        <v>54</v>
      </c>
      <c r="G65" t="s">
        <v>24</v>
      </c>
      <c r="H65">
        <v>1</v>
      </c>
      <c r="I65">
        <v>851</v>
      </c>
      <c r="J65">
        <v>93.56</v>
      </c>
    </row>
    <row r="66" spans="1:10" x14ac:dyDescent="0.25">
      <c r="A66" s="1">
        <v>45265</v>
      </c>
      <c r="B66" t="s">
        <v>18</v>
      </c>
      <c r="C66" t="s">
        <v>19</v>
      </c>
      <c r="D66" t="s">
        <v>12</v>
      </c>
      <c r="E66" t="s">
        <v>76</v>
      </c>
      <c r="F66" t="s">
        <v>54</v>
      </c>
      <c r="G66" t="s">
        <v>24</v>
      </c>
      <c r="H66">
        <v>5</v>
      </c>
      <c r="I66">
        <v>4730</v>
      </c>
      <c r="J66">
        <v>1365.63</v>
      </c>
    </row>
    <row r="67" spans="1:10" x14ac:dyDescent="0.25">
      <c r="A67" s="1">
        <v>44715</v>
      </c>
      <c r="B67" t="s">
        <v>16</v>
      </c>
      <c r="C67" t="s">
        <v>17</v>
      </c>
      <c r="D67" t="s">
        <v>12</v>
      </c>
      <c r="E67" t="s">
        <v>77</v>
      </c>
      <c r="F67" t="s">
        <v>78</v>
      </c>
      <c r="G67" t="s">
        <v>28</v>
      </c>
      <c r="H67">
        <v>6</v>
      </c>
      <c r="I67">
        <v>5460</v>
      </c>
      <c r="J67">
        <v>845.75</v>
      </c>
    </row>
    <row r="68" spans="1:10" x14ac:dyDescent="0.25">
      <c r="A68" s="1">
        <v>45654</v>
      </c>
      <c r="B68" t="s">
        <v>29</v>
      </c>
      <c r="C68" t="s">
        <v>17</v>
      </c>
      <c r="D68" t="s">
        <v>12</v>
      </c>
      <c r="E68" t="s">
        <v>43</v>
      </c>
      <c r="F68" t="s">
        <v>44</v>
      </c>
      <c r="G68" t="s">
        <v>35</v>
      </c>
      <c r="H68">
        <v>5</v>
      </c>
      <c r="I68">
        <v>5795</v>
      </c>
      <c r="J68">
        <v>310.60000000000002</v>
      </c>
    </row>
    <row r="69" spans="1:10" x14ac:dyDescent="0.25">
      <c r="A69" s="1">
        <v>44779</v>
      </c>
      <c r="B69" t="s">
        <v>55</v>
      </c>
      <c r="C69" t="s">
        <v>19</v>
      </c>
      <c r="D69" t="s">
        <v>12</v>
      </c>
      <c r="E69" t="s">
        <v>52</v>
      </c>
      <c r="F69" t="s">
        <v>42</v>
      </c>
      <c r="G69" t="s">
        <v>28</v>
      </c>
      <c r="H69">
        <v>4</v>
      </c>
      <c r="I69">
        <v>2008</v>
      </c>
      <c r="J69">
        <v>338.44</v>
      </c>
    </row>
    <row r="70" spans="1:10" x14ac:dyDescent="0.25">
      <c r="A70" s="1">
        <v>45083</v>
      </c>
      <c r="B70" t="s">
        <v>16</v>
      </c>
      <c r="C70" t="s">
        <v>17</v>
      </c>
      <c r="D70" t="s">
        <v>12</v>
      </c>
      <c r="E70" t="s">
        <v>79</v>
      </c>
      <c r="F70" t="s">
        <v>54</v>
      </c>
      <c r="G70" t="s">
        <v>24</v>
      </c>
      <c r="H70">
        <v>7</v>
      </c>
      <c r="I70">
        <v>2842</v>
      </c>
      <c r="J70">
        <v>425.24</v>
      </c>
    </row>
    <row r="71" spans="1:10" x14ac:dyDescent="0.25">
      <c r="A71" s="1">
        <v>45323</v>
      </c>
      <c r="B71" t="s">
        <v>16</v>
      </c>
      <c r="C71" t="s">
        <v>17</v>
      </c>
      <c r="D71" t="s">
        <v>12</v>
      </c>
      <c r="E71" t="s">
        <v>79</v>
      </c>
      <c r="F71" t="s">
        <v>54</v>
      </c>
      <c r="G71" t="s">
        <v>24</v>
      </c>
      <c r="H71">
        <v>4</v>
      </c>
      <c r="I71">
        <v>3404</v>
      </c>
      <c r="J71">
        <v>392.22</v>
      </c>
    </row>
    <row r="72" spans="1:10" x14ac:dyDescent="0.25">
      <c r="A72" s="1">
        <v>45077</v>
      </c>
      <c r="B72" t="s">
        <v>32</v>
      </c>
      <c r="C72" t="s">
        <v>19</v>
      </c>
      <c r="D72" t="s">
        <v>12</v>
      </c>
      <c r="E72" t="s">
        <v>79</v>
      </c>
      <c r="F72" t="s">
        <v>54</v>
      </c>
      <c r="G72" t="s">
        <v>24</v>
      </c>
      <c r="H72">
        <v>1</v>
      </c>
      <c r="I72">
        <v>1065</v>
      </c>
      <c r="J72">
        <v>228.63</v>
      </c>
    </row>
    <row r="73" spans="1:10" x14ac:dyDescent="0.25">
      <c r="A73" s="1">
        <v>45457</v>
      </c>
      <c r="B73" t="s">
        <v>18</v>
      </c>
      <c r="C73" t="s">
        <v>19</v>
      </c>
      <c r="D73" t="s">
        <v>12</v>
      </c>
      <c r="E73" t="s">
        <v>80</v>
      </c>
      <c r="F73" t="s">
        <v>78</v>
      </c>
      <c r="G73" t="s">
        <v>28</v>
      </c>
      <c r="H73">
        <v>7</v>
      </c>
      <c r="I73">
        <v>2149</v>
      </c>
      <c r="J73">
        <v>121.69</v>
      </c>
    </row>
    <row r="74" spans="1:10" x14ac:dyDescent="0.25">
      <c r="A74" s="1">
        <v>45518</v>
      </c>
      <c r="B74" t="s">
        <v>49</v>
      </c>
      <c r="C74" t="s">
        <v>17</v>
      </c>
      <c r="D74" t="s">
        <v>12</v>
      </c>
      <c r="E74" t="s">
        <v>52</v>
      </c>
      <c r="F74" t="s">
        <v>42</v>
      </c>
      <c r="G74" t="s">
        <v>28</v>
      </c>
      <c r="H74">
        <v>8</v>
      </c>
      <c r="I74">
        <v>5912</v>
      </c>
      <c r="J74">
        <v>1143.04</v>
      </c>
    </row>
    <row r="75" spans="1:10" x14ac:dyDescent="0.25">
      <c r="A75" s="1">
        <v>44958</v>
      </c>
      <c r="B75" t="s">
        <v>16</v>
      </c>
      <c r="C75" t="s">
        <v>17</v>
      </c>
      <c r="D75" t="s">
        <v>12</v>
      </c>
      <c r="E75" t="s">
        <v>81</v>
      </c>
      <c r="F75" t="s">
        <v>46</v>
      </c>
      <c r="G75" t="s">
        <v>15</v>
      </c>
      <c r="H75">
        <v>3</v>
      </c>
      <c r="I75">
        <v>3348</v>
      </c>
      <c r="J75">
        <v>331.28</v>
      </c>
    </row>
    <row r="76" spans="1:10" x14ac:dyDescent="0.25">
      <c r="A76" s="1">
        <v>45410</v>
      </c>
      <c r="B76" t="s">
        <v>40</v>
      </c>
      <c r="C76" t="s">
        <v>19</v>
      </c>
      <c r="D76" t="s">
        <v>12</v>
      </c>
      <c r="E76" t="s">
        <v>26</v>
      </c>
      <c r="F76" t="s">
        <v>27</v>
      </c>
      <c r="G76" t="s">
        <v>28</v>
      </c>
      <c r="H76">
        <v>3</v>
      </c>
      <c r="I76">
        <v>2409</v>
      </c>
      <c r="J76">
        <v>531.79</v>
      </c>
    </row>
    <row r="77" spans="1:10" x14ac:dyDescent="0.25">
      <c r="A77" s="1">
        <v>45387</v>
      </c>
      <c r="B77" t="s">
        <v>18</v>
      </c>
      <c r="C77" t="s">
        <v>19</v>
      </c>
      <c r="D77" t="s">
        <v>12</v>
      </c>
      <c r="E77" t="s">
        <v>74</v>
      </c>
      <c r="F77" t="s">
        <v>23</v>
      </c>
      <c r="G77" t="s">
        <v>24</v>
      </c>
      <c r="H77">
        <v>2</v>
      </c>
      <c r="I77">
        <v>328</v>
      </c>
      <c r="J77">
        <v>39.51</v>
      </c>
    </row>
    <row r="78" spans="1:10" x14ac:dyDescent="0.25">
      <c r="A78" s="1">
        <v>45322</v>
      </c>
      <c r="B78" t="s">
        <v>40</v>
      </c>
      <c r="C78" t="s">
        <v>19</v>
      </c>
      <c r="D78" t="s">
        <v>12</v>
      </c>
      <c r="E78" t="s">
        <v>52</v>
      </c>
      <c r="F78" t="s">
        <v>42</v>
      </c>
      <c r="G78" t="s">
        <v>28</v>
      </c>
      <c r="H78">
        <v>8</v>
      </c>
      <c r="I78">
        <v>6224</v>
      </c>
      <c r="J78">
        <v>1561.42</v>
      </c>
    </row>
    <row r="79" spans="1:10" x14ac:dyDescent="0.25">
      <c r="A79" s="1">
        <v>45300</v>
      </c>
      <c r="B79" t="s">
        <v>32</v>
      </c>
      <c r="C79" t="s">
        <v>19</v>
      </c>
      <c r="D79" t="s">
        <v>12</v>
      </c>
      <c r="E79" t="s">
        <v>52</v>
      </c>
      <c r="F79" t="s">
        <v>42</v>
      </c>
      <c r="G79" t="s">
        <v>28</v>
      </c>
      <c r="H79">
        <v>5</v>
      </c>
      <c r="I79">
        <v>2530</v>
      </c>
      <c r="J79">
        <v>486.09</v>
      </c>
    </row>
    <row r="80" spans="1:10" x14ac:dyDescent="0.25">
      <c r="A80" s="1">
        <v>44657</v>
      </c>
      <c r="B80" t="s">
        <v>29</v>
      </c>
      <c r="C80" t="s">
        <v>17</v>
      </c>
      <c r="D80" t="s">
        <v>12</v>
      </c>
      <c r="E80" t="s">
        <v>52</v>
      </c>
      <c r="F80" t="s">
        <v>42</v>
      </c>
      <c r="G80" t="s">
        <v>28</v>
      </c>
      <c r="H80">
        <v>4</v>
      </c>
      <c r="I80">
        <v>4108</v>
      </c>
      <c r="J80">
        <v>462.17</v>
      </c>
    </row>
    <row r="81" spans="1:10" x14ac:dyDescent="0.25">
      <c r="A81" s="1">
        <v>45434</v>
      </c>
      <c r="B81" t="s">
        <v>10</v>
      </c>
      <c r="C81" t="s">
        <v>11</v>
      </c>
      <c r="D81" t="s">
        <v>12</v>
      </c>
      <c r="E81" t="s">
        <v>82</v>
      </c>
      <c r="F81" t="s">
        <v>83</v>
      </c>
      <c r="G81" t="s">
        <v>28</v>
      </c>
      <c r="H81">
        <v>5</v>
      </c>
      <c r="I81">
        <v>1640</v>
      </c>
      <c r="J81">
        <v>391.36</v>
      </c>
    </row>
    <row r="82" spans="1:10" x14ac:dyDescent="0.25">
      <c r="A82" s="1">
        <v>45290</v>
      </c>
      <c r="B82" t="s">
        <v>55</v>
      </c>
      <c r="C82" t="s">
        <v>19</v>
      </c>
      <c r="D82" t="s">
        <v>12</v>
      </c>
      <c r="E82" t="s">
        <v>64</v>
      </c>
      <c r="F82" t="s">
        <v>84</v>
      </c>
      <c r="G82" t="s">
        <v>28</v>
      </c>
      <c r="H82">
        <v>1</v>
      </c>
      <c r="I82">
        <v>111</v>
      </c>
      <c r="J82">
        <v>19.329999999999998</v>
      </c>
    </row>
    <row r="83" spans="1:10" x14ac:dyDescent="0.25">
      <c r="A83" s="1">
        <v>44637</v>
      </c>
      <c r="B83" t="s">
        <v>29</v>
      </c>
      <c r="C83" t="s">
        <v>17</v>
      </c>
      <c r="D83" t="s">
        <v>12</v>
      </c>
      <c r="E83" t="s">
        <v>85</v>
      </c>
      <c r="F83" t="s">
        <v>21</v>
      </c>
      <c r="G83" t="s">
        <v>15</v>
      </c>
      <c r="H83">
        <v>1</v>
      </c>
      <c r="I83">
        <v>445</v>
      </c>
      <c r="J83">
        <v>128.88999999999999</v>
      </c>
    </row>
    <row r="84" spans="1:10" x14ac:dyDescent="0.25">
      <c r="A84" s="1">
        <v>44705</v>
      </c>
      <c r="B84" t="s">
        <v>10</v>
      </c>
      <c r="C84" t="s">
        <v>11</v>
      </c>
      <c r="D84" t="s">
        <v>12</v>
      </c>
      <c r="E84" t="s">
        <v>26</v>
      </c>
      <c r="F84" t="s">
        <v>27</v>
      </c>
      <c r="G84" t="s">
        <v>28</v>
      </c>
      <c r="H84">
        <v>4</v>
      </c>
      <c r="I84">
        <v>3600</v>
      </c>
      <c r="J84">
        <v>623.72</v>
      </c>
    </row>
    <row r="85" spans="1:10" x14ac:dyDescent="0.25">
      <c r="A85" s="1">
        <v>45452</v>
      </c>
      <c r="B85" t="s">
        <v>16</v>
      </c>
      <c r="C85" t="s">
        <v>17</v>
      </c>
      <c r="D85" t="s">
        <v>12</v>
      </c>
      <c r="E85" t="s">
        <v>37</v>
      </c>
      <c r="F85" t="s">
        <v>34</v>
      </c>
      <c r="G85" t="s">
        <v>35</v>
      </c>
      <c r="H85">
        <v>3</v>
      </c>
      <c r="I85">
        <v>1335</v>
      </c>
      <c r="J85">
        <v>176.44</v>
      </c>
    </row>
    <row r="86" spans="1:10" x14ac:dyDescent="0.25">
      <c r="A86" s="1">
        <v>45627</v>
      </c>
      <c r="B86" t="s">
        <v>49</v>
      </c>
      <c r="C86" t="s">
        <v>17</v>
      </c>
      <c r="D86" t="s">
        <v>12</v>
      </c>
      <c r="E86" t="s">
        <v>74</v>
      </c>
      <c r="F86" t="s">
        <v>23</v>
      </c>
      <c r="G86" t="s">
        <v>24</v>
      </c>
      <c r="H86">
        <v>5</v>
      </c>
      <c r="I86">
        <v>3090</v>
      </c>
      <c r="J86">
        <v>242.15</v>
      </c>
    </row>
    <row r="87" spans="1:10" x14ac:dyDescent="0.25">
      <c r="A87" s="1">
        <v>45219</v>
      </c>
      <c r="B87" t="s">
        <v>10</v>
      </c>
      <c r="C87" t="s">
        <v>11</v>
      </c>
      <c r="D87" t="s">
        <v>12</v>
      </c>
      <c r="E87" t="s">
        <v>74</v>
      </c>
      <c r="F87" t="s">
        <v>23</v>
      </c>
      <c r="G87" t="s">
        <v>24</v>
      </c>
      <c r="H87">
        <v>5</v>
      </c>
      <c r="I87">
        <v>3910</v>
      </c>
      <c r="J87">
        <v>538.52</v>
      </c>
    </row>
    <row r="88" spans="1:10" x14ac:dyDescent="0.25">
      <c r="A88" s="1">
        <v>45356</v>
      </c>
      <c r="B88" t="s">
        <v>25</v>
      </c>
      <c r="C88" t="s">
        <v>19</v>
      </c>
      <c r="D88" t="s">
        <v>12</v>
      </c>
      <c r="E88" t="s">
        <v>74</v>
      </c>
      <c r="F88" t="s">
        <v>23</v>
      </c>
      <c r="G88" t="s">
        <v>24</v>
      </c>
      <c r="H88">
        <v>1</v>
      </c>
      <c r="I88">
        <v>219</v>
      </c>
      <c r="J88">
        <v>32.67</v>
      </c>
    </row>
    <row r="89" spans="1:10" x14ac:dyDescent="0.25">
      <c r="A89" s="1">
        <v>44900</v>
      </c>
      <c r="B89" t="s">
        <v>40</v>
      </c>
      <c r="C89" t="s">
        <v>19</v>
      </c>
      <c r="D89" t="s">
        <v>12</v>
      </c>
      <c r="E89" t="s">
        <v>56</v>
      </c>
      <c r="F89" t="s">
        <v>57</v>
      </c>
      <c r="G89" t="s">
        <v>24</v>
      </c>
      <c r="H89">
        <v>5</v>
      </c>
      <c r="I89">
        <v>390</v>
      </c>
      <c r="J89">
        <v>27.77</v>
      </c>
    </row>
    <row r="90" spans="1:10" x14ac:dyDescent="0.25">
      <c r="A90" s="1">
        <v>44778</v>
      </c>
      <c r="B90" t="s">
        <v>55</v>
      </c>
      <c r="C90" t="s">
        <v>19</v>
      </c>
      <c r="D90" t="s">
        <v>12</v>
      </c>
      <c r="E90" t="s">
        <v>22</v>
      </c>
      <c r="F90" t="s">
        <v>23</v>
      </c>
      <c r="G90" t="s">
        <v>24</v>
      </c>
      <c r="H90">
        <v>6</v>
      </c>
      <c r="I90">
        <v>3294</v>
      </c>
      <c r="J90">
        <v>359.61</v>
      </c>
    </row>
    <row r="91" spans="1:10" x14ac:dyDescent="0.25">
      <c r="A91" s="1">
        <v>45006</v>
      </c>
      <c r="B91" t="s">
        <v>49</v>
      </c>
      <c r="C91" t="s">
        <v>17</v>
      </c>
      <c r="D91" t="s">
        <v>12</v>
      </c>
      <c r="E91" t="s">
        <v>86</v>
      </c>
      <c r="F91" t="s">
        <v>84</v>
      </c>
      <c r="G91" t="s">
        <v>28</v>
      </c>
      <c r="H91">
        <v>4</v>
      </c>
      <c r="I91">
        <v>4572</v>
      </c>
      <c r="J91">
        <v>1038.05</v>
      </c>
    </row>
    <row r="92" spans="1:10" x14ac:dyDescent="0.25">
      <c r="A92" s="1">
        <v>44600</v>
      </c>
      <c r="B92" t="s">
        <v>36</v>
      </c>
      <c r="C92" t="s">
        <v>17</v>
      </c>
      <c r="D92" t="s">
        <v>12</v>
      </c>
      <c r="E92" t="s">
        <v>87</v>
      </c>
      <c r="F92" t="s">
        <v>88</v>
      </c>
      <c r="G92" t="s">
        <v>15</v>
      </c>
      <c r="H92">
        <v>7</v>
      </c>
      <c r="I92">
        <v>980</v>
      </c>
      <c r="J92">
        <v>109.94</v>
      </c>
    </row>
    <row r="93" spans="1:10" x14ac:dyDescent="0.25">
      <c r="A93" s="1">
        <v>45017</v>
      </c>
      <c r="B93" t="s">
        <v>29</v>
      </c>
      <c r="C93" t="s">
        <v>17</v>
      </c>
      <c r="D93" t="s">
        <v>12</v>
      </c>
      <c r="E93" t="s">
        <v>89</v>
      </c>
      <c r="F93" t="s">
        <v>71</v>
      </c>
      <c r="G93" t="s">
        <v>35</v>
      </c>
      <c r="H93">
        <v>2</v>
      </c>
      <c r="I93">
        <v>2262</v>
      </c>
      <c r="J93">
        <v>532.12</v>
      </c>
    </row>
    <row r="94" spans="1:10" x14ac:dyDescent="0.25">
      <c r="A94" s="1">
        <v>44909</v>
      </c>
      <c r="B94" t="s">
        <v>25</v>
      </c>
      <c r="C94" t="s">
        <v>19</v>
      </c>
      <c r="D94" t="s">
        <v>12</v>
      </c>
      <c r="E94" t="s">
        <v>52</v>
      </c>
      <c r="F94" t="s">
        <v>42</v>
      </c>
      <c r="G94" t="s">
        <v>28</v>
      </c>
      <c r="H94">
        <v>7</v>
      </c>
      <c r="I94">
        <v>7518</v>
      </c>
      <c r="J94">
        <v>1655.91</v>
      </c>
    </row>
    <row r="95" spans="1:10" x14ac:dyDescent="0.25">
      <c r="A95" s="1">
        <v>44695</v>
      </c>
      <c r="B95" t="s">
        <v>25</v>
      </c>
      <c r="C95" t="s">
        <v>19</v>
      </c>
      <c r="D95" t="s">
        <v>12</v>
      </c>
      <c r="E95" t="s">
        <v>70</v>
      </c>
      <c r="F95" t="s">
        <v>71</v>
      </c>
      <c r="G95" t="s">
        <v>35</v>
      </c>
      <c r="H95">
        <v>1</v>
      </c>
      <c r="I95">
        <v>873</v>
      </c>
      <c r="J95">
        <v>158.97</v>
      </c>
    </row>
    <row r="96" spans="1:10" x14ac:dyDescent="0.25">
      <c r="A96" s="1">
        <v>44608</v>
      </c>
      <c r="B96" t="s">
        <v>16</v>
      </c>
      <c r="C96" t="s">
        <v>17</v>
      </c>
      <c r="D96" t="s">
        <v>12</v>
      </c>
      <c r="E96" t="s">
        <v>70</v>
      </c>
      <c r="F96" t="s">
        <v>71</v>
      </c>
      <c r="G96" t="s">
        <v>35</v>
      </c>
      <c r="H96">
        <v>6</v>
      </c>
      <c r="I96">
        <v>1512</v>
      </c>
      <c r="J96">
        <v>423.03</v>
      </c>
    </row>
    <row r="97" spans="1:10" x14ac:dyDescent="0.25">
      <c r="A97" s="1">
        <v>45532</v>
      </c>
      <c r="B97" t="s">
        <v>55</v>
      </c>
      <c r="C97" t="s">
        <v>19</v>
      </c>
      <c r="D97" t="s">
        <v>12</v>
      </c>
      <c r="E97" t="s">
        <v>75</v>
      </c>
      <c r="F97" t="s">
        <v>39</v>
      </c>
      <c r="G97" t="s">
        <v>35</v>
      </c>
      <c r="H97">
        <v>1</v>
      </c>
      <c r="I97">
        <v>705</v>
      </c>
      <c r="J97">
        <v>165.16</v>
      </c>
    </row>
    <row r="98" spans="1:10" x14ac:dyDescent="0.25">
      <c r="A98" s="1">
        <v>45229</v>
      </c>
      <c r="B98" t="s">
        <v>32</v>
      </c>
      <c r="C98" t="s">
        <v>19</v>
      </c>
      <c r="D98" t="s">
        <v>12</v>
      </c>
      <c r="E98" t="s">
        <v>90</v>
      </c>
      <c r="F98" t="s">
        <v>63</v>
      </c>
      <c r="G98" t="s">
        <v>28</v>
      </c>
      <c r="H98">
        <v>8</v>
      </c>
      <c r="I98">
        <v>3256</v>
      </c>
      <c r="J98">
        <v>533.70000000000005</v>
      </c>
    </row>
    <row r="99" spans="1:10" x14ac:dyDescent="0.25">
      <c r="A99" s="1">
        <v>45101</v>
      </c>
      <c r="B99" t="s">
        <v>18</v>
      </c>
      <c r="C99" t="s">
        <v>19</v>
      </c>
      <c r="D99" t="s">
        <v>12</v>
      </c>
      <c r="E99" t="s">
        <v>91</v>
      </c>
      <c r="F99" t="s">
        <v>23</v>
      </c>
      <c r="G99" t="s">
        <v>24</v>
      </c>
      <c r="H99">
        <v>4</v>
      </c>
      <c r="I99">
        <v>556</v>
      </c>
      <c r="J99">
        <v>81.77</v>
      </c>
    </row>
    <row r="100" spans="1:10" x14ac:dyDescent="0.25">
      <c r="A100" s="1">
        <v>45063</v>
      </c>
      <c r="B100" t="s">
        <v>16</v>
      </c>
      <c r="C100" t="s">
        <v>17</v>
      </c>
      <c r="D100" t="s">
        <v>12</v>
      </c>
      <c r="E100" t="s">
        <v>92</v>
      </c>
      <c r="F100" t="s">
        <v>44</v>
      </c>
      <c r="G100" t="s">
        <v>35</v>
      </c>
      <c r="H100">
        <v>9</v>
      </c>
      <c r="I100">
        <v>7101</v>
      </c>
      <c r="J100">
        <v>2105.8200000000002</v>
      </c>
    </row>
    <row r="101" spans="1:10" x14ac:dyDescent="0.25">
      <c r="A101" s="1">
        <v>45022</v>
      </c>
      <c r="B101" t="s">
        <v>55</v>
      </c>
      <c r="C101" t="s">
        <v>19</v>
      </c>
      <c r="D101" t="s">
        <v>12</v>
      </c>
      <c r="E101" t="s">
        <v>93</v>
      </c>
      <c r="F101" t="s">
        <v>94</v>
      </c>
      <c r="G101" t="s">
        <v>24</v>
      </c>
      <c r="H101">
        <v>9</v>
      </c>
      <c r="I101">
        <v>8802</v>
      </c>
      <c r="J101">
        <v>1344.96</v>
      </c>
    </row>
    <row r="102" spans="1:10" x14ac:dyDescent="0.25">
      <c r="A102" s="1">
        <v>45011</v>
      </c>
      <c r="B102" t="s">
        <v>29</v>
      </c>
      <c r="C102" t="s">
        <v>17</v>
      </c>
      <c r="D102" t="s">
        <v>12</v>
      </c>
      <c r="E102" t="s">
        <v>93</v>
      </c>
      <c r="F102" t="s">
        <v>94</v>
      </c>
      <c r="G102" t="s">
        <v>24</v>
      </c>
      <c r="H102">
        <v>6</v>
      </c>
      <c r="I102">
        <v>5592</v>
      </c>
      <c r="J102">
        <v>1294.1600000000001</v>
      </c>
    </row>
    <row r="103" spans="1:10" x14ac:dyDescent="0.25">
      <c r="A103" s="1">
        <v>45577</v>
      </c>
      <c r="B103" t="s">
        <v>18</v>
      </c>
      <c r="C103" t="s">
        <v>19</v>
      </c>
      <c r="D103" t="s">
        <v>12</v>
      </c>
      <c r="E103" t="s">
        <v>95</v>
      </c>
      <c r="F103" t="s">
        <v>44</v>
      </c>
      <c r="G103" t="s">
        <v>35</v>
      </c>
      <c r="H103">
        <v>2</v>
      </c>
      <c r="I103">
        <v>1852</v>
      </c>
      <c r="J103">
        <v>168.92</v>
      </c>
    </row>
    <row r="104" spans="1:10" x14ac:dyDescent="0.25">
      <c r="A104" s="1">
        <v>44738</v>
      </c>
      <c r="B104" t="s">
        <v>36</v>
      </c>
      <c r="C104" t="s">
        <v>17</v>
      </c>
      <c r="D104" t="s">
        <v>12</v>
      </c>
      <c r="E104" t="s">
        <v>96</v>
      </c>
      <c r="F104" t="s">
        <v>34</v>
      </c>
      <c r="G104" t="s">
        <v>35</v>
      </c>
      <c r="H104">
        <v>1</v>
      </c>
      <c r="I104">
        <v>195</v>
      </c>
      <c r="J104">
        <v>57.88</v>
      </c>
    </row>
    <row r="105" spans="1:10" x14ac:dyDescent="0.25">
      <c r="A105" s="1">
        <v>44666</v>
      </c>
      <c r="B105" t="s">
        <v>16</v>
      </c>
      <c r="C105" t="s">
        <v>17</v>
      </c>
      <c r="D105" t="s">
        <v>12</v>
      </c>
      <c r="E105" t="s">
        <v>74</v>
      </c>
      <c r="F105" t="s">
        <v>23</v>
      </c>
      <c r="G105" t="s">
        <v>24</v>
      </c>
      <c r="H105">
        <v>9</v>
      </c>
      <c r="I105">
        <v>7884</v>
      </c>
      <c r="J105">
        <v>2054.02</v>
      </c>
    </row>
    <row r="106" spans="1:10" x14ac:dyDescent="0.25">
      <c r="A106" s="1">
        <v>45270</v>
      </c>
      <c r="B106" t="s">
        <v>55</v>
      </c>
      <c r="C106" t="s">
        <v>19</v>
      </c>
      <c r="D106" t="s">
        <v>12</v>
      </c>
      <c r="E106" t="s">
        <v>41</v>
      </c>
      <c r="F106" t="s">
        <v>42</v>
      </c>
      <c r="G106" t="s">
        <v>28</v>
      </c>
      <c r="H106">
        <v>5</v>
      </c>
      <c r="I106">
        <v>4360</v>
      </c>
      <c r="J106">
        <v>1160.55</v>
      </c>
    </row>
    <row r="107" spans="1:10" x14ac:dyDescent="0.25">
      <c r="A107" s="1">
        <v>45558</v>
      </c>
      <c r="B107" t="s">
        <v>16</v>
      </c>
      <c r="C107" t="s">
        <v>17</v>
      </c>
      <c r="D107" t="s">
        <v>12</v>
      </c>
      <c r="E107" t="s">
        <v>22</v>
      </c>
      <c r="F107" t="s">
        <v>23</v>
      </c>
      <c r="G107" t="s">
        <v>24</v>
      </c>
      <c r="H107">
        <v>6</v>
      </c>
      <c r="I107">
        <v>4920</v>
      </c>
      <c r="J107">
        <v>929.18</v>
      </c>
    </row>
    <row r="108" spans="1:10" x14ac:dyDescent="0.25">
      <c r="A108" s="1">
        <v>44562</v>
      </c>
      <c r="B108" t="s">
        <v>16</v>
      </c>
      <c r="C108" t="s">
        <v>17</v>
      </c>
      <c r="D108" t="s">
        <v>12</v>
      </c>
      <c r="E108" t="s">
        <v>45</v>
      </c>
      <c r="F108" t="s">
        <v>46</v>
      </c>
      <c r="G108" t="s">
        <v>15</v>
      </c>
      <c r="H108">
        <v>3</v>
      </c>
      <c r="I108">
        <v>3474</v>
      </c>
      <c r="J108">
        <v>565</v>
      </c>
    </row>
    <row r="109" spans="1:10" x14ac:dyDescent="0.25">
      <c r="A109" s="1">
        <v>44595</v>
      </c>
      <c r="B109" t="s">
        <v>49</v>
      </c>
      <c r="C109" t="s">
        <v>17</v>
      </c>
      <c r="D109" t="s">
        <v>12</v>
      </c>
      <c r="E109" t="s">
        <v>97</v>
      </c>
      <c r="F109" t="s">
        <v>23</v>
      </c>
      <c r="G109" t="s">
        <v>24</v>
      </c>
      <c r="H109">
        <v>1</v>
      </c>
      <c r="I109">
        <v>930</v>
      </c>
      <c r="J109">
        <v>222.5</v>
      </c>
    </row>
    <row r="110" spans="1:10" x14ac:dyDescent="0.25">
      <c r="A110" s="1">
        <v>44999</v>
      </c>
      <c r="B110" t="s">
        <v>18</v>
      </c>
      <c r="C110" t="s">
        <v>19</v>
      </c>
      <c r="D110" t="s">
        <v>12</v>
      </c>
      <c r="E110" t="s">
        <v>97</v>
      </c>
      <c r="F110" t="s">
        <v>23</v>
      </c>
      <c r="G110" t="s">
        <v>24</v>
      </c>
      <c r="H110">
        <v>7</v>
      </c>
      <c r="I110">
        <v>1421</v>
      </c>
      <c r="J110">
        <v>248.02</v>
      </c>
    </row>
    <row r="111" spans="1:10" x14ac:dyDescent="0.25">
      <c r="A111" s="1">
        <v>44797</v>
      </c>
      <c r="B111" t="s">
        <v>29</v>
      </c>
      <c r="C111" t="s">
        <v>17</v>
      </c>
      <c r="D111" t="s">
        <v>12</v>
      </c>
      <c r="E111" t="s">
        <v>97</v>
      </c>
      <c r="F111" t="s">
        <v>23</v>
      </c>
      <c r="G111" t="s">
        <v>24</v>
      </c>
      <c r="H111">
        <v>2</v>
      </c>
      <c r="I111">
        <v>634</v>
      </c>
      <c r="J111">
        <v>161.1</v>
      </c>
    </row>
    <row r="112" spans="1:10" x14ac:dyDescent="0.25">
      <c r="A112" s="1">
        <v>45480</v>
      </c>
      <c r="B112" t="s">
        <v>25</v>
      </c>
      <c r="C112" t="s">
        <v>19</v>
      </c>
      <c r="D112" t="s">
        <v>12</v>
      </c>
      <c r="E112" t="s">
        <v>98</v>
      </c>
      <c r="F112" t="s">
        <v>54</v>
      </c>
      <c r="G112" t="s">
        <v>24</v>
      </c>
      <c r="H112">
        <v>1</v>
      </c>
      <c r="I112">
        <v>673</v>
      </c>
      <c r="J112">
        <v>114.42</v>
      </c>
    </row>
    <row r="113" spans="1:10" x14ac:dyDescent="0.25">
      <c r="A113" s="1">
        <v>44664</v>
      </c>
      <c r="B113" t="s">
        <v>16</v>
      </c>
      <c r="C113" t="s">
        <v>17</v>
      </c>
      <c r="D113" t="s">
        <v>12</v>
      </c>
      <c r="E113" t="s">
        <v>99</v>
      </c>
      <c r="F113" t="s">
        <v>100</v>
      </c>
      <c r="G113" t="s">
        <v>35</v>
      </c>
      <c r="H113">
        <v>5</v>
      </c>
      <c r="I113">
        <v>3135</v>
      </c>
      <c r="J113">
        <v>787.7</v>
      </c>
    </row>
    <row r="114" spans="1:10" x14ac:dyDescent="0.25">
      <c r="A114" s="1">
        <v>45420</v>
      </c>
      <c r="B114" t="s">
        <v>40</v>
      </c>
      <c r="C114" t="s">
        <v>19</v>
      </c>
      <c r="D114" t="s">
        <v>12</v>
      </c>
      <c r="E114" t="s">
        <v>70</v>
      </c>
      <c r="F114" t="s">
        <v>71</v>
      </c>
      <c r="G114" t="s">
        <v>35</v>
      </c>
      <c r="H114">
        <v>6</v>
      </c>
      <c r="I114">
        <v>882</v>
      </c>
      <c r="J114">
        <v>184.48</v>
      </c>
    </row>
    <row r="115" spans="1:10" x14ac:dyDescent="0.25">
      <c r="A115" s="1">
        <v>45545</v>
      </c>
      <c r="B115" t="s">
        <v>40</v>
      </c>
      <c r="C115" t="s">
        <v>19</v>
      </c>
      <c r="D115" t="s">
        <v>12</v>
      </c>
      <c r="E115" t="s">
        <v>101</v>
      </c>
      <c r="F115" t="s">
        <v>21</v>
      </c>
      <c r="G115" t="s">
        <v>15</v>
      </c>
      <c r="H115">
        <v>4</v>
      </c>
      <c r="I115">
        <v>1192</v>
      </c>
      <c r="J115">
        <v>212.77</v>
      </c>
    </row>
    <row r="116" spans="1:10" x14ac:dyDescent="0.25">
      <c r="A116" s="1">
        <v>45461</v>
      </c>
      <c r="B116" t="s">
        <v>10</v>
      </c>
      <c r="C116" t="s">
        <v>11</v>
      </c>
      <c r="D116" t="s">
        <v>12</v>
      </c>
      <c r="E116" t="s">
        <v>101</v>
      </c>
      <c r="F116" t="s">
        <v>21</v>
      </c>
      <c r="G116" t="s">
        <v>15</v>
      </c>
      <c r="H116">
        <v>3</v>
      </c>
      <c r="I116">
        <v>390</v>
      </c>
      <c r="J116">
        <v>112.08</v>
      </c>
    </row>
    <row r="117" spans="1:10" x14ac:dyDescent="0.25">
      <c r="A117" s="1">
        <v>45545</v>
      </c>
      <c r="B117" t="s">
        <v>18</v>
      </c>
      <c r="C117" t="s">
        <v>19</v>
      </c>
      <c r="D117" t="s">
        <v>12</v>
      </c>
      <c r="E117" t="s">
        <v>22</v>
      </c>
      <c r="F117" t="s">
        <v>23</v>
      </c>
      <c r="G117" t="s">
        <v>24</v>
      </c>
      <c r="H117">
        <v>1</v>
      </c>
      <c r="I117">
        <v>834</v>
      </c>
      <c r="J117">
        <v>95.54</v>
      </c>
    </row>
    <row r="118" spans="1:10" x14ac:dyDescent="0.25">
      <c r="A118" s="1">
        <v>44687</v>
      </c>
      <c r="B118" t="s">
        <v>40</v>
      </c>
      <c r="C118" t="s">
        <v>19</v>
      </c>
      <c r="D118" t="s">
        <v>12</v>
      </c>
      <c r="E118" t="s">
        <v>22</v>
      </c>
      <c r="F118" t="s">
        <v>23</v>
      </c>
      <c r="G118" t="s">
        <v>24</v>
      </c>
      <c r="H118">
        <v>6</v>
      </c>
      <c r="I118">
        <v>612</v>
      </c>
      <c r="J118">
        <v>83.75</v>
      </c>
    </row>
    <row r="119" spans="1:10" x14ac:dyDescent="0.25">
      <c r="A119" s="1">
        <v>45461</v>
      </c>
      <c r="B119" t="s">
        <v>29</v>
      </c>
      <c r="C119" t="s">
        <v>17</v>
      </c>
      <c r="D119" t="s">
        <v>12</v>
      </c>
      <c r="E119" t="s">
        <v>13</v>
      </c>
      <c r="F119" t="s">
        <v>14</v>
      </c>
      <c r="G119" t="s">
        <v>15</v>
      </c>
      <c r="H119">
        <v>9</v>
      </c>
      <c r="I119">
        <v>8073</v>
      </c>
      <c r="J119">
        <v>710.23</v>
      </c>
    </row>
    <row r="120" spans="1:10" x14ac:dyDescent="0.25">
      <c r="A120" s="1">
        <v>45228</v>
      </c>
      <c r="B120" t="s">
        <v>49</v>
      </c>
      <c r="C120" t="s">
        <v>17</v>
      </c>
      <c r="D120" t="s">
        <v>12</v>
      </c>
      <c r="E120" t="s">
        <v>102</v>
      </c>
      <c r="F120" t="s">
        <v>34</v>
      </c>
      <c r="G120" t="s">
        <v>35</v>
      </c>
      <c r="H120">
        <v>8</v>
      </c>
      <c r="I120">
        <v>2640</v>
      </c>
      <c r="J120">
        <v>723.88</v>
      </c>
    </row>
    <row r="121" spans="1:10" x14ac:dyDescent="0.25">
      <c r="A121" s="1">
        <v>45243</v>
      </c>
      <c r="B121" t="s">
        <v>40</v>
      </c>
      <c r="C121" t="s">
        <v>19</v>
      </c>
      <c r="D121" t="s">
        <v>12</v>
      </c>
      <c r="E121" t="s">
        <v>74</v>
      </c>
      <c r="F121" t="s">
        <v>23</v>
      </c>
      <c r="G121" t="s">
        <v>24</v>
      </c>
      <c r="H121">
        <v>3</v>
      </c>
      <c r="I121">
        <v>3234</v>
      </c>
      <c r="J121">
        <v>440.7</v>
      </c>
    </row>
    <row r="122" spans="1:10" x14ac:dyDescent="0.25">
      <c r="A122" s="1">
        <v>44794</v>
      </c>
      <c r="B122" t="s">
        <v>36</v>
      </c>
      <c r="C122" t="s">
        <v>17</v>
      </c>
      <c r="D122" t="s">
        <v>12</v>
      </c>
      <c r="E122" t="s">
        <v>103</v>
      </c>
      <c r="F122" t="s">
        <v>21</v>
      </c>
      <c r="G122" t="s">
        <v>15</v>
      </c>
      <c r="H122">
        <v>5</v>
      </c>
      <c r="I122">
        <v>4435</v>
      </c>
      <c r="J122">
        <v>355.51</v>
      </c>
    </row>
    <row r="123" spans="1:10" x14ac:dyDescent="0.25">
      <c r="A123" s="1">
        <v>45355</v>
      </c>
      <c r="B123" t="s">
        <v>32</v>
      </c>
      <c r="C123" t="s">
        <v>19</v>
      </c>
      <c r="D123" t="s">
        <v>12</v>
      </c>
      <c r="E123" t="s">
        <v>22</v>
      </c>
      <c r="F123" t="s">
        <v>23</v>
      </c>
      <c r="G123" t="s">
        <v>24</v>
      </c>
      <c r="H123">
        <v>2</v>
      </c>
      <c r="I123">
        <v>2302</v>
      </c>
      <c r="J123">
        <v>305.07</v>
      </c>
    </row>
    <row r="124" spans="1:10" x14ac:dyDescent="0.25">
      <c r="A124" s="1">
        <v>44668</v>
      </c>
      <c r="B124" t="s">
        <v>25</v>
      </c>
      <c r="C124" t="s">
        <v>19</v>
      </c>
      <c r="D124" t="s">
        <v>12</v>
      </c>
      <c r="E124" t="s">
        <v>74</v>
      </c>
      <c r="F124" t="s">
        <v>23</v>
      </c>
      <c r="G124" t="s">
        <v>24</v>
      </c>
      <c r="H124">
        <v>6</v>
      </c>
      <c r="I124">
        <v>1728</v>
      </c>
      <c r="J124">
        <v>307.44</v>
      </c>
    </row>
    <row r="125" spans="1:10" x14ac:dyDescent="0.25">
      <c r="A125" s="1">
        <v>45280</v>
      </c>
      <c r="B125" t="s">
        <v>55</v>
      </c>
      <c r="C125" t="s">
        <v>19</v>
      </c>
      <c r="D125" t="s">
        <v>12</v>
      </c>
      <c r="E125" t="s">
        <v>72</v>
      </c>
      <c r="F125" t="s">
        <v>21</v>
      </c>
      <c r="G125" t="s">
        <v>15</v>
      </c>
      <c r="H125">
        <v>4</v>
      </c>
      <c r="I125">
        <v>228</v>
      </c>
      <c r="J125">
        <v>54.05</v>
      </c>
    </row>
    <row r="126" spans="1:10" x14ac:dyDescent="0.25">
      <c r="A126" s="1">
        <v>44639</v>
      </c>
      <c r="B126" t="s">
        <v>18</v>
      </c>
      <c r="C126" t="s">
        <v>19</v>
      </c>
      <c r="D126" t="s">
        <v>12</v>
      </c>
      <c r="E126" t="s">
        <v>56</v>
      </c>
      <c r="F126" t="s">
        <v>57</v>
      </c>
      <c r="G126" t="s">
        <v>24</v>
      </c>
      <c r="H126">
        <v>6</v>
      </c>
      <c r="I126">
        <v>3450</v>
      </c>
      <c r="J126">
        <v>705.74</v>
      </c>
    </row>
    <row r="127" spans="1:10" x14ac:dyDescent="0.25">
      <c r="A127" s="1">
        <v>45480</v>
      </c>
      <c r="B127" t="s">
        <v>40</v>
      </c>
      <c r="C127" t="s">
        <v>19</v>
      </c>
      <c r="D127" t="s">
        <v>12</v>
      </c>
      <c r="E127" t="s">
        <v>43</v>
      </c>
      <c r="F127" t="s">
        <v>44</v>
      </c>
      <c r="G127" t="s">
        <v>35</v>
      </c>
      <c r="H127">
        <v>8</v>
      </c>
      <c r="I127">
        <v>7456</v>
      </c>
      <c r="J127">
        <v>1702.48</v>
      </c>
    </row>
    <row r="128" spans="1:10" x14ac:dyDescent="0.25">
      <c r="A128" s="1">
        <v>45046</v>
      </c>
      <c r="B128" t="s">
        <v>40</v>
      </c>
      <c r="C128" t="s">
        <v>19</v>
      </c>
      <c r="D128" t="s">
        <v>12</v>
      </c>
      <c r="E128" t="s">
        <v>104</v>
      </c>
      <c r="F128" t="s">
        <v>14</v>
      </c>
      <c r="G128" t="s">
        <v>15</v>
      </c>
      <c r="H128">
        <v>6</v>
      </c>
      <c r="I128">
        <v>4728</v>
      </c>
      <c r="J128">
        <v>705.85</v>
      </c>
    </row>
    <row r="129" spans="1:10" x14ac:dyDescent="0.25">
      <c r="A129" s="1">
        <v>45373</v>
      </c>
      <c r="B129" t="s">
        <v>32</v>
      </c>
      <c r="C129" t="s">
        <v>19</v>
      </c>
      <c r="D129" t="s">
        <v>12</v>
      </c>
      <c r="E129" t="s">
        <v>105</v>
      </c>
      <c r="F129" t="s">
        <v>23</v>
      </c>
      <c r="G129" t="s">
        <v>24</v>
      </c>
      <c r="H129">
        <v>7</v>
      </c>
      <c r="I129">
        <v>945</v>
      </c>
      <c r="J129">
        <v>124.62</v>
      </c>
    </row>
    <row r="130" spans="1:10" x14ac:dyDescent="0.25">
      <c r="A130" s="1">
        <v>44628</v>
      </c>
      <c r="B130" t="s">
        <v>55</v>
      </c>
      <c r="C130" t="s">
        <v>19</v>
      </c>
      <c r="D130" t="s">
        <v>12</v>
      </c>
      <c r="E130" t="s">
        <v>72</v>
      </c>
      <c r="F130" t="s">
        <v>21</v>
      </c>
      <c r="G130" t="s">
        <v>15</v>
      </c>
      <c r="H130">
        <v>4</v>
      </c>
      <c r="I130">
        <v>296</v>
      </c>
      <c r="J130">
        <v>65.05</v>
      </c>
    </row>
    <row r="131" spans="1:10" x14ac:dyDescent="0.25">
      <c r="A131" s="1">
        <v>45184</v>
      </c>
      <c r="B131" t="s">
        <v>40</v>
      </c>
      <c r="C131" t="s">
        <v>19</v>
      </c>
      <c r="D131" t="s">
        <v>12</v>
      </c>
      <c r="E131" t="s">
        <v>52</v>
      </c>
      <c r="F131" t="s">
        <v>42</v>
      </c>
      <c r="G131" t="s">
        <v>28</v>
      </c>
      <c r="H131">
        <v>4</v>
      </c>
      <c r="I131">
        <v>640</v>
      </c>
      <c r="J131">
        <v>149.88999999999999</v>
      </c>
    </row>
    <row r="132" spans="1:10" x14ac:dyDescent="0.25">
      <c r="A132" s="1">
        <v>44986</v>
      </c>
      <c r="B132" t="s">
        <v>18</v>
      </c>
      <c r="C132" t="s">
        <v>19</v>
      </c>
      <c r="D132" t="s">
        <v>12</v>
      </c>
      <c r="E132" t="s">
        <v>52</v>
      </c>
      <c r="F132" t="s">
        <v>42</v>
      </c>
      <c r="G132" t="s">
        <v>28</v>
      </c>
      <c r="H132">
        <v>1</v>
      </c>
      <c r="I132">
        <v>797</v>
      </c>
      <c r="J132">
        <v>65.27</v>
      </c>
    </row>
    <row r="133" spans="1:10" x14ac:dyDescent="0.25">
      <c r="A133" s="1">
        <v>45223</v>
      </c>
      <c r="B133" t="s">
        <v>36</v>
      </c>
      <c r="C133" t="s">
        <v>17</v>
      </c>
      <c r="D133" t="s">
        <v>12</v>
      </c>
      <c r="E133" t="s">
        <v>52</v>
      </c>
      <c r="F133" t="s">
        <v>42</v>
      </c>
      <c r="G133" t="s">
        <v>28</v>
      </c>
      <c r="H133">
        <v>4</v>
      </c>
      <c r="I133">
        <v>1456</v>
      </c>
      <c r="J133">
        <v>431.89</v>
      </c>
    </row>
    <row r="134" spans="1:10" x14ac:dyDescent="0.25">
      <c r="A134" s="1">
        <v>45404</v>
      </c>
      <c r="B134" t="s">
        <v>36</v>
      </c>
      <c r="C134" t="s">
        <v>17</v>
      </c>
      <c r="D134" t="s">
        <v>12</v>
      </c>
      <c r="E134" t="s">
        <v>106</v>
      </c>
      <c r="F134" t="s">
        <v>71</v>
      </c>
      <c r="G134" t="s">
        <v>35</v>
      </c>
      <c r="H134">
        <v>6</v>
      </c>
      <c r="I134">
        <v>4038</v>
      </c>
      <c r="J134">
        <v>364.11</v>
      </c>
    </row>
    <row r="135" spans="1:10" x14ac:dyDescent="0.25">
      <c r="A135" s="1">
        <v>45104</v>
      </c>
      <c r="B135" t="s">
        <v>18</v>
      </c>
      <c r="C135" t="s">
        <v>19</v>
      </c>
      <c r="D135" t="s">
        <v>12</v>
      </c>
      <c r="E135" t="s">
        <v>52</v>
      </c>
      <c r="F135" t="s">
        <v>42</v>
      </c>
      <c r="G135" t="s">
        <v>28</v>
      </c>
      <c r="H135">
        <v>7</v>
      </c>
      <c r="I135">
        <v>5656</v>
      </c>
      <c r="J135">
        <v>355.81</v>
      </c>
    </row>
    <row r="136" spans="1:10" x14ac:dyDescent="0.25">
      <c r="A136" s="1">
        <v>45029</v>
      </c>
      <c r="B136" t="s">
        <v>16</v>
      </c>
      <c r="C136" t="s">
        <v>17</v>
      </c>
      <c r="D136" t="s">
        <v>12</v>
      </c>
      <c r="E136" t="s">
        <v>107</v>
      </c>
      <c r="F136" t="s">
        <v>108</v>
      </c>
      <c r="G136" t="s">
        <v>15</v>
      </c>
      <c r="H136">
        <v>4</v>
      </c>
      <c r="I136">
        <v>3876</v>
      </c>
      <c r="J136">
        <v>302.37</v>
      </c>
    </row>
    <row r="137" spans="1:10" x14ac:dyDescent="0.25">
      <c r="A137" s="1">
        <v>45065</v>
      </c>
      <c r="B137" t="s">
        <v>49</v>
      </c>
      <c r="C137" t="s">
        <v>17</v>
      </c>
      <c r="D137" t="s">
        <v>12</v>
      </c>
      <c r="E137" t="s">
        <v>109</v>
      </c>
      <c r="F137" t="s">
        <v>23</v>
      </c>
      <c r="G137" t="s">
        <v>24</v>
      </c>
      <c r="H137">
        <v>6</v>
      </c>
      <c r="I137">
        <v>1002</v>
      </c>
      <c r="J137">
        <v>114.7</v>
      </c>
    </row>
    <row r="138" spans="1:10" x14ac:dyDescent="0.25">
      <c r="A138" s="1">
        <v>45611</v>
      </c>
      <c r="B138" t="s">
        <v>29</v>
      </c>
      <c r="C138" t="s">
        <v>17</v>
      </c>
      <c r="D138" t="s">
        <v>12</v>
      </c>
      <c r="E138" t="s">
        <v>50</v>
      </c>
      <c r="F138" t="s">
        <v>51</v>
      </c>
      <c r="G138" t="s">
        <v>35</v>
      </c>
      <c r="H138">
        <v>9</v>
      </c>
      <c r="I138">
        <v>2187</v>
      </c>
      <c r="J138">
        <v>413.76</v>
      </c>
    </row>
    <row r="139" spans="1:10" x14ac:dyDescent="0.25">
      <c r="A139" s="1">
        <v>45285</v>
      </c>
      <c r="B139" t="s">
        <v>16</v>
      </c>
      <c r="C139" t="s">
        <v>17</v>
      </c>
      <c r="D139" t="s">
        <v>12</v>
      </c>
      <c r="E139" t="s">
        <v>110</v>
      </c>
      <c r="F139" t="s">
        <v>57</v>
      </c>
      <c r="G139" t="s">
        <v>24</v>
      </c>
      <c r="H139">
        <v>6</v>
      </c>
      <c r="I139">
        <v>7146</v>
      </c>
      <c r="J139">
        <v>1627.42</v>
      </c>
    </row>
    <row r="140" spans="1:10" x14ac:dyDescent="0.25">
      <c r="A140" s="1">
        <v>44651</v>
      </c>
      <c r="B140" t="s">
        <v>49</v>
      </c>
      <c r="C140" t="s">
        <v>17</v>
      </c>
      <c r="D140" t="s">
        <v>12</v>
      </c>
      <c r="E140" t="s">
        <v>53</v>
      </c>
      <c r="F140" t="s">
        <v>44</v>
      </c>
      <c r="G140" t="s">
        <v>35</v>
      </c>
      <c r="H140">
        <v>1</v>
      </c>
      <c r="I140">
        <v>189</v>
      </c>
      <c r="J140">
        <v>14.88</v>
      </c>
    </row>
    <row r="141" spans="1:10" x14ac:dyDescent="0.25">
      <c r="A141" s="1">
        <v>45406</v>
      </c>
      <c r="B141" t="s">
        <v>36</v>
      </c>
      <c r="C141" t="s">
        <v>17</v>
      </c>
      <c r="D141" t="s">
        <v>12</v>
      </c>
      <c r="E141" t="s">
        <v>111</v>
      </c>
      <c r="F141" t="s">
        <v>34</v>
      </c>
      <c r="G141" t="s">
        <v>35</v>
      </c>
      <c r="H141">
        <v>5</v>
      </c>
      <c r="I141">
        <v>940</v>
      </c>
      <c r="J141">
        <v>266.02</v>
      </c>
    </row>
    <row r="142" spans="1:10" x14ac:dyDescent="0.25">
      <c r="A142" s="1">
        <v>44571</v>
      </c>
      <c r="B142" t="s">
        <v>29</v>
      </c>
      <c r="C142" t="s">
        <v>17</v>
      </c>
      <c r="D142" t="s">
        <v>12</v>
      </c>
      <c r="E142" t="s">
        <v>112</v>
      </c>
      <c r="F142" t="s">
        <v>63</v>
      </c>
      <c r="G142" t="s">
        <v>28</v>
      </c>
      <c r="H142">
        <v>1</v>
      </c>
      <c r="I142">
        <v>951</v>
      </c>
      <c r="J142">
        <v>127.58</v>
      </c>
    </row>
    <row r="143" spans="1:10" x14ac:dyDescent="0.25">
      <c r="A143" s="1">
        <v>44882</v>
      </c>
      <c r="B143" t="s">
        <v>10</v>
      </c>
      <c r="C143" t="s">
        <v>11</v>
      </c>
      <c r="D143" t="s">
        <v>12</v>
      </c>
      <c r="E143" t="s">
        <v>43</v>
      </c>
      <c r="F143" t="s">
        <v>44</v>
      </c>
      <c r="G143" t="s">
        <v>35</v>
      </c>
      <c r="H143">
        <v>2</v>
      </c>
      <c r="I143">
        <v>124</v>
      </c>
      <c r="J143">
        <v>27.42</v>
      </c>
    </row>
    <row r="144" spans="1:10" x14ac:dyDescent="0.25">
      <c r="A144" s="1">
        <v>45472</v>
      </c>
      <c r="B144" t="s">
        <v>16</v>
      </c>
      <c r="C144" t="s">
        <v>17</v>
      </c>
      <c r="D144" t="s">
        <v>12</v>
      </c>
      <c r="E144" t="s">
        <v>43</v>
      </c>
      <c r="F144" t="s">
        <v>44</v>
      </c>
      <c r="G144" t="s">
        <v>35</v>
      </c>
      <c r="H144">
        <v>9</v>
      </c>
      <c r="I144">
        <v>7506</v>
      </c>
      <c r="J144">
        <v>594.28</v>
      </c>
    </row>
    <row r="145" spans="1:10" x14ac:dyDescent="0.25">
      <c r="A145" s="1">
        <v>44879</v>
      </c>
      <c r="B145" t="s">
        <v>36</v>
      </c>
      <c r="C145" t="s">
        <v>17</v>
      </c>
      <c r="D145" t="s">
        <v>12</v>
      </c>
      <c r="E145" t="s">
        <v>113</v>
      </c>
      <c r="F145" t="s">
        <v>34</v>
      </c>
      <c r="G145" t="s">
        <v>35</v>
      </c>
      <c r="H145">
        <v>7</v>
      </c>
      <c r="I145">
        <v>8176</v>
      </c>
      <c r="J145">
        <v>2308.7600000000002</v>
      </c>
    </row>
    <row r="146" spans="1:10" x14ac:dyDescent="0.25">
      <c r="A146" s="1">
        <v>45149</v>
      </c>
      <c r="B146" t="s">
        <v>40</v>
      </c>
      <c r="C146" t="s">
        <v>19</v>
      </c>
      <c r="D146" t="s">
        <v>12</v>
      </c>
      <c r="E146" t="s">
        <v>52</v>
      </c>
      <c r="F146" t="s">
        <v>42</v>
      </c>
      <c r="G146" t="s">
        <v>28</v>
      </c>
      <c r="H146">
        <v>5</v>
      </c>
      <c r="I146">
        <v>2125</v>
      </c>
      <c r="J146">
        <v>632.67999999999995</v>
      </c>
    </row>
    <row r="147" spans="1:10" x14ac:dyDescent="0.25">
      <c r="A147" s="1">
        <v>45434</v>
      </c>
      <c r="B147" t="s">
        <v>29</v>
      </c>
      <c r="C147" t="s">
        <v>17</v>
      </c>
      <c r="D147" t="s">
        <v>12</v>
      </c>
      <c r="E147" t="s">
        <v>114</v>
      </c>
      <c r="F147" t="s">
        <v>115</v>
      </c>
      <c r="G147" t="s">
        <v>15</v>
      </c>
      <c r="H147">
        <v>1</v>
      </c>
      <c r="I147">
        <v>967</v>
      </c>
      <c r="J147">
        <v>59.98</v>
      </c>
    </row>
    <row r="148" spans="1:10" x14ac:dyDescent="0.25">
      <c r="A148" s="1">
        <v>44639</v>
      </c>
      <c r="B148" t="s">
        <v>29</v>
      </c>
      <c r="C148" t="s">
        <v>17</v>
      </c>
      <c r="D148" t="s">
        <v>12</v>
      </c>
      <c r="E148" t="s">
        <v>112</v>
      </c>
      <c r="F148" t="s">
        <v>63</v>
      </c>
      <c r="G148" t="s">
        <v>28</v>
      </c>
      <c r="H148">
        <v>5</v>
      </c>
      <c r="I148">
        <v>270</v>
      </c>
      <c r="J148">
        <v>29.41</v>
      </c>
    </row>
    <row r="149" spans="1:10" x14ac:dyDescent="0.25">
      <c r="A149" s="1">
        <v>44857</v>
      </c>
      <c r="B149" t="s">
        <v>49</v>
      </c>
      <c r="C149" t="s">
        <v>17</v>
      </c>
      <c r="D149" t="s">
        <v>12</v>
      </c>
      <c r="E149" t="s">
        <v>56</v>
      </c>
      <c r="F149" t="s">
        <v>57</v>
      </c>
      <c r="G149" t="s">
        <v>24</v>
      </c>
      <c r="H149">
        <v>9</v>
      </c>
      <c r="I149">
        <v>10035</v>
      </c>
      <c r="J149">
        <v>1486.3</v>
      </c>
    </row>
    <row r="150" spans="1:10" x14ac:dyDescent="0.25">
      <c r="A150" s="1">
        <v>44983</v>
      </c>
      <c r="B150" t="s">
        <v>10</v>
      </c>
      <c r="C150" t="s">
        <v>11</v>
      </c>
      <c r="D150" t="s">
        <v>12</v>
      </c>
      <c r="E150" t="s">
        <v>116</v>
      </c>
      <c r="F150" t="s">
        <v>23</v>
      </c>
      <c r="G150" t="s">
        <v>24</v>
      </c>
      <c r="H150">
        <v>8</v>
      </c>
      <c r="I150">
        <v>6792</v>
      </c>
      <c r="J150">
        <v>1125.23</v>
      </c>
    </row>
    <row r="151" spans="1:10" x14ac:dyDescent="0.25">
      <c r="A151" s="1">
        <v>45568</v>
      </c>
      <c r="B151" t="s">
        <v>10</v>
      </c>
      <c r="C151" t="s">
        <v>11</v>
      </c>
      <c r="D151" t="s">
        <v>12</v>
      </c>
      <c r="E151" t="s">
        <v>52</v>
      </c>
      <c r="F151" t="s">
        <v>42</v>
      </c>
      <c r="G151" t="s">
        <v>28</v>
      </c>
      <c r="H151">
        <v>1</v>
      </c>
      <c r="I151">
        <v>714</v>
      </c>
      <c r="J151">
        <v>99.13</v>
      </c>
    </row>
    <row r="152" spans="1:10" x14ac:dyDescent="0.25">
      <c r="A152" s="1">
        <v>44759</v>
      </c>
      <c r="B152" t="s">
        <v>40</v>
      </c>
      <c r="C152" t="s">
        <v>19</v>
      </c>
      <c r="D152" t="s">
        <v>12</v>
      </c>
      <c r="E152" t="s">
        <v>117</v>
      </c>
      <c r="F152" t="s">
        <v>59</v>
      </c>
      <c r="G152" t="s">
        <v>28</v>
      </c>
      <c r="H152">
        <v>5</v>
      </c>
      <c r="I152">
        <v>765</v>
      </c>
      <c r="J152">
        <v>157.63999999999999</v>
      </c>
    </row>
    <row r="153" spans="1:10" x14ac:dyDescent="0.25">
      <c r="A153" s="1">
        <v>45600</v>
      </c>
      <c r="B153" t="s">
        <v>29</v>
      </c>
      <c r="C153" t="s">
        <v>17</v>
      </c>
      <c r="D153" t="s">
        <v>12</v>
      </c>
      <c r="E153" t="s">
        <v>62</v>
      </c>
      <c r="F153" t="s">
        <v>63</v>
      </c>
      <c r="G153" t="s">
        <v>28</v>
      </c>
      <c r="H153">
        <v>7</v>
      </c>
      <c r="I153">
        <v>4221</v>
      </c>
      <c r="J153">
        <v>358.02</v>
      </c>
    </row>
    <row r="154" spans="1:10" x14ac:dyDescent="0.25">
      <c r="A154" s="1">
        <v>44981</v>
      </c>
      <c r="B154" t="s">
        <v>55</v>
      </c>
      <c r="C154" t="s">
        <v>19</v>
      </c>
      <c r="D154" t="s">
        <v>12</v>
      </c>
      <c r="E154" t="s">
        <v>30</v>
      </c>
      <c r="F154" t="s">
        <v>31</v>
      </c>
      <c r="G154" t="s">
        <v>24</v>
      </c>
      <c r="H154">
        <v>4</v>
      </c>
      <c r="I154">
        <v>2108</v>
      </c>
      <c r="J154">
        <v>576.48</v>
      </c>
    </row>
    <row r="155" spans="1:10" x14ac:dyDescent="0.25">
      <c r="A155" s="1">
        <v>45512</v>
      </c>
      <c r="B155" t="s">
        <v>36</v>
      </c>
      <c r="C155" t="s">
        <v>17</v>
      </c>
      <c r="D155" t="s">
        <v>12</v>
      </c>
      <c r="E155" t="s">
        <v>70</v>
      </c>
      <c r="F155" t="s">
        <v>71</v>
      </c>
      <c r="G155" t="s">
        <v>35</v>
      </c>
      <c r="H155">
        <v>9</v>
      </c>
      <c r="I155">
        <v>10530</v>
      </c>
      <c r="J155">
        <v>2387.63</v>
      </c>
    </row>
    <row r="156" spans="1:10" x14ac:dyDescent="0.25">
      <c r="A156" s="1">
        <v>45426</v>
      </c>
      <c r="B156" t="s">
        <v>49</v>
      </c>
      <c r="C156" t="s">
        <v>17</v>
      </c>
      <c r="D156" t="s">
        <v>12</v>
      </c>
      <c r="E156" t="s">
        <v>26</v>
      </c>
      <c r="F156" t="s">
        <v>27</v>
      </c>
      <c r="G156" t="s">
        <v>28</v>
      </c>
      <c r="H156">
        <v>6</v>
      </c>
      <c r="I156">
        <v>3396</v>
      </c>
      <c r="J156">
        <v>914.17</v>
      </c>
    </row>
    <row r="157" spans="1:10" x14ac:dyDescent="0.25">
      <c r="A157" s="1">
        <v>44576</v>
      </c>
      <c r="B157" t="s">
        <v>36</v>
      </c>
      <c r="C157" t="s">
        <v>17</v>
      </c>
      <c r="D157" t="s">
        <v>12</v>
      </c>
      <c r="E157" t="s">
        <v>118</v>
      </c>
      <c r="F157" t="s">
        <v>42</v>
      </c>
      <c r="G157" t="s">
        <v>28</v>
      </c>
      <c r="H157">
        <v>4</v>
      </c>
      <c r="I157">
        <v>1060</v>
      </c>
      <c r="J157">
        <v>213.05</v>
      </c>
    </row>
    <row r="158" spans="1:10" x14ac:dyDescent="0.25">
      <c r="A158" s="1">
        <v>44691</v>
      </c>
      <c r="B158" t="s">
        <v>18</v>
      </c>
      <c r="C158" t="s">
        <v>19</v>
      </c>
      <c r="D158" t="s">
        <v>12</v>
      </c>
      <c r="E158" t="s">
        <v>118</v>
      </c>
      <c r="F158" t="s">
        <v>42</v>
      </c>
      <c r="G158" t="s">
        <v>28</v>
      </c>
      <c r="H158">
        <v>5</v>
      </c>
      <c r="I158">
        <v>480</v>
      </c>
      <c r="J158">
        <v>73.069999999999993</v>
      </c>
    </row>
    <row r="159" spans="1:10" x14ac:dyDescent="0.25">
      <c r="A159" s="1">
        <v>44630</v>
      </c>
      <c r="B159" t="s">
        <v>29</v>
      </c>
      <c r="C159" t="s">
        <v>17</v>
      </c>
      <c r="D159" t="s">
        <v>12</v>
      </c>
      <c r="E159" t="s">
        <v>56</v>
      </c>
      <c r="F159" t="s">
        <v>57</v>
      </c>
      <c r="G159" t="s">
        <v>24</v>
      </c>
      <c r="H159">
        <v>3</v>
      </c>
      <c r="I159">
        <v>2529</v>
      </c>
      <c r="J159">
        <v>285.64999999999998</v>
      </c>
    </row>
    <row r="160" spans="1:10" x14ac:dyDescent="0.25">
      <c r="A160" s="1">
        <v>44584</v>
      </c>
      <c r="B160" t="s">
        <v>32</v>
      </c>
      <c r="C160" t="s">
        <v>19</v>
      </c>
      <c r="D160" t="s">
        <v>12</v>
      </c>
      <c r="E160" t="s">
        <v>105</v>
      </c>
      <c r="F160" t="s">
        <v>23</v>
      </c>
      <c r="G160" t="s">
        <v>24</v>
      </c>
      <c r="H160">
        <v>8</v>
      </c>
      <c r="I160">
        <v>4792</v>
      </c>
      <c r="J160">
        <v>511.97</v>
      </c>
    </row>
    <row r="161" spans="1:10" x14ac:dyDescent="0.25">
      <c r="A161" s="1">
        <v>45554</v>
      </c>
      <c r="B161" t="s">
        <v>32</v>
      </c>
      <c r="C161" t="s">
        <v>19</v>
      </c>
      <c r="D161" t="s">
        <v>12</v>
      </c>
      <c r="E161" t="s">
        <v>119</v>
      </c>
      <c r="F161" t="s">
        <v>71</v>
      </c>
      <c r="G161" t="s">
        <v>35</v>
      </c>
      <c r="H161">
        <v>8</v>
      </c>
      <c r="I161">
        <v>8056</v>
      </c>
      <c r="J161">
        <v>605.79999999999995</v>
      </c>
    </row>
    <row r="162" spans="1:10" x14ac:dyDescent="0.25">
      <c r="A162" s="1">
        <v>45449</v>
      </c>
      <c r="B162" t="s">
        <v>18</v>
      </c>
      <c r="C162" t="s">
        <v>19</v>
      </c>
      <c r="D162" t="s">
        <v>12</v>
      </c>
      <c r="E162" t="s">
        <v>22</v>
      </c>
      <c r="F162" t="s">
        <v>23</v>
      </c>
      <c r="G162" t="s">
        <v>24</v>
      </c>
      <c r="H162">
        <v>4</v>
      </c>
      <c r="I162">
        <v>4228</v>
      </c>
      <c r="J162">
        <v>947.76</v>
      </c>
    </row>
    <row r="163" spans="1:10" x14ac:dyDescent="0.25">
      <c r="A163" s="1">
        <v>45575</v>
      </c>
      <c r="B163" t="s">
        <v>18</v>
      </c>
      <c r="C163" t="s">
        <v>19</v>
      </c>
      <c r="D163" t="s">
        <v>12</v>
      </c>
      <c r="E163" t="s">
        <v>103</v>
      </c>
      <c r="F163" t="s">
        <v>21</v>
      </c>
      <c r="G163" t="s">
        <v>15</v>
      </c>
      <c r="H163">
        <v>1</v>
      </c>
      <c r="I163">
        <v>653</v>
      </c>
      <c r="J163">
        <v>93.78</v>
      </c>
    </row>
    <row r="164" spans="1:10" x14ac:dyDescent="0.25">
      <c r="A164" s="1">
        <v>45375</v>
      </c>
      <c r="B164" t="s">
        <v>18</v>
      </c>
      <c r="C164" t="s">
        <v>19</v>
      </c>
      <c r="D164" t="s">
        <v>12</v>
      </c>
      <c r="E164" t="s">
        <v>120</v>
      </c>
      <c r="F164" t="s">
        <v>21</v>
      </c>
      <c r="G164" t="s">
        <v>15</v>
      </c>
      <c r="H164">
        <v>9</v>
      </c>
      <c r="I164">
        <v>7452</v>
      </c>
      <c r="J164">
        <v>1212.51</v>
      </c>
    </row>
    <row r="165" spans="1:10" x14ac:dyDescent="0.25">
      <c r="A165" s="1">
        <v>45128</v>
      </c>
      <c r="B165" t="s">
        <v>16</v>
      </c>
      <c r="C165" t="s">
        <v>17</v>
      </c>
      <c r="D165" t="s">
        <v>12</v>
      </c>
      <c r="E165" t="s">
        <v>111</v>
      </c>
      <c r="F165" t="s">
        <v>115</v>
      </c>
      <c r="G165" t="s">
        <v>15</v>
      </c>
      <c r="H165">
        <v>4</v>
      </c>
      <c r="I165">
        <v>4128</v>
      </c>
      <c r="J165">
        <v>1156.71</v>
      </c>
    </row>
    <row r="166" spans="1:10" x14ac:dyDescent="0.25">
      <c r="A166" s="1">
        <v>44763</v>
      </c>
      <c r="B166" t="s">
        <v>18</v>
      </c>
      <c r="C166" t="s">
        <v>19</v>
      </c>
      <c r="D166" t="s">
        <v>12</v>
      </c>
      <c r="E166" t="s">
        <v>121</v>
      </c>
      <c r="F166" t="s">
        <v>122</v>
      </c>
      <c r="G166" t="s">
        <v>35</v>
      </c>
      <c r="H166">
        <v>5</v>
      </c>
      <c r="I166">
        <v>5090</v>
      </c>
      <c r="J166">
        <v>1201.56</v>
      </c>
    </row>
    <row r="167" spans="1:10" x14ac:dyDescent="0.25">
      <c r="A167" s="1">
        <v>44805</v>
      </c>
      <c r="B167" t="s">
        <v>25</v>
      </c>
      <c r="C167" t="s">
        <v>19</v>
      </c>
      <c r="D167" t="s">
        <v>12</v>
      </c>
      <c r="E167" t="s">
        <v>74</v>
      </c>
      <c r="F167" t="s">
        <v>23</v>
      </c>
      <c r="G167" t="s">
        <v>24</v>
      </c>
      <c r="H167">
        <v>5</v>
      </c>
      <c r="I167">
        <v>4930</v>
      </c>
      <c r="J167">
        <v>387.33</v>
      </c>
    </row>
    <row r="168" spans="1:10" x14ac:dyDescent="0.25">
      <c r="A168" s="1">
        <v>45036</v>
      </c>
      <c r="B168" t="s">
        <v>32</v>
      </c>
      <c r="C168" t="s">
        <v>19</v>
      </c>
      <c r="D168" t="s">
        <v>12</v>
      </c>
      <c r="E168" t="s">
        <v>75</v>
      </c>
      <c r="F168" t="s">
        <v>63</v>
      </c>
      <c r="G168" t="s">
        <v>28</v>
      </c>
      <c r="H168">
        <v>6</v>
      </c>
      <c r="I168">
        <v>2610</v>
      </c>
      <c r="J168">
        <v>434.37</v>
      </c>
    </row>
    <row r="169" spans="1:10" x14ac:dyDescent="0.25">
      <c r="A169" s="1">
        <v>45271</v>
      </c>
      <c r="B169" t="s">
        <v>55</v>
      </c>
      <c r="C169" t="s">
        <v>19</v>
      </c>
      <c r="D169" t="s">
        <v>12</v>
      </c>
      <c r="E169" t="s">
        <v>123</v>
      </c>
      <c r="F169" t="s">
        <v>23</v>
      </c>
      <c r="G169" t="s">
        <v>24</v>
      </c>
      <c r="H169">
        <v>3</v>
      </c>
      <c r="I169">
        <v>2139</v>
      </c>
      <c r="J169">
        <v>415.84</v>
      </c>
    </row>
    <row r="170" spans="1:10" x14ac:dyDescent="0.25">
      <c r="A170" s="1">
        <v>45564</v>
      </c>
      <c r="B170" t="s">
        <v>18</v>
      </c>
      <c r="C170" t="s">
        <v>19</v>
      </c>
      <c r="D170" t="s">
        <v>12</v>
      </c>
      <c r="E170" t="s">
        <v>104</v>
      </c>
      <c r="F170" t="s">
        <v>115</v>
      </c>
      <c r="G170" t="s">
        <v>15</v>
      </c>
      <c r="H170">
        <v>1</v>
      </c>
      <c r="I170">
        <v>226</v>
      </c>
      <c r="J170">
        <v>55.4</v>
      </c>
    </row>
    <row r="171" spans="1:10" x14ac:dyDescent="0.25">
      <c r="A171" s="1">
        <v>45250</v>
      </c>
      <c r="B171" t="s">
        <v>32</v>
      </c>
      <c r="C171" t="s">
        <v>19</v>
      </c>
      <c r="D171" t="s">
        <v>12</v>
      </c>
      <c r="E171" t="s">
        <v>124</v>
      </c>
      <c r="F171" t="s">
        <v>23</v>
      </c>
      <c r="G171" t="s">
        <v>24</v>
      </c>
      <c r="H171">
        <v>2</v>
      </c>
      <c r="I171">
        <v>2244</v>
      </c>
      <c r="J171">
        <v>212.08</v>
      </c>
    </row>
    <row r="172" spans="1:10" x14ac:dyDescent="0.25">
      <c r="A172" s="1">
        <v>45122</v>
      </c>
      <c r="B172" t="s">
        <v>36</v>
      </c>
      <c r="C172" t="s">
        <v>17</v>
      </c>
      <c r="D172" t="s">
        <v>12</v>
      </c>
      <c r="E172" t="s">
        <v>105</v>
      </c>
      <c r="F172" t="s">
        <v>23</v>
      </c>
      <c r="G172" t="s">
        <v>24</v>
      </c>
      <c r="H172">
        <v>6</v>
      </c>
      <c r="I172">
        <v>3150</v>
      </c>
      <c r="J172">
        <v>578.87</v>
      </c>
    </row>
    <row r="173" spans="1:10" x14ac:dyDescent="0.25">
      <c r="A173" s="1">
        <v>45284</v>
      </c>
      <c r="B173" t="s">
        <v>55</v>
      </c>
      <c r="C173" t="s">
        <v>19</v>
      </c>
      <c r="D173" t="s">
        <v>12</v>
      </c>
      <c r="E173" t="s">
        <v>74</v>
      </c>
      <c r="F173" t="s">
        <v>23</v>
      </c>
      <c r="G173" t="s">
        <v>24</v>
      </c>
      <c r="H173">
        <v>7</v>
      </c>
      <c r="I173">
        <v>3388</v>
      </c>
      <c r="J173">
        <v>347.19</v>
      </c>
    </row>
    <row r="174" spans="1:10" x14ac:dyDescent="0.25">
      <c r="A174" s="1">
        <v>45151</v>
      </c>
      <c r="B174" t="s">
        <v>55</v>
      </c>
      <c r="C174" t="s">
        <v>19</v>
      </c>
      <c r="D174" t="s">
        <v>12</v>
      </c>
      <c r="E174" t="s">
        <v>125</v>
      </c>
      <c r="F174" t="s">
        <v>126</v>
      </c>
      <c r="G174" t="s">
        <v>35</v>
      </c>
      <c r="H174">
        <v>8</v>
      </c>
      <c r="I174">
        <v>8736</v>
      </c>
      <c r="J174">
        <v>580.30999999999995</v>
      </c>
    </row>
    <row r="175" spans="1:10" x14ac:dyDescent="0.25">
      <c r="A175" s="1">
        <v>44675</v>
      </c>
      <c r="B175" t="s">
        <v>40</v>
      </c>
      <c r="C175" t="s">
        <v>19</v>
      </c>
      <c r="D175" t="s">
        <v>12</v>
      </c>
      <c r="E175" t="s">
        <v>127</v>
      </c>
      <c r="F175" t="s">
        <v>57</v>
      </c>
      <c r="G175" t="s">
        <v>24</v>
      </c>
      <c r="H175">
        <v>2</v>
      </c>
      <c r="I175">
        <v>1102</v>
      </c>
      <c r="J175">
        <v>176.53</v>
      </c>
    </row>
    <row r="176" spans="1:10" x14ac:dyDescent="0.25">
      <c r="A176" s="1">
        <v>45486</v>
      </c>
      <c r="B176" t="s">
        <v>36</v>
      </c>
      <c r="C176" t="s">
        <v>17</v>
      </c>
      <c r="D176" t="s">
        <v>12</v>
      </c>
      <c r="E176" t="s">
        <v>128</v>
      </c>
      <c r="F176" t="s">
        <v>23</v>
      </c>
      <c r="G176" t="s">
        <v>24</v>
      </c>
      <c r="H176">
        <v>3</v>
      </c>
      <c r="I176">
        <v>2640</v>
      </c>
      <c r="J176">
        <v>199.97</v>
      </c>
    </row>
    <row r="177" spans="1:10" x14ac:dyDescent="0.25">
      <c r="A177" s="1">
        <v>44723</v>
      </c>
      <c r="B177" t="s">
        <v>10</v>
      </c>
      <c r="C177" t="s">
        <v>11</v>
      </c>
      <c r="D177" t="s">
        <v>12</v>
      </c>
      <c r="E177" t="s">
        <v>26</v>
      </c>
      <c r="F177" t="s">
        <v>27</v>
      </c>
      <c r="G177" t="s">
        <v>28</v>
      </c>
      <c r="H177">
        <v>3</v>
      </c>
      <c r="I177">
        <v>2547</v>
      </c>
      <c r="J177">
        <v>300.74</v>
      </c>
    </row>
    <row r="178" spans="1:10" x14ac:dyDescent="0.25">
      <c r="A178" s="1">
        <v>45593</v>
      </c>
      <c r="B178" t="s">
        <v>55</v>
      </c>
      <c r="C178" t="s">
        <v>19</v>
      </c>
      <c r="D178" t="s">
        <v>12</v>
      </c>
      <c r="E178" t="s">
        <v>129</v>
      </c>
      <c r="F178" t="s">
        <v>14</v>
      </c>
      <c r="G178" t="s">
        <v>15</v>
      </c>
      <c r="H178">
        <v>7</v>
      </c>
      <c r="I178">
        <v>728</v>
      </c>
      <c r="J178">
        <v>64.819999999999993</v>
      </c>
    </row>
    <row r="179" spans="1:10" x14ac:dyDescent="0.25">
      <c r="A179" s="1">
        <v>44889</v>
      </c>
      <c r="B179" t="s">
        <v>25</v>
      </c>
      <c r="C179" t="s">
        <v>19</v>
      </c>
      <c r="D179" t="s">
        <v>12</v>
      </c>
      <c r="E179" t="s">
        <v>52</v>
      </c>
      <c r="F179" t="s">
        <v>42</v>
      </c>
      <c r="G179" t="s">
        <v>28</v>
      </c>
      <c r="H179">
        <v>7</v>
      </c>
      <c r="I179">
        <v>3444</v>
      </c>
      <c r="J179">
        <v>607.44000000000005</v>
      </c>
    </row>
    <row r="180" spans="1:10" x14ac:dyDescent="0.25">
      <c r="A180" s="1">
        <v>45568</v>
      </c>
      <c r="B180" t="s">
        <v>25</v>
      </c>
      <c r="C180" t="s">
        <v>19</v>
      </c>
      <c r="D180" t="s">
        <v>12</v>
      </c>
      <c r="E180" t="s">
        <v>130</v>
      </c>
      <c r="F180" t="s">
        <v>14</v>
      </c>
      <c r="G180" t="s">
        <v>15</v>
      </c>
      <c r="H180">
        <v>5</v>
      </c>
      <c r="I180">
        <v>3140</v>
      </c>
      <c r="J180">
        <v>853.66</v>
      </c>
    </row>
    <row r="181" spans="1:10" x14ac:dyDescent="0.25">
      <c r="A181" s="1">
        <v>45375</v>
      </c>
      <c r="B181" t="s">
        <v>40</v>
      </c>
      <c r="C181" t="s">
        <v>19</v>
      </c>
      <c r="D181" t="s">
        <v>12</v>
      </c>
      <c r="E181" t="s">
        <v>131</v>
      </c>
      <c r="F181" t="s">
        <v>63</v>
      </c>
      <c r="G181" t="s">
        <v>28</v>
      </c>
      <c r="H181">
        <v>3</v>
      </c>
      <c r="I181">
        <v>435</v>
      </c>
      <c r="J181">
        <v>129.27000000000001</v>
      </c>
    </row>
    <row r="182" spans="1:10" x14ac:dyDescent="0.25">
      <c r="A182" s="1">
        <v>45471</v>
      </c>
      <c r="B182" t="s">
        <v>49</v>
      </c>
      <c r="C182" t="s">
        <v>17</v>
      </c>
      <c r="D182" t="s">
        <v>12</v>
      </c>
      <c r="E182" t="s">
        <v>52</v>
      </c>
      <c r="F182" t="s">
        <v>42</v>
      </c>
      <c r="G182" t="s">
        <v>28</v>
      </c>
      <c r="H182">
        <v>4</v>
      </c>
      <c r="I182">
        <v>856</v>
      </c>
      <c r="J182">
        <v>72.989999999999995</v>
      </c>
    </row>
    <row r="183" spans="1:10" x14ac:dyDescent="0.25">
      <c r="A183" s="1">
        <v>44712</v>
      </c>
      <c r="B183" t="s">
        <v>10</v>
      </c>
      <c r="C183" t="s">
        <v>11</v>
      </c>
      <c r="D183" t="s">
        <v>12</v>
      </c>
      <c r="E183" t="s">
        <v>132</v>
      </c>
      <c r="F183" t="s">
        <v>115</v>
      </c>
      <c r="G183" t="s">
        <v>15</v>
      </c>
      <c r="H183">
        <v>2</v>
      </c>
      <c r="I183">
        <v>112</v>
      </c>
      <c r="J183">
        <v>23.33</v>
      </c>
    </row>
    <row r="184" spans="1:10" x14ac:dyDescent="0.25">
      <c r="A184" s="1">
        <v>45376</v>
      </c>
      <c r="B184" t="s">
        <v>29</v>
      </c>
      <c r="C184" t="s">
        <v>17</v>
      </c>
      <c r="D184" t="s">
        <v>12</v>
      </c>
      <c r="E184" t="s">
        <v>91</v>
      </c>
      <c r="F184" t="s">
        <v>133</v>
      </c>
      <c r="G184" t="s">
        <v>28</v>
      </c>
      <c r="H184">
        <v>3</v>
      </c>
      <c r="I184">
        <v>2247</v>
      </c>
      <c r="J184">
        <v>507.79</v>
      </c>
    </row>
    <row r="185" spans="1:10" x14ac:dyDescent="0.25">
      <c r="A185" s="1">
        <v>44957</v>
      </c>
      <c r="B185" t="s">
        <v>49</v>
      </c>
      <c r="C185" t="s">
        <v>17</v>
      </c>
      <c r="D185" t="s">
        <v>12</v>
      </c>
      <c r="E185" t="s">
        <v>52</v>
      </c>
      <c r="F185" t="s">
        <v>42</v>
      </c>
      <c r="G185" t="s">
        <v>28</v>
      </c>
      <c r="H185">
        <v>2</v>
      </c>
      <c r="I185">
        <v>1512</v>
      </c>
      <c r="J185">
        <v>298.73</v>
      </c>
    </row>
    <row r="186" spans="1:10" x14ac:dyDescent="0.25">
      <c r="A186" s="1">
        <v>45466</v>
      </c>
      <c r="B186" t="s">
        <v>16</v>
      </c>
      <c r="C186" t="s">
        <v>17</v>
      </c>
      <c r="D186" t="s">
        <v>12</v>
      </c>
      <c r="E186" t="s">
        <v>70</v>
      </c>
      <c r="F186" t="s">
        <v>71</v>
      </c>
      <c r="G186" t="s">
        <v>35</v>
      </c>
      <c r="H186">
        <v>5</v>
      </c>
      <c r="I186">
        <v>4915</v>
      </c>
      <c r="J186">
        <v>1196.5999999999999</v>
      </c>
    </row>
    <row r="187" spans="1:10" x14ac:dyDescent="0.25">
      <c r="A187" s="1">
        <v>45154</v>
      </c>
      <c r="B187" t="s">
        <v>16</v>
      </c>
      <c r="C187" t="s">
        <v>17</v>
      </c>
      <c r="D187" t="s">
        <v>12</v>
      </c>
      <c r="E187" t="s">
        <v>134</v>
      </c>
      <c r="F187" t="s">
        <v>42</v>
      </c>
      <c r="G187" t="s">
        <v>28</v>
      </c>
      <c r="H187">
        <v>3</v>
      </c>
      <c r="I187">
        <v>2709</v>
      </c>
      <c r="J187">
        <v>663.54</v>
      </c>
    </row>
    <row r="188" spans="1:10" x14ac:dyDescent="0.25">
      <c r="A188" s="1">
        <v>45087</v>
      </c>
      <c r="B188" t="s">
        <v>18</v>
      </c>
      <c r="C188" t="s">
        <v>19</v>
      </c>
      <c r="D188" t="s">
        <v>12</v>
      </c>
      <c r="E188" t="s">
        <v>52</v>
      </c>
      <c r="F188" t="s">
        <v>42</v>
      </c>
      <c r="G188" t="s">
        <v>28</v>
      </c>
      <c r="H188">
        <v>7</v>
      </c>
      <c r="I188">
        <v>1239</v>
      </c>
      <c r="J188">
        <v>118.36</v>
      </c>
    </row>
    <row r="189" spans="1:10" x14ac:dyDescent="0.25">
      <c r="A189" s="1">
        <v>45055</v>
      </c>
      <c r="B189" t="s">
        <v>18</v>
      </c>
      <c r="C189" t="s">
        <v>19</v>
      </c>
      <c r="D189" t="s">
        <v>12</v>
      </c>
      <c r="E189" t="s">
        <v>135</v>
      </c>
      <c r="F189" t="s">
        <v>83</v>
      </c>
      <c r="G189" t="s">
        <v>28</v>
      </c>
      <c r="H189">
        <v>2</v>
      </c>
      <c r="I189">
        <v>572</v>
      </c>
      <c r="J189">
        <v>86.16</v>
      </c>
    </row>
    <row r="190" spans="1:10" x14ac:dyDescent="0.25">
      <c r="A190" s="1">
        <v>44689</v>
      </c>
      <c r="B190" t="s">
        <v>32</v>
      </c>
      <c r="C190" t="s">
        <v>19</v>
      </c>
      <c r="D190" t="s">
        <v>12</v>
      </c>
      <c r="E190" t="s">
        <v>136</v>
      </c>
      <c r="F190" t="s">
        <v>65</v>
      </c>
      <c r="G190" t="s">
        <v>35</v>
      </c>
      <c r="H190">
        <v>2</v>
      </c>
      <c r="I190">
        <v>1708</v>
      </c>
      <c r="J190">
        <v>93.25</v>
      </c>
    </row>
    <row r="191" spans="1:10" x14ac:dyDescent="0.25">
      <c r="A191" s="1">
        <v>45602</v>
      </c>
      <c r="B191" t="s">
        <v>32</v>
      </c>
      <c r="C191" t="s">
        <v>19</v>
      </c>
      <c r="D191" t="s">
        <v>12</v>
      </c>
      <c r="E191" t="s">
        <v>66</v>
      </c>
      <c r="F191" t="s">
        <v>34</v>
      </c>
      <c r="G191" t="s">
        <v>35</v>
      </c>
      <c r="H191">
        <v>4</v>
      </c>
      <c r="I191">
        <v>360</v>
      </c>
      <c r="J191">
        <v>42.66</v>
      </c>
    </row>
    <row r="192" spans="1:10" x14ac:dyDescent="0.25">
      <c r="A192" s="1">
        <v>44903</v>
      </c>
      <c r="B192" t="s">
        <v>25</v>
      </c>
      <c r="C192" t="s">
        <v>19</v>
      </c>
      <c r="D192" t="s">
        <v>12</v>
      </c>
      <c r="E192" t="s">
        <v>66</v>
      </c>
      <c r="F192" t="s">
        <v>34</v>
      </c>
      <c r="G192" t="s">
        <v>35</v>
      </c>
      <c r="H192">
        <v>6</v>
      </c>
      <c r="I192">
        <v>3822</v>
      </c>
      <c r="J192">
        <v>388.34</v>
      </c>
    </row>
    <row r="193" spans="1:10" x14ac:dyDescent="0.25">
      <c r="A193" s="1">
        <v>44829</v>
      </c>
      <c r="B193" t="s">
        <v>25</v>
      </c>
      <c r="C193" t="s">
        <v>19</v>
      </c>
      <c r="D193" t="s">
        <v>12</v>
      </c>
      <c r="E193" t="s">
        <v>137</v>
      </c>
      <c r="F193" t="s">
        <v>23</v>
      </c>
      <c r="G193" t="s">
        <v>24</v>
      </c>
      <c r="H193">
        <v>6</v>
      </c>
      <c r="I193">
        <v>4680</v>
      </c>
      <c r="J193">
        <v>932.97</v>
      </c>
    </row>
    <row r="194" spans="1:10" x14ac:dyDescent="0.25">
      <c r="A194" s="1">
        <v>45483</v>
      </c>
      <c r="B194" t="s">
        <v>25</v>
      </c>
      <c r="C194" t="s">
        <v>19</v>
      </c>
      <c r="D194" t="s">
        <v>12</v>
      </c>
      <c r="E194" t="s">
        <v>138</v>
      </c>
      <c r="F194" t="s">
        <v>94</v>
      </c>
      <c r="G194" t="s">
        <v>24</v>
      </c>
      <c r="H194">
        <v>5</v>
      </c>
      <c r="I194">
        <v>2520</v>
      </c>
      <c r="J194">
        <v>487.18</v>
      </c>
    </row>
    <row r="195" spans="1:10" x14ac:dyDescent="0.25">
      <c r="A195" s="1">
        <v>45380</v>
      </c>
      <c r="B195" t="s">
        <v>32</v>
      </c>
      <c r="C195" t="s">
        <v>19</v>
      </c>
      <c r="D195" t="s">
        <v>12</v>
      </c>
      <c r="E195" t="s">
        <v>26</v>
      </c>
      <c r="F195" t="s">
        <v>27</v>
      </c>
      <c r="G195" t="s">
        <v>28</v>
      </c>
      <c r="H195">
        <v>2</v>
      </c>
      <c r="I195">
        <v>2138</v>
      </c>
      <c r="J195">
        <v>619.29</v>
      </c>
    </row>
    <row r="196" spans="1:10" x14ac:dyDescent="0.25">
      <c r="A196" s="1">
        <v>44572</v>
      </c>
      <c r="B196" t="s">
        <v>49</v>
      </c>
      <c r="C196" t="s">
        <v>17</v>
      </c>
      <c r="D196" t="s">
        <v>12</v>
      </c>
      <c r="E196" t="s">
        <v>26</v>
      </c>
      <c r="F196" t="s">
        <v>27</v>
      </c>
      <c r="G196" t="s">
        <v>28</v>
      </c>
      <c r="H196">
        <v>3</v>
      </c>
      <c r="I196">
        <v>2529</v>
      </c>
      <c r="J196">
        <v>169.6</v>
      </c>
    </row>
    <row r="197" spans="1:10" x14ac:dyDescent="0.25">
      <c r="A197" s="1">
        <v>44659</v>
      </c>
      <c r="B197" t="s">
        <v>49</v>
      </c>
      <c r="C197" t="s">
        <v>17</v>
      </c>
      <c r="D197" t="s">
        <v>12</v>
      </c>
      <c r="E197" t="s">
        <v>26</v>
      </c>
      <c r="F197" t="s">
        <v>27</v>
      </c>
      <c r="G197" t="s">
        <v>28</v>
      </c>
      <c r="H197">
        <v>1</v>
      </c>
      <c r="I197">
        <v>236</v>
      </c>
      <c r="J197">
        <v>29.33</v>
      </c>
    </row>
    <row r="198" spans="1:10" x14ac:dyDescent="0.25">
      <c r="A198" s="1">
        <v>45312</v>
      </c>
      <c r="B198" t="s">
        <v>18</v>
      </c>
      <c r="C198" t="s">
        <v>19</v>
      </c>
      <c r="D198" t="s">
        <v>12</v>
      </c>
      <c r="E198" t="s">
        <v>26</v>
      </c>
      <c r="F198" t="s">
        <v>27</v>
      </c>
      <c r="G198" t="s">
        <v>28</v>
      </c>
      <c r="H198">
        <v>6</v>
      </c>
      <c r="I198">
        <v>2730</v>
      </c>
      <c r="J198">
        <v>636.48</v>
      </c>
    </row>
    <row r="199" spans="1:10" x14ac:dyDescent="0.25">
      <c r="A199" s="1">
        <v>45043</v>
      </c>
      <c r="B199" t="s">
        <v>29</v>
      </c>
      <c r="C199" t="s">
        <v>17</v>
      </c>
      <c r="D199" t="s">
        <v>12</v>
      </c>
      <c r="E199" t="s">
        <v>139</v>
      </c>
      <c r="F199" t="s">
        <v>34</v>
      </c>
      <c r="G199" t="s">
        <v>35</v>
      </c>
      <c r="H199">
        <v>3</v>
      </c>
      <c r="I199">
        <v>3021</v>
      </c>
      <c r="J199">
        <v>872.49</v>
      </c>
    </row>
    <row r="200" spans="1:10" x14ac:dyDescent="0.25">
      <c r="A200" s="1">
        <v>45602</v>
      </c>
      <c r="B200" t="s">
        <v>32</v>
      </c>
      <c r="C200" t="s">
        <v>19</v>
      </c>
      <c r="D200" t="s">
        <v>12</v>
      </c>
      <c r="E200" t="s">
        <v>118</v>
      </c>
      <c r="F200" t="s">
        <v>23</v>
      </c>
      <c r="G200" t="s">
        <v>24</v>
      </c>
      <c r="H200">
        <v>2</v>
      </c>
      <c r="I200">
        <v>244</v>
      </c>
      <c r="J200">
        <v>16.78</v>
      </c>
    </row>
    <row r="201" spans="1:10" x14ac:dyDescent="0.25">
      <c r="A201" s="1">
        <v>44692</v>
      </c>
      <c r="B201" t="s">
        <v>25</v>
      </c>
      <c r="C201" t="s">
        <v>19</v>
      </c>
      <c r="D201" t="s">
        <v>12</v>
      </c>
      <c r="E201" t="s">
        <v>74</v>
      </c>
      <c r="F201" t="s">
        <v>23</v>
      </c>
      <c r="G201" t="s">
        <v>24</v>
      </c>
      <c r="H201">
        <v>8</v>
      </c>
      <c r="I201">
        <v>728</v>
      </c>
      <c r="J201">
        <v>120.06</v>
      </c>
    </row>
    <row r="202" spans="1:10" x14ac:dyDescent="0.25">
      <c r="A202" s="1">
        <v>44836</v>
      </c>
      <c r="B202" t="s">
        <v>16</v>
      </c>
      <c r="C202" t="s">
        <v>17</v>
      </c>
      <c r="D202" t="s">
        <v>12</v>
      </c>
      <c r="E202" t="s">
        <v>26</v>
      </c>
      <c r="F202" t="s">
        <v>27</v>
      </c>
      <c r="G202" t="s">
        <v>28</v>
      </c>
      <c r="H202">
        <v>3</v>
      </c>
      <c r="I202">
        <v>453</v>
      </c>
      <c r="J202">
        <v>89.49</v>
      </c>
    </row>
    <row r="203" spans="1:10" x14ac:dyDescent="0.25">
      <c r="A203" s="1">
        <v>44573</v>
      </c>
      <c r="B203" t="s">
        <v>55</v>
      </c>
      <c r="C203" t="s">
        <v>19</v>
      </c>
      <c r="D203" t="s">
        <v>12</v>
      </c>
      <c r="E203" t="s">
        <v>52</v>
      </c>
      <c r="F203" t="s">
        <v>42</v>
      </c>
      <c r="G203" t="s">
        <v>28</v>
      </c>
      <c r="H203">
        <v>1</v>
      </c>
      <c r="I203">
        <v>379</v>
      </c>
      <c r="J203">
        <v>84.38</v>
      </c>
    </row>
    <row r="204" spans="1:10" x14ac:dyDescent="0.25">
      <c r="A204" s="1">
        <v>44935</v>
      </c>
      <c r="B204" t="s">
        <v>18</v>
      </c>
      <c r="C204" t="s">
        <v>19</v>
      </c>
      <c r="D204" t="s">
        <v>12</v>
      </c>
      <c r="E204" t="s">
        <v>130</v>
      </c>
      <c r="F204" t="s">
        <v>54</v>
      </c>
      <c r="G204" t="s">
        <v>24</v>
      </c>
      <c r="H204">
        <v>3</v>
      </c>
      <c r="I204">
        <v>2130</v>
      </c>
      <c r="J204">
        <v>510.69</v>
      </c>
    </row>
    <row r="205" spans="1:10" x14ac:dyDescent="0.25">
      <c r="A205" s="1">
        <v>45050</v>
      </c>
      <c r="B205" t="s">
        <v>36</v>
      </c>
      <c r="C205" t="s">
        <v>17</v>
      </c>
      <c r="D205" t="s">
        <v>12</v>
      </c>
      <c r="E205" t="s">
        <v>140</v>
      </c>
      <c r="F205" t="s">
        <v>42</v>
      </c>
      <c r="G205" t="s">
        <v>28</v>
      </c>
      <c r="H205">
        <v>8</v>
      </c>
      <c r="I205">
        <v>4120</v>
      </c>
      <c r="J205">
        <v>710.11</v>
      </c>
    </row>
    <row r="206" spans="1:10" x14ac:dyDescent="0.25">
      <c r="A206" s="1">
        <v>45542</v>
      </c>
      <c r="B206" t="s">
        <v>32</v>
      </c>
      <c r="C206" t="s">
        <v>19</v>
      </c>
      <c r="D206" t="s">
        <v>12</v>
      </c>
      <c r="E206" t="s">
        <v>103</v>
      </c>
      <c r="F206" t="s">
        <v>21</v>
      </c>
      <c r="G206" t="s">
        <v>15</v>
      </c>
      <c r="H206">
        <v>7</v>
      </c>
      <c r="I206">
        <v>3150</v>
      </c>
      <c r="J206">
        <v>299.7</v>
      </c>
    </row>
    <row r="207" spans="1:10" x14ac:dyDescent="0.25">
      <c r="A207" s="1">
        <v>44698</v>
      </c>
      <c r="B207" t="s">
        <v>32</v>
      </c>
      <c r="C207" t="s">
        <v>19</v>
      </c>
      <c r="D207" t="s">
        <v>12</v>
      </c>
      <c r="E207" t="s">
        <v>13</v>
      </c>
      <c r="F207" t="s">
        <v>14</v>
      </c>
      <c r="G207" t="s">
        <v>15</v>
      </c>
      <c r="H207">
        <v>7</v>
      </c>
      <c r="I207">
        <v>2688</v>
      </c>
      <c r="J207">
        <v>603.07000000000005</v>
      </c>
    </row>
    <row r="208" spans="1:10" x14ac:dyDescent="0.25">
      <c r="A208" s="1">
        <v>45155</v>
      </c>
      <c r="B208" t="s">
        <v>18</v>
      </c>
      <c r="C208" t="s">
        <v>19</v>
      </c>
      <c r="D208" t="s">
        <v>12</v>
      </c>
      <c r="E208" t="s">
        <v>13</v>
      </c>
      <c r="F208" t="s">
        <v>14</v>
      </c>
      <c r="G208" t="s">
        <v>15</v>
      </c>
      <c r="H208">
        <v>2</v>
      </c>
      <c r="I208">
        <v>1752</v>
      </c>
      <c r="J208">
        <v>501.19</v>
      </c>
    </row>
    <row r="209" spans="1:10" x14ac:dyDescent="0.25">
      <c r="A209" s="1">
        <v>45176</v>
      </c>
      <c r="B209" t="s">
        <v>49</v>
      </c>
      <c r="C209" t="s">
        <v>17</v>
      </c>
      <c r="D209" t="s">
        <v>12</v>
      </c>
      <c r="E209" t="s">
        <v>52</v>
      </c>
      <c r="F209" t="s">
        <v>42</v>
      </c>
      <c r="G209" t="s">
        <v>28</v>
      </c>
      <c r="H209">
        <v>7</v>
      </c>
      <c r="I209">
        <v>7308</v>
      </c>
      <c r="J209">
        <v>948.4</v>
      </c>
    </row>
    <row r="210" spans="1:10" x14ac:dyDescent="0.25">
      <c r="A210" s="1">
        <v>44692</v>
      </c>
      <c r="B210" t="s">
        <v>18</v>
      </c>
      <c r="C210" t="s">
        <v>19</v>
      </c>
      <c r="D210" t="s">
        <v>12</v>
      </c>
      <c r="E210" t="s">
        <v>105</v>
      </c>
      <c r="F210" t="s">
        <v>23</v>
      </c>
      <c r="G210" t="s">
        <v>24</v>
      </c>
      <c r="H210">
        <v>3</v>
      </c>
      <c r="I210">
        <v>2007</v>
      </c>
      <c r="J210">
        <v>160.84</v>
      </c>
    </row>
    <row r="211" spans="1:10" x14ac:dyDescent="0.25">
      <c r="A211" s="1">
        <v>45058</v>
      </c>
      <c r="B211" t="s">
        <v>18</v>
      </c>
      <c r="C211" t="s">
        <v>19</v>
      </c>
      <c r="D211" t="s">
        <v>12</v>
      </c>
      <c r="E211" t="s">
        <v>141</v>
      </c>
      <c r="F211" t="s">
        <v>57</v>
      </c>
      <c r="G211" t="s">
        <v>24</v>
      </c>
      <c r="H211">
        <v>7</v>
      </c>
      <c r="I211">
        <v>7224</v>
      </c>
      <c r="J211">
        <v>479.23</v>
      </c>
    </row>
    <row r="212" spans="1:10" x14ac:dyDescent="0.25">
      <c r="A212" s="1">
        <v>45054</v>
      </c>
      <c r="B212" t="s">
        <v>36</v>
      </c>
      <c r="C212" t="s">
        <v>17</v>
      </c>
      <c r="D212" t="s">
        <v>12</v>
      </c>
      <c r="E212" t="s">
        <v>56</v>
      </c>
      <c r="F212" t="s">
        <v>57</v>
      </c>
      <c r="G212" t="s">
        <v>24</v>
      </c>
      <c r="H212">
        <v>9</v>
      </c>
      <c r="I212">
        <v>6939</v>
      </c>
      <c r="J212">
        <v>1249.31</v>
      </c>
    </row>
    <row r="213" spans="1:10" x14ac:dyDescent="0.25">
      <c r="A213" s="1">
        <v>44975</v>
      </c>
      <c r="B213" t="s">
        <v>40</v>
      </c>
      <c r="C213" t="s">
        <v>19</v>
      </c>
      <c r="D213" t="s">
        <v>12</v>
      </c>
      <c r="E213" t="s">
        <v>52</v>
      </c>
      <c r="F213" t="s">
        <v>42</v>
      </c>
      <c r="G213" t="s">
        <v>28</v>
      </c>
      <c r="H213">
        <v>7</v>
      </c>
      <c r="I213">
        <v>5516</v>
      </c>
      <c r="J213">
        <v>1475.67</v>
      </c>
    </row>
    <row r="214" spans="1:10" x14ac:dyDescent="0.25">
      <c r="A214" s="1">
        <v>44590</v>
      </c>
      <c r="B214" t="s">
        <v>10</v>
      </c>
      <c r="C214" t="s">
        <v>11</v>
      </c>
      <c r="D214" t="s">
        <v>12</v>
      </c>
      <c r="E214" t="s">
        <v>52</v>
      </c>
      <c r="F214" t="s">
        <v>42</v>
      </c>
      <c r="G214" t="s">
        <v>28</v>
      </c>
      <c r="H214">
        <v>2</v>
      </c>
      <c r="I214">
        <v>2224</v>
      </c>
      <c r="J214">
        <v>116.47</v>
      </c>
    </row>
    <row r="215" spans="1:10" x14ac:dyDescent="0.25">
      <c r="A215" s="1">
        <v>44938</v>
      </c>
      <c r="B215" t="s">
        <v>55</v>
      </c>
      <c r="C215" t="s">
        <v>19</v>
      </c>
      <c r="D215" t="s">
        <v>12</v>
      </c>
      <c r="E215" t="s">
        <v>57</v>
      </c>
      <c r="F215" t="s">
        <v>142</v>
      </c>
      <c r="G215" t="s">
        <v>28</v>
      </c>
      <c r="H215">
        <v>5</v>
      </c>
      <c r="I215">
        <v>3985</v>
      </c>
      <c r="J215">
        <v>824.4</v>
      </c>
    </row>
    <row r="216" spans="1:10" x14ac:dyDescent="0.25">
      <c r="A216" s="1">
        <v>44564</v>
      </c>
      <c r="B216" t="s">
        <v>25</v>
      </c>
      <c r="C216" t="s">
        <v>19</v>
      </c>
      <c r="D216" t="s">
        <v>12</v>
      </c>
      <c r="E216" t="s">
        <v>80</v>
      </c>
      <c r="F216" t="s">
        <v>78</v>
      </c>
      <c r="G216" t="s">
        <v>28</v>
      </c>
      <c r="H216">
        <v>7</v>
      </c>
      <c r="I216">
        <v>2723</v>
      </c>
      <c r="J216">
        <v>638.26</v>
      </c>
    </row>
    <row r="217" spans="1:10" x14ac:dyDescent="0.25">
      <c r="A217" s="1">
        <v>44854</v>
      </c>
      <c r="B217" t="s">
        <v>18</v>
      </c>
      <c r="C217" t="s">
        <v>19</v>
      </c>
      <c r="D217" t="s">
        <v>12</v>
      </c>
      <c r="E217" t="s">
        <v>80</v>
      </c>
      <c r="F217" t="s">
        <v>78</v>
      </c>
      <c r="G217" t="s">
        <v>28</v>
      </c>
      <c r="H217">
        <v>2</v>
      </c>
      <c r="I217">
        <v>746</v>
      </c>
      <c r="J217">
        <v>170.75</v>
      </c>
    </row>
    <row r="218" spans="1:10" x14ac:dyDescent="0.25">
      <c r="A218" s="1">
        <v>45525</v>
      </c>
      <c r="B218" t="s">
        <v>55</v>
      </c>
      <c r="C218" t="s">
        <v>19</v>
      </c>
      <c r="D218" t="s">
        <v>12</v>
      </c>
      <c r="E218" t="s">
        <v>143</v>
      </c>
      <c r="F218" t="s">
        <v>100</v>
      </c>
      <c r="G218" t="s">
        <v>35</v>
      </c>
      <c r="H218">
        <v>5</v>
      </c>
      <c r="I218">
        <v>3170</v>
      </c>
      <c r="J218">
        <v>245.25</v>
      </c>
    </row>
    <row r="219" spans="1:10" x14ac:dyDescent="0.25">
      <c r="A219" s="1">
        <v>45271</v>
      </c>
      <c r="B219" t="s">
        <v>32</v>
      </c>
      <c r="C219" t="s">
        <v>19</v>
      </c>
      <c r="D219" t="s">
        <v>12</v>
      </c>
      <c r="E219" t="s">
        <v>144</v>
      </c>
      <c r="F219" t="s">
        <v>100</v>
      </c>
      <c r="G219" t="s">
        <v>35</v>
      </c>
      <c r="H219">
        <v>5</v>
      </c>
      <c r="I219">
        <v>550</v>
      </c>
      <c r="J219">
        <v>63.11</v>
      </c>
    </row>
    <row r="220" spans="1:10" x14ac:dyDescent="0.25">
      <c r="A220" s="1">
        <v>44787</v>
      </c>
      <c r="B220" t="s">
        <v>18</v>
      </c>
      <c r="C220" t="s">
        <v>19</v>
      </c>
      <c r="D220" t="s">
        <v>12</v>
      </c>
      <c r="E220" t="s">
        <v>52</v>
      </c>
      <c r="F220" t="s">
        <v>42</v>
      </c>
      <c r="G220" t="s">
        <v>28</v>
      </c>
      <c r="H220">
        <v>8</v>
      </c>
      <c r="I220">
        <v>480</v>
      </c>
      <c r="J220">
        <v>132.44999999999999</v>
      </c>
    </row>
    <row r="221" spans="1:10" x14ac:dyDescent="0.25">
      <c r="A221" s="1">
        <v>45446</v>
      </c>
      <c r="B221" t="s">
        <v>10</v>
      </c>
      <c r="C221" t="s">
        <v>11</v>
      </c>
      <c r="D221" t="s">
        <v>12</v>
      </c>
      <c r="E221" t="s">
        <v>145</v>
      </c>
      <c r="F221" t="s">
        <v>44</v>
      </c>
      <c r="G221" t="s">
        <v>35</v>
      </c>
      <c r="H221">
        <v>4</v>
      </c>
      <c r="I221">
        <v>3284</v>
      </c>
      <c r="J221">
        <v>354.4</v>
      </c>
    </row>
    <row r="222" spans="1:10" x14ac:dyDescent="0.25">
      <c r="A222" s="1">
        <v>45314</v>
      </c>
      <c r="B222" t="s">
        <v>32</v>
      </c>
      <c r="C222" t="s">
        <v>19</v>
      </c>
      <c r="D222" t="s">
        <v>12</v>
      </c>
      <c r="E222" t="s">
        <v>146</v>
      </c>
      <c r="F222" t="s">
        <v>21</v>
      </c>
      <c r="G222" t="s">
        <v>15</v>
      </c>
      <c r="H222">
        <v>2</v>
      </c>
      <c r="I222">
        <v>1748</v>
      </c>
      <c r="J222">
        <v>183.75</v>
      </c>
    </row>
    <row r="223" spans="1:10" x14ac:dyDescent="0.25">
      <c r="A223" s="1">
        <v>45250</v>
      </c>
      <c r="B223" t="s">
        <v>29</v>
      </c>
      <c r="C223" t="s">
        <v>17</v>
      </c>
      <c r="D223" t="s">
        <v>12</v>
      </c>
      <c r="E223" t="s">
        <v>26</v>
      </c>
      <c r="F223" t="s">
        <v>27</v>
      </c>
      <c r="G223" t="s">
        <v>28</v>
      </c>
      <c r="H223">
        <v>8</v>
      </c>
      <c r="I223">
        <v>824</v>
      </c>
      <c r="J223">
        <v>240.84</v>
      </c>
    </row>
    <row r="224" spans="1:10" x14ac:dyDescent="0.25">
      <c r="A224" s="1">
        <v>44623</v>
      </c>
      <c r="B224" t="s">
        <v>29</v>
      </c>
      <c r="C224" t="s">
        <v>17</v>
      </c>
      <c r="D224" t="s">
        <v>12</v>
      </c>
      <c r="E224" t="s">
        <v>26</v>
      </c>
      <c r="F224" t="s">
        <v>27</v>
      </c>
      <c r="G224" t="s">
        <v>28</v>
      </c>
      <c r="H224">
        <v>4</v>
      </c>
      <c r="I224">
        <v>1872</v>
      </c>
      <c r="J224">
        <v>448.46</v>
      </c>
    </row>
    <row r="225" spans="1:10" x14ac:dyDescent="0.25">
      <c r="A225" s="1">
        <v>45342</v>
      </c>
      <c r="B225" t="s">
        <v>18</v>
      </c>
      <c r="C225" t="s">
        <v>19</v>
      </c>
      <c r="D225" t="s">
        <v>12</v>
      </c>
      <c r="E225" t="s">
        <v>52</v>
      </c>
      <c r="F225" t="s">
        <v>42</v>
      </c>
      <c r="G225" t="s">
        <v>28</v>
      </c>
      <c r="H225">
        <v>3</v>
      </c>
      <c r="I225">
        <v>627</v>
      </c>
      <c r="J225">
        <v>103.98</v>
      </c>
    </row>
    <row r="226" spans="1:10" x14ac:dyDescent="0.25">
      <c r="A226" s="1">
        <v>45513</v>
      </c>
      <c r="B226" t="s">
        <v>25</v>
      </c>
      <c r="C226" t="s">
        <v>19</v>
      </c>
      <c r="D226" t="s">
        <v>12</v>
      </c>
      <c r="E226" t="s">
        <v>37</v>
      </c>
      <c r="F226" t="s">
        <v>34</v>
      </c>
      <c r="G226" t="s">
        <v>35</v>
      </c>
      <c r="H226">
        <v>9</v>
      </c>
      <c r="I226">
        <v>5661</v>
      </c>
      <c r="J226">
        <v>1104.02</v>
      </c>
    </row>
    <row r="227" spans="1:10" x14ac:dyDescent="0.25">
      <c r="A227" s="1">
        <v>44731</v>
      </c>
      <c r="B227" t="s">
        <v>25</v>
      </c>
      <c r="C227" t="s">
        <v>19</v>
      </c>
      <c r="D227" t="s">
        <v>12</v>
      </c>
      <c r="E227" t="s">
        <v>74</v>
      </c>
      <c r="F227" t="s">
        <v>23</v>
      </c>
      <c r="G227" t="s">
        <v>24</v>
      </c>
      <c r="H227">
        <v>3</v>
      </c>
      <c r="I227">
        <v>2910</v>
      </c>
      <c r="J227">
        <v>765.47</v>
      </c>
    </row>
    <row r="228" spans="1:10" x14ac:dyDescent="0.25">
      <c r="A228" s="1">
        <v>45536</v>
      </c>
      <c r="B228" t="s">
        <v>18</v>
      </c>
      <c r="C228" t="s">
        <v>19</v>
      </c>
      <c r="D228" t="s">
        <v>12</v>
      </c>
      <c r="E228" t="s">
        <v>70</v>
      </c>
      <c r="F228" t="s">
        <v>71</v>
      </c>
      <c r="G228" t="s">
        <v>35</v>
      </c>
      <c r="H228">
        <v>9</v>
      </c>
      <c r="I228">
        <v>9036</v>
      </c>
      <c r="J228">
        <v>1087.46</v>
      </c>
    </row>
    <row r="229" spans="1:10" x14ac:dyDescent="0.25">
      <c r="A229" s="1">
        <v>45534</v>
      </c>
      <c r="B229" t="s">
        <v>18</v>
      </c>
      <c r="C229" t="s">
        <v>19</v>
      </c>
      <c r="D229" t="s">
        <v>12</v>
      </c>
      <c r="E229" t="s">
        <v>147</v>
      </c>
      <c r="F229" t="s">
        <v>42</v>
      </c>
      <c r="G229" t="s">
        <v>28</v>
      </c>
      <c r="H229">
        <v>5</v>
      </c>
      <c r="I229">
        <v>4815</v>
      </c>
      <c r="J229">
        <v>338.31</v>
      </c>
    </row>
    <row r="230" spans="1:10" x14ac:dyDescent="0.25">
      <c r="A230" s="1">
        <v>44785</v>
      </c>
      <c r="B230" t="s">
        <v>16</v>
      </c>
      <c r="C230" t="s">
        <v>17</v>
      </c>
      <c r="D230" t="s">
        <v>12</v>
      </c>
      <c r="E230" t="s">
        <v>148</v>
      </c>
      <c r="F230" t="s">
        <v>149</v>
      </c>
      <c r="G230" t="s">
        <v>15</v>
      </c>
      <c r="H230">
        <v>1</v>
      </c>
      <c r="I230">
        <v>1187</v>
      </c>
      <c r="J230">
        <v>206.28</v>
      </c>
    </row>
    <row r="231" spans="1:10" x14ac:dyDescent="0.25">
      <c r="A231" s="1">
        <v>44777</v>
      </c>
      <c r="B231" t="s">
        <v>29</v>
      </c>
      <c r="C231" t="s">
        <v>17</v>
      </c>
      <c r="D231" t="s">
        <v>12</v>
      </c>
      <c r="E231" t="s">
        <v>22</v>
      </c>
      <c r="F231" t="s">
        <v>23</v>
      </c>
      <c r="G231" t="s">
        <v>24</v>
      </c>
      <c r="H231">
        <v>3</v>
      </c>
      <c r="I231">
        <v>3339</v>
      </c>
      <c r="J231">
        <v>732.92</v>
      </c>
    </row>
    <row r="232" spans="1:10" x14ac:dyDescent="0.25">
      <c r="A232" s="1">
        <v>45342</v>
      </c>
      <c r="B232" t="s">
        <v>18</v>
      </c>
      <c r="C232" t="s">
        <v>19</v>
      </c>
      <c r="D232" t="s">
        <v>12</v>
      </c>
      <c r="E232" t="s">
        <v>74</v>
      </c>
      <c r="F232" t="s">
        <v>23</v>
      </c>
      <c r="G232" t="s">
        <v>24</v>
      </c>
      <c r="H232">
        <v>1</v>
      </c>
      <c r="I232">
        <v>620</v>
      </c>
      <c r="J232">
        <v>165.43</v>
      </c>
    </row>
    <row r="233" spans="1:10" x14ac:dyDescent="0.25">
      <c r="A233" s="1">
        <v>44983</v>
      </c>
      <c r="B233" t="s">
        <v>25</v>
      </c>
      <c r="C233" t="s">
        <v>19</v>
      </c>
      <c r="D233" t="s">
        <v>12</v>
      </c>
      <c r="E233" t="s">
        <v>37</v>
      </c>
      <c r="F233" t="s">
        <v>34</v>
      </c>
      <c r="G233" t="s">
        <v>35</v>
      </c>
      <c r="H233">
        <v>5</v>
      </c>
      <c r="I233">
        <v>2025</v>
      </c>
      <c r="J233">
        <v>414.42</v>
      </c>
    </row>
    <row r="234" spans="1:10" x14ac:dyDescent="0.25">
      <c r="A234" s="1">
        <v>45616</v>
      </c>
      <c r="B234" t="s">
        <v>10</v>
      </c>
      <c r="C234" t="s">
        <v>11</v>
      </c>
      <c r="D234" t="s">
        <v>12</v>
      </c>
      <c r="E234" t="s">
        <v>150</v>
      </c>
      <c r="F234" t="s">
        <v>23</v>
      </c>
      <c r="G234" t="s">
        <v>24</v>
      </c>
      <c r="H234">
        <v>5</v>
      </c>
      <c r="I234">
        <v>3030</v>
      </c>
      <c r="J234">
        <v>811.92</v>
      </c>
    </row>
    <row r="235" spans="1:10" x14ac:dyDescent="0.25">
      <c r="A235" s="1">
        <v>45150</v>
      </c>
      <c r="B235" t="s">
        <v>32</v>
      </c>
      <c r="C235" t="s">
        <v>19</v>
      </c>
      <c r="D235" t="s">
        <v>12</v>
      </c>
      <c r="E235" t="s">
        <v>151</v>
      </c>
      <c r="F235" t="s">
        <v>152</v>
      </c>
      <c r="G235" t="s">
        <v>15</v>
      </c>
      <c r="H235">
        <v>5</v>
      </c>
      <c r="I235">
        <v>655</v>
      </c>
      <c r="J235">
        <v>166.69</v>
      </c>
    </row>
    <row r="236" spans="1:10" x14ac:dyDescent="0.25">
      <c r="A236" s="1">
        <v>44578</v>
      </c>
      <c r="B236" t="s">
        <v>10</v>
      </c>
      <c r="C236" t="s">
        <v>11</v>
      </c>
      <c r="D236" t="s">
        <v>12</v>
      </c>
      <c r="E236" t="s">
        <v>151</v>
      </c>
      <c r="F236" t="s">
        <v>152</v>
      </c>
      <c r="G236" t="s">
        <v>15</v>
      </c>
      <c r="H236">
        <v>2</v>
      </c>
      <c r="I236">
        <v>2238</v>
      </c>
      <c r="J236">
        <v>294.54000000000002</v>
      </c>
    </row>
    <row r="237" spans="1:10" x14ac:dyDescent="0.25">
      <c r="A237" s="1">
        <v>45028</v>
      </c>
      <c r="B237" t="s">
        <v>40</v>
      </c>
      <c r="C237" t="s">
        <v>19</v>
      </c>
      <c r="D237" t="s">
        <v>12</v>
      </c>
      <c r="E237" t="s">
        <v>132</v>
      </c>
      <c r="F237" t="s">
        <v>115</v>
      </c>
      <c r="G237" t="s">
        <v>15</v>
      </c>
      <c r="H237">
        <v>8</v>
      </c>
      <c r="I237">
        <v>3312</v>
      </c>
      <c r="J237">
        <v>811.31</v>
      </c>
    </row>
    <row r="238" spans="1:10" x14ac:dyDescent="0.25">
      <c r="A238" s="1">
        <v>45133</v>
      </c>
      <c r="B238" t="s">
        <v>10</v>
      </c>
      <c r="C238" t="s">
        <v>11</v>
      </c>
      <c r="D238" t="s">
        <v>12</v>
      </c>
      <c r="E238" t="s">
        <v>22</v>
      </c>
      <c r="F238" t="s">
        <v>23</v>
      </c>
      <c r="G238" t="s">
        <v>24</v>
      </c>
      <c r="H238">
        <v>9</v>
      </c>
      <c r="I238">
        <v>9387</v>
      </c>
      <c r="J238">
        <v>1271.6400000000001</v>
      </c>
    </row>
    <row r="239" spans="1:10" x14ac:dyDescent="0.25">
      <c r="A239" s="1">
        <v>45292</v>
      </c>
      <c r="B239" t="s">
        <v>16</v>
      </c>
      <c r="C239" t="s">
        <v>17</v>
      </c>
      <c r="D239" t="s">
        <v>12</v>
      </c>
      <c r="E239" t="s">
        <v>153</v>
      </c>
      <c r="F239" t="s">
        <v>63</v>
      </c>
      <c r="G239" t="s">
        <v>28</v>
      </c>
      <c r="H239">
        <v>6</v>
      </c>
      <c r="I239">
        <v>5790</v>
      </c>
      <c r="J239">
        <v>1285.21</v>
      </c>
    </row>
    <row r="240" spans="1:10" x14ac:dyDescent="0.25">
      <c r="A240" s="1">
        <v>45266</v>
      </c>
      <c r="B240" t="s">
        <v>55</v>
      </c>
      <c r="C240" t="s">
        <v>19</v>
      </c>
      <c r="D240" t="s">
        <v>12</v>
      </c>
      <c r="E240" t="s">
        <v>154</v>
      </c>
      <c r="F240" t="s">
        <v>115</v>
      </c>
      <c r="G240" t="s">
        <v>15</v>
      </c>
      <c r="H240">
        <v>6</v>
      </c>
      <c r="I240">
        <v>2700</v>
      </c>
      <c r="J240">
        <v>527.97</v>
      </c>
    </row>
    <row r="241" spans="1:10" x14ac:dyDescent="0.25">
      <c r="A241" s="1">
        <v>45265</v>
      </c>
      <c r="B241" t="s">
        <v>32</v>
      </c>
      <c r="C241" t="s">
        <v>19</v>
      </c>
      <c r="D241" t="s">
        <v>12</v>
      </c>
      <c r="E241" t="s">
        <v>154</v>
      </c>
      <c r="F241" t="s">
        <v>115</v>
      </c>
      <c r="G241" t="s">
        <v>15</v>
      </c>
      <c r="H241">
        <v>8</v>
      </c>
      <c r="I241">
        <v>2072</v>
      </c>
      <c r="J241">
        <v>555.05999999999995</v>
      </c>
    </row>
    <row r="242" spans="1:10" x14ac:dyDescent="0.25">
      <c r="A242" s="1">
        <v>45592</v>
      </c>
      <c r="B242" t="s">
        <v>49</v>
      </c>
      <c r="C242" t="s">
        <v>17</v>
      </c>
      <c r="D242" t="s">
        <v>12</v>
      </c>
      <c r="E242" t="s">
        <v>22</v>
      </c>
      <c r="F242" t="s">
        <v>23</v>
      </c>
      <c r="G242" t="s">
        <v>24</v>
      </c>
      <c r="H242">
        <v>3</v>
      </c>
      <c r="I242">
        <v>2991</v>
      </c>
      <c r="J242">
        <v>716.54</v>
      </c>
    </row>
    <row r="243" spans="1:10" x14ac:dyDescent="0.25">
      <c r="A243" s="1">
        <v>45508</v>
      </c>
      <c r="B243" t="s">
        <v>55</v>
      </c>
      <c r="C243" t="s">
        <v>19</v>
      </c>
      <c r="D243" t="s">
        <v>12</v>
      </c>
      <c r="E243" t="s">
        <v>52</v>
      </c>
      <c r="F243" t="s">
        <v>42</v>
      </c>
      <c r="G243" t="s">
        <v>28</v>
      </c>
      <c r="H243">
        <v>6</v>
      </c>
      <c r="I243">
        <v>5568</v>
      </c>
      <c r="J243">
        <v>958.59</v>
      </c>
    </row>
    <row r="244" spans="1:10" x14ac:dyDescent="0.25">
      <c r="A244" s="1">
        <v>44958</v>
      </c>
      <c r="B244" t="s">
        <v>32</v>
      </c>
      <c r="C244" t="s">
        <v>19</v>
      </c>
      <c r="D244" t="s">
        <v>12</v>
      </c>
      <c r="E244" t="s">
        <v>155</v>
      </c>
      <c r="F244" t="s">
        <v>156</v>
      </c>
      <c r="G244" t="s">
        <v>28</v>
      </c>
      <c r="H244">
        <v>7</v>
      </c>
      <c r="I244">
        <v>5509</v>
      </c>
      <c r="J244">
        <v>1648.74</v>
      </c>
    </row>
    <row r="245" spans="1:10" x14ac:dyDescent="0.25">
      <c r="A245" s="1">
        <v>45445</v>
      </c>
      <c r="B245" t="s">
        <v>10</v>
      </c>
      <c r="C245" t="s">
        <v>11</v>
      </c>
      <c r="D245" t="s">
        <v>12</v>
      </c>
      <c r="E245" t="s">
        <v>22</v>
      </c>
      <c r="F245" t="s">
        <v>23</v>
      </c>
      <c r="G245" t="s">
        <v>24</v>
      </c>
      <c r="H245">
        <v>7</v>
      </c>
      <c r="I245">
        <v>5922</v>
      </c>
      <c r="J245">
        <v>1323.1</v>
      </c>
    </row>
    <row r="246" spans="1:10" x14ac:dyDescent="0.25">
      <c r="A246" s="1">
        <v>45410</v>
      </c>
      <c r="B246" t="s">
        <v>40</v>
      </c>
      <c r="C246" t="s">
        <v>19</v>
      </c>
      <c r="D246" t="s">
        <v>12</v>
      </c>
      <c r="E246" t="s">
        <v>157</v>
      </c>
      <c r="F246" t="s">
        <v>21</v>
      </c>
      <c r="G246" t="s">
        <v>15</v>
      </c>
      <c r="H246">
        <v>4</v>
      </c>
      <c r="I246">
        <v>4380</v>
      </c>
      <c r="J246">
        <v>362.81</v>
      </c>
    </row>
    <row r="247" spans="1:10" x14ac:dyDescent="0.25">
      <c r="A247" s="1">
        <v>44645</v>
      </c>
      <c r="B247" t="s">
        <v>18</v>
      </c>
      <c r="C247" t="s">
        <v>19</v>
      </c>
      <c r="D247" t="s">
        <v>12</v>
      </c>
      <c r="E247" t="s">
        <v>157</v>
      </c>
      <c r="F247" t="s">
        <v>21</v>
      </c>
      <c r="G247" t="s">
        <v>15</v>
      </c>
      <c r="H247">
        <v>5</v>
      </c>
      <c r="I247">
        <v>1760</v>
      </c>
      <c r="J247">
        <v>272.68</v>
      </c>
    </row>
    <row r="248" spans="1:10" x14ac:dyDescent="0.25">
      <c r="A248" s="1">
        <v>45570</v>
      </c>
      <c r="B248" t="s">
        <v>29</v>
      </c>
      <c r="C248" t="s">
        <v>17</v>
      </c>
      <c r="D248" t="s">
        <v>12</v>
      </c>
      <c r="E248" t="s">
        <v>37</v>
      </c>
      <c r="F248" t="s">
        <v>34</v>
      </c>
      <c r="G248" t="s">
        <v>35</v>
      </c>
      <c r="H248">
        <v>9</v>
      </c>
      <c r="I248">
        <v>5571</v>
      </c>
      <c r="J248">
        <v>1523.81</v>
      </c>
    </row>
    <row r="249" spans="1:10" x14ac:dyDescent="0.25">
      <c r="A249" s="1">
        <v>45645</v>
      </c>
      <c r="B249" t="s">
        <v>18</v>
      </c>
      <c r="C249" t="s">
        <v>19</v>
      </c>
      <c r="D249" t="s">
        <v>12</v>
      </c>
      <c r="E249" t="s">
        <v>67</v>
      </c>
      <c r="F249" t="s">
        <v>54</v>
      </c>
      <c r="G249" t="s">
        <v>24</v>
      </c>
      <c r="H249">
        <v>2</v>
      </c>
      <c r="I249">
        <v>1082</v>
      </c>
      <c r="J249">
        <v>182.1</v>
      </c>
    </row>
    <row r="250" spans="1:10" x14ac:dyDescent="0.25">
      <c r="A250" s="1">
        <v>44760</v>
      </c>
      <c r="B250" t="s">
        <v>25</v>
      </c>
      <c r="C250" t="s">
        <v>19</v>
      </c>
      <c r="D250" t="s">
        <v>12</v>
      </c>
      <c r="E250" t="s">
        <v>67</v>
      </c>
      <c r="F250" t="s">
        <v>54</v>
      </c>
      <c r="G250" t="s">
        <v>24</v>
      </c>
      <c r="H250">
        <v>1</v>
      </c>
      <c r="I250">
        <v>569</v>
      </c>
      <c r="J250">
        <v>138.11000000000001</v>
      </c>
    </row>
    <row r="251" spans="1:10" x14ac:dyDescent="0.25">
      <c r="A251" s="1">
        <v>45088</v>
      </c>
      <c r="B251" t="s">
        <v>16</v>
      </c>
      <c r="C251" t="s">
        <v>17</v>
      </c>
      <c r="D251" t="s">
        <v>12</v>
      </c>
      <c r="E251" t="s">
        <v>52</v>
      </c>
      <c r="F251" t="s">
        <v>42</v>
      </c>
      <c r="G251" t="s">
        <v>28</v>
      </c>
      <c r="H251">
        <v>8</v>
      </c>
      <c r="I251">
        <v>3416</v>
      </c>
      <c r="J251">
        <v>697.42</v>
      </c>
    </row>
    <row r="252" spans="1:10" x14ac:dyDescent="0.25">
      <c r="A252" s="1">
        <v>45578</v>
      </c>
      <c r="B252" t="s">
        <v>10</v>
      </c>
      <c r="C252" t="s">
        <v>11</v>
      </c>
      <c r="D252" t="s">
        <v>12</v>
      </c>
      <c r="E252" t="s">
        <v>26</v>
      </c>
      <c r="F252" t="s">
        <v>27</v>
      </c>
      <c r="G252" t="s">
        <v>28</v>
      </c>
      <c r="H252">
        <v>1</v>
      </c>
      <c r="I252">
        <v>570</v>
      </c>
      <c r="J252">
        <v>57.07</v>
      </c>
    </row>
    <row r="253" spans="1:10" x14ac:dyDescent="0.25">
      <c r="A253" s="1">
        <v>45145</v>
      </c>
      <c r="B253" t="s">
        <v>36</v>
      </c>
      <c r="C253" t="s">
        <v>17</v>
      </c>
      <c r="D253" t="s">
        <v>12</v>
      </c>
      <c r="E253" t="s">
        <v>26</v>
      </c>
      <c r="F253" t="s">
        <v>27</v>
      </c>
      <c r="G253" t="s">
        <v>28</v>
      </c>
      <c r="H253">
        <v>6</v>
      </c>
      <c r="I253">
        <v>3300</v>
      </c>
      <c r="J253">
        <v>386.92</v>
      </c>
    </row>
    <row r="254" spans="1:10" x14ac:dyDescent="0.25">
      <c r="A254" s="1">
        <v>44899</v>
      </c>
      <c r="B254" t="s">
        <v>55</v>
      </c>
      <c r="C254" t="s">
        <v>19</v>
      </c>
      <c r="D254" t="s">
        <v>12</v>
      </c>
      <c r="E254" t="s">
        <v>52</v>
      </c>
      <c r="F254" t="s">
        <v>42</v>
      </c>
      <c r="G254" t="s">
        <v>28</v>
      </c>
      <c r="H254">
        <v>8</v>
      </c>
      <c r="I254">
        <v>2584</v>
      </c>
      <c r="J254">
        <v>568.77</v>
      </c>
    </row>
    <row r="255" spans="1:10" x14ac:dyDescent="0.25">
      <c r="A255" s="1">
        <v>45340</v>
      </c>
      <c r="B255" t="s">
        <v>36</v>
      </c>
      <c r="C255" t="s">
        <v>17</v>
      </c>
      <c r="D255" t="s">
        <v>12</v>
      </c>
      <c r="E255" t="s">
        <v>22</v>
      </c>
      <c r="F255" t="s">
        <v>23</v>
      </c>
      <c r="G255" t="s">
        <v>24</v>
      </c>
      <c r="H255">
        <v>9</v>
      </c>
      <c r="I255">
        <v>7650</v>
      </c>
      <c r="J255">
        <v>2204.44</v>
      </c>
    </row>
    <row r="256" spans="1:10" x14ac:dyDescent="0.25">
      <c r="A256" s="1">
        <v>45631</v>
      </c>
      <c r="B256" t="s">
        <v>29</v>
      </c>
      <c r="C256" t="s">
        <v>17</v>
      </c>
      <c r="D256" t="s">
        <v>12</v>
      </c>
      <c r="E256" t="s">
        <v>158</v>
      </c>
      <c r="F256" t="s">
        <v>21</v>
      </c>
      <c r="G256" t="s">
        <v>15</v>
      </c>
      <c r="H256">
        <v>8</v>
      </c>
      <c r="I256">
        <v>3600</v>
      </c>
      <c r="J256">
        <v>272.51</v>
      </c>
    </row>
    <row r="257" spans="1:10" x14ac:dyDescent="0.25">
      <c r="A257" s="1">
        <v>45275</v>
      </c>
      <c r="B257" t="s">
        <v>36</v>
      </c>
      <c r="C257" t="s">
        <v>17</v>
      </c>
      <c r="D257" t="s">
        <v>12</v>
      </c>
      <c r="E257" t="s">
        <v>158</v>
      </c>
      <c r="F257" t="s">
        <v>21</v>
      </c>
      <c r="G257" t="s">
        <v>15</v>
      </c>
      <c r="H257">
        <v>6</v>
      </c>
      <c r="I257">
        <v>846</v>
      </c>
      <c r="J257">
        <v>190.87</v>
      </c>
    </row>
    <row r="258" spans="1:10" x14ac:dyDescent="0.25">
      <c r="A258" s="1">
        <v>45150</v>
      </c>
      <c r="B258" t="s">
        <v>40</v>
      </c>
      <c r="C258" t="s">
        <v>19</v>
      </c>
      <c r="D258" t="s">
        <v>12</v>
      </c>
      <c r="E258" t="s">
        <v>158</v>
      </c>
      <c r="F258" t="s">
        <v>21</v>
      </c>
      <c r="G258" t="s">
        <v>15</v>
      </c>
      <c r="H258">
        <v>1</v>
      </c>
      <c r="I258">
        <v>51</v>
      </c>
      <c r="J258">
        <v>9.36</v>
      </c>
    </row>
    <row r="259" spans="1:10" x14ac:dyDescent="0.25">
      <c r="A259" s="1">
        <v>45432</v>
      </c>
      <c r="B259" t="s">
        <v>32</v>
      </c>
      <c r="C259" t="s">
        <v>19</v>
      </c>
      <c r="D259" t="s">
        <v>12</v>
      </c>
      <c r="E259" t="s">
        <v>56</v>
      </c>
      <c r="F259" t="s">
        <v>57</v>
      </c>
      <c r="G259" t="s">
        <v>24</v>
      </c>
      <c r="H259">
        <v>6</v>
      </c>
      <c r="I259">
        <v>7056</v>
      </c>
      <c r="J259">
        <v>586.91</v>
      </c>
    </row>
    <row r="260" spans="1:10" x14ac:dyDescent="0.25">
      <c r="A260" s="1">
        <v>45448</v>
      </c>
      <c r="B260" t="s">
        <v>32</v>
      </c>
      <c r="C260" t="s">
        <v>19</v>
      </c>
      <c r="D260" t="s">
        <v>12</v>
      </c>
      <c r="E260" t="s">
        <v>159</v>
      </c>
      <c r="F260" t="s">
        <v>23</v>
      </c>
      <c r="G260" t="s">
        <v>24</v>
      </c>
      <c r="H260">
        <v>2</v>
      </c>
      <c r="I260">
        <v>384</v>
      </c>
      <c r="J260">
        <v>38.409999999999997</v>
      </c>
    </row>
    <row r="261" spans="1:10" x14ac:dyDescent="0.25">
      <c r="A261" s="1">
        <v>44570</v>
      </c>
      <c r="B261" t="s">
        <v>55</v>
      </c>
      <c r="C261" t="s">
        <v>19</v>
      </c>
      <c r="D261" t="s">
        <v>12</v>
      </c>
      <c r="E261" t="s">
        <v>159</v>
      </c>
      <c r="F261" t="s">
        <v>23</v>
      </c>
      <c r="G261" t="s">
        <v>24</v>
      </c>
      <c r="H261">
        <v>8</v>
      </c>
      <c r="I261">
        <v>2928</v>
      </c>
      <c r="J261">
        <v>663.54</v>
      </c>
    </row>
    <row r="262" spans="1:10" x14ac:dyDescent="0.25">
      <c r="A262" s="1">
        <v>45277</v>
      </c>
      <c r="B262" t="s">
        <v>25</v>
      </c>
      <c r="C262" t="s">
        <v>19</v>
      </c>
      <c r="D262" t="s">
        <v>12</v>
      </c>
      <c r="E262" t="s">
        <v>159</v>
      </c>
      <c r="F262" t="s">
        <v>23</v>
      </c>
      <c r="G262" t="s">
        <v>24</v>
      </c>
      <c r="H262">
        <v>7</v>
      </c>
      <c r="I262">
        <v>1904</v>
      </c>
      <c r="J262">
        <v>352.86</v>
      </c>
    </row>
    <row r="263" spans="1:10" x14ac:dyDescent="0.25">
      <c r="A263" s="1">
        <v>44812</v>
      </c>
      <c r="B263" t="s">
        <v>18</v>
      </c>
      <c r="C263" t="s">
        <v>19</v>
      </c>
      <c r="D263" t="s">
        <v>12</v>
      </c>
      <c r="E263" t="s">
        <v>52</v>
      </c>
      <c r="F263" t="s">
        <v>42</v>
      </c>
      <c r="G263" t="s">
        <v>28</v>
      </c>
      <c r="H263">
        <v>2</v>
      </c>
      <c r="I263">
        <v>2314</v>
      </c>
      <c r="J263">
        <v>312.07</v>
      </c>
    </row>
    <row r="264" spans="1:10" x14ac:dyDescent="0.25">
      <c r="A264" s="1">
        <v>44583</v>
      </c>
      <c r="B264" t="s">
        <v>10</v>
      </c>
      <c r="C264" t="s">
        <v>11</v>
      </c>
      <c r="D264" t="s">
        <v>12</v>
      </c>
      <c r="E264" t="s">
        <v>160</v>
      </c>
      <c r="F264" t="s">
        <v>27</v>
      </c>
      <c r="G264" t="s">
        <v>28</v>
      </c>
      <c r="H264">
        <v>4</v>
      </c>
      <c r="I264">
        <v>1028</v>
      </c>
      <c r="J264">
        <v>192.13</v>
      </c>
    </row>
    <row r="265" spans="1:10" x14ac:dyDescent="0.25">
      <c r="A265" s="1">
        <v>45539</v>
      </c>
      <c r="B265" t="s">
        <v>29</v>
      </c>
      <c r="C265" t="s">
        <v>17</v>
      </c>
      <c r="D265" t="s">
        <v>12</v>
      </c>
      <c r="E265" t="s">
        <v>160</v>
      </c>
      <c r="F265" t="s">
        <v>27</v>
      </c>
      <c r="G265" t="s">
        <v>28</v>
      </c>
      <c r="H265">
        <v>9</v>
      </c>
      <c r="I265">
        <v>8307</v>
      </c>
      <c r="J265">
        <v>1326.23</v>
      </c>
    </row>
    <row r="266" spans="1:10" x14ac:dyDescent="0.25">
      <c r="A266" s="1">
        <v>45311</v>
      </c>
      <c r="B266" t="s">
        <v>10</v>
      </c>
      <c r="C266" t="s">
        <v>11</v>
      </c>
      <c r="D266" t="s">
        <v>12</v>
      </c>
      <c r="E266" t="s">
        <v>161</v>
      </c>
      <c r="F266" t="s">
        <v>39</v>
      </c>
      <c r="G266" t="s">
        <v>35</v>
      </c>
      <c r="H266">
        <v>9</v>
      </c>
      <c r="I266">
        <v>1539</v>
      </c>
      <c r="J266">
        <v>203.54</v>
      </c>
    </row>
    <row r="267" spans="1:10" x14ac:dyDescent="0.25">
      <c r="A267" s="1">
        <v>44868</v>
      </c>
      <c r="B267" t="s">
        <v>18</v>
      </c>
      <c r="C267" t="s">
        <v>19</v>
      </c>
      <c r="D267" t="s">
        <v>12</v>
      </c>
      <c r="E267" t="s">
        <v>22</v>
      </c>
      <c r="F267" t="s">
        <v>23</v>
      </c>
      <c r="G267" t="s">
        <v>24</v>
      </c>
      <c r="H267">
        <v>7</v>
      </c>
      <c r="I267">
        <v>2506</v>
      </c>
      <c r="J267">
        <v>537.98</v>
      </c>
    </row>
    <row r="268" spans="1:10" x14ac:dyDescent="0.25">
      <c r="A268" s="1">
        <v>45110</v>
      </c>
      <c r="B268" t="s">
        <v>40</v>
      </c>
      <c r="C268" t="s">
        <v>19</v>
      </c>
      <c r="D268" t="s">
        <v>12</v>
      </c>
      <c r="E268" t="s">
        <v>130</v>
      </c>
      <c r="F268" t="s">
        <v>54</v>
      </c>
      <c r="G268" t="s">
        <v>24</v>
      </c>
      <c r="H268">
        <v>6</v>
      </c>
      <c r="I268">
        <v>5778</v>
      </c>
      <c r="J268">
        <v>1232.54</v>
      </c>
    </row>
    <row r="269" spans="1:10" x14ac:dyDescent="0.25">
      <c r="A269" s="1">
        <v>45316</v>
      </c>
      <c r="B269" t="s">
        <v>18</v>
      </c>
      <c r="C269" t="s">
        <v>19</v>
      </c>
      <c r="D269" t="s">
        <v>12</v>
      </c>
      <c r="E269" t="s">
        <v>102</v>
      </c>
      <c r="F269" t="s">
        <v>34</v>
      </c>
      <c r="G269" t="s">
        <v>35</v>
      </c>
      <c r="H269">
        <v>9</v>
      </c>
      <c r="I269">
        <v>10188</v>
      </c>
      <c r="J269">
        <v>2165.7800000000002</v>
      </c>
    </row>
    <row r="270" spans="1:10" x14ac:dyDescent="0.25">
      <c r="A270" s="1">
        <v>45423</v>
      </c>
      <c r="B270" t="s">
        <v>36</v>
      </c>
      <c r="C270" t="s">
        <v>17</v>
      </c>
      <c r="D270" t="s">
        <v>12</v>
      </c>
      <c r="E270" t="s">
        <v>52</v>
      </c>
      <c r="F270" t="s">
        <v>42</v>
      </c>
      <c r="G270" t="s">
        <v>28</v>
      </c>
      <c r="H270">
        <v>1</v>
      </c>
      <c r="I270">
        <v>952</v>
      </c>
      <c r="J270">
        <v>157.69999999999999</v>
      </c>
    </row>
    <row r="271" spans="1:10" x14ac:dyDescent="0.25">
      <c r="A271" s="1">
        <v>45293</v>
      </c>
      <c r="B271" t="s">
        <v>32</v>
      </c>
      <c r="C271" t="s">
        <v>19</v>
      </c>
      <c r="D271" t="s">
        <v>12</v>
      </c>
      <c r="E271" t="s">
        <v>132</v>
      </c>
      <c r="F271" t="s">
        <v>115</v>
      </c>
      <c r="G271" t="s">
        <v>15</v>
      </c>
      <c r="H271">
        <v>8</v>
      </c>
      <c r="I271">
        <v>3624</v>
      </c>
      <c r="J271">
        <v>750.86</v>
      </c>
    </row>
    <row r="272" spans="1:10" x14ac:dyDescent="0.25">
      <c r="A272" s="1">
        <v>44981</v>
      </c>
      <c r="B272" t="s">
        <v>49</v>
      </c>
      <c r="C272" t="s">
        <v>17</v>
      </c>
      <c r="D272" t="s">
        <v>12</v>
      </c>
      <c r="E272" t="s">
        <v>132</v>
      </c>
      <c r="F272" t="s">
        <v>115</v>
      </c>
      <c r="G272" t="s">
        <v>15</v>
      </c>
      <c r="H272">
        <v>8</v>
      </c>
      <c r="I272">
        <v>7968</v>
      </c>
      <c r="J272">
        <v>1551.12</v>
      </c>
    </row>
    <row r="273" spans="1:10" x14ac:dyDescent="0.25">
      <c r="A273" s="1">
        <v>45493</v>
      </c>
      <c r="B273" t="s">
        <v>16</v>
      </c>
      <c r="C273" t="s">
        <v>17</v>
      </c>
      <c r="D273" t="s">
        <v>12</v>
      </c>
      <c r="E273" t="s">
        <v>111</v>
      </c>
      <c r="F273" t="s">
        <v>115</v>
      </c>
      <c r="G273" t="s">
        <v>15</v>
      </c>
      <c r="H273">
        <v>2</v>
      </c>
      <c r="I273">
        <v>1254</v>
      </c>
      <c r="J273">
        <v>250.09</v>
      </c>
    </row>
    <row r="274" spans="1:10" x14ac:dyDescent="0.25">
      <c r="A274" s="1">
        <v>45091</v>
      </c>
      <c r="B274" t="s">
        <v>10</v>
      </c>
      <c r="C274" t="s">
        <v>11</v>
      </c>
      <c r="D274" t="s">
        <v>12</v>
      </c>
      <c r="E274" t="s">
        <v>75</v>
      </c>
      <c r="F274" t="s">
        <v>108</v>
      </c>
      <c r="G274" t="s">
        <v>15</v>
      </c>
      <c r="H274">
        <v>3</v>
      </c>
      <c r="I274">
        <v>705</v>
      </c>
      <c r="J274">
        <v>196.05</v>
      </c>
    </row>
    <row r="275" spans="1:10" x14ac:dyDescent="0.25">
      <c r="A275" s="1">
        <v>44661</v>
      </c>
      <c r="B275" t="s">
        <v>16</v>
      </c>
      <c r="C275" t="s">
        <v>17</v>
      </c>
      <c r="D275" t="s">
        <v>12</v>
      </c>
      <c r="E275" t="s">
        <v>162</v>
      </c>
      <c r="F275" t="s">
        <v>23</v>
      </c>
      <c r="G275" t="s">
        <v>24</v>
      </c>
      <c r="H275">
        <v>1</v>
      </c>
      <c r="I275">
        <v>916</v>
      </c>
      <c r="J275">
        <v>223.5</v>
      </c>
    </row>
    <row r="276" spans="1:10" x14ac:dyDescent="0.25">
      <c r="A276" s="1">
        <v>45566</v>
      </c>
      <c r="B276" t="s">
        <v>10</v>
      </c>
      <c r="C276" t="s">
        <v>11</v>
      </c>
      <c r="D276" t="s">
        <v>12</v>
      </c>
      <c r="E276" t="s">
        <v>75</v>
      </c>
      <c r="F276" t="s">
        <v>63</v>
      </c>
      <c r="G276" t="s">
        <v>28</v>
      </c>
      <c r="H276">
        <v>2</v>
      </c>
      <c r="I276">
        <v>848</v>
      </c>
      <c r="J276">
        <v>129.96</v>
      </c>
    </row>
    <row r="277" spans="1:10" x14ac:dyDescent="0.25">
      <c r="A277" s="1">
        <v>44691</v>
      </c>
      <c r="B277" t="s">
        <v>36</v>
      </c>
      <c r="C277" t="s">
        <v>17</v>
      </c>
      <c r="D277" t="s">
        <v>12</v>
      </c>
      <c r="E277" t="s">
        <v>22</v>
      </c>
      <c r="F277" t="s">
        <v>23</v>
      </c>
      <c r="G277" t="s">
        <v>24</v>
      </c>
      <c r="H277">
        <v>8</v>
      </c>
      <c r="I277">
        <v>2240</v>
      </c>
      <c r="J277">
        <v>313.17</v>
      </c>
    </row>
    <row r="278" spans="1:10" x14ac:dyDescent="0.25">
      <c r="A278" s="1">
        <v>44589</v>
      </c>
      <c r="B278" t="s">
        <v>36</v>
      </c>
      <c r="C278" t="s">
        <v>17</v>
      </c>
      <c r="D278" t="s">
        <v>12</v>
      </c>
      <c r="E278" t="s">
        <v>26</v>
      </c>
      <c r="F278" t="s">
        <v>27</v>
      </c>
      <c r="G278" t="s">
        <v>28</v>
      </c>
      <c r="H278">
        <v>1</v>
      </c>
      <c r="I278">
        <v>940</v>
      </c>
      <c r="J278">
        <v>120.35</v>
      </c>
    </row>
    <row r="279" spans="1:10" x14ac:dyDescent="0.25">
      <c r="A279" s="1">
        <v>45021</v>
      </c>
      <c r="B279" t="s">
        <v>29</v>
      </c>
      <c r="C279" t="s">
        <v>17</v>
      </c>
      <c r="D279" t="s">
        <v>12</v>
      </c>
      <c r="E279" t="s">
        <v>74</v>
      </c>
      <c r="F279" t="s">
        <v>23</v>
      </c>
      <c r="G279" t="s">
        <v>24</v>
      </c>
      <c r="H279">
        <v>5</v>
      </c>
      <c r="I279">
        <v>1550</v>
      </c>
      <c r="J279">
        <v>203.51</v>
      </c>
    </row>
    <row r="280" spans="1:10" x14ac:dyDescent="0.25">
      <c r="A280" s="1">
        <v>45191</v>
      </c>
      <c r="B280" t="s">
        <v>49</v>
      </c>
      <c r="C280" t="s">
        <v>17</v>
      </c>
      <c r="D280" t="s">
        <v>12</v>
      </c>
      <c r="E280" t="s">
        <v>22</v>
      </c>
      <c r="F280" t="s">
        <v>23</v>
      </c>
      <c r="G280" t="s">
        <v>24</v>
      </c>
      <c r="H280">
        <v>7</v>
      </c>
      <c r="I280">
        <v>2352</v>
      </c>
      <c r="J280">
        <v>256.39999999999998</v>
      </c>
    </row>
    <row r="281" spans="1:10" x14ac:dyDescent="0.25">
      <c r="A281" s="1">
        <v>45533</v>
      </c>
      <c r="B281" t="s">
        <v>32</v>
      </c>
      <c r="C281" t="s">
        <v>19</v>
      </c>
      <c r="D281" t="s">
        <v>12</v>
      </c>
      <c r="E281" t="s">
        <v>52</v>
      </c>
      <c r="F281" t="s">
        <v>42</v>
      </c>
      <c r="G281" t="s">
        <v>28</v>
      </c>
      <c r="H281">
        <v>9</v>
      </c>
      <c r="I281">
        <v>1638</v>
      </c>
      <c r="J281">
        <v>183.75</v>
      </c>
    </row>
    <row r="282" spans="1:10" x14ac:dyDescent="0.25">
      <c r="A282" s="1">
        <v>45248</v>
      </c>
      <c r="B282" t="s">
        <v>25</v>
      </c>
      <c r="C282" t="s">
        <v>19</v>
      </c>
      <c r="D282" t="s">
        <v>12</v>
      </c>
      <c r="E282" t="s">
        <v>163</v>
      </c>
      <c r="F282" t="s">
        <v>44</v>
      </c>
      <c r="G282" t="s">
        <v>35</v>
      </c>
      <c r="H282">
        <v>6</v>
      </c>
      <c r="I282">
        <v>7164</v>
      </c>
      <c r="J282">
        <v>1442.72</v>
      </c>
    </row>
    <row r="283" spans="1:10" x14ac:dyDescent="0.25">
      <c r="A283" s="1">
        <v>45181</v>
      </c>
      <c r="B283" t="s">
        <v>16</v>
      </c>
      <c r="C283" t="s">
        <v>17</v>
      </c>
      <c r="D283" t="s">
        <v>12</v>
      </c>
      <c r="E283" t="s">
        <v>74</v>
      </c>
      <c r="F283" t="s">
        <v>23</v>
      </c>
      <c r="G283" t="s">
        <v>24</v>
      </c>
      <c r="H283">
        <v>1</v>
      </c>
      <c r="I283">
        <v>205</v>
      </c>
      <c r="J283">
        <v>54.54</v>
      </c>
    </row>
    <row r="284" spans="1:10" x14ac:dyDescent="0.25">
      <c r="A284" s="1">
        <v>45072</v>
      </c>
      <c r="B284" t="s">
        <v>49</v>
      </c>
      <c r="C284" t="s">
        <v>17</v>
      </c>
      <c r="D284" t="s">
        <v>12</v>
      </c>
      <c r="E284" t="s">
        <v>102</v>
      </c>
      <c r="F284" t="s">
        <v>34</v>
      </c>
      <c r="G284" t="s">
        <v>35</v>
      </c>
      <c r="H284">
        <v>2</v>
      </c>
      <c r="I284">
        <v>766</v>
      </c>
      <c r="J284">
        <v>49.23</v>
      </c>
    </row>
    <row r="285" spans="1:10" x14ac:dyDescent="0.25">
      <c r="A285" s="1">
        <v>45046</v>
      </c>
      <c r="B285" t="s">
        <v>49</v>
      </c>
      <c r="C285" t="s">
        <v>17</v>
      </c>
      <c r="D285" t="s">
        <v>12</v>
      </c>
      <c r="E285" t="s">
        <v>22</v>
      </c>
      <c r="F285" t="s">
        <v>23</v>
      </c>
      <c r="G285" t="s">
        <v>24</v>
      </c>
      <c r="H285">
        <v>1</v>
      </c>
      <c r="I285">
        <v>168</v>
      </c>
      <c r="J285">
        <v>17.84</v>
      </c>
    </row>
    <row r="286" spans="1:10" x14ac:dyDescent="0.25">
      <c r="A286" s="1">
        <v>45597</v>
      </c>
      <c r="B286" t="s">
        <v>16</v>
      </c>
      <c r="C286" t="s">
        <v>17</v>
      </c>
      <c r="D286" t="s">
        <v>12</v>
      </c>
      <c r="E286" t="s">
        <v>164</v>
      </c>
      <c r="F286" t="s">
        <v>94</v>
      </c>
      <c r="G286" t="s">
        <v>24</v>
      </c>
      <c r="H286">
        <v>1</v>
      </c>
      <c r="I286">
        <v>1058</v>
      </c>
      <c r="J286">
        <v>207.55</v>
      </c>
    </row>
    <row r="287" spans="1:10" x14ac:dyDescent="0.25">
      <c r="A287" s="1">
        <v>44687</v>
      </c>
      <c r="B287" t="s">
        <v>49</v>
      </c>
      <c r="C287" t="s">
        <v>17</v>
      </c>
      <c r="D287" t="s">
        <v>12</v>
      </c>
      <c r="E287" t="s">
        <v>165</v>
      </c>
      <c r="F287" t="s">
        <v>23</v>
      </c>
      <c r="G287" t="s">
        <v>24</v>
      </c>
      <c r="H287">
        <v>5</v>
      </c>
      <c r="I287">
        <v>1455</v>
      </c>
      <c r="J287">
        <v>423.81</v>
      </c>
    </row>
    <row r="288" spans="1:10" x14ac:dyDescent="0.25">
      <c r="A288" s="1">
        <v>45056</v>
      </c>
      <c r="B288" t="s">
        <v>25</v>
      </c>
      <c r="C288" t="s">
        <v>19</v>
      </c>
      <c r="D288" t="s">
        <v>12</v>
      </c>
      <c r="E288" t="s">
        <v>76</v>
      </c>
      <c r="F288" t="s">
        <v>54</v>
      </c>
      <c r="G288" t="s">
        <v>24</v>
      </c>
      <c r="H288">
        <v>2</v>
      </c>
      <c r="I288">
        <v>2224</v>
      </c>
      <c r="J288">
        <v>364.04</v>
      </c>
    </row>
    <row r="289" spans="1:10" x14ac:dyDescent="0.25">
      <c r="A289" s="1">
        <v>44869</v>
      </c>
      <c r="B289" t="s">
        <v>40</v>
      </c>
      <c r="C289" t="s">
        <v>19</v>
      </c>
      <c r="D289" t="s">
        <v>12</v>
      </c>
      <c r="E289" t="s">
        <v>166</v>
      </c>
      <c r="F289" t="s">
        <v>31</v>
      </c>
      <c r="G289" t="s">
        <v>24</v>
      </c>
      <c r="H289">
        <v>7</v>
      </c>
      <c r="I289">
        <v>1400</v>
      </c>
      <c r="J289">
        <v>80.489999999999995</v>
      </c>
    </row>
    <row r="290" spans="1:10" x14ac:dyDescent="0.25">
      <c r="A290" s="1">
        <v>44690</v>
      </c>
      <c r="B290" t="s">
        <v>40</v>
      </c>
      <c r="C290" t="s">
        <v>19</v>
      </c>
      <c r="D290" t="s">
        <v>12</v>
      </c>
      <c r="E290" t="s">
        <v>53</v>
      </c>
      <c r="F290" t="s">
        <v>44</v>
      </c>
      <c r="G290" t="s">
        <v>35</v>
      </c>
      <c r="H290">
        <v>7</v>
      </c>
      <c r="I290">
        <v>7567</v>
      </c>
      <c r="J290">
        <v>2213.1799999999998</v>
      </c>
    </row>
    <row r="291" spans="1:10" x14ac:dyDescent="0.25">
      <c r="A291" s="1">
        <v>44872</v>
      </c>
      <c r="B291" t="s">
        <v>18</v>
      </c>
      <c r="C291" t="s">
        <v>19</v>
      </c>
      <c r="D291" t="s">
        <v>12</v>
      </c>
      <c r="E291" t="s">
        <v>167</v>
      </c>
      <c r="F291" t="s">
        <v>108</v>
      </c>
      <c r="G291" t="s">
        <v>15</v>
      </c>
      <c r="H291">
        <v>6</v>
      </c>
      <c r="I291">
        <v>3396</v>
      </c>
      <c r="J291">
        <v>987.68</v>
      </c>
    </row>
    <row r="292" spans="1:10" x14ac:dyDescent="0.25">
      <c r="A292" s="1">
        <v>45149</v>
      </c>
      <c r="B292" t="s">
        <v>32</v>
      </c>
      <c r="C292" t="s">
        <v>19</v>
      </c>
      <c r="D292" t="s">
        <v>12</v>
      </c>
      <c r="E292" t="s">
        <v>167</v>
      </c>
      <c r="F292" t="s">
        <v>108</v>
      </c>
      <c r="G292" t="s">
        <v>15</v>
      </c>
      <c r="H292">
        <v>2</v>
      </c>
      <c r="I292">
        <v>704</v>
      </c>
      <c r="J292">
        <v>135.63</v>
      </c>
    </row>
    <row r="293" spans="1:10" x14ac:dyDescent="0.25">
      <c r="A293" s="1">
        <v>45586</v>
      </c>
      <c r="B293" t="s">
        <v>18</v>
      </c>
      <c r="C293" t="s">
        <v>19</v>
      </c>
      <c r="D293" t="s">
        <v>12</v>
      </c>
      <c r="E293" t="s">
        <v>53</v>
      </c>
      <c r="F293" t="s">
        <v>44</v>
      </c>
      <c r="G293" t="s">
        <v>35</v>
      </c>
      <c r="H293">
        <v>9</v>
      </c>
      <c r="I293">
        <v>7767</v>
      </c>
      <c r="J293">
        <v>2172.19</v>
      </c>
    </row>
    <row r="294" spans="1:10" x14ac:dyDescent="0.25">
      <c r="A294" s="1">
        <v>45571</v>
      </c>
      <c r="B294" t="s">
        <v>16</v>
      </c>
      <c r="C294" t="s">
        <v>17</v>
      </c>
      <c r="D294" t="s">
        <v>12</v>
      </c>
      <c r="E294" t="s">
        <v>53</v>
      </c>
      <c r="F294" t="s">
        <v>44</v>
      </c>
      <c r="G294" t="s">
        <v>35</v>
      </c>
      <c r="H294">
        <v>5</v>
      </c>
      <c r="I294">
        <v>2050</v>
      </c>
      <c r="J294">
        <v>157.13</v>
      </c>
    </row>
    <row r="295" spans="1:10" x14ac:dyDescent="0.25">
      <c r="A295" s="1">
        <v>45146</v>
      </c>
      <c r="B295" t="s">
        <v>36</v>
      </c>
      <c r="C295" t="s">
        <v>17</v>
      </c>
      <c r="D295" t="s">
        <v>12</v>
      </c>
      <c r="E295" t="s">
        <v>75</v>
      </c>
      <c r="F295" t="s">
        <v>63</v>
      </c>
      <c r="G295" t="s">
        <v>28</v>
      </c>
      <c r="H295">
        <v>9</v>
      </c>
      <c r="I295">
        <v>10458</v>
      </c>
      <c r="J295">
        <v>2799.48</v>
      </c>
    </row>
    <row r="296" spans="1:10" x14ac:dyDescent="0.25">
      <c r="A296" s="1">
        <v>44580</v>
      </c>
      <c r="B296" t="s">
        <v>25</v>
      </c>
      <c r="C296" t="s">
        <v>19</v>
      </c>
      <c r="D296" t="s">
        <v>12</v>
      </c>
      <c r="E296" t="s">
        <v>26</v>
      </c>
      <c r="F296" t="s">
        <v>27</v>
      </c>
      <c r="G296" t="s">
        <v>28</v>
      </c>
      <c r="H296">
        <v>4</v>
      </c>
      <c r="I296">
        <v>4700</v>
      </c>
      <c r="J296">
        <v>619.26</v>
      </c>
    </row>
    <row r="297" spans="1:10" x14ac:dyDescent="0.25">
      <c r="A297" s="1">
        <v>45412</v>
      </c>
      <c r="B297" t="s">
        <v>40</v>
      </c>
      <c r="C297" t="s">
        <v>19</v>
      </c>
      <c r="D297" t="s">
        <v>12</v>
      </c>
      <c r="E297" t="s">
        <v>52</v>
      </c>
      <c r="F297" t="s">
        <v>42</v>
      </c>
      <c r="G297" t="s">
        <v>28</v>
      </c>
      <c r="H297">
        <v>2</v>
      </c>
      <c r="I297">
        <v>892</v>
      </c>
      <c r="J297">
        <v>222.51</v>
      </c>
    </row>
    <row r="298" spans="1:10" x14ac:dyDescent="0.25">
      <c r="A298" s="1">
        <v>45286</v>
      </c>
      <c r="B298" t="s">
        <v>55</v>
      </c>
      <c r="C298" t="s">
        <v>19</v>
      </c>
      <c r="D298" t="s">
        <v>12</v>
      </c>
      <c r="E298" t="s">
        <v>93</v>
      </c>
      <c r="F298" t="s">
        <v>94</v>
      </c>
      <c r="G298" t="s">
        <v>24</v>
      </c>
      <c r="H298">
        <v>8</v>
      </c>
      <c r="I298">
        <v>6968</v>
      </c>
      <c r="J298">
        <v>1479.09</v>
      </c>
    </row>
    <row r="299" spans="1:10" x14ac:dyDescent="0.25">
      <c r="A299" s="1">
        <v>45389</v>
      </c>
      <c r="B299" t="s">
        <v>55</v>
      </c>
      <c r="C299" t="s">
        <v>19</v>
      </c>
      <c r="D299" t="s">
        <v>12</v>
      </c>
      <c r="E299" t="s">
        <v>52</v>
      </c>
      <c r="F299" t="s">
        <v>42</v>
      </c>
      <c r="G299" t="s">
        <v>28</v>
      </c>
      <c r="H299">
        <v>7</v>
      </c>
      <c r="I299">
        <v>1344</v>
      </c>
      <c r="J299">
        <v>300.88</v>
      </c>
    </row>
    <row r="300" spans="1:10" x14ac:dyDescent="0.25">
      <c r="A300" s="1">
        <v>44852</v>
      </c>
      <c r="B300" t="s">
        <v>25</v>
      </c>
      <c r="C300" t="s">
        <v>19</v>
      </c>
      <c r="D300" t="s">
        <v>12</v>
      </c>
      <c r="E300" t="s">
        <v>52</v>
      </c>
      <c r="F300" t="s">
        <v>42</v>
      </c>
      <c r="G300" t="s">
        <v>28</v>
      </c>
      <c r="H300">
        <v>1</v>
      </c>
      <c r="I300">
        <v>354</v>
      </c>
      <c r="J300">
        <v>65.989999999999995</v>
      </c>
    </row>
    <row r="301" spans="1:10" x14ac:dyDescent="0.25">
      <c r="A301" s="1">
        <v>45403</v>
      </c>
      <c r="B301" t="s">
        <v>36</v>
      </c>
      <c r="C301" t="s">
        <v>17</v>
      </c>
      <c r="D301" t="s">
        <v>12</v>
      </c>
      <c r="E301" t="s">
        <v>97</v>
      </c>
      <c r="F301" t="s">
        <v>23</v>
      </c>
      <c r="G301" t="s">
        <v>24</v>
      </c>
      <c r="H301">
        <v>3</v>
      </c>
      <c r="I301">
        <v>3051</v>
      </c>
      <c r="J301">
        <v>662.23</v>
      </c>
    </row>
    <row r="302" spans="1:10" x14ac:dyDescent="0.25">
      <c r="A302" s="1">
        <v>45377</v>
      </c>
      <c r="B302" t="s">
        <v>25</v>
      </c>
      <c r="C302" t="s">
        <v>19</v>
      </c>
      <c r="D302" t="s">
        <v>12</v>
      </c>
      <c r="E302" t="s">
        <v>37</v>
      </c>
      <c r="F302" t="s">
        <v>34</v>
      </c>
      <c r="G302" t="s">
        <v>35</v>
      </c>
      <c r="H302">
        <v>3</v>
      </c>
      <c r="I302">
        <v>402</v>
      </c>
      <c r="J302">
        <v>106.87</v>
      </c>
    </row>
    <row r="303" spans="1:10" x14ac:dyDescent="0.25">
      <c r="A303" s="1">
        <v>44865</v>
      </c>
      <c r="B303" t="s">
        <v>36</v>
      </c>
      <c r="C303" t="s">
        <v>17</v>
      </c>
      <c r="D303" t="s">
        <v>12</v>
      </c>
      <c r="E303" t="s">
        <v>129</v>
      </c>
      <c r="F303" t="s">
        <v>168</v>
      </c>
      <c r="G303" t="s">
        <v>15</v>
      </c>
      <c r="H303">
        <v>5</v>
      </c>
      <c r="I303">
        <v>3570</v>
      </c>
      <c r="J303">
        <v>517.82000000000005</v>
      </c>
    </row>
    <row r="304" spans="1:10" x14ac:dyDescent="0.25">
      <c r="A304" s="1">
        <v>44988</v>
      </c>
      <c r="B304" t="s">
        <v>49</v>
      </c>
      <c r="C304" t="s">
        <v>17</v>
      </c>
      <c r="D304" t="s">
        <v>12</v>
      </c>
      <c r="E304" t="s">
        <v>96</v>
      </c>
      <c r="F304" t="s">
        <v>34</v>
      </c>
      <c r="G304" t="s">
        <v>35</v>
      </c>
      <c r="H304">
        <v>7</v>
      </c>
      <c r="I304">
        <v>3829</v>
      </c>
      <c r="J304">
        <v>876.35</v>
      </c>
    </row>
    <row r="305" spans="1:10" x14ac:dyDescent="0.25">
      <c r="A305" s="1">
        <v>44960</v>
      </c>
      <c r="B305" t="s">
        <v>16</v>
      </c>
      <c r="C305" t="s">
        <v>17</v>
      </c>
      <c r="D305" t="s">
        <v>12</v>
      </c>
      <c r="E305" t="s">
        <v>43</v>
      </c>
      <c r="F305" t="s">
        <v>44</v>
      </c>
      <c r="G305" t="s">
        <v>35</v>
      </c>
      <c r="H305">
        <v>7</v>
      </c>
      <c r="I305">
        <v>4676</v>
      </c>
      <c r="J305">
        <v>242.64</v>
      </c>
    </row>
    <row r="306" spans="1:10" x14ac:dyDescent="0.25">
      <c r="A306" s="1">
        <v>45031</v>
      </c>
      <c r="B306" t="s">
        <v>49</v>
      </c>
      <c r="C306" t="s">
        <v>17</v>
      </c>
      <c r="D306" t="s">
        <v>12</v>
      </c>
      <c r="E306" t="s">
        <v>75</v>
      </c>
      <c r="F306" t="s">
        <v>108</v>
      </c>
      <c r="G306" t="s">
        <v>15</v>
      </c>
      <c r="H306">
        <v>3</v>
      </c>
      <c r="I306">
        <v>1119</v>
      </c>
      <c r="J306">
        <v>317.36</v>
      </c>
    </row>
    <row r="307" spans="1:10" x14ac:dyDescent="0.25">
      <c r="A307" s="1">
        <v>45055</v>
      </c>
      <c r="B307" t="s">
        <v>40</v>
      </c>
      <c r="C307" t="s">
        <v>19</v>
      </c>
      <c r="D307" t="s">
        <v>12</v>
      </c>
      <c r="E307" t="s">
        <v>169</v>
      </c>
      <c r="F307" t="s">
        <v>83</v>
      </c>
      <c r="G307" t="s">
        <v>28</v>
      </c>
      <c r="H307">
        <v>4</v>
      </c>
      <c r="I307">
        <v>4228</v>
      </c>
      <c r="J307">
        <v>764.3</v>
      </c>
    </row>
    <row r="308" spans="1:10" x14ac:dyDescent="0.25">
      <c r="A308" s="1">
        <v>44563</v>
      </c>
      <c r="B308" t="s">
        <v>29</v>
      </c>
      <c r="C308" t="s">
        <v>17</v>
      </c>
      <c r="D308" t="s">
        <v>12</v>
      </c>
      <c r="E308" t="s">
        <v>170</v>
      </c>
      <c r="F308" t="s">
        <v>78</v>
      </c>
      <c r="G308" t="s">
        <v>28</v>
      </c>
      <c r="H308">
        <v>8</v>
      </c>
      <c r="I308">
        <v>1240</v>
      </c>
      <c r="J308">
        <v>251.2</v>
      </c>
    </row>
    <row r="309" spans="1:10" x14ac:dyDescent="0.25">
      <c r="A309" s="1">
        <v>45624</v>
      </c>
      <c r="B309" t="s">
        <v>49</v>
      </c>
      <c r="C309" t="s">
        <v>17</v>
      </c>
      <c r="D309" t="s">
        <v>12</v>
      </c>
      <c r="E309" t="s">
        <v>162</v>
      </c>
      <c r="F309" t="s">
        <v>34</v>
      </c>
      <c r="G309" t="s">
        <v>35</v>
      </c>
      <c r="H309">
        <v>9</v>
      </c>
      <c r="I309">
        <v>3591</v>
      </c>
      <c r="J309">
        <v>342.18</v>
      </c>
    </row>
    <row r="310" spans="1:10" x14ac:dyDescent="0.25">
      <c r="A310" s="1">
        <v>44597</v>
      </c>
      <c r="B310" t="s">
        <v>10</v>
      </c>
      <c r="C310" t="s">
        <v>11</v>
      </c>
      <c r="D310" t="s">
        <v>12</v>
      </c>
      <c r="E310" t="s">
        <v>171</v>
      </c>
      <c r="F310" t="s">
        <v>94</v>
      </c>
      <c r="G310" t="s">
        <v>24</v>
      </c>
      <c r="H310">
        <v>8</v>
      </c>
      <c r="I310">
        <v>3952</v>
      </c>
      <c r="J310">
        <v>451.08</v>
      </c>
    </row>
    <row r="311" spans="1:10" x14ac:dyDescent="0.25">
      <c r="A311" s="1">
        <v>45448</v>
      </c>
      <c r="B311" t="s">
        <v>49</v>
      </c>
      <c r="C311" t="s">
        <v>17</v>
      </c>
      <c r="D311" t="s">
        <v>12</v>
      </c>
      <c r="E311" t="s">
        <v>70</v>
      </c>
      <c r="F311" t="s">
        <v>71</v>
      </c>
      <c r="G311" t="s">
        <v>35</v>
      </c>
      <c r="H311">
        <v>6</v>
      </c>
      <c r="I311">
        <v>3648</v>
      </c>
      <c r="J311">
        <v>1050.08</v>
      </c>
    </row>
    <row r="312" spans="1:10" x14ac:dyDescent="0.25">
      <c r="A312" s="1">
        <v>45611</v>
      </c>
      <c r="B312" t="s">
        <v>36</v>
      </c>
      <c r="C312" t="s">
        <v>17</v>
      </c>
      <c r="D312" t="s">
        <v>12</v>
      </c>
      <c r="E312" t="s">
        <v>37</v>
      </c>
      <c r="F312" t="s">
        <v>34</v>
      </c>
      <c r="G312" t="s">
        <v>35</v>
      </c>
      <c r="H312">
        <v>5</v>
      </c>
      <c r="I312">
        <v>3875</v>
      </c>
      <c r="J312">
        <v>768.74</v>
      </c>
    </row>
    <row r="313" spans="1:10" x14ac:dyDescent="0.25">
      <c r="A313" s="1">
        <v>45243</v>
      </c>
      <c r="B313" t="s">
        <v>32</v>
      </c>
      <c r="C313" t="s">
        <v>19</v>
      </c>
      <c r="D313" t="s">
        <v>12</v>
      </c>
      <c r="E313" t="s">
        <v>22</v>
      </c>
      <c r="F313" t="s">
        <v>23</v>
      </c>
      <c r="G313" t="s">
        <v>24</v>
      </c>
      <c r="H313">
        <v>8</v>
      </c>
      <c r="I313">
        <v>3416</v>
      </c>
      <c r="J313">
        <v>478.9</v>
      </c>
    </row>
    <row r="314" spans="1:10" x14ac:dyDescent="0.25">
      <c r="A314" s="1">
        <v>44611</v>
      </c>
      <c r="B314" t="s">
        <v>18</v>
      </c>
      <c r="C314" t="s">
        <v>19</v>
      </c>
      <c r="D314" t="s">
        <v>12</v>
      </c>
      <c r="E314" t="s">
        <v>52</v>
      </c>
      <c r="F314" t="s">
        <v>42</v>
      </c>
      <c r="G314" t="s">
        <v>28</v>
      </c>
      <c r="H314">
        <v>1</v>
      </c>
      <c r="I314">
        <v>908</v>
      </c>
      <c r="J314">
        <v>222.58</v>
      </c>
    </row>
    <row r="315" spans="1:10" x14ac:dyDescent="0.25">
      <c r="A315" s="1">
        <v>45418</v>
      </c>
      <c r="B315" t="s">
        <v>29</v>
      </c>
      <c r="C315" t="s">
        <v>17</v>
      </c>
      <c r="D315" t="s">
        <v>12</v>
      </c>
      <c r="E315" t="s">
        <v>110</v>
      </c>
      <c r="F315" t="s">
        <v>57</v>
      </c>
      <c r="G315" t="s">
        <v>24</v>
      </c>
      <c r="H315">
        <v>4</v>
      </c>
      <c r="I315">
        <v>4532</v>
      </c>
      <c r="J315">
        <v>987.32</v>
      </c>
    </row>
    <row r="316" spans="1:10" x14ac:dyDescent="0.25">
      <c r="A316" s="1">
        <v>45142</v>
      </c>
      <c r="B316" t="s">
        <v>29</v>
      </c>
      <c r="C316" t="s">
        <v>17</v>
      </c>
      <c r="D316" t="s">
        <v>12</v>
      </c>
      <c r="E316" t="s">
        <v>22</v>
      </c>
      <c r="F316" t="s">
        <v>23</v>
      </c>
      <c r="G316" t="s">
        <v>24</v>
      </c>
      <c r="H316">
        <v>4</v>
      </c>
      <c r="I316">
        <v>4168</v>
      </c>
      <c r="J316">
        <v>650.15</v>
      </c>
    </row>
    <row r="317" spans="1:10" x14ac:dyDescent="0.25">
      <c r="A317" s="1">
        <v>45192</v>
      </c>
      <c r="B317" t="s">
        <v>55</v>
      </c>
      <c r="C317" t="s">
        <v>19</v>
      </c>
      <c r="D317" t="s">
        <v>12</v>
      </c>
      <c r="E317" t="s">
        <v>22</v>
      </c>
      <c r="F317" t="s">
        <v>23</v>
      </c>
      <c r="G317" t="s">
        <v>24</v>
      </c>
      <c r="H317">
        <v>3</v>
      </c>
      <c r="I317">
        <v>3543</v>
      </c>
      <c r="J317">
        <v>941.37</v>
      </c>
    </row>
    <row r="318" spans="1:10" x14ac:dyDescent="0.25">
      <c r="A318" s="1">
        <v>45549</v>
      </c>
      <c r="B318" t="s">
        <v>55</v>
      </c>
      <c r="C318" t="s">
        <v>19</v>
      </c>
      <c r="D318" t="s">
        <v>12</v>
      </c>
      <c r="E318" t="s">
        <v>22</v>
      </c>
      <c r="F318" t="s">
        <v>23</v>
      </c>
      <c r="G318" t="s">
        <v>24</v>
      </c>
      <c r="H318">
        <v>6</v>
      </c>
      <c r="I318">
        <v>5124</v>
      </c>
      <c r="J318">
        <v>1078.57</v>
      </c>
    </row>
    <row r="319" spans="1:10" x14ac:dyDescent="0.25">
      <c r="A319" s="1">
        <v>45002</v>
      </c>
      <c r="B319" t="s">
        <v>32</v>
      </c>
      <c r="C319" t="s">
        <v>19</v>
      </c>
      <c r="D319" t="s">
        <v>12</v>
      </c>
      <c r="E319" t="s">
        <v>26</v>
      </c>
      <c r="F319" t="s">
        <v>27</v>
      </c>
      <c r="G319" t="s">
        <v>28</v>
      </c>
      <c r="H319">
        <v>9</v>
      </c>
      <c r="I319">
        <v>5751</v>
      </c>
      <c r="J319">
        <v>1196.23</v>
      </c>
    </row>
    <row r="320" spans="1:10" x14ac:dyDescent="0.25">
      <c r="A320" s="1">
        <v>45198</v>
      </c>
      <c r="B320" t="s">
        <v>25</v>
      </c>
      <c r="C320" t="s">
        <v>19</v>
      </c>
      <c r="D320" t="s">
        <v>12</v>
      </c>
      <c r="E320" t="s">
        <v>172</v>
      </c>
      <c r="F320" t="s">
        <v>173</v>
      </c>
      <c r="G320" t="s">
        <v>24</v>
      </c>
      <c r="H320">
        <v>2</v>
      </c>
      <c r="I320">
        <v>624</v>
      </c>
      <c r="J320">
        <v>139.63999999999999</v>
      </c>
    </row>
    <row r="321" spans="1:10" x14ac:dyDescent="0.25">
      <c r="A321" s="1">
        <v>45261</v>
      </c>
      <c r="B321" t="s">
        <v>25</v>
      </c>
      <c r="C321" t="s">
        <v>19</v>
      </c>
      <c r="D321" t="s">
        <v>12</v>
      </c>
      <c r="E321" t="s">
        <v>164</v>
      </c>
      <c r="F321" t="s">
        <v>94</v>
      </c>
      <c r="G321" t="s">
        <v>24</v>
      </c>
      <c r="H321">
        <v>1</v>
      </c>
      <c r="I321">
        <v>508</v>
      </c>
      <c r="J321">
        <v>151.29</v>
      </c>
    </row>
    <row r="322" spans="1:10" x14ac:dyDescent="0.25">
      <c r="A322" s="1">
        <v>45182</v>
      </c>
      <c r="B322" t="s">
        <v>29</v>
      </c>
      <c r="C322" t="s">
        <v>17</v>
      </c>
      <c r="D322" t="s">
        <v>12</v>
      </c>
      <c r="E322" t="s">
        <v>174</v>
      </c>
      <c r="F322" t="s">
        <v>27</v>
      </c>
      <c r="G322" t="s">
        <v>28</v>
      </c>
      <c r="H322">
        <v>4</v>
      </c>
      <c r="I322">
        <v>4700</v>
      </c>
      <c r="J322">
        <v>914.6</v>
      </c>
    </row>
    <row r="323" spans="1:10" x14ac:dyDescent="0.25">
      <c r="A323" s="1">
        <v>44634</v>
      </c>
      <c r="B323" t="s">
        <v>49</v>
      </c>
      <c r="C323" t="s">
        <v>17</v>
      </c>
      <c r="D323" t="s">
        <v>12</v>
      </c>
      <c r="E323" t="s">
        <v>175</v>
      </c>
      <c r="F323" t="s">
        <v>23</v>
      </c>
      <c r="G323" t="s">
        <v>24</v>
      </c>
      <c r="H323">
        <v>8</v>
      </c>
      <c r="I323">
        <v>3216</v>
      </c>
      <c r="J323">
        <v>639.78</v>
      </c>
    </row>
    <row r="324" spans="1:10" x14ac:dyDescent="0.25">
      <c r="A324" s="1">
        <v>45122</v>
      </c>
      <c r="B324" t="s">
        <v>55</v>
      </c>
      <c r="C324" t="s">
        <v>19</v>
      </c>
      <c r="D324" t="s">
        <v>12</v>
      </c>
      <c r="E324" t="s">
        <v>176</v>
      </c>
      <c r="F324" t="s">
        <v>84</v>
      </c>
      <c r="G324" t="s">
        <v>28</v>
      </c>
      <c r="H324">
        <v>6</v>
      </c>
      <c r="I324">
        <v>2844</v>
      </c>
      <c r="J324">
        <v>581</v>
      </c>
    </row>
    <row r="325" spans="1:10" x14ac:dyDescent="0.25">
      <c r="A325" s="1">
        <v>44710</v>
      </c>
      <c r="B325" t="s">
        <v>40</v>
      </c>
      <c r="C325" t="s">
        <v>19</v>
      </c>
      <c r="D325" t="s">
        <v>12</v>
      </c>
      <c r="E325" t="s">
        <v>75</v>
      </c>
      <c r="F325" t="s">
        <v>63</v>
      </c>
      <c r="G325" t="s">
        <v>28</v>
      </c>
      <c r="H325">
        <v>5</v>
      </c>
      <c r="I325">
        <v>2385</v>
      </c>
      <c r="J325">
        <v>258.60000000000002</v>
      </c>
    </row>
    <row r="326" spans="1:10" x14ac:dyDescent="0.25">
      <c r="A326" s="1">
        <v>44942</v>
      </c>
      <c r="B326" t="s">
        <v>36</v>
      </c>
      <c r="C326" t="s">
        <v>17</v>
      </c>
      <c r="D326" t="s">
        <v>12</v>
      </c>
      <c r="E326" t="s">
        <v>177</v>
      </c>
      <c r="F326" t="s">
        <v>42</v>
      </c>
      <c r="G326" t="s">
        <v>28</v>
      </c>
      <c r="H326">
        <v>8</v>
      </c>
      <c r="I326">
        <v>928</v>
      </c>
      <c r="J326">
        <v>170.05</v>
      </c>
    </row>
    <row r="327" spans="1:10" x14ac:dyDescent="0.25">
      <c r="A327" s="1">
        <v>45175</v>
      </c>
      <c r="B327" t="s">
        <v>29</v>
      </c>
      <c r="C327" t="s">
        <v>17</v>
      </c>
      <c r="D327" t="s">
        <v>12</v>
      </c>
      <c r="E327" t="s">
        <v>56</v>
      </c>
      <c r="F327" t="s">
        <v>57</v>
      </c>
      <c r="G327" t="s">
        <v>24</v>
      </c>
      <c r="H327">
        <v>6</v>
      </c>
      <c r="I327">
        <v>4656</v>
      </c>
      <c r="J327">
        <v>673.35</v>
      </c>
    </row>
    <row r="328" spans="1:10" x14ac:dyDescent="0.25">
      <c r="A328" s="1">
        <v>45014</v>
      </c>
      <c r="B328" t="s">
        <v>29</v>
      </c>
      <c r="C328" t="s">
        <v>17</v>
      </c>
      <c r="D328" t="s">
        <v>12</v>
      </c>
      <c r="E328" t="s">
        <v>52</v>
      </c>
      <c r="F328" t="s">
        <v>42</v>
      </c>
      <c r="G328" t="s">
        <v>28</v>
      </c>
      <c r="H328">
        <v>2</v>
      </c>
      <c r="I328">
        <v>330</v>
      </c>
      <c r="J328">
        <v>21.46</v>
      </c>
    </row>
    <row r="329" spans="1:10" x14ac:dyDescent="0.25">
      <c r="A329" s="1">
        <v>45231</v>
      </c>
      <c r="B329" t="s">
        <v>25</v>
      </c>
      <c r="C329" t="s">
        <v>19</v>
      </c>
      <c r="D329" t="s">
        <v>12</v>
      </c>
      <c r="E329" t="s">
        <v>22</v>
      </c>
      <c r="F329" t="s">
        <v>23</v>
      </c>
      <c r="G329" t="s">
        <v>24</v>
      </c>
      <c r="H329">
        <v>7</v>
      </c>
      <c r="I329">
        <v>1799</v>
      </c>
      <c r="J329">
        <v>274.11</v>
      </c>
    </row>
    <row r="330" spans="1:10" x14ac:dyDescent="0.25">
      <c r="A330" s="1">
        <v>44798</v>
      </c>
      <c r="B330" t="s">
        <v>10</v>
      </c>
      <c r="C330" t="s">
        <v>11</v>
      </c>
      <c r="D330" t="s">
        <v>12</v>
      </c>
      <c r="E330" t="s">
        <v>22</v>
      </c>
      <c r="F330" t="s">
        <v>23</v>
      </c>
      <c r="G330" t="s">
        <v>24</v>
      </c>
      <c r="H330">
        <v>1</v>
      </c>
      <c r="I330">
        <v>1029</v>
      </c>
      <c r="J330">
        <v>173.61</v>
      </c>
    </row>
    <row r="331" spans="1:10" x14ac:dyDescent="0.25">
      <c r="A331" s="1">
        <v>44925</v>
      </c>
      <c r="B331" t="s">
        <v>29</v>
      </c>
      <c r="C331" t="s">
        <v>17</v>
      </c>
      <c r="D331" t="s">
        <v>12</v>
      </c>
      <c r="E331" t="s">
        <v>178</v>
      </c>
      <c r="F331" t="s">
        <v>34</v>
      </c>
      <c r="G331" t="s">
        <v>35</v>
      </c>
      <c r="H331">
        <v>8</v>
      </c>
      <c r="I331">
        <v>5432</v>
      </c>
      <c r="J331">
        <v>1619.39</v>
      </c>
    </row>
    <row r="332" spans="1:10" x14ac:dyDescent="0.25">
      <c r="A332" s="1">
        <v>45539</v>
      </c>
      <c r="B332" t="s">
        <v>25</v>
      </c>
      <c r="C332" t="s">
        <v>19</v>
      </c>
      <c r="D332" t="s">
        <v>12</v>
      </c>
      <c r="E332" t="s">
        <v>52</v>
      </c>
      <c r="F332" t="s">
        <v>42</v>
      </c>
      <c r="G332" t="s">
        <v>28</v>
      </c>
      <c r="H332">
        <v>5</v>
      </c>
      <c r="I332">
        <v>5785</v>
      </c>
      <c r="J332">
        <v>1191.1099999999999</v>
      </c>
    </row>
    <row r="333" spans="1:10" x14ac:dyDescent="0.25">
      <c r="A333" s="1">
        <v>45299</v>
      </c>
      <c r="B333" t="s">
        <v>10</v>
      </c>
      <c r="C333" t="s">
        <v>11</v>
      </c>
      <c r="D333" t="s">
        <v>12</v>
      </c>
      <c r="E333" t="s">
        <v>52</v>
      </c>
      <c r="F333" t="s">
        <v>42</v>
      </c>
      <c r="G333" t="s">
        <v>28</v>
      </c>
      <c r="H333">
        <v>1</v>
      </c>
      <c r="I333">
        <v>1062</v>
      </c>
      <c r="J333">
        <v>272.42</v>
      </c>
    </row>
    <row r="334" spans="1:10" x14ac:dyDescent="0.25">
      <c r="A334" s="1">
        <v>44922</v>
      </c>
      <c r="B334" t="s">
        <v>49</v>
      </c>
      <c r="C334" t="s">
        <v>17</v>
      </c>
      <c r="D334" t="s">
        <v>12</v>
      </c>
      <c r="E334" t="s">
        <v>52</v>
      </c>
      <c r="F334" t="s">
        <v>42</v>
      </c>
      <c r="G334" t="s">
        <v>28</v>
      </c>
      <c r="H334">
        <v>1</v>
      </c>
      <c r="I334">
        <v>163</v>
      </c>
      <c r="J334">
        <v>22.07</v>
      </c>
    </row>
    <row r="335" spans="1:10" x14ac:dyDescent="0.25">
      <c r="A335" s="1">
        <v>45396</v>
      </c>
      <c r="B335" t="s">
        <v>40</v>
      </c>
      <c r="C335" t="s">
        <v>19</v>
      </c>
      <c r="D335" t="s">
        <v>12</v>
      </c>
      <c r="E335" t="s">
        <v>179</v>
      </c>
      <c r="F335" t="s">
        <v>44</v>
      </c>
      <c r="G335" t="s">
        <v>35</v>
      </c>
      <c r="H335">
        <v>9</v>
      </c>
      <c r="I335">
        <v>9162</v>
      </c>
      <c r="J335">
        <v>1625.62</v>
      </c>
    </row>
    <row r="336" spans="1:10" x14ac:dyDescent="0.25">
      <c r="A336" s="1">
        <v>44967</v>
      </c>
      <c r="B336" t="s">
        <v>10</v>
      </c>
      <c r="C336" t="s">
        <v>11</v>
      </c>
      <c r="D336" t="s">
        <v>12</v>
      </c>
      <c r="E336" t="s">
        <v>75</v>
      </c>
      <c r="F336" t="s">
        <v>63</v>
      </c>
      <c r="G336" t="s">
        <v>28</v>
      </c>
      <c r="H336">
        <v>4</v>
      </c>
      <c r="I336">
        <v>1440</v>
      </c>
      <c r="J336">
        <v>130.24</v>
      </c>
    </row>
    <row r="337" spans="1:10" x14ac:dyDescent="0.25">
      <c r="A337" s="1">
        <v>45122</v>
      </c>
      <c r="B337" t="s">
        <v>36</v>
      </c>
      <c r="C337" t="s">
        <v>17</v>
      </c>
      <c r="D337" t="s">
        <v>12</v>
      </c>
      <c r="E337" t="s">
        <v>52</v>
      </c>
      <c r="F337" t="s">
        <v>42</v>
      </c>
      <c r="G337" t="s">
        <v>28</v>
      </c>
      <c r="H337">
        <v>5</v>
      </c>
      <c r="I337">
        <v>1465</v>
      </c>
      <c r="J337">
        <v>149.62</v>
      </c>
    </row>
    <row r="338" spans="1:10" x14ac:dyDescent="0.25">
      <c r="A338" s="1">
        <v>45592</v>
      </c>
      <c r="B338" t="s">
        <v>36</v>
      </c>
      <c r="C338" t="s">
        <v>17</v>
      </c>
      <c r="D338" t="s">
        <v>12</v>
      </c>
      <c r="E338" t="s">
        <v>180</v>
      </c>
      <c r="F338" t="s">
        <v>34</v>
      </c>
      <c r="G338" t="s">
        <v>35</v>
      </c>
      <c r="H338">
        <v>2</v>
      </c>
      <c r="I338">
        <v>366</v>
      </c>
      <c r="J338">
        <v>31.23</v>
      </c>
    </row>
    <row r="339" spans="1:10" x14ac:dyDescent="0.25">
      <c r="A339" s="1">
        <v>45492</v>
      </c>
      <c r="B339" t="s">
        <v>25</v>
      </c>
      <c r="C339" t="s">
        <v>19</v>
      </c>
      <c r="D339" t="s">
        <v>12</v>
      </c>
      <c r="E339" t="s">
        <v>117</v>
      </c>
      <c r="F339" t="s">
        <v>59</v>
      </c>
      <c r="G339" t="s">
        <v>28</v>
      </c>
      <c r="H339">
        <v>5</v>
      </c>
      <c r="I339">
        <v>3135</v>
      </c>
      <c r="J339">
        <v>277.27999999999997</v>
      </c>
    </row>
    <row r="340" spans="1:10" x14ac:dyDescent="0.25">
      <c r="A340" s="1">
        <v>45354</v>
      </c>
      <c r="B340" t="s">
        <v>49</v>
      </c>
      <c r="C340" t="s">
        <v>17</v>
      </c>
      <c r="D340" t="s">
        <v>12</v>
      </c>
      <c r="E340" t="s">
        <v>22</v>
      </c>
      <c r="F340" t="s">
        <v>23</v>
      </c>
      <c r="G340" t="s">
        <v>24</v>
      </c>
      <c r="H340">
        <v>2</v>
      </c>
      <c r="I340">
        <v>630</v>
      </c>
      <c r="J340">
        <v>161.04</v>
      </c>
    </row>
    <row r="341" spans="1:10" x14ac:dyDescent="0.25">
      <c r="A341" s="1">
        <v>45394</v>
      </c>
      <c r="B341" t="s">
        <v>36</v>
      </c>
      <c r="C341" t="s">
        <v>17</v>
      </c>
      <c r="D341" t="s">
        <v>12</v>
      </c>
      <c r="E341" t="s">
        <v>181</v>
      </c>
      <c r="F341" t="s">
        <v>57</v>
      </c>
      <c r="G341" t="s">
        <v>24</v>
      </c>
      <c r="H341">
        <v>1</v>
      </c>
      <c r="I341">
        <v>213</v>
      </c>
      <c r="J341">
        <v>42.94</v>
      </c>
    </row>
    <row r="342" spans="1:10" x14ac:dyDescent="0.25">
      <c r="A342" s="1">
        <v>45463</v>
      </c>
      <c r="B342" t="s">
        <v>36</v>
      </c>
      <c r="C342" t="s">
        <v>17</v>
      </c>
      <c r="D342" t="s">
        <v>12</v>
      </c>
      <c r="E342" t="s">
        <v>182</v>
      </c>
      <c r="F342" t="s">
        <v>183</v>
      </c>
      <c r="G342" t="s">
        <v>15</v>
      </c>
      <c r="H342">
        <v>4</v>
      </c>
      <c r="I342">
        <v>3792</v>
      </c>
      <c r="J342">
        <v>1092.8499999999999</v>
      </c>
    </row>
    <row r="343" spans="1:10" x14ac:dyDescent="0.25">
      <c r="A343" s="1">
        <v>45098</v>
      </c>
      <c r="B343" t="s">
        <v>16</v>
      </c>
      <c r="C343" t="s">
        <v>17</v>
      </c>
      <c r="D343" t="s">
        <v>12</v>
      </c>
      <c r="E343" t="s">
        <v>112</v>
      </c>
      <c r="F343" t="s">
        <v>63</v>
      </c>
      <c r="G343" t="s">
        <v>28</v>
      </c>
      <c r="H343">
        <v>2</v>
      </c>
      <c r="I343">
        <v>1932</v>
      </c>
      <c r="J343">
        <v>109.07</v>
      </c>
    </row>
    <row r="344" spans="1:10" x14ac:dyDescent="0.25">
      <c r="A344" s="1">
        <v>44951</v>
      </c>
      <c r="B344" t="s">
        <v>49</v>
      </c>
      <c r="C344" t="s">
        <v>17</v>
      </c>
      <c r="D344" t="s">
        <v>12</v>
      </c>
      <c r="E344" t="s">
        <v>57</v>
      </c>
      <c r="F344" t="s">
        <v>142</v>
      </c>
      <c r="G344" t="s">
        <v>28</v>
      </c>
      <c r="H344">
        <v>4</v>
      </c>
      <c r="I344">
        <v>4152</v>
      </c>
      <c r="J344">
        <v>317.27999999999997</v>
      </c>
    </row>
    <row r="345" spans="1:10" x14ac:dyDescent="0.25">
      <c r="A345" s="1">
        <v>45339</v>
      </c>
      <c r="B345" t="s">
        <v>40</v>
      </c>
      <c r="C345" t="s">
        <v>19</v>
      </c>
      <c r="D345" t="s">
        <v>12</v>
      </c>
      <c r="E345" t="s">
        <v>136</v>
      </c>
      <c r="F345" t="s">
        <v>65</v>
      </c>
      <c r="G345" t="s">
        <v>35</v>
      </c>
      <c r="H345">
        <v>7</v>
      </c>
      <c r="I345">
        <v>3612</v>
      </c>
      <c r="J345">
        <v>529.57000000000005</v>
      </c>
    </row>
    <row r="346" spans="1:10" x14ac:dyDescent="0.25">
      <c r="A346" s="1">
        <v>45544</v>
      </c>
      <c r="B346" t="s">
        <v>40</v>
      </c>
      <c r="C346" t="s">
        <v>19</v>
      </c>
      <c r="D346" t="s">
        <v>12</v>
      </c>
      <c r="E346" t="s">
        <v>52</v>
      </c>
      <c r="F346" t="s">
        <v>42</v>
      </c>
      <c r="G346" t="s">
        <v>28</v>
      </c>
      <c r="H346">
        <v>2</v>
      </c>
      <c r="I346">
        <v>2258</v>
      </c>
      <c r="J346">
        <v>280.76</v>
      </c>
    </row>
    <row r="347" spans="1:10" x14ac:dyDescent="0.25">
      <c r="A347" s="1">
        <v>44751</v>
      </c>
      <c r="B347" t="s">
        <v>25</v>
      </c>
      <c r="C347" t="s">
        <v>19</v>
      </c>
      <c r="D347" t="s">
        <v>12</v>
      </c>
      <c r="E347" t="s">
        <v>37</v>
      </c>
      <c r="F347" t="s">
        <v>34</v>
      </c>
      <c r="G347" t="s">
        <v>35</v>
      </c>
      <c r="H347">
        <v>3</v>
      </c>
      <c r="I347">
        <v>594</v>
      </c>
      <c r="J347">
        <v>47.73</v>
      </c>
    </row>
    <row r="348" spans="1:10" x14ac:dyDescent="0.25">
      <c r="A348" s="1">
        <v>45170</v>
      </c>
      <c r="B348" t="s">
        <v>29</v>
      </c>
      <c r="C348" t="s">
        <v>17</v>
      </c>
      <c r="D348" t="s">
        <v>12</v>
      </c>
      <c r="E348" t="s">
        <v>26</v>
      </c>
      <c r="F348" t="s">
        <v>27</v>
      </c>
      <c r="G348" t="s">
        <v>28</v>
      </c>
      <c r="H348">
        <v>7</v>
      </c>
      <c r="I348">
        <v>8071</v>
      </c>
      <c r="J348">
        <v>1799.06</v>
      </c>
    </row>
    <row r="349" spans="1:10" x14ac:dyDescent="0.25">
      <c r="A349" s="1">
        <v>45381</v>
      </c>
      <c r="B349" t="s">
        <v>49</v>
      </c>
      <c r="C349" t="s">
        <v>17</v>
      </c>
      <c r="D349" t="s">
        <v>12</v>
      </c>
      <c r="E349" t="s">
        <v>74</v>
      </c>
      <c r="F349" t="s">
        <v>23</v>
      </c>
      <c r="G349" t="s">
        <v>24</v>
      </c>
      <c r="H349">
        <v>7</v>
      </c>
      <c r="I349">
        <v>5838</v>
      </c>
      <c r="J349">
        <v>631.45000000000005</v>
      </c>
    </row>
    <row r="350" spans="1:10" x14ac:dyDescent="0.25">
      <c r="A350" s="1">
        <v>45648</v>
      </c>
      <c r="B350" t="s">
        <v>49</v>
      </c>
      <c r="C350" t="s">
        <v>17</v>
      </c>
      <c r="D350" t="s">
        <v>12</v>
      </c>
      <c r="E350" t="s">
        <v>26</v>
      </c>
      <c r="F350" t="s">
        <v>27</v>
      </c>
      <c r="G350" t="s">
        <v>28</v>
      </c>
      <c r="H350">
        <v>4</v>
      </c>
      <c r="I350">
        <v>692</v>
      </c>
      <c r="J350">
        <v>181.31</v>
      </c>
    </row>
    <row r="351" spans="1:10" x14ac:dyDescent="0.25">
      <c r="A351" s="1">
        <v>45543</v>
      </c>
      <c r="B351" t="s">
        <v>49</v>
      </c>
      <c r="C351" t="s">
        <v>17</v>
      </c>
      <c r="D351" t="s">
        <v>12</v>
      </c>
      <c r="E351" t="s">
        <v>26</v>
      </c>
      <c r="F351" t="s">
        <v>27</v>
      </c>
      <c r="G351" t="s">
        <v>28</v>
      </c>
      <c r="H351">
        <v>3</v>
      </c>
      <c r="I351">
        <v>1704</v>
      </c>
      <c r="J351">
        <v>309.06</v>
      </c>
    </row>
    <row r="352" spans="1:10" x14ac:dyDescent="0.25">
      <c r="A352" s="1">
        <v>44947</v>
      </c>
      <c r="B352" t="s">
        <v>10</v>
      </c>
      <c r="C352" t="s">
        <v>11</v>
      </c>
      <c r="D352" t="s">
        <v>12</v>
      </c>
      <c r="E352" t="s">
        <v>75</v>
      </c>
      <c r="F352" t="s">
        <v>63</v>
      </c>
      <c r="G352" t="s">
        <v>28</v>
      </c>
      <c r="H352">
        <v>5</v>
      </c>
      <c r="I352">
        <v>3235</v>
      </c>
      <c r="J352">
        <v>941.24</v>
      </c>
    </row>
    <row r="353" spans="1:10" x14ac:dyDescent="0.25">
      <c r="A353" s="1">
        <v>45211</v>
      </c>
      <c r="B353" t="s">
        <v>16</v>
      </c>
      <c r="C353" t="s">
        <v>17</v>
      </c>
      <c r="D353" t="s">
        <v>12</v>
      </c>
      <c r="E353" t="s">
        <v>56</v>
      </c>
      <c r="F353" t="s">
        <v>57</v>
      </c>
      <c r="G353" t="s">
        <v>24</v>
      </c>
      <c r="H353">
        <v>6</v>
      </c>
      <c r="I353">
        <v>4746</v>
      </c>
      <c r="J353">
        <v>545.57000000000005</v>
      </c>
    </row>
    <row r="354" spans="1:10" x14ac:dyDescent="0.25">
      <c r="A354" s="1">
        <v>44774</v>
      </c>
      <c r="B354" t="s">
        <v>32</v>
      </c>
      <c r="C354" t="s">
        <v>19</v>
      </c>
      <c r="D354" t="s">
        <v>12</v>
      </c>
      <c r="E354" t="s">
        <v>52</v>
      </c>
      <c r="F354" t="s">
        <v>42</v>
      </c>
      <c r="G354" t="s">
        <v>28</v>
      </c>
      <c r="H354">
        <v>8</v>
      </c>
      <c r="I354">
        <v>7600</v>
      </c>
      <c r="J354">
        <v>788.88</v>
      </c>
    </row>
    <row r="355" spans="1:10" x14ac:dyDescent="0.25">
      <c r="A355" s="1">
        <v>45233</v>
      </c>
      <c r="B355" t="s">
        <v>40</v>
      </c>
      <c r="C355" t="s">
        <v>19</v>
      </c>
      <c r="D355" t="s">
        <v>12</v>
      </c>
      <c r="E355" t="s">
        <v>74</v>
      </c>
      <c r="F355" t="s">
        <v>23</v>
      </c>
      <c r="G355" t="s">
        <v>24</v>
      </c>
      <c r="H355">
        <v>5</v>
      </c>
      <c r="I355">
        <v>1935</v>
      </c>
      <c r="J355">
        <v>128.01</v>
      </c>
    </row>
    <row r="356" spans="1:10" x14ac:dyDescent="0.25">
      <c r="A356" s="1">
        <v>45264</v>
      </c>
      <c r="B356" t="s">
        <v>55</v>
      </c>
      <c r="C356" t="s">
        <v>19</v>
      </c>
      <c r="D356" t="s">
        <v>12</v>
      </c>
      <c r="E356" t="s">
        <v>43</v>
      </c>
      <c r="F356" t="s">
        <v>44</v>
      </c>
      <c r="G356" t="s">
        <v>35</v>
      </c>
      <c r="H356">
        <v>3</v>
      </c>
      <c r="I356">
        <v>1638</v>
      </c>
      <c r="J356">
        <v>306.29000000000002</v>
      </c>
    </row>
    <row r="357" spans="1:10" x14ac:dyDescent="0.25">
      <c r="A357" s="1">
        <v>45107</v>
      </c>
      <c r="B357" t="s">
        <v>49</v>
      </c>
      <c r="C357" t="s">
        <v>17</v>
      </c>
      <c r="D357" t="s">
        <v>12</v>
      </c>
      <c r="E357" t="s">
        <v>74</v>
      </c>
      <c r="F357" t="s">
        <v>23</v>
      </c>
      <c r="G357" t="s">
        <v>24</v>
      </c>
      <c r="H357">
        <v>7</v>
      </c>
      <c r="I357">
        <v>4746</v>
      </c>
      <c r="J357">
        <v>816.6</v>
      </c>
    </row>
    <row r="358" spans="1:10" x14ac:dyDescent="0.25">
      <c r="A358" s="1">
        <v>44958</v>
      </c>
      <c r="B358" t="s">
        <v>40</v>
      </c>
      <c r="C358" t="s">
        <v>19</v>
      </c>
      <c r="D358" t="s">
        <v>12</v>
      </c>
      <c r="E358" t="s">
        <v>52</v>
      </c>
      <c r="F358" t="s">
        <v>42</v>
      </c>
      <c r="G358" t="s">
        <v>28</v>
      </c>
      <c r="H358">
        <v>8</v>
      </c>
      <c r="I358">
        <v>4824</v>
      </c>
      <c r="J358">
        <v>1187.93</v>
      </c>
    </row>
    <row r="359" spans="1:10" x14ac:dyDescent="0.25">
      <c r="A359" s="1">
        <v>44690</v>
      </c>
      <c r="B359" t="s">
        <v>25</v>
      </c>
      <c r="C359" t="s">
        <v>19</v>
      </c>
      <c r="D359" t="s">
        <v>12</v>
      </c>
      <c r="E359" t="s">
        <v>52</v>
      </c>
      <c r="F359" t="s">
        <v>42</v>
      </c>
      <c r="G359" t="s">
        <v>28</v>
      </c>
      <c r="H359">
        <v>1</v>
      </c>
      <c r="I359">
        <v>1193</v>
      </c>
      <c r="J359">
        <v>153.72</v>
      </c>
    </row>
    <row r="360" spans="1:10" x14ac:dyDescent="0.25">
      <c r="A360" s="1">
        <v>45276</v>
      </c>
      <c r="B360" t="s">
        <v>55</v>
      </c>
      <c r="C360" t="s">
        <v>19</v>
      </c>
      <c r="D360" t="s">
        <v>12</v>
      </c>
      <c r="E360" t="s">
        <v>43</v>
      </c>
      <c r="F360" t="s">
        <v>44</v>
      </c>
      <c r="G360" t="s">
        <v>35</v>
      </c>
      <c r="H360">
        <v>2</v>
      </c>
      <c r="I360">
        <v>562</v>
      </c>
      <c r="J360">
        <v>92.94</v>
      </c>
    </row>
    <row r="361" spans="1:10" x14ac:dyDescent="0.25">
      <c r="A361" s="1">
        <v>44640</v>
      </c>
      <c r="B361" t="s">
        <v>40</v>
      </c>
      <c r="C361" t="s">
        <v>19</v>
      </c>
      <c r="D361" t="s">
        <v>12</v>
      </c>
      <c r="E361" t="s">
        <v>69</v>
      </c>
      <c r="F361" t="s">
        <v>63</v>
      </c>
      <c r="G361" t="s">
        <v>28</v>
      </c>
      <c r="H361">
        <v>8</v>
      </c>
      <c r="I361">
        <v>6200</v>
      </c>
      <c r="J361">
        <v>1296.8399999999999</v>
      </c>
    </row>
    <row r="362" spans="1:10" x14ac:dyDescent="0.25">
      <c r="A362" s="1">
        <v>45501</v>
      </c>
      <c r="B362" t="s">
        <v>10</v>
      </c>
      <c r="C362" t="s">
        <v>11</v>
      </c>
      <c r="D362" t="s">
        <v>12</v>
      </c>
      <c r="E362" t="s">
        <v>26</v>
      </c>
      <c r="F362" t="s">
        <v>27</v>
      </c>
      <c r="G362" t="s">
        <v>28</v>
      </c>
      <c r="H362">
        <v>8</v>
      </c>
      <c r="I362">
        <v>4128</v>
      </c>
      <c r="J362">
        <v>315.48</v>
      </c>
    </row>
    <row r="363" spans="1:10" x14ac:dyDescent="0.25">
      <c r="A363" s="1">
        <v>44648</v>
      </c>
      <c r="B363" t="s">
        <v>10</v>
      </c>
      <c r="C363" t="s">
        <v>11</v>
      </c>
      <c r="D363" t="s">
        <v>12</v>
      </c>
      <c r="E363" t="s">
        <v>66</v>
      </c>
      <c r="F363" t="s">
        <v>34</v>
      </c>
      <c r="G363" t="s">
        <v>35</v>
      </c>
      <c r="H363">
        <v>5</v>
      </c>
      <c r="I363">
        <v>5405</v>
      </c>
      <c r="J363">
        <v>326.56</v>
      </c>
    </row>
    <row r="364" spans="1:10" x14ac:dyDescent="0.25">
      <c r="A364" s="1">
        <v>45602</v>
      </c>
      <c r="B364" t="s">
        <v>55</v>
      </c>
      <c r="C364" t="s">
        <v>19</v>
      </c>
      <c r="D364" t="s">
        <v>12</v>
      </c>
      <c r="E364" t="s">
        <v>184</v>
      </c>
      <c r="F364" t="s">
        <v>23</v>
      </c>
      <c r="G364" t="s">
        <v>24</v>
      </c>
      <c r="H364">
        <v>3</v>
      </c>
      <c r="I364">
        <v>1371</v>
      </c>
      <c r="J364">
        <v>104.66</v>
      </c>
    </row>
    <row r="365" spans="1:10" x14ac:dyDescent="0.25">
      <c r="A365" s="1">
        <v>44927</v>
      </c>
      <c r="B365" t="s">
        <v>49</v>
      </c>
      <c r="C365" t="s">
        <v>17</v>
      </c>
      <c r="D365" t="s">
        <v>12</v>
      </c>
      <c r="E365" t="s">
        <v>105</v>
      </c>
      <c r="F365" t="s">
        <v>23</v>
      </c>
      <c r="G365" t="s">
        <v>24</v>
      </c>
      <c r="H365">
        <v>5</v>
      </c>
      <c r="I365">
        <v>1405</v>
      </c>
      <c r="J365">
        <v>194.33</v>
      </c>
    </row>
    <row r="366" spans="1:10" x14ac:dyDescent="0.25">
      <c r="A366" s="1">
        <v>45003</v>
      </c>
      <c r="B366" t="s">
        <v>49</v>
      </c>
      <c r="C366" t="s">
        <v>17</v>
      </c>
      <c r="D366" t="s">
        <v>12</v>
      </c>
      <c r="E366" t="s">
        <v>105</v>
      </c>
      <c r="F366" t="s">
        <v>23</v>
      </c>
      <c r="G366" t="s">
        <v>24</v>
      </c>
      <c r="H366">
        <v>3</v>
      </c>
      <c r="I366">
        <v>1644</v>
      </c>
      <c r="J366">
        <v>158.32</v>
      </c>
    </row>
    <row r="367" spans="1:10" x14ac:dyDescent="0.25">
      <c r="A367" s="1">
        <v>45553</v>
      </c>
      <c r="B367" t="s">
        <v>16</v>
      </c>
      <c r="C367" t="s">
        <v>17</v>
      </c>
      <c r="D367" t="s">
        <v>12</v>
      </c>
      <c r="E367" t="s">
        <v>185</v>
      </c>
      <c r="F367" t="s">
        <v>115</v>
      </c>
      <c r="G367" t="s">
        <v>15</v>
      </c>
      <c r="H367">
        <v>6</v>
      </c>
      <c r="I367">
        <v>3414</v>
      </c>
      <c r="J367">
        <v>396.92</v>
      </c>
    </row>
    <row r="368" spans="1:10" x14ac:dyDescent="0.25">
      <c r="A368" s="1">
        <v>45523</v>
      </c>
      <c r="B368" t="s">
        <v>55</v>
      </c>
      <c r="C368" t="s">
        <v>19</v>
      </c>
      <c r="D368" t="s">
        <v>12</v>
      </c>
      <c r="E368" t="s">
        <v>186</v>
      </c>
      <c r="F368" t="s">
        <v>65</v>
      </c>
      <c r="G368" t="s">
        <v>35</v>
      </c>
      <c r="H368">
        <v>8</v>
      </c>
      <c r="I368">
        <v>3272</v>
      </c>
      <c r="J368">
        <v>674.57</v>
      </c>
    </row>
    <row r="369" spans="1:10" x14ac:dyDescent="0.25">
      <c r="A369" s="1">
        <v>44730</v>
      </c>
      <c r="B369" t="s">
        <v>40</v>
      </c>
      <c r="C369" t="s">
        <v>19</v>
      </c>
      <c r="D369" t="s">
        <v>12</v>
      </c>
      <c r="E369" t="s">
        <v>187</v>
      </c>
      <c r="F369" t="s">
        <v>23</v>
      </c>
      <c r="G369" t="s">
        <v>24</v>
      </c>
      <c r="H369">
        <v>3</v>
      </c>
      <c r="I369">
        <v>2655</v>
      </c>
      <c r="J369">
        <v>646.91</v>
      </c>
    </row>
    <row r="370" spans="1:10" x14ac:dyDescent="0.25">
      <c r="A370" s="1">
        <v>44710</v>
      </c>
      <c r="B370" t="s">
        <v>32</v>
      </c>
      <c r="C370" t="s">
        <v>19</v>
      </c>
      <c r="D370" t="s">
        <v>12</v>
      </c>
      <c r="E370" t="s">
        <v>140</v>
      </c>
      <c r="F370" t="s">
        <v>57</v>
      </c>
      <c r="G370" t="s">
        <v>24</v>
      </c>
      <c r="H370">
        <v>7</v>
      </c>
      <c r="I370">
        <v>1673</v>
      </c>
      <c r="J370">
        <v>458.32</v>
      </c>
    </row>
    <row r="371" spans="1:10" x14ac:dyDescent="0.25">
      <c r="A371" s="1">
        <v>44721</v>
      </c>
      <c r="B371" t="s">
        <v>18</v>
      </c>
      <c r="C371" t="s">
        <v>19</v>
      </c>
      <c r="D371" t="s">
        <v>12</v>
      </c>
      <c r="E371" t="s">
        <v>43</v>
      </c>
      <c r="F371" t="s">
        <v>44</v>
      </c>
      <c r="G371" t="s">
        <v>35</v>
      </c>
      <c r="H371">
        <v>2</v>
      </c>
      <c r="I371">
        <v>846</v>
      </c>
      <c r="J371">
        <v>145.09</v>
      </c>
    </row>
    <row r="372" spans="1:10" x14ac:dyDescent="0.25">
      <c r="A372" s="1">
        <v>45049</v>
      </c>
      <c r="B372" t="s">
        <v>40</v>
      </c>
      <c r="C372" t="s">
        <v>19</v>
      </c>
      <c r="D372" t="s">
        <v>12</v>
      </c>
      <c r="E372" t="s">
        <v>154</v>
      </c>
      <c r="F372" t="s">
        <v>115</v>
      </c>
      <c r="G372" t="s">
        <v>15</v>
      </c>
      <c r="H372">
        <v>1</v>
      </c>
      <c r="I372">
        <v>985</v>
      </c>
      <c r="J372">
        <v>196.64</v>
      </c>
    </row>
    <row r="373" spans="1:10" x14ac:dyDescent="0.25">
      <c r="A373" s="1">
        <v>45247</v>
      </c>
      <c r="B373" t="s">
        <v>32</v>
      </c>
      <c r="C373" t="s">
        <v>19</v>
      </c>
      <c r="D373" t="s">
        <v>12</v>
      </c>
      <c r="E373" t="s">
        <v>62</v>
      </c>
      <c r="F373" t="s">
        <v>63</v>
      </c>
      <c r="G373" t="s">
        <v>28</v>
      </c>
      <c r="H373">
        <v>9</v>
      </c>
      <c r="I373">
        <v>7551</v>
      </c>
      <c r="J373">
        <v>894.4</v>
      </c>
    </row>
    <row r="374" spans="1:10" x14ac:dyDescent="0.25">
      <c r="A374" s="1">
        <v>44600</v>
      </c>
      <c r="B374" t="s">
        <v>18</v>
      </c>
      <c r="C374" t="s">
        <v>19</v>
      </c>
      <c r="D374" t="s">
        <v>12</v>
      </c>
      <c r="E374" t="s">
        <v>62</v>
      </c>
      <c r="F374" t="s">
        <v>63</v>
      </c>
      <c r="G374" t="s">
        <v>28</v>
      </c>
      <c r="H374">
        <v>5</v>
      </c>
      <c r="I374">
        <v>855</v>
      </c>
      <c r="J374">
        <v>217.16</v>
      </c>
    </row>
    <row r="375" spans="1:10" x14ac:dyDescent="0.25">
      <c r="A375" s="1">
        <v>45222</v>
      </c>
      <c r="B375" t="s">
        <v>25</v>
      </c>
      <c r="C375" t="s">
        <v>19</v>
      </c>
      <c r="D375" t="s">
        <v>12</v>
      </c>
      <c r="E375" t="s">
        <v>22</v>
      </c>
      <c r="F375" t="s">
        <v>23</v>
      </c>
      <c r="G375" t="s">
        <v>24</v>
      </c>
      <c r="H375">
        <v>2</v>
      </c>
      <c r="I375">
        <v>396</v>
      </c>
      <c r="J375">
        <v>94.55</v>
      </c>
    </row>
    <row r="376" spans="1:10" x14ac:dyDescent="0.25">
      <c r="A376" s="1">
        <v>44797</v>
      </c>
      <c r="B376" t="s">
        <v>18</v>
      </c>
      <c r="C376" t="s">
        <v>19</v>
      </c>
      <c r="D376" t="s">
        <v>12</v>
      </c>
      <c r="E376" t="s">
        <v>43</v>
      </c>
      <c r="F376" t="s">
        <v>44</v>
      </c>
      <c r="G376" t="s">
        <v>35</v>
      </c>
      <c r="H376">
        <v>8</v>
      </c>
      <c r="I376">
        <v>2296</v>
      </c>
      <c r="J376">
        <v>560.48</v>
      </c>
    </row>
    <row r="377" spans="1:10" x14ac:dyDescent="0.25">
      <c r="A377" s="1">
        <v>45421</v>
      </c>
      <c r="B377" t="s">
        <v>36</v>
      </c>
      <c r="C377" t="s">
        <v>17</v>
      </c>
      <c r="D377" t="s">
        <v>12</v>
      </c>
      <c r="E377" t="s">
        <v>43</v>
      </c>
      <c r="F377" t="s">
        <v>44</v>
      </c>
      <c r="G377" t="s">
        <v>35</v>
      </c>
      <c r="H377">
        <v>6</v>
      </c>
      <c r="I377">
        <v>1704</v>
      </c>
      <c r="J377">
        <v>199.94</v>
      </c>
    </row>
    <row r="378" spans="1:10" x14ac:dyDescent="0.25">
      <c r="A378" s="1">
        <v>44997</v>
      </c>
      <c r="B378" t="s">
        <v>40</v>
      </c>
      <c r="C378" t="s">
        <v>19</v>
      </c>
      <c r="D378" t="s">
        <v>12</v>
      </c>
      <c r="E378" t="s">
        <v>188</v>
      </c>
      <c r="F378" t="s">
        <v>189</v>
      </c>
      <c r="G378" t="s">
        <v>24</v>
      </c>
      <c r="H378">
        <v>2</v>
      </c>
      <c r="I378">
        <v>1180</v>
      </c>
      <c r="J378">
        <v>261.16000000000003</v>
      </c>
    </row>
    <row r="379" spans="1:10" x14ac:dyDescent="0.25">
      <c r="A379" s="1">
        <v>44839</v>
      </c>
      <c r="B379" t="s">
        <v>40</v>
      </c>
      <c r="C379" t="s">
        <v>19</v>
      </c>
      <c r="D379" t="s">
        <v>12</v>
      </c>
      <c r="E379" t="s">
        <v>188</v>
      </c>
      <c r="F379" t="s">
        <v>189</v>
      </c>
      <c r="G379" t="s">
        <v>24</v>
      </c>
      <c r="H379">
        <v>3</v>
      </c>
      <c r="I379">
        <v>411</v>
      </c>
      <c r="J379">
        <v>55.73</v>
      </c>
    </row>
    <row r="380" spans="1:10" x14ac:dyDescent="0.25">
      <c r="A380" s="1">
        <v>44580</v>
      </c>
      <c r="B380" t="s">
        <v>16</v>
      </c>
      <c r="C380" t="s">
        <v>17</v>
      </c>
      <c r="D380" t="s">
        <v>12</v>
      </c>
      <c r="E380" t="s">
        <v>190</v>
      </c>
      <c r="F380" t="s">
        <v>191</v>
      </c>
      <c r="G380" t="s">
        <v>35</v>
      </c>
      <c r="H380">
        <v>1</v>
      </c>
      <c r="I380">
        <v>745</v>
      </c>
      <c r="J380">
        <v>151.22</v>
      </c>
    </row>
    <row r="381" spans="1:10" x14ac:dyDescent="0.25">
      <c r="A381" s="1">
        <v>44690</v>
      </c>
      <c r="B381" t="s">
        <v>10</v>
      </c>
      <c r="C381" t="s">
        <v>11</v>
      </c>
      <c r="D381" t="s">
        <v>12</v>
      </c>
      <c r="E381" t="s">
        <v>148</v>
      </c>
      <c r="F381" t="s">
        <v>149</v>
      </c>
      <c r="G381" t="s">
        <v>15</v>
      </c>
      <c r="H381">
        <v>9</v>
      </c>
      <c r="I381">
        <v>10656</v>
      </c>
      <c r="J381">
        <v>961.3</v>
      </c>
    </row>
    <row r="382" spans="1:10" x14ac:dyDescent="0.25">
      <c r="A382" s="1">
        <v>45435</v>
      </c>
      <c r="B382" t="s">
        <v>16</v>
      </c>
      <c r="C382" t="s">
        <v>17</v>
      </c>
      <c r="D382" t="s">
        <v>12</v>
      </c>
      <c r="E382" t="s">
        <v>192</v>
      </c>
      <c r="F382" t="s">
        <v>149</v>
      </c>
      <c r="G382" t="s">
        <v>15</v>
      </c>
      <c r="H382">
        <v>3</v>
      </c>
      <c r="I382">
        <v>1494</v>
      </c>
      <c r="J382">
        <v>178.5</v>
      </c>
    </row>
    <row r="383" spans="1:10" x14ac:dyDescent="0.25">
      <c r="A383" s="1">
        <v>45484</v>
      </c>
      <c r="B383" t="s">
        <v>25</v>
      </c>
      <c r="C383" t="s">
        <v>19</v>
      </c>
      <c r="D383" t="s">
        <v>12</v>
      </c>
      <c r="E383" t="s">
        <v>193</v>
      </c>
      <c r="F383" t="s">
        <v>14</v>
      </c>
      <c r="G383" t="s">
        <v>15</v>
      </c>
      <c r="H383">
        <v>5</v>
      </c>
      <c r="I383">
        <v>1755</v>
      </c>
      <c r="J383">
        <v>358.01</v>
      </c>
    </row>
    <row r="384" spans="1:10" x14ac:dyDescent="0.25">
      <c r="A384" s="1">
        <v>44795</v>
      </c>
      <c r="B384" t="s">
        <v>25</v>
      </c>
      <c r="C384" t="s">
        <v>19</v>
      </c>
      <c r="D384" t="s">
        <v>12</v>
      </c>
      <c r="E384" t="s">
        <v>66</v>
      </c>
      <c r="F384" t="s">
        <v>34</v>
      </c>
      <c r="G384" t="s">
        <v>35</v>
      </c>
      <c r="H384">
        <v>9</v>
      </c>
      <c r="I384">
        <v>4941</v>
      </c>
      <c r="J384">
        <v>894.52</v>
      </c>
    </row>
    <row r="385" spans="1:10" x14ac:dyDescent="0.25">
      <c r="A385" s="1">
        <v>45599</v>
      </c>
      <c r="B385" t="s">
        <v>32</v>
      </c>
      <c r="C385" t="s">
        <v>19</v>
      </c>
      <c r="D385" t="s">
        <v>12</v>
      </c>
      <c r="E385" t="s">
        <v>57</v>
      </c>
      <c r="F385" t="s">
        <v>142</v>
      </c>
      <c r="G385" t="s">
        <v>28</v>
      </c>
      <c r="H385">
        <v>6</v>
      </c>
      <c r="I385">
        <v>6510</v>
      </c>
      <c r="J385">
        <v>1539.18</v>
      </c>
    </row>
    <row r="386" spans="1:10" x14ac:dyDescent="0.25">
      <c r="A386" s="1">
        <v>45576</v>
      </c>
      <c r="B386" t="s">
        <v>40</v>
      </c>
      <c r="C386" t="s">
        <v>19</v>
      </c>
      <c r="D386" t="s">
        <v>12</v>
      </c>
      <c r="E386" t="s">
        <v>22</v>
      </c>
      <c r="F386" t="s">
        <v>23</v>
      </c>
      <c r="G386" t="s">
        <v>24</v>
      </c>
      <c r="H386">
        <v>5</v>
      </c>
      <c r="I386">
        <v>5465</v>
      </c>
      <c r="J386">
        <v>719.92</v>
      </c>
    </row>
    <row r="387" spans="1:10" x14ac:dyDescent="0.25">
      <c r="A387" s="1">
        <v>45605</v>
      </c>
      <c r="B387" t="s">
        <v>18</v>
      </c>
      <c r="C387" t="s">
        <v>19</v>
      </c>
      <c r="D387" t="s">
        <v>12</v>
      </c>
      <c r="E387" t="s">
        <v>52</v>
      </c>
      <c r="F387" t="s">
        <v>42</v>
      </c>
      <c r="G387" t="s">
        <v>28</v>
      </c>
      <c r="H387">
        <v>3</v>
      </c>
      <c r="I387">
        <v>3522</v>
      </c>
      <c r="J387">
        <v>285.91000000000003</v>
      </c>
    </row>
    <row r="388" spans="1:10" x14ac:dyDescent="0.25">
      <c r="A388" s="1">
        <v>45383</v>
      </c>
      <c r="B388" t="s">
        <v>18</v>
      </c>
      <c r="C388" t="s">
        <v>19</v>
      </c>
      <c r="D388" t="s">
        <v>12</v>
      </c>
      <c r="E388" t="s">
        <v>53</v>
      </c>
      <c r="F388" t="s">
        <v>54</v>
      </c>
      <c r="G388" t="s">
        <v>24</v>
      </c>
      <c r="H388">
        <v>6</v>
      </c>
      <c r="I388">
        <v>1656</v>
      </c>
      <c r="J388">
        <v>139.86000000000001</v>
      </c>
    </row>
    <row r="389" spans="1:10" x14ac:dyDescent="0.25">
      <c r="A389" s="1">
        <v>44749</v>
      </c>
      <c r="B389" t="s">
        <v>10</v>
      </c>
      <c r="C389" t="s">
        <v>11</v>
      </c>
      <c r="D389" t="s">
        <v>12</v>
      </c>
      <c r="E389" t="s">
        <v>53</v>
      </c>
      <c r="F389" t="s">
        <v>54</v>
      </c>
      <c r="G389" t="s">
        <v>24</v>
      </c>
      <c r="H389">
        <v>5</v>
      </c>
      <c r="I389">
        <v>1255</v>
      </c>
      <c r="J389">
        <v>257.14999999999998</v>
      </c>
    </row>
    <row r="390" spans="1:10" x14ac:dyDescent="0.25">
      <c r="A390" s="1">
        <v>45087</v>
      </c>
      <c r="B390" t="s">
        <v>49</v>
      </c>
      <c r="C390" t="s">
        <v>17</v>
      </c>
      <c r="D390" t="s">
        <v>12</v>
      </c>
      <c r="E390" t="s">
        <v>13</v>
      </c>
      <c r="F390" t="s">
        <v>173</v>
      </c>
      <c r="G390" t="s">
        <v>24</v>
      </c>
      <c r="H390">
        <v>1</v>
      </c>
      <c r="I390">
        <v>1192</v>
      </c>
      <c r="J390">
        <v>320.13</v>
      </c>
    </row>
    <row r="391" spans="1:10" x14ac:dyDescent="0.25">
      <c r="A391" s="1">
        <v>45061</v>
      </c>
      <c r="B391" t="s">
        <v>18</v>
      </c>
      <c r="C391" t="s">
        <v>19</v>
      </c>
      <c r="D391" t="s">
        <v>12</v>
      </c>
      <c r="E391" t="s">
        <v>74</v>
      </c>
      <c r="F391" t="s">
        <v>23</v>
      </c>
      <c r="G391" t="s">
        <v>24</v>
      </c>
      <c r="H391">
        <v>5</v>
      </c>
      <c r="I391">
        <v>1925</v>
      </c>
      <c r="J391">
        <v>204.74</v>
      </c>
    </row>
    <row r="392" spans="1:10" x14ac:dyDescent="0.25">
      <c r="A392" s="1">
        <v>44720</v>
      </c>
      <c r="B392" t="s">
        <v>18</v>
      </c>
      <c r="C392" t="s">
        <v>19</v>
      </c>
      <c r="D392" t="s">
        <v>12</v>
      </c>
      <c r="E392" t="s">
        <v>74</v>
      </c>
      <c r="F392" t="s">
        <v>23</v>
      </c>
      <c r="G392" t="s">
        <v>24</v>
      </c>
      <c r="H392">
        <v>8</v>
      </c>
      <c r="I392">
        <v>1688</v>
      </c>
      <c r="J392">
        <v>337.33</v>
      </c>
    </row>
    <row r="393" spans="1:10" x14ac:dyDescent="0.25">
      <c r="A393" s="1">
        <v>45103</v>
      </c>
      <c r="B393" t="s">
        <v>29</v>
      </c>
      <c r="C393" t="s">
        <v>17</v>
      </c>
      <c r="D393" t="s">
        <v>12</v>
      </c>
      <c r="E393" t="s">
        <v>194</v>
      </c>
      <c r="F393" t="s">
        <v>57</v>
      </c>
      <c r="G393" t="s">
        <v>24</v>
      </c>
      <c r="H393">
        <v>1</v>
      </c>
      <c r="I393">
        <v>260</v>
      </c>
      <c r="J393">
        <v>16.809999999999999</v>
      </c>
    </row>
    <row r="394" spans="1:10" x14ac:dyDescent="0.25">
      <c r="A394" s="1">
        <v>44580</v>
      </c>
      <c r="B394" t="s">
        <v>36</v>
      </c>
      <c r="C394" t="s">
        <v>17</v>
      </c>
      <c r="D394" t="s">
        <v>12</v>
      </c>
      <c r="E394" t="s">
        <v>116</v>
      </c>
      <c r="F394" t="s">
        <v>42</v>
      </c>
      <c r="G394" t="s">
        <v>28</v>
      </c>
      <c r="H394">
        <v>5</v>
      </c>
      <c r="I394">
        <v>4880</v>
      </c>
      <c r="J394">
        <v>1250.6600000000001</v>
      </c>
    </row>
    <row r="395" spans="1:10" x14ac:dyDescent="0.25">
      <c r="A395" s="1">
        <v>45392</v>
      </c>
      <c r="B395" t="s">
        <v>49</v>
      </c>
      <c r="C395" t="s">
        <v>17</v>
      </c>
      <c r="D395" t="s">
        <v>12</v>
      </c>
      <c r="E395" t="s">
        <v>22</v>
      </c>
      <c r="F395" t="s">
        <v>23</v>
      </c>
      <c r="G395" t="s">
        <v>24</v>
      </c>
      <c r="H395">
        <v>7</v>
      </c>
      <c r="I395">
        <v>1134</v>
      </c>
      <c r="J395">
        <v>179.74</v>
      </c>
    </row>
    <row r="396" spans="1:10" x14ac:dyDescent="0.25">
      <c r="A396" s="1">
        <v>44722</v>
      </c>
      <c r="B396" t="s">
        <v>55</v>
      </c>
      <c r="C396" t="s">
        <v>19</v>
      </c>
      <c r="D396" t="s">
        <v>12</v>
      </c>
      <c r="E396" t="s">
        <v>52</v>
      </c>
      <c r="F396" t="s">
        <v>42</v>
      </c>
      <c r="G396" t="s">
        <v>28</v>
      </c>
      <c r="H396">
        <v>9</v>
      </c>
      <c r="I396">
        <v>9621</v>
      </c>
      <c r="J396">
        <v>1201.29</v>
      </c>
    </row>
    <row r="397" spans="1:10" x14ac:dyDescent="0.25">
      <c r="A397" s="1">
        <v>44960</v>
      </c>
      <c r="B397" t="s">
        <v>36</v>
      </c>
      <c r="C397" t="s">
        <v>17</v>
      </c>
      <c r="D397" t="s">
        <v>12</v>
      </c>
      <c r="E397" t="s">
        <v>74</v>
      </c>
      <c r="F397" t="s">
        <v>23</v>
      </c>
      <c r="G397" t="s">
        <v>24</v>
      </c>
      <c r="H397">
        <v>4</v>
      </c>
      <c r="I397">
        <v>2836</v>
      </c>
      <c r="J397">
        <v>698.83</v>
      </c>
    </row>
    <row r="398" spans="1:10" x14ac:dyDescent="0.25">
      <c r="A398" s="1">
        <v>45061</v>
      </c>
      <c r="B398" t="s">
        <v>10</v>
      </c>
      <c r="C398" t="s">
        <v>11</v>
      </c>
      <c r="D398" t="s">
        <v>12</v>
      </c>
      <c r="E398" t="s">
        <v>195</v>
      </c>
      <c r="F398" t="s">
        <v>63</v>
      </c>
      <c r="G398" t="s">
        <v>28</v>
      </c>
      <c r="H398">
        <v>9</v>
      </c>
      <c r="I398">
        <v>5859</v>
      </c>
      <c r="J398">
        <v>1153.8900000000001</v>
      </c>
    </row>
    <row r="399" spans="1:10" x14ac:dyDescent="0.25">
      <c r="A399" s="1">
        <v>44815</v>
      </c>
      <c r="B399" t="s">
        <v>32</v>
      </c>
      <c r="C399" t="s">
        <v>19</v>
      </c>
      <c r="D399" t="s">
        <v>12</v>
      </c>
      <c r="E399" t="s">
        <v>146</v>
      </c>
      <c r="F399" t="s">
        <v>21</v>
      </c>
      <c r="G399" t="s">
        <v>15</v>
      </c>
      <c r="H399">
        <v>2</v>
      </c>
      <c r="I399">
        <v>2044</v>
      </c>
      <c r="J399">
        <v>460.03</v>
      </c>
    </row>
    <row r="400" spans="1:10" x14ac:dyDescent="0.25">
      <c r="A400" s="1">
        <v>45108</v>
      </c>
      <c r="B400" t="s">
        <v>36</v>
      </c>
      <c r="C400" t="s">
        <v>17</v>
      </c>
      <c r="D400" t="s">
        <v>12</v>
      </c>
      <c r="E400" t="s">
        <v>132</v>
      </c>
      <c r="F400" t="s">
        <v>189</v>
      </c>
      <c r="G400" t="s">
        <v>24</v>
      </c>
      <c r="H400">
        <v>1</v>
      </c>
      <c r="I400">
        <v>612</v>
      </c>
      <c r="J400">
        <v>174.52</v>
      </c>
    </row>
    <row r="401" spans="1:10" x14ac:dyDescent="0.25">
      <c r="A401" s="1">
        <v>44610</v>
      </c>
      <c r="B401" t="s">
        <v>32</v>
      </c>
      <c r="C401" t="s">
        <v>19</v>
      </c>
      <c r="D401" t="s">
        <v>12</v>
      </c>
      <c r="E401" t="s">
        <v>22</v>
      </c>
      <c r="F401" t="s">
        <v>23</v>
      </c>
      <c r="G401" t="s">
        <v>24</v>
      </c>
      <c r="H401">
        <v>3</v>
      </c>
      <c r="I401">
        <v>1890</v>
      </c>
      <c r="J401">
        <v>492.31</v>
      </c>
    </row>
    <row r="402" spans="1:10" x14ac:dyDescent="0.25">
      <c r="A402" s="1">
        <v>45199</v>
      </c>
      <c r="B402" t="s">
        <v>32</v>
      </c>
      <c r="C402" t="s">
        <v>19</v>
      </c>
      <c r="D402" t="s">
        <v>12</v>
      </c>
      <c r="E402" t="s">
        <v>118</v>
      </c>
      <c r="F402" t="s">
        <v>42</v>
      </c>
      <c r="G402" t="s">
        <v>28</v>
      </c>
      <c r="H402">
        <v>5</v>
      </c>
      <c r="I402">
        <v>2025</v>
      </c>
      <c r="J402">
        <v>168.82</v>
      </c>
    </row>
    <row r="403" spans="1:10" x14ac:dyDescent="0.25">
      <c r="A403" s="1">
        <v>45173</v>
      </c>
      <c r="B403" t="s">
        <v>10</v>
      </c>
      <c r="C403" t="s">
        <v>11</v>
      </c>
      <c r="D403" t="s">
        <v>12</v>
      </c>
      <c r="E403" t="s">
        <v>177</v>
      </c>
      <c r="F403" t="s">
        <v>42</v>
      </c>
      <c r="G403" t="s">
        <v>28</v>
      </c>
      <c r="H403">
        <v>2</v>
      </c>
      <c r="I403">
        <v>1960</v>
      </c>
      <c r="J403">
        <v>312.06</v>
      </c>
    </row>
    <row r="404" spans="1:10" x14ac:dyDescent="0.25">
      <c r="A404" s="1">
        <v>44749</v>
      </c>
      <c r="B404" t="s">
        <v>25</v>
      </c>
      <c r="C404" t="s">
        <v>19</v>
      </c>
      <c r="D404" t="s">
        <v>12</v>
      </c>
      <c r="E404" t="s">
        <v>182</v>
      </c>
      <c r="F404" t="s">
        <v>183</v>
      </c>
      <c r="G404" t="s">
        <v>15</v>
      </c>
      <c r="H404">
        <v>6</v>
      </c>
      <c r="I404">
        <v>4410</v>
      </c>
      <c r="J404">
        <v>893.27</v>
      </c>
    </row>
    <row r="405" spans="1:10" x14ac:dyDescent="0.25">
      <c r="A405" s="1">
        <v>45487</v>
      </c>
      <c r="B405" t="s">
        <v>49</v>
      </c>
      <c r="C405" t="s">
        <v>17</v>
      </c>
      <c r="D405" t="s">
        <v>12</v>
      </c>
      <c r="E405" t="s">
        <v>182</v>
      </c>
      <c r="F405" t="s">
        <v>183</v>
      </c>
      <c r="G405" t="s">
        <v>15</v>
      </c>
      <c r="H405">
        <v>8</v>
      </c>
      <c r="I405">
        <v>8272</v>
      </c>
      <c r="J405">
        <v>2391.88</v>
      </c>
    </row>
    <row r="406" spans="1:10" x14ac:dyDescent="0.25">
      <c r="A406" s="1">
        <v>44831</v>
      </c>
      <c r="B406" t="s">
        <v>32</v>
      </c>
      <c r="C406" t="s">
        <v>19</v>
      </c>
      <c r="D406" t="s">
        <v>12</v>
      </c>
      <c r="E406" t="s">
        <v>74</v>
      </c>
      <c r="F406" t="s">
        <v>23</v>
      </c>
      <c r="G406" t="s">
        <v>24</v>
      </c>
      <c r="H406">
        <v>6</v>
      </c>
      <c r="I406">
        <v>5712</v>
      </c>
      <c r="J406">
        <v>638.29</v>
      </c>
    </row>
    <row r="407" spans="1:10" x14ac:dyDescent="0.25">
      <c r="A407" s="1">
        <v>45402</v>
      </c>
      <c r="B407" t="s">
        <v>32</v>
      </c>
      <c r="C407" t="s">
        <v>19</v>
      </c>
      <c r="D407" t="s">
        <v>12</v>
      </c>
      <c r="E407" t="s">
        <v>196</v>
      </c>
      <c r="F407" t="s">
        <v>54</v>
      </c>
      <c r="G407" t="s">
        <v>24</v>
      </c>
      <c r="H407">
        <v>6</v>
      </c>
      <c r="I407">
        <v>1524</v>
      </c>
      <c r="J407">
        <v>178.36</v>
      </c>
    </row>
    <row r="408" spans="1:10" x14ac:dyDescent="0.25">
      <c r="A408" s="1">
        <v>45436</v>
      </c>
      <c r="B408" t="s">
        <v>49</v>
      </c>
      <c r="C408" t="s">
        <v>17</v>
      </c>
      <c r="D408" t="s">
        <v>12</v>
      </c>
      <c r="E408" t="s">
        <v>52</v>
      </c>
      <c r="F408" t="s">
        <v>42</v>
      </c>
      <c r="G408" t="s">
        <v>28</v>
      </c>
      <c r="H408">
        <v>8</v>
      </c>
      <c r="I408">
        <v>5160</v>
      </c>
      <c r="J408">
        <v>1057.4100000000001</v>
      </c>
    </row>
    <row r="409" spans="1:10" x14ac:dyDescent="0.25">
      <c r="A409" s="1">
        <v>45655</v>
      </c>
      <c r="B409" t="s">
        <v>16</v>
      </c>
      <c r="C409" t="s">
        <v>17</v>
      </c>
      <c r="D409" t="s">
        <v>12</v>
      </c>
      <c r="E409" t="s">
        <v>52</v>
      </c>
      <c r="F409" t="s">
        <v>42</v>
      </c>
      <c r="G409" t="s">
        <v>28</v>
      </c>
      <c r="H409">
        <v>4</v>
      </c>
      <c r="I409">
        <v>2956</v>
      </c>
      <c r="J409">
        <v>451.6</v>
      </c>
    </row>
    <row r="410" spans="1:10" x14ac:dyDescent="0.25">
      <c r="A410" s="1">
        <v>45053</v>
      </c>
      <c r="B410" t="s">
        <v>40</v>
      </c>
      <c r="C410" t="s">
        <v>19</v>
      </c>
      <c r="D410" t="s">
        <v>12</v>
      </c>
      <c r="E410" t="s">
        <v>52</v>
      </c>
      <c r="F410" t="s">
        <v>42</v>
      </c>
      <c r="G410" t="s">
        <v>28</v>
      </c>
      <c r="H410">
        <v>8</v>
      </c>
      <c r="I410">
        <v>7944</v>
      </c>
      <c r="J410">
        <v>2257.73</v>
      </c>
    </row>
    <row r="411" spans="1:10" x14ac:dyDescent="0.25">
      <c r="A411" s="1">
        <v>45545</v>
      </c>
      <c r="B411" t="s">
        <v>25</v>
      </c>
      <c r="C411" t="s">
        <v>19</v>
      </c>
      <c r="D411" t="s">
        <v>12</v>
      </c>
      <c r="E411" t="s">
        <v>197</v>
      </c>
      <c r="F411" t="s">
        <v>168</v>
      </c>
      <c r="G411" t="s">
        <v>15</v>
      </c>
      <c r="H411">
        <v>5</v>
      </c>
      <c r="I411">
        <v>1815</v>
      </c>
      <c r="J411">
        <v>535.22</v>
      </c>
    </row>
    <row r="412" spans="1:10" x14ac:dyDescent="0.25">
      <c r="A412" s="1">
        <v>45006</v>
      </c>
      <c r="B412" t="s">
        <v>29</v>
      </c>
      <c r="C412" t="s">
        <v>17</v>
      </c>
      <c r="D412" t="s">
        <v>12</v>
      </c>
      <c r="E412" t="s">
        <v>171</v>
      </c>
      <c r="F412" t="s">
        <v>94</v>
      </c>
      <c r="G412" t="s">
        <v>24</v>
      </c>
      <c r="H412">
        <v>3</v>
      </c>
      <c r="I412">
        <v>2706</v>
      </c>
      <c r="J412">
        <v>546.97</v>
      </c>
    </row>
    <row r="413" spans="1:10" x14ac:dyDescent="0.25">
      <c r="A413" s="1">
        <v>45051</v>
      </c>
      <c r="B413" t="s">
        <v>55</v>
      </c>
      <c r="C413" t="s">
        <v>19</v>
      </c>
      <c r="D413" t="s">
        <v>12</v>
      </c>
      <c r="E413" t="s">
        <v>198</v>
      </c>
      <c r="F413" t="s">
        <v>23</v>
      </c>
      <c r="G413" t="s">
        <v>24</v>
      </c>
      <c r="H413">
        <v>2</v>
      </c>
      <c r="I413">
        <v>1356</v>
      </c>
      <c r="J413">
        <v>144.18</v>
      </c>
    </row>
    <row r="414" spans="1:10" x14ac:dyDescent="0.25">
      <c r="A414" s="1">
        <v>45134</v>
      </c>
      <c r="B414" t="s">
        <v>10</v>
      </c>
      <c r="C414" t="s">
        <v>11</v>
      </c>
      <c r="D414" t="s">
        <v>12</v>
      </c>
      <c r="E414" t="s">
        <v>132</v>
      </c>
      <c r="F414" t="s">
        <v>100</v>
      </c>
      <c r="G414" t="s">
        <v>35</v>
      </c>
      <c r="H414">
        <v>6</v>
      </c>
      <c r="I414">
        <v>6384</v>
      </c>
      <c r="J414">
        <v>1189.19</v>
      </c>
    </row>
    <row r="415" spans="1:10" x14ac:dyDescent="0.25">
      <c r="A415" s="1">
        <v>45090</v>
      </c>
      <c r="B415" t="s">
        <v>32</v>
      </c>
      <c r="C415" t="s">
        <v>19</v>
      </c>
      <c r="D415" t="s">
        <v>12</v>
      </c>
      <c r="E415" t="s">
        <v>37</v>
      </c>
      <c r="F415" t="s">
        <v>34</v>
      </c>
      <c r="G415" t="s">
        <v>35</v>
      </c>
      <c r="H415">
        <v>9</v>
      </c>
      <c r="I415">
        <v>4248</v>
      </c>
      <c r="J415">
        <v>964.12</v>
      </c>
    </row>
    <row r="416" spans="1:10" x14ac:dyDescent="0.25">
      <c r="A416" s="1">
        <v>45414</v>
      </c>
      <c r="B416" t="s">
        <v>36</v>
      </c>
      <c r="C416" t="s">
        <v>17</v>
      </c>
      <c r="D416" t="s">
        <v>12</v>
      </c>
      <c r="E416" t="s">
        <v>130</v>
      </c>
      <c r="F416" t="s">
        <v>14</v>
      </c>
      <c r="G416" t="s">
        <v>15</v>
      </c>
      <c r="H416">
        <v>6</v>
      </c>
      <c r="I416">
        <v>3954</v>
      </c>
      <c r="J416">
        <v>676.82</v>
      </c>
    </row>
    <row r="417" spans="1:10" x14ac:dyDescent="0.25">
      <c r="A417" s="1">
        <v>45403</v>
      </c>
      <c r="B417" t="s">
        <v>40</v>
      </c>
      <c r="C417" t="s">
        <v>19</v>
      </c>
      <c r="D417" t="s">
        <v>12</v>
      </c>
      <c r="E417" t="s">
        <v>43</v>
      </c>
      <c r="F417" t="s">
        <v>44</v>
      </c>
      <c r="G417" t="s">
        <v>35</v>
      </c>
      <c r="H417">
        <v>6</v>
      </c>
      <c r="I417">
        <v>7110</v>
      </c>
      <c r="J417">
        <v>739.6</v>
      </c>
    </row>
    <row r="418" spans="1:10" x14ac:dyDescent="0.25">
      <c r="A418" s="1">
        <v>45132</v>
      </c>
      <c r="B418" t="s">
        <v>29</v>
      </c>
      <c r="C418" t="s">
        <v>17</v>
      </c>
      <c r="D418" t="s">
        <v>12</v>
      </c>
      <c r="E418" t="s">
        <v>140</v>
      </c>
      <c r="F418" t="s">
        <v>168</v>
      </c>
      <c r="G418" t="s">
        <v>15</v>
      </c>
      <c r="H418">
        <v>7</v>
      </c>
      <c r="I418">
        <v>8113</v>
      </c>
      <c r="J418">
        <v>995.03</v>
      </c>
    </row>
    <row r="419" spans="1:10" x14ac:dyDescent="0.25">
      <c r="A419" s="1">
        <v>44952</v>
      </c>
      <c r="B419" t="s">
        <v>29</v>
      </c>
      <c r="C419" t="s">
        <v>17</v>
      </c>
      <c r="D419" t="s">
        <v>12</v>
      </c>
      <c r="E419" t="s">
        <v>199</v>
      </c>
      <c r="F419" t="s">
        <v>200</v>
      </c>
      <c r="G419" t="s">
        <v>28</v>
      </c>
      <c r="H419">
        <v>3</v>
      </c>
      <c r="I419">
        <v>1830</v>
      </c>
      <c r="J419">
        <v>183.62</v>
      </c>
    </row>
    <row r="420" spans="1:10" x14ac:dyDescent="0.25">
      <c r="A420" s="1">
        <v>44937</v>
      </c>
      <c r="B420" t="s">
        <v>49</v>
      </c>
      <c r="C420" t="s">
        <v>17</v>
      </c>
      <c r="D420" t="s">
        <v>12</v>
      </c>
      <c r="E420" t="s">
        <v>56</v>
      </c>
      <c r="F420" t="s">
        <v>57</v>
      </c>
      <c r="G420" t="s">
        <v>24</v>
      </c>
      <c r="H420">
        <v>4</v>
      </c>
      <c r="I420">
        <v>3732</v>
      </c>
      <c r="J420">
        <v>671.19</v>
      </c>
    </row>
    <row r="421" spans="1:10" x14ac:dyDescent="0.25">
      <c r="A421" s="1">
        <v>45562</v>
      </c>
      <c r="B421" t="s">
        <v>16</v>
      </c>
      <c r="C421" t="s">
        <v>17</v>
      </c>
      <c r="D421" t="s">
        <v>12</v>
      </c>
      <c r="E421" t="s">
        <v>134</v>
      </c>
      <c r="F421" t="s">
        <v>51</v>
      </c>
      <c r="G421" t="s">
        <v>35</v>
      </c>
      <c r="H421">
        <v>6</v>
      </c>
      <c r="I421">
        <v>4062</v>
      </c>
      <c r="J421">
        <v>1087.17</v>
      </c>
    </row>
    <row r="422" spans="1:10" x14ac:dyDescent="0.25">
      <c r="A422" s="1">
        <v>45629</v>
      </c>
      <c r="B422" t="s">
        <v>32</v>
      </c>
      <c r="C422" t="s">
        <v>19</v>
      </c>
      <c r="D422" t="s">
        <v>12</v>
      </c>
      <c r="E422" t="s">
        <v>179</v>
      </c>
      <c r="F422" t="s">
        <v>94</v>
      </c>
      <c r="G422" t="s">
        <v>24</v>
      </c>
      <c r="H422">
        <v>1</v>
      </c>
      <c r="I422">
        <v>496</v>
      </c>
      <c r="J422">
        <v>93.31</v>
      </c>
    </row>
    <row r="423" spans="1:10" x14ac:dyDescent="0.25">
      <c r="A423" s="1">
        <v>45162</v>
      </c>
      <c r="B423" t="s">
        <v>32</v>
      </c>
      <c r="C423" t="s">
        <v>19</v>
      </c>
      <c r="D423" t="s">
        <v>12</v>
      </c>
      <c r="E423" t="s">
        <v>26</v>
      </c>
      <c r="F423" t="s">
        <v>27</v>
      </c>
      <c r="G423" t="s">
        <v>28</v>
      </c>
      <c r="H423">
        <v>4</v>
      </c>
      <c r="I423">
        <v>1104</v>
      </c>
      <c r="J423">
        <v>84.31</v>
      </c>
    </row>
    <row r="424" spans="1:10" x14ac:dyDescent="0.25">
      <c r="A424" s="1">
        <v>45065</v>
      </c>
      <c r="B424" t="s">
        <v>40</v>
      </c>
      <c r="C424" t="s">
        <v>19</v>
      </c>
      <c r="D424" t="s">
        <v>12</v>
      </c>
      <c r="E424" t="s">
        <v>26</v>
      </c>
      <c r="F424" t="s">
        <v>27</v>
      </c>
      <c r="G424" t="s">
        <v>28</v>
      </c>
      <c r="H424">
        <v>3</v>
      </c>
      <c r="I424">
        <v>2274</v>
      </c>
      <c r="J424">
        <v>662</v>
      </c>
    </row>
    <row r="425" spans="1:10" x14ac:dyDescent="0.25">
      <c r="A425" s="1">
        <v>44725</v>
      </c>
      <c r="B425" t="s">
        <v>32</v>
      </c>
      <c r="C425" t="s">
        <v>19</v>
      </c>
      <c r="D425" t="s">
        <v>12</v>
      </c>
      <c r="E425" t="s">
        <v>26</v>
      </c>
      <c r="F425" t="s">
        <v>27</v>
      </c>
      <c r="G425" t="s">
        <v>28</v>
      </c>
      <c r="H425">
        <v>8</v>
      </c>
      <c r="I425">
        <v>4456</v>
      </c>
      <c r="J425">
        <v>1106.04</v>
      </c>
    </row>
    <row r="426" spans="1:10" x14ac:dyDescent="0.25">
      <c r="A426" s="1">
        <v>44799</v>
      </c>
      <c r="B426" t="s">
        <v>16</v>
      </c>
      <c r="C426" t="s">
        <v>17</v>
      </c>
      <c r="D426" t="s">
        <v>12</v>
      </c>
      <c r="E426" t="s">
        <v>104</v>
      </c>
      <c r="F426" t="s">
        <v>39</v>
      </c>
      <c r="G426" t="s">
        <v>35</v>
      </c>
      <c r="H426">
        <v>8</v>
      </c>
      <c r="I426">
        <v>4928</v>
      </c>
      <c r="J426">
        <v>1038.18</v>
      </c>
    </row>
    <row r="427" spans="1:10" x14ac:dyDescent="0.25">
      <c r="A427" s="1">
        <v>44948</v>
      </c>
      <c r="B427" t="s">
        <v>40</v>
      </c>
      <c r="C427" t="s">
        <v>19</v>
      </c>
      <c r="D427" t="s">
        <v>12</v>
      </c>
      <c r="E427" t="s">
        <v>70</v>
      </c>
      <c r="F427" t="s">
        <v>71</v>
      </c>
      <c r="G427" t="s">
        <v>35</v>
      </c>
      <c r="H427">
        <v>4</v>
      </c>
      <c r="I427">
        <v>1740</v>
      </c>
      <c r="J427">
        <v>224.79</v>
      </c>
    </row>
    <row r="428" spans="1:10" x14ac:dyDescent="0.25">
      <c r="A428" s="1">
        <v>44781</v>
      </c>
      <c r="B428" t="s">
        <v>29</v>
      </c>
      <c r="C428" t="s">
        <v>17</v>
      </c>
      <c r="D428" t="s">
        <v>12</v>
      </c>
      <c r="E428" t="s">
        <v>70</v>
      </c>
      <c r="F428" t="s">
        <v>71</v>
      </c>
      <c r="G428" t="s">
        <v>35</v>
      </c>
      <c r="H428">
        <v>2</v>
      </c>
      <c r="I428">
        <v>178</v>
      </c>
      <c r="J428">
        <v>31.46</v>
      </c>
    </row>
    <row r="429" spans="1:10" x14ac:dyDescent="0.25">
      <c r="A429" s="1">
        <v>45249</v>
      </c>
      <c r="B429" t="s">
        <v>10</v>
      </c>
      <c r="C429" t="s">
        <v>11</v>
      </c>
      <c r="D429" t="s">
        <v>12</v>
      </c>
      <c r="E429" t="s">
        <v>22</v>
      </c>
      <c r="F429" t="s">
        <v>23</v>
      </c>
      <c r="G429" t="s">
        <v>24</v>
      </c>
      <c r="H429">
        <v>8</v>
      </c>
      <c r="I429">
        <v>5296</v>
      </c>
      <c r="J429">
        <v>1234.81</v>
      </c>
    </row>
    <row r="430" spans="1:10" x14ac:dyDescent="0.25">
      <c r="A430" s="1">
        <v>45105</v>
      </c>
      <c r="B430" t="s">
        <v>16</v>
      </c>
      <c r="C430" t="s">
        <v>17</v>
      </c>
      <c r="D430" t="s">
        <v>12</v>
      </c>
      <c r="E430" t="s">
        <v>201</v>
      </c>
      <c r="F430" t="s">
        <v>23</v>
      </c>
      <c r="G430" t="s">
        <v>24</v>
      </c>
      <c r="H430">
        <v>4</v>
      </c>
      <c r="I430">
        <v>4156</v>
      </c>
      <c r="J430">
        <v>847.09</v>
      </c>
    </row>
    <row r="431" spans="1:10" x14ac:dyDescent="0.25">
      <c r="A431" s="1">
        <v>45574</v>
      </c>
      <c r="B431" t="s">
        <v>10</v>
      </c>
      <c r="C431" t="s">
        <v>11</v>
      </c>
      <c r="D431" t="s">
        <v>12</v>
      </c>
      <c r="E431" t="s">
        <v>202</v>
      </c>
      <c r="F431" t="s">
        <v>23</v>
      </c>
      <c r="G431" t="s">
        <v>24</v>
      </c>
      <c r="H431">
        <v>1</v>
      </c>
      <c r="I431">
        <v>624</v>
      </c>
      <c r="J431">
        <v>106.92</v>
      </c>
    </row>
    <row r="432" spans="1:10" x14ac:dyDescent="0.25">
      <c r="A432" s="1">
        <v>44808</v>
      </c>
      <c r="B432" t="s">
        <v>40</v>
      </c>
      <c r="C432" t="s">
        <v>19</v>
      </c>
      <c r="D432" t="s">
        <v>12</v>
      </c>
      <c r="E432" t="s">
        <v>74</v>
      </c>
      <c r="F432" t="s">
        <v>23</v>
      </c>
      <c r="G432" t="s">
        <v>24</v>
      </c>
      <c r="H432">
        <v>4</v>
      </c>
      <c r="I432">
        <v>3892</v>
      </c>
      <c r="J432">
        <v>1052.72</v>
      </c>
    </row>
    <row r="433" spans="1:10" x14ac:dyDescent="0.25">
      <c r="A433" s="1">
        <v>45491</v>
      </c>
      <c r="B433" t="s">
        <v>16</v>
      </c>
      <c r="C433" t="s">
        <v>17</v>
      </c>
      <c r="D433" t="s">
        <v>12</v>
      </c>
      <c r="E433" t="s">
        <v>93</v>
      </c>
      <c r="F433" t="s">
        <v>94</v>
      </c>
      <c r="G433" t="s">
        <v>24</v>
      </c>
      <c r="H433">
        <v>9</v>
      </c>
      <c r="I433">
        <v>1620</v>
      </c>
      <c r="J433">
        <v>294.60000000000002</v>
      </c>
    </row>
    <row r="434" spans="1:10" x14ac:dyDescent="0.25">
      <c r="A434" s="1">
        <v>44826</v>
      </c>
      <c r="B434" t="s">
        <v>16</v>
      </c>
      <c r="C434" t="s">
        <v>17</v>
      </c>
      <c r="D434" t="s">
        <v>12</v>
      </c>
      <c r="E434" t="s">
        <v>58</v>
      </c>
      <c r="F434" t="s">
        <v>59</v>
      </c>
      <c r="G434" t="s">
        <v>28</v>
      </c>
      <c r="H434">
        <v>3</v>
      </c>
      <c r="I434">
        <v>2250</v>
      </c>
      <c r="J434">
        <v>301.97000000000003</v>
      </c>
    </row>
    <row r="435" spans="1:10" x14ac:dyDescent="0.25">
      <c r="A435" s="1">
        <v>45504</v>
      </c>
      <c r="B435" t="s">
        <v>36</v>
      </c>
      <c r="C435" t="s">
        <v>17</v>
      </c>
      <c r="D435" t="s">
        <v>12</v>
      </c>
      <c r="E435" t="s">
        <v>203</v>
      </c>
      <c r="F435" t="s">
        <v>51</v>
      </c>
      <c r="G435" t="s">
        <v>35</v>
      </c>
      <c r="H435">
        <v>2</v>
      </c>
      <c r="I435">
        <v>1390</v>
      </c>
      <c r="J435">
        <v>316.31</v>
      </c>
    </row>
    <row r="436" spans="1:10" x14ac:dyDescent="0.25">
      <c r="A436" s="1">
        <v>45037</v>
      </c>
      <c r="B436" t="s">
        <v>25</v>
      </c>
      <c r="C436" t="s">
        <v>19</v>
      </c>
      <c r="D436" t="s">
        <v>12</v>
      </c>
      <c r="E436" t="s">
        <v>164</v>
      </c>
      <c r="F436" t="s">
        <v>94</v>
      </c>
      <c r="G436" t="s">
        <v>24</v>
      </c>
      <c r="H436">
        <v>5</v>
      </c>
      <c r="I436">
        <v>5155</v>
      </c>
      <c r="J436">
        <v>1325.16</v>
      </c>
    </row>
    <row r="437" spans="1:10" x14ac:dyDescent="0.25">
      <c r="A437" s="1">
        <v>44751</v>
      </c>
      <c r="B437" t="s">
        <v>32</v>
      </c>
      <c r="C437" t="s">
        <v>19</v>
      </c>
      <c r="D437" t="s">
        <v>12</v>
      </c>
      <c r="E437" t="s">
        <v>204</v>
      </c>
      <c r="F437" t="s">
        <v>23</v>
      </c>
      <c r="G437" t="s">
        <v>24</v>
      </c>
      <c r="H437">
        <v>5</v>
      </c>
      <c r="I437">
        <v>1025</v>
      </c>
      <c r="J437">
        <v>262.91000000000003</v>
      </c>
    </row>
    <row r="438" spans="1:10" x14ac:dyDescent="0.25">
      <c r="A438" s="1">
        <v>45504</v>
      </c>
      <c r="B438" t="s">
        <v>16</v>
      </c>
      <c r="C438" t="s">
        <v>17</v>
      </c>
      <c r="D438" t="s">
        <v>12</v>
      </c>
      <c r="E438" t="s">
        <v>204</v>
      </c>
      <c r="F438" t="s">
        <v>23</v>
      </c>
      <c r="G438" t="s">
        <v>24</v>
      </c>
      <c r="H438">
        <v>3</v>
      </c>
      <c r="I438">
        <v>1785</v>
      </c>
      <c r="J438">
        <v>244.52</v>
      </c>
    </row>
    <row r="439" spans="1:10" x14ac:dyDescent="0.25">
      <c r="A439" s="1">
        <v>44834</v>
      </c>
      <c r="B439" t="s">
        <v>32</v>
      </c>
      <c r="C439" t="s">
        <v>19</v>
      </c>
      <c r="D439" t="s">
        <v>12</v>
      </c>
      <c r="E439" t="s">
        <v>134</v>
      </c>
      <c r="F439" t="s">
        <v>42</v>
      </c>
      <c r="G439" t="s">
        <v>28</v>
      </c>
      <c r="H439">
        <v>9</v>
      </c>
      <c r="I439">
        <v>2952</v>
      </c>
      <c r="J439">
        <v>605.85</v>
      </c>
    </row>
    <row r="440" spans="1:10" x14ac:dyDescent="0.25">
      <c r="A440" s="1">
        <v>45651</v>
      </c>
      <c r="B440" t="s">
        <v>29</v>
      </c>
      <c r="C440" t="s">
        <v>17</v>
      </c>
      <c r="D440" t="s">
        <v>12</v>
      </c>
      <c r="E440" t="s">
        <v>205</v>
      </c>
      <c r="F440" t="s">
        <v>23</v>
      </c>
      <c r="G440" t="s">
        <v>24</v>
      </c>
      <c r="H440">
        <v>1</v>
      </c>
      <c r="I440">
        <v>773</v>
      </c>
      <c r="J440">
        <v>181.52</v>
      </c>
    </row>
    <row r="441" spans="1:10" x14ac:dyDescent="0.25">
      <c r="A441" s="1">
        <v>45015</v>
      </c>
      <c r="B441" t="s">
        <v>18</v>
      </c>
      <c r="C441" t="s">
        <v>19</v>
      </c>
      <c r="D441" t="s">
        <v>12</v>
      </c>
      <c r="E441" t="s">
        <v>206</v>
      </c>
      <c r="F441" t="s">
        <v>71</v>
      </c>
      <c r="G441" t="s">
        <v>35</v>
      </c>
      <c r="H441">
        <v>8</v>
      </c>
      <c r="I441">
        <v>1640</v>
      </c>
      <c r="J441">
        <v>361.48</v>
      </c>
    </row>
    <row r="442" spans="1:10" x14ac:dyDescent="0.25">
      <c r="A442" s="1">
        <v>45201</v>
      </c>
      <c r="B442" t="s">
        <v>49</v>
      </c>
      <c r="C442" t="s">
        <v>17</v>
      </c>
      <c r="D442" t="s">
        <v>12</v>
      </c>
      <c r="E442" t="s">
        <v>26</v>
      </c>
      <c r="F442" t="s">
        <v>27</v>
      </c>
      <c r="G442" t="s">
        <v>28</v>
      </c>
      <c r="H442">
        <v>1</v>
      </c>
      <c r="I442">
        <v>1017</v>
      </c>
      <c r="J442">
        <v>69.33</v>
      </c>
    </row>
    <row r="443" spans="1:10" x14ac:dyDescent="0.25">
      <c r="A443" s="1">
        <v>44704</v>
      </c>
      <c r="B443" t="s">
        <v>29</v>
      </c>
      <c r="C443" t="s">
        <v>17</v>
      </c>
      <c r="D443" t="s">
        <v>12</v>
      </c>
      <c r="E443" t="s">
        <v>117</v>
      </c>
      <c r="F443" t="s">
        <v>133</v>
      </c>
      <c r="G443" t="s">
        <v>28</v>
      </c>
      <c r="H443">
        <v>4</v>
      </c>
      <c r="I443">
        <v>1964</v>
      </c>
      <c r="J443">
        <v>349.91</v>
      </c>
    </row>
    <row r="444" spans="1:10" x14ac:dyDescent="0.25">
      <c r="A444" s="1">
        <v>45021</v>
      </c>
      <c r="B444" t="s">
        <v>16</v>
      </c>
      <c r="C444" t="s">
        <v>17</v>
      </c>
      <c r="D444" t="s">
        <v>12</v>
      </c>
      <c r="E444" t="s">
        <v>207</v>
      </c>
      <c r="F444" t="s">
        <v>34</v>
      </c>
      <c r="G444" t="s">
        <v>35</v>
      </c>
      <c r="H444">
        <v>3</v>
      </c>
      <c r="I444">
        <v>2994</v>
      </c>
      <c r="J444">
        <v>638.59</v>
      </c>
    </row>
    <row r="445" spans="1:10" x14ac:dyDescent="0.25">
      <c r="A445" s="1">
        <v>45207</v>
      </c>
      <c r="B445" t="s">
        <v>10</v>
      </c>
      <c r="C445" t="s">
        <v>11</v>
      </c>
      <c r="D445" t="s">
        <v>12</v>
      </c>
      <c r="E445" t="s">
        <v>116</v>
      </c>
      <c r="F445" t="s">
        <v>42</v>
      </c>
      <c r="G445" t="s">
        <v>28</v>
      </c>
      <c r="H445">
        <v>9</v>
      </c>
      <c r="I445">
        <v>8046</v>
      </c>
      <c r="J445">
        <v>2210.33</v>
      </c>
    </row>
    <row r="446" spans="1:10" x14ac:dyDescent="0.25">
      <c r="A446" s="1">
        <v>44703</v>
      </c>
      <c r="B446" t="s">
        <v>10</v>
      </c>
      <c r="C446" t="s">
        <v>11</v>
      </c>
      <c r="D446" t="s">
        <v>12</v>
      </c>
      <c r="E446" t="s">
        <v>208</v>
      </c>
      <c r="F446" t="s">
        <v>27</v>
      </c>
      <c r="G446" t="s">
        <v>28</v>
      </c>
      <c r="H446">
        <v>2</v>
      </c>
      <c r="I446">
        <v>1874</v>
      </c>
      <c r="J446">
        <v>271.5</v>
      </c>
    </row>
    <row r="447" spans="1:10" x14ac:dyDescent="0.25">
      <c r="A447" s="1">
        <v>45157</v>
      </c>
      <c r="B447" t="s">
        <v>16</v>
      </c>
      <c r="C447" t="s">
        <v>17</v>
      </c>
      <c r="D447" t="s">
        <v>12</v>
      </c>
      <c r="E447" t="s">
        <v>91</v>
      </c>
      <c r="F447" t="s">
        <v>23</v>
      </c>
      <c r="G447" t="s">
        <v>24</v>
      </c>
      <c r="H447">
        <v>8</v>
      </c>
      <c r="I447">
        <v>6008</v>
      </c>
      <c r="J447">
        <v>871.76</v>
      </c>
    </row>
    <row r="448" spans="1:10" x14ac:dyDescent="0.25">
      <c r="A448" s="1">
        <v>45175</v>
      </c>
      <c r="B448" t="s">
        <v>25</v>
      </c>
      <c r="C448" t="s">
        <v>19</v>
      </c>
      <c r="D448" t="s">
        <v>12</v>
      </c>
      <c r="E448" t="s">
        <v>209</v>
      </c>
      <c r="F448" t="s">
        <v>34</v>
      </c>
      <c r="G448" t="s">
        <v>35</v>
      </c>
      <c r="H448">
        <v>8</v>
      </c>
      <c r="I448">
        <v>7240</v>
      </c>
      <c r="J448">
        <v>411.19</v>
      </c>
    </row>
    <row r="449" spans="1:10" x14ac:dyDescent="0.25">
      <c r="A449" s="1">
        <v>45460</v>
      </c>
      <c r="B449" t="s">
        <v>36</v>
      </c>
      <c r="C449" t="s">
        <v>17</v>
      </c>
      <c r="D449" t="s">
        <v>12</v>
      </c>
      <c r="E449" t="s">
        <v>210</v>
      </c>
      <c r="F449" t="s">
        <v>34</v>
      </c>
      <c r="G449" t="s">
        <v>35</v>
      </c>
      <c r="H449">
        <v>9</v>
      </c>
      <c r="I449">
        <v>1188</v>
      </c>
      <c r="J449">
        <v>348.31</v>
      </c>
    </row>
    <row r="450" spans="1:10" x14ac:dyDescent="0.25">
      <c r="A450" s="1">
        <v>45648</v>
      </c>
      <c r="B450" t="s">
        <v>29</v>
      </c>
      <c r="C450" t="s">
        <v>17</v>
      </c>
      <c r="D450" t="s">
        <v>12</v>
      </c>
      <c r="E450" t="s">
        <v>211</v>
      </c>
      <c r="F450" t="s">
        <v>63</v>
      </c>
      <c r="G450" t="s">
        <v>28</v>
      </c>
      <c r="H450">
        <v>9</v>
      </c>
      <c r="I450">
        <v>2997</v>
      </c>
      <c r="J450">
        <v>163.34</v>
      </c>
    </row>
    <row r="451" spans="1:10" x14ac:dyDescent="0.25">
      <c r="A451" s="1">
        <v>44959</v>
      </c>
      <c r="B451" t="s">
        <v>10</v>
      </c>
      <c r="C451" t="s">
        <v>11</v>
      </c>
      <c r="D451" t="s">
        <v>12</v>
      </c>
      <c r="E451" t="s">
        <v>212</v>
      </c>
      <c r="F451" t="s">
        <v>34</v>
      </c>
      <c r="G451" t="s">
        <v>35</v>
      </c>
      <c r="H451">
        <v>9</v>
      </c>
      <c r="I451">
        <v>7524</v>
      </c>
      <c r="J451">
        <v>2017.85</v>
      </c>
    </row>
    <row r="452" spans="1:10" x14ac:dyDescent="0.25">
      <c r="A452" s="1">
        <v>44847</v>
      </c>
      <c r="B452" t="s">
        <v>36</v>
      </c>
      <c r="C452" t="s">
        <v>17</v>
      </c>
      <c r="D452" t="s">
        <v>12</v>
      </c>
      <c r="E452" t="s">
        <v>213</v>
      </c>
      <c r="F452" t="s">
        <v>34</v>
      </c>
      <c r="G452" t="s">
        <v>35</v>
      </c>
      <c r="H452">
        <v>5</v>
      </c>
      <c r="I452">
        <v>3625</v>
      </c>
      <c r="J452">
        <v>268.73</v>
      </c>
    </row>
    <row r="453" spans="1:10" x14ac:dyDescent="0.25">
      <c r="A453" s="1">
        <v>45382</v>
      </c>
      <c r="B453" t="s">
        <v>55</v>
      </c>
      <c r="C453" t="s">
        <v>19</v>
      </c>
      <c r="D453" t="s">
        <v>12</v>
      </c>
      <c r="E453" t="s">
        <v>52</v>
      </c>
      <c r="F453" t="s">
        <v>42</v>
      </c>
      <c r="G453" t="s">
        <v>28</v>
      </c>
      <c r="H453">
        <v>8</v>
      </c>
      <c r="I453">
        <v>6952</v>
      </c>
      <c r="J453">
        <v>871.2</v>
      </c>
    </row>
    <row r="454" spans="1:10" x14ac:dyDescent="0.25">
      <c r="A454" s="1">
        <v>45075</v>
      </c>
      <c r="B454" t="s">
        <v>25</v>
      </c>
      <c r="C454" t="s">
        <v>19</v>
      </c>
      <c r="D454" t="s">
        <v>12</v>
      </c>
      <c r="E454" t="s">
        <v>52</v>
      </c>
      <c r="F454" t="s">
        <v>42</v>
      </c>
      <c r="G454" t="s">
        <v>28</v>
      </c>
      <c r="H454">
        <v>9</v>
      </c>
      <c r="I454">
        <v>1053</v>
      </c>
      <c r="J454">
        <v>283.58</v>
      </c>
    </row>
    <row r="455" spans="1:10" x14ac:dyDescent="0.25">
      <c r="A455" s="1">
        <v>45647</v>
      </c>
      <c r="B455" t="s">
        <v>36</v>
      </c>
      <c r="C455" t="s">
        <v>17</v>
      </c>
      <c r="D455" t="s">
        <v>12</v>
      </c>
      <c r="E455" t="s">
        <v>75</v>
      </c>
      <c r="F455" t="s">
        <v>39</v>
      </c>
      <c r="G455" t="s">
        <v>35</v>
      </c>
      <c r="H455">
        <v>9</v>
      </c>
      <c r="I455">
        <v>6696</v>
      </c>
      <c r="J455">
        <v>1224.22</v>
      </c>
    </row>
    <row r="456" spans="1:10" x14ac:dyDescent="0.25">
      <c r="A456" s="1">
        <v>45574</v>
      </c>
      <c r="B456" t="s">
        <v>29</v>
      </c>
      <c r="C456" t="s">
        <v>17</v>
      </c>
      <c r="D456" t="s">
        <v>12</v>
      </c>
      <c r="E456" t="s">
        <v>214</v>
      </c>
      <c r="F456" t="s">
        <v>152</v>
      </c>
      <c r="G456" t="s">
        <v>15</v>
      </c>
      <c r="H456">
        <v>2</v>
      </c>
      <c r="I456">
        <v>1420</v>
      </c>
      <c r="J456">
        <v>93.59</v>
      </c>
    </row>
    <row r="457" spans="1:10" x14ac:dyDescent="0.25">
      <c r="A457" s="1">
        <v>45289</v>
      </c>
      <c r="B457" t="s">
        <v>25</v>
      </c>
      <c r="C457" t="s">
        <v>19</v>
      </c>
      <c r="D457" t="s">
        <v>12</v>
      </c>
      <c r="E457" t="s">
        <v>56</v>
      </c>
      <c r="F457" t="s">
        <v>57</v>
      </c>
      <c r="G457" t="s">
        <v>24</v>
      </c>
      <c r="H457">
        <v>9</v>
      </c>
      <c r="I457">
        <v>9972</v>
      </c>
      <c r="J457">
        <v>2566.0100000000002</v>
      </c>
    </row>
    <row r="458" spans="1:10" x14ac:dyDescent="0.25">
      <c r="A458" s="1">
        <v>44893</v>
      </c>
      <c r="B458" t="s">
        <v>55</v>
      </c>
      <c r="C458" t="s">
        <v>19</v>
      </c>
      <c r="D458" t="s">
        <v>12</v>
      </c>
      <c r="E458" t="s">
        <v>123</v>
      </c>
      <c r="F458" t="s">
        <v>27</v>
      </c>
      <c r="G458" t="s">
        <v>28</v>
      </c>
      <c r="H458">
        <v>8</v>
      </c>
      <c r="I458">
        <v>3136</v>
      </c>
      <c r="J458">
        <v>494.26</v>
      </c>
    </row>
    <row r="459" spans="1:10" x14ac:dyDescent="0.25">
      <c r="A459" s="1">
        <v>44967</v>
      </c>
      <c r="B459" t="s">
        <v>25</v>
      </c>
      <c r="C459" t="s">
        <v>19</v>
      </c>
      <c r="D459" t="s">
        <v>12</v>
      </c>
      <c r="E459" t="s">
        <v>52</v>
      </c>
      <c r="F459" t="s">
        <v>42</v>
      </c>
      <c r="G459" t="s">
        <v>28</v>
      </c>
      <c r="H459">
        <v>3</v>
      </c>
      <c r="I459">
        <v>225</v>
      </c>
      <c r="J459">
        <v>20.52</v>
      </c>
    </row>
    <row r="460" spans="1:10" x14ac:dyDescent="0.25">
      <c r="A460" s="1">
        <v>44693</v>
      </c>
      <c r="B460" t="s">
        <v>16</v>
      </c>
      <c r="C460" t="s">
        <v>17</v>
      </c>
      <c r="D460" t="s">
        <v>12</v>
      </c>
      <c r="E460" t="s">
        <v>187</v>
      </c>
      <c r="F460" t="s">
        <v>23</v>
      </c>
      <c r="G460" t="s">
        <v>24</v>
      </c>
      <c r="H460">
        <v>3</v>
      </c>
      <c r="I460">
        <v>1662</v>
      </c>
      <c r="J460">
        <v>375.04</v>
      </c>
    </row>
    <row r="461" spans="1:10" x14ac:dyDescent="0.25">
      <c r="A461" s="1">
        <v>45415</v>
      </c>
      <c r="B461" t="s">
        <v>10</v>
      </c>
      <c r="C461" t="s">
        <v>11</v>
      </c>
      <c r="D461" t="s">
        <v>12</v>
      </c>
      <c r="E461" t="s">
        <v>215</v>
      </c>
      <c r="F461" t="s">
        <v>63</v>
      </c>
      <c r="G461" t="s">
        <v>28</v>
      </c>
      <c r="H461">
        <v>4</v>
      </c>
      <c r="I461">
        <v>500</v>
      </c>
      <c r="J461">
        <v>85.96</v>
      </c>
    </row>
    <row r="462" spans="1:10" x14ac:dyDescent="0.25">
      <c r="A462" s="1">
        <v>44775</v>
      </c>
      <c r="B462" t="s">
        <v>40</v>
      </c>
      <c r="C462" t="s">
        <v>19</v>
      </c>
      <c r="D462" t="s">
        <v>12</v>
      </c>
      <c r="E462" t="s">
        <v>216</v>
      </c>
      <c r="F462" t="s">
        <v>54</v>
      </c>
      <c r="G462" t="s">
        <v>24</v>
      </c>
      <c r="H462">
        <v>8</v>
      </c>
      <c r="I462">
        <v>3168</v>
      </c>
      <c r="J462">
        <v>747.33</v>
      </c>
    </row>
    <row r="463" spans="1:10" x14ac:dyDescent="0.25">
      <c r="A463" s="1">
        <v>45291</v>
      </c>
      <c r="B463" t="s">
        <v>40</v>
      </c>
      <c r="C463" t="s">
        <v>19</v>
      </c>
      <c r="D463" t="s">
        <v>12</v>
      </c>
      <c r="E463" t="s">
        <v>52</v>
      </c>
      <c r="F463" t="s">
        <v>42</v>
      </c>
      <c r="G463" t="s">
        <v>28</v>
      </c>
      <c r="H463">
        <v>1</v>
      </c>
      <c r="I463">
        <v>622</v>
      </c>
      <c r="J463">
        <v>104.57</v>
      </c>
    </row>
    <row r="464" spans="1:10" x14ac:dyDescent="0.25">
      <c r="A464" s="1">
        <v>44654</v>
      </c>
      <c r="B464" t="s">
        <v>18</v>
      </c>
      <c r="C464" t="s">
        <v>19</v>
      </c>
      <c r="D464" t="s">
        <v>12</v>
      </c>
      <c r="E464" t="s">
        <v>161</v>
      </c>
      <c r="F464" t="s">
        <v>39</v>
      </c>
      <c r="G464" t="s">
        <v>35</v>
      </c>
      <c r="H464">
        <v>3</v>
      </c>
      <c r="I464">
        <v>1233</v>
      </c>
      <c r="J464">
        <v>361.12</v>
      </c>
    </row>
    <row r="465" spans="1:10" x14ac:dyDescent="0.25">
      <c r="A465" s="1">
        <v>45310</v>
      </c>
      <c r="B465" t="s">
        <v>55</v>
      </c>
      <c r="C465" t="s">
        <v>19</v>
      </c>
      <c r="D465" t="s">
        <v>12</v>
      </c>
      <c r="E465" t="s">
        <v>43</v>
      </c>
      <c r="F465" t="s">
        <v>44</v>
      </c>
      <c r="G465" t="s">
        <v>35</v>
      </c>
      <c r="H465">
        <v>3</v>
      </c>
      <c r="I465">
        <v>573</v>
      </c>
      <c r="J465">
        <v>116.14</v>
      </c>
    </row>
    <row r="466" spans="1:10" x14ac:dyDescent="0.25">
      <c r="A466" s="1">
        <v>44610</v>
      </c>
      <c r="B466" t="s">
        <v>18</v>
      </c>
      <c r="C466" t="s">
        <v>19</v>
      </c>
      <c r="D466" t="s">
        <v>12</v>
      </c>
      <c r="E466" t="s">
        <v>217</v>
      </c>
      <c r="F466" t="s">
        <v>218</v>
      </c>
      <c r="G466" t="s">
        <v>28</v>
      </c>
      <c r="H466">
        <v>1</v>
      </c>
      <c r="I466">
        <v>702</v>
      </c>
      <c r="J466">
        <v>129.34</v>
      </c>
    </row>
    <row r="467" spans="1:10" x14ac:dyDescent="0.25">
      <c r="A467" s="1">
        <v>45426</v>
      </c>
      <c r="B467" t="s">
        <v>55</v>
      </c>
      <c r="C467" t="s">
        <v>19</v>
      </c>
      <c r="D467" t="s">
        <v>12</v>
      </c>
      <c r="E467" t="s">
        <v>74</v>
      </c>
      <c r="F467" t="s">
        <v>23</v>
      </c>
      <c r="G467" t="s">
        <v>24</v>
      </c>
      <c r="H467">
        <v>8</v>
      </c>
      <c r="I467">
        <v>4832</v>
      </c>
      <c r="J467">
        <v>1261.06</v>
      </c>
    </row>
    <row r="468" spans="1:10" x14ac:dyDescent="0.25">
      <c r="A468" s="1">
        <v>44943</v>
      </c>
      <c r="B468" t="s">
        <v>10</v>
      </c>
      <c r="C468" t="s">
        <v>11</v>
      </c>
      <c r="D468" t="s">
        <v>12</v>
      </c>
      <c r="E468" t="s">
        <v>111</v>
      </c>
      <c r="F468" t="s">
        <v>115</v>
      </c>
      <c r="G468" t="s">
        <v>15</v>
      </c>
      <c r="H468">
        <v>5</v>
      </c>
      <c r="I468">
        <v>3765</v>
      </c>
      <c r="J468">
        <v>670.8</v>
      </c>
    </row>
    <row r="469" spans="1:10" x14ac:dyDescent="0.25">
      <c r="A469" s="1">
        <v>45417</v>
      </c>
      <c r="B469" t="s">
        <v>25</v>
      </c>
      <c r="C469" t="s">
        <v>19</v>
      </c>
      <c r="D469" t="s">
        <v>12</v>
      </c>
      <c r="E469" t="s">
        <v>74</v>
      </c>
      <c r="F469" t="s">
        <v>23</v>
      </c>
      <c r="G469" t="s">
        <v>24</v>
      </c>
      <c r="H469">
        <v>8</v>
      </c>
      <c r="I469">
        <v>6928</v>
      </c>
      <c r="J469">
        <v>1415.16</v>
      </c>
    </row>
    <row r="470" spans="1:10" x14ac:dyDescent="0.25">
      <c r="A470" s="1">
        <v>44958</v>
      </c>
      <c r="B470" t="s">
        <v>29</v>
      </c>
      <c r="C470" t="s">
        <v>17</v>
      </c>
      <c r="D470" t="s">
        <v>12</v>
      </c>
      <c r="E470" t="s">
        <v>22</v>
      </c>
      <c r="F470" t="s">
        <v>23</v>
      </c>
      <c r="G470" t="s">
        <v>24</v>
      </c>
      <c r="H470">
        <v>7</v>
      </c>
      <c r="I470">
        <v>1624</v>
      </c>
      <c r="J470">
        <v>436.13</v>
      </c>
    </row>
    <row r="471" spans="1:10" x14ac:dyDescent="0.25">
      <c r="A471" s="1">
        <v>45017</v>
      </c>
      <c r="B471" t="s">
        <v>29</v>
      </c>
      <c r="C471" t="s">
        <v>17</v>
      </c>
      <c r="D471" t="s">
        <v>12</v>
      </c>
      <c r="E471" t="s">
        <v>22</v>
      </c>
      <c r="F471" t="s">
        <v>23</v>
      </c>
      <c r="G471" t="s">
        <v>24</v>
      </c>
      <c r="H471">
        <v>1</v>
      </c>
      <c r="I471">
        <v>68</v>
      </c>
      <c r="J471">
        <v>10.39</v>
      </c>
    </row>
    <row r="472" spans="1:10" x14ac:dyDescent="0.25">
      <c r="A472" s="1">
        <v>45081</v>
      </c>
      <c r="B472" t="s">
        <v>16</v>
      </c>
      <c r="C472" t="s">
        <v>17</v>
      </c>
      <c r="D472" t="s">
        <v>12</v>
      </c>
      <c r="E472" t="s">
        <v>219</v>
      </c>
      <c r="F472" t="s">
        <v>88</v>
      </c>
      <c r="G472" t="s">
        <v>15</v>
      </c>
      <c r="H472">
        <v>1</v>
      </c>
      <c r="I472">
        <v>651</v>
      </c>
      <c r="J472">
        <v>187.99</v>
      </c>
    </row>
    <row r="473" spans="1:10" x14ac:dyDescent="0.25">
      <c r="A473" s="1">
        <v>45551</v>
      </c>
      <c r="B473" t="s">
        <v>10</v>
      </c>
      <c r="C473" t="s">
        <v>11</v>
      </c>
      <c r="D473" t="s">
        <v>12</v>
      </c>
      <c r="E473" t="s">
        <v>56</v>
      </c>
      <c r="F473" t="s">
        <v>57</v>
      </c>
      <c r="G473" t="s">
        <v>24</v>
      </c>
      <c r="H473">
        <v>7</v>
      </c>
      <c r="I473">
        <v>6293</v>
      </c>
      <c r="J473">
        <v>718.49</v>
      </c>
    </row>
    <row r="474" spans="1:10" x14ac:dyDescent="0.25">
      <c r="A474" s="1">
        <v>44973</v>
      </c>
      <c r="B474" t="s">
        <v>49</v>
      </c>
      <c r="C474" t="s">
        <v>17</v>
      </c>
      <c r="D474" t="s">
        <v>12</v>
      </c>
      <c r="E474" t="s">
        <v>56</v>
      </c>
      <c r="F474" t="s">
        <v>57</v>
      </c>
      <c r="G474" t="s">
        <v>24</v>
      </c>
      <c r="H474">
        <v>2</v>
      </c>
      <c r="I474">
        <v>1068</v>
      </c>
      <c r="J474">
        <v>85.71</v>
      </c>
    </row>
    <row r="475" spans="1:10" x14ac:dyDescent="0.25">
      <c r="A475" s="1">
        <v>45216</v>
      </c>
      <c r="B475" t="s">
        <v>49</v>
      </c>
      <c r="C475" t="s">
        <v>17</v>
      </c>
      <c r="D475" t="s">
        <v>12</v>
      </c>
      <c r="E475" t="s">
        <v>56</v>
      </c>
      <c r="F475" t="s">
        <v>57</v>
      </c>
      <c r="G475" t="s">
        <v>24</v>
      </c>
      <c r="H475">
        <v>1</v>
      </c>
      <c r="I475">
        <v>381</v>
      </c>
      <c r="J475">
        <v>26.69</v>
      </c>
    </row>
    <row r="476" spans="1:10" x14ac:dyDescent="0.25">
      <c r="A476" s="1">
        <v>44763</v>
      </c>
      <c r="B476" t="s">
        <v>10</v>
      </c>
      <c r="C476" t="s">
        <v>11</v>
      </c>
      <c r="D476" t="s">
        <v>12</v>
      </c>
      <c r="E476" t="s">
        <v>56</v>
      </c>
      <c r="F476" t="s">
        <v>57</v>
      </c>
      <c r="G476" t="s">
        <v>24</v>
      </c>
      <c r="H476">
        <v>2</v>
      </c>
      <c r="I476">
        <v>2016</v>
      </c>
      <c r="J476">
        <v>426.43</v>
      </c>
    </row>
    <row r="477" spans="1:10" x14ac:dyDescent="0.25">
      <c r="A477" s="1">
        <v>45332</v>
      </c>
      <c r="B477" t="s">
        <v>29</v>
      </c>
      <c r="C477" t="s">
        <v>17</v>
      </c>
      <c r="D477" t="s">
        <v>12</v>
      </c>
      <c r="E477" t="s">
        <v>75</v>
      </c>
      <c r="F477" t="s">
        <v>108</v>
      </c>
      <c r="G477" t="s">
        <v>15</v>
      </c>
      <c r="H477">
        <v>2</v>
      </c>
      <c r="I477">
        <v>1224</v>
      </c>
      <c r="J477">
        <v>340.67</v>
      </c>
    </row>
    <row r="478" spans="1:10" x14ac:dyDescent="0.25">
      <c r="A478" s="1">
        <v>44857</v>
      </c>
      <c r="B478" t="s">
        <v>36</v>
      </c>
      <c r="C478" t="s">
        <v>17</v>
      </c>
      <c r="D478" t="s">
        <v>12</v>
      </c>
      <c r="E478" t="s">
        <v>169</v>
      </c>
      <c r="F478" t="s">
        <v>83</v>
      </c>
      <c r="G478" t="s">
        <v>28</v>
      </c>
      <c r="H478">
        <v>5</v>
      </c>
      <c r="I478">
        <v>2180</v>
      </c>
      <c r="J478">
        <v>400.01</v>
      </c>
    </row>
    <row r="479" spans="1:10" x14ac:dyDescent="0.25">
      <c r="A479" s="1">
        <v>45547</v>
      </c>
      <c r="B479" t="s">
        <v>55</v>
      </c>
      <c r="C479" t="s">
        <v>19</v>
      </c>
      <c r="D479" t="s">
        <v>12</v>
      </c>
      <c r="E479" t="s">
        <v>52</v>
      </c>
      <c r="F479" t="s">
        <v>42</v>
      </c>
      <c r="G479" t="s">
        <v>28</v>
      </c>
      <c r="H479">
        <v>9</v>
      </c>
      <c r="I479">
        <v>2853</v>
      </c>
      <c r="J479">
        <v>353.09</v>
      </c>
    </row>
    <row r="480" spans="1:10" x14ac:dyDescent="0.25">
      <c r="A480" s="1">
        <v>44838</v>
      </c>
      <c r="B480" t="s">
        <v>16</v>
      </c>
      <c r="C480" t="s">
        <v>17</v>
      </c>
      <c r="D480" t="s">
        <v>12</v>
      </c>
      <c r="E480" t="s">
        <v>220</v>
      </c>
      <c r="F480" t="s">
        <v>108</v>
      </c>
      <c r="G480" t="s">
        <v>15</v>
      </c>
      <c r="H480">
        <v>1</v>
      </c>
      <c r="I480">
        <v>272</v>
      </c>
      <c r="J480">
        <v>45.33</v>
      </c>
    </row>
    <row r="481" spans="1:10" x14ac:dyDescent="0.25">
      <c r="A481" s="1">
        <v>44634</v>
      </c>
      <c r="B481" t="s">
        <v>40</v>
      </c>
      <c r="C481" t="s">
        <v>19</v>
      </c>
      <c r="D481" t="s">
        <v>12</v>
      </c>
      <c r="E481" t="s">
        <v>43</v>
      </c>
      <c r="F481" t="s">
        <v>44</v>
      </c>
      <c r="G481" t="s">
        <v>35</v>
      </c>
      <c r="H481">
        <v>4</v>
      </c>
      <c r="I481">
        <v>2640</v>
      </c>
      <c r="J481">
        <v>183.23</v>
      </c>
    </row>
    <row r="482" spans="1:10" x14ac:dyDescent="0.25">
      <c r="A482" s="1">
        <v>45408</v>
      </c>
      <c r="B482" t="s">
        <v>36</v>
      </c>
      <c r="C482" t="s">
        <v>17</v>
      </c>
      <c r="D482" t="s">
        <v>12</v>
      </c>
      <c r="E482" t="s">
        <v>179</v>
      </c>
      <c r="F482" t="s">
        <v>94</v>
      </c>
      <c r="G482" t="s">
        <v>24</v>
      </c>
      <c r="H482">
        <v>2</v>
      </c>
      <c r="I482">
        <v>488</v>
      </c>
      <c r="J482">
        <v>129.02000000000001</v>
      </c>
    </row>
    <row r="483" spans="1:10" x14ac:dyDescent="0.25">
      <c r="A483" s="1">
        <v>45240</v>
      </c>
      <c r="B483" t="s">
        <v>10</v>
      </c>
      <c r="C483" t="s">
        <v>11</v>
      </c>
      <c r="D483" t="s">
        <v>12</v>
      </c>
      <c r="E483" t="s">
        <v>221</v>
      </c>
      <c r="F483" t="s">
        <v>222</v>
      </c>
      <c r="G483" t="s">
        <v>35</v>
      </c>
      <c r="H483">
        <v>8</v>
      </c>
      <c r="I483">
        <v>9184</v>
      </c>
      <c r="J483">
        <v>1795.93</v>
      </c>
    </row>
    <row r="484" spans="1:10" x14ac:dyDescent="0.25">
      <c r="A484" s="1">
        <v>45394</v>
      </c>
      <c r="B484" t="s">
        <v>18</v>
      </c>
      <c r="C484" t="s">
        <v>19</v>
      </c>
      <c r="D484" t="s">
        <v>12</v>
      </c>
      <c r="E484" t="s">
        <v>52</v>
      </c>
      <c r="F484" t="s">
        <v>42</v>
      </c>
      <c r="G484" t="s">
        <v>28</v>
      </c>
      <c r="H484">
        <v>5</v>
      </c>
      <c r="I484">
        <v>280</v>
      </c>
      <c r="J484">
        <v>23.98</v>
      </c>
    </row>
    <row r="485" spans="1:10" x14ac:dyDescent="0.25">
      <c r="A485" s="1">
        <v>45568</v>
      </c>
      <c r="B485" t="s">
        <v>49</v>
      </c>
      <c r="C485" t="s">
        <v>17</v>
      </c>
      <c r="D485" t="s">
        <v>12</v>
      </c>
      <c r="E485" t="s">
        <v>26</v>
      </c>
      <c r="F485" t="s">
        <v>27</v>
      </c>
      <c r="G485" t="s">
        <v>28</v>
      </c>
      <c r="H485">
        <v>3</v>
      </c>
      <c r="I485">
        <v>2889</v>
      </c>
      <c r="J485">
        <v>604.45000000000005</v>
      </c>
    </row>
    <row r="486" spans="1:10" x14ac:dyDescent="0.25">
      <c r="A486" s="1">
        <v>45491</v>
      </c>
      <c r="B486" t="s">
        <v>55</v>
      </c>
      <c r="C486" t="s">
        <v>19</v>
      </c>
      <c r="D486" t="s">
        <v>12</v>
      </c>
      <c r="E486" t="s">
        <v>64</v>
      </c>
      <c r="F486" t="s">
        <v>84</v>
      </c>
      <c r="G486" t="s">
        <v>28</v>
      </c>
      <c r="H486">
        <v>1</v>
      </c>
      <c r="I486">
        <v>625</v>
      </c>
      <c r="J486">
        <v>125.9</v>
      </c>
    </row>
    <row r="487" spans="1:10" x14ac:dyDescent="0.25">
      <c r="A487" s="1">
        <v>45398</v>
      </c>
      <c r="B487" t="s">
        <v>49</v>
      </c>
      <c r="C487" t="s">
        <v>17</v>
      </c>
      <c r="D487" t="s">
        <v>12</v>
      </c>
      <c r="E487" t="s">
        <v>66</v>
      </c>
      <c r="F487" t="s">
        <v>34</v>
      </c>
      <c r="G487" t="s">
        <v>35</v>
      </c>
      <c r="H487">
        <v>8</v>
      </c>
      <c r="I487">
        <v>7056</v>
      </c>
      <c r="J487">
        <v>538.48</v>
      </c>
    </row>
    <row r="488" spans="1:10" x14ac:dyDescent="0.25">
      <c r="A488" s="1">
        <v>45118</v>
      </c>
      <c r="B488" t="s">
        <v>18</v>
      </c>
      <c r="C488" t="s">
        <v>19</v>
      </c>
      <c r="D488" t="s">
        <v>12</v>
      </c>
      <c r="E488" t="s">
        <v>74</v>
      </c>
      <c r="F488" t="s">
        <v>23</v>
      </c>
      <c r="G488" t="s">
        <v>24</v>
      </c>
      <c r="H488">
        <v>8</v>
      </c>
      <c r="I488">
        <v>3936</v>
      </c>
      <c r="J488">
        <v>720.2</v>
      </c>
    </row>
    <row r="489" spans="1:10" x14ac:dyDescent="0.25">
      <c r="A489" s="1">
        <v>44823</v>
      </c>
      <c r="B489" t="s">
        <v>32</v>
      </c>
      <c r="C489" t="s">
        <v>19</v>
      </c>
      <c r="D489" t="s">
        <v>12</v>
      </c>
      <c r="E489" t="s">
        <v>52</v>
      </c>
      <c r="F489" t="s">
        <v>42</v>
      </c>
      <c r="G489" t="s">
        <v>28</v>
      </c>
      <c r="H489">
        <v>6</v>
      </c>
      <c r="I489">
        <v>2472</v>
      </c>
      <c r="J489">
        <v>363.38</v>
      </c>
    </row>
    <row r="490" spans="1:10" x14ac:dyDescent="0.25">
      <c r="A490" s="1">
        <v>44731</v>
      </c>
      <c r="B490" t="s">
        <v>16</v>
      </c>
      <c r="C490" t="s">
        <v>17</v>
      </c>
      <c r="D490" t="s">
        <v>12</v>
      </c>
      <c r="E490" t="s">
        <v>52</v>
      </c>
      <c r="F490" t="s">
        <v>42</v>
      </c>
      <c r="G490" t="s">
        <v>28</v>
      </c>
      <c r="H490">
        <v>5</v>
      </c>
      <c r="I490">
        <v>855</v>
      </c>
      <c r="J490">
        <v>67.569999999999993</v>
      </c>
    </row>
    <row r="491" spans="1:10" x14ac:dyDescent="0.25">
      <c r="A491" s="1">
        <v>45347</v>
      </c>
      <c r="B491" t="s">
        <v>16</v>
      </c>
      <c r="C491" t="s">
        <v>17</v>
      </c>
      <c r="D491" t="s">
        <v>12</v>
      </c>
      <c r="E491" t="s">
        <v>52</v>
      </c>
      <c r="F491" t="s">
        <v>42</v>
      </c>
      <c r="G491" t="s">
        <v>28</v>
      </c>
      <c r="H491">
        <v>3</v>
      </c>
      <c r="I491">
        <v>3480</v>
      </c>
      <c r="J491">
        <v>560.39</v>
      </c>
    </row>
    <row r="492" spans="1:10" x14ac:dyDescent="0.25">
      <c r="A492" s="1">
        <v>44992</v>
      </c>
      <c r="B492" t="s">
        <v>25</v>
      </c>
      <c r="C492" t="s">
        <v>19</v>
      </c>
      <c r="D492" t="s">
        <v>12</v>
      </c>
      <c r="E492" t="s">
        <v>114</v>
      </c>
      <c r="F492" t="s">
        <v>115</v>
      </c>
      <c r="G492" t="s">
        <v>15</v>
      </c>
      <c r="H492">
        <v>1</v>
      </c>
      <c r="I492">
        <v>846</v>
      </c>
      <c r="J492">
        <v>103.3</v>
      </c>
    </row>
    <row r="493" spans="1:10" x14ac:dyDescent="0.25">
      <c r="A493" s="1">
        <v>44629</v>
      </c>
      <c r="B493" t="s">
        <v>49</v>
      </c>
      <c r="C493" t="s">
        <v>17</v>
      </c>
      <c r="D493" t="s">
        <v>12</v>
      </c>
      <c r="E493" t="s">
        <v>223</v>
      </c>
      <c r="F493" t="s">
        <v>23</v>
      </c>
      <c r="G493" t="s">
        <v>24</v>
      </c>
      <c r="H493">
        <v>1</v>
      </c>
      <c r="I493">
        <v>158</v>
      </c>
      <c r="J493">
        <v>46.24</v>
      </c>
    </row>
    <row r="494" spans="1:10" x14ac:dyDescent="0.25">
      <c r="A494" s="1">
        <v>44926</v>
      </c>
      <c r="B494" t="s">
        <v>16</v>
      </c>
      <c r="C494" t="s">
        <v>17</v>
      </c>
      <c r="D494" t="s">
        <v>12</v>
      </c>
      <c r="E494" t="s">
        <v>195</v>
      </c>
      <c r="F494" t="s">
        <v>63</v>
      </c>
      <c r="G494" t="s">
        <v>28</v>
      </c>
      <c r="H494">
        <v>9</v>
      </c>
      <c r="I494">
        <v>3186</v>
      </c>
      <c r="J494">
        <v>583.24</v>
      </c>
    </row>
    <row r="495" spans="1:10" x14ac:dyDescent="0.25">
      <c r="A495" s="1">
        <v>45323</v>
      </c>
      <c r="B495" t="s">
        <v>16</v>
      </c>
      <c r="C495" t="s">
        <v>17</v>
      </c>
      <c r="D495" t="s">
        <v>12</v>
      </c>
      <c r="E495" t="s">
        <v>53</v>
      </c>
      <c r="F495" t="s">
        <v>44</v>
      </c>
      <c r="G495" t="s">
        <v>35</v>
      </c>
      <c r="H495">
        <v>7</v>
      </c>
      <c r="I495">
        <v>6972</v>
      </c>
      <c r="J495">
        <v>969.43</v>
      </c>
    </row>
    <row r="496" spans="1:10" x14ac:dyDescent="0.25">
      <c r="A496" s="1">
        <v>45397</v>
      </c>
      <c r="B496" t="s">
        <v>16</v>
      </c>
      <c r="C496" t="s">
        <v>17</v>
      </c>
      <c r="D496" t="s">
        <v>12</v>
      </c>
      <c r="E496" t="s">
        <v>53</v>
      </c>
      <c r="F496" t="s">
        <v>44</v>
      </c>
      <c r="G496" t="s">
        <v>35</v>
      </c>
      <c r="H496">
        <v>5</v>
      </c>
      <c r="I496">
        <v>1745</v>
      </c>
      <c r="J496">
        <v>449.64</v>
      </c>
    </row>
    <row r="497" spans="1:10" x14ac:dyDescent="0.25">
      <c r="A497" s="1">
        <v>45427</v>
      </c>
      <c r="B497" t="s">
        <v>55</v>
      </c>
      <c r="C497" t="s">
        <v>19</v>
      </c>
      <c r="D497" t="s">
        <v>12</v>
      </c>
      <c r="E497" t="s">
        <v>131</v>
      </c>
      <c r="F497" t="s">
        <v>63</v>
      </c>
      <c r="G497" t="s">
        <v>28</v>
      </c>
      <c r="H497">
        <v>8</v>
      </c>
      <c r="I497">
        <v>4256</v>
      </c>
      <c r="J497">
        <v>372.95</v>
      </c>
    </row>
    <row r="498" spans="1:10" x14ac:dyDescent="0.25">
      <c r="A498" s="1">
        <v>44665</v>
      </c>
      <c r="B498" t="s">
        <v>49</v>
      </c>
      <c r="C498" t="s">
        <v>17</v>
      </c>
      <c r="D498" t="s">
        <v>12</v>
      </c>
      <c r="E498" t="s">
        <v>52</v>
      </c>
      <c r="F498" t="s">
        <v>42</v>
      </c>
      <c r="G498" t="s">
        <v>28</v>
      </c>
      <c r="H498">
        <v>3</v>
      </c>
      <c r="I498">
        <v>1674</v>
      </c>
      <c r="J498">
        <v>499.63</v>
      </c>
    </row>
    <row r="499" spans="1:10" x14ac:dyDescent="0.25">
      <c r="A499" s="1">
        <v>45560</v>
      </c>
      <c r="B499" t="s">
        <v>25</v>
      </c>
      <c r="C499" t="s">
        <v>19</v>
      </c>
      <c r="D499" t="s">
        <v>12</v>
      </c>
      <c r="E499" t="s">
        <v>224</v>
      </c>
      <c r="F499" t="s">
        <v>34</v>
      </c>
      <c r="G499" t="s">
        <v>35</v>
      </c>
      <c r="H499">
        <v>8</v>
      </c>
      <c r="I499">
        <v>6488</v>
      </c>
      <c r="J499">
        <v>1072.8599999999999</v>
      </c>
    </row>
    <row r="500" spans="1:10" x14ac:dyDescent="0.25">
      <c r="A500" s="1">
        <v>44625</v>
      </c>
      <c r="B500" t="s">
        <v>18</v>
      </c>
      <c r="C500" t="s">
        <v>19</v>
      </c>
      <c r="D500" t="s">
        <v>12</v>
      </c>
      <c r="E500" t="s">
        <v>74</v>
      </c>
      <c r="F500" t="s">
        <v>23</v>
      </c>
      <c r="G500" t="s">
        <v>24</v>
      </c>
      <c r="H500">
        <v>5</v>
      </c>
      <c r="I500">
        <v>3530</v>
      </c>
      <c r="J500">
        <v>803.86</v>
      </c>
    </row>
    <row r="501" spans="1:10" x14ac:dyDescent="0.25">
      <c r="A501" s="1">
        <v>44807</v>
      </c>
      <c r="B501" t="s">
        <v>16</v>
      </c>
      <c r="C501" t="s">
        <v>17</v>
      </c>
      <c r="D501" t="s">
        <v>12</v>
      </c>
      <c r="E501" t="s">
        <v>22</v>
      </c>
      <c r="F501" t="s">
        <v>23</v>
      </c>
      <c r="G501" t="s">
        <v>24</v>
      </c>
      <c r="H501">
        <v>2</v>
      </c>
      <c r="I501">
        <v>632</v>
      </c>
      <c r="J501">
        <v>87.45</v>
      </c>
    </row>
    <row r="502" spans="1:10" x14ac:dyDescent="0.25">
      <c r="A502" s="1">
        <v>45605</v>
      </c>
      <c r="B502" t="s">
        <v>36</v>
      </c>
      <c r="C502" t="s">
        <v>17</v>
      </c>
      <c r="D502" t="s">
        <v>12</v>
      </c>
      <c r="E502" t="s">
        <v>136</v>
      </c>
      <c r="F502" t="s">
        <v>65</v>
      </c>
      <c r="G502" t="s">
        <v>35</v>
      </c>
      <c r="H502">
        <v>7</v>
      </c>
      <c r="I502">
        <v>3675</v>
      </c>
      <c r="J502">
        <v>236.8</v>
      </c>
    </row>
    <row r="503" spans="1:10" x14ac:dyDescent="0.25">
      <c r="A503" s="1">
        <v>45181</v>
      </c>
      <c r="B503" t="s">
        <v>32</v>
      </c>
      <c r="C503" t="s">
        <v>19</v>
      </c>
      <c r="D503" t="s">
        <v>12</v>
      </c>
      <c r="E503" t="s">
        <v>225</v>
      </c>
      <c r="F503" t="s">
        <v>84</v>
      </c>
      <c r="G503" t="s">
        <v>28</v>
      </c>
      <c r="H503">
        <v>6</v>
      </c>
      <c r="I503">
        <v>5592</v>
      </c>
      <c r="J503">
        <v>926.42</v>
      </c>
    </row>
    <row r="504" spans="1:10" x14ac:dyDescent="0.25">
      <c r="A504" s="1">
        <v>44968</v>
      </c>
      <c r="B504" t="s">
        <v>49</v>
      </c>
      <c r="C504" t="s">
        <v>17</v>
      </c>
      <c r="D504" t="s">
        <v>12</v>
      </c>
      <c r="E504" t="s">
        <v>195</v>
      </c>
      <c r="F504" t="s">
        <v>63</v>
      </c>
      <c r="G504" t="s">
        <v>28</v>
      </c>
      <c r="H504">
        <v>6</v>
      </c>
      <c r="I504">
        <v>6432</v>
      </c>
      <c r="J504">
        <v>807.94</v>
      </c>
    </row>
    <row r="505" spans="1:10" x14ac:dyDescent="0.25">
      <c r="A505" s="1">
        <v>45165</v>
      </c>
      <c r="B505" t="s">
        <v>25</v>
      </c>
      <c r="C505" t="s">
        <v>19</v>
      </c>
      <c r="D505" t="s">
        <v>12</v>
      </c>
      <c r="E505" t="s">
        <v>111</v>
      </c>
      <c r="F505" t="s">
        <v>34</v>
      </c>
      <c r="G505" t="s">
        <v>35</v>
      </c>
      <c r="H505">
        <v>3</v>
      </c>
      <c r="I505">
        <v>3069</v>
      </c>
      <c r="J505">
        <v>503.3</v>
      </c>
    </row>
    <row r="506" spans="1:10" x14ac:dyDescent="0.25">
      <c r="A506" s="1">
        <v>45072</v>
      </c>
      <c r="B506" t="s">
        <v>49</v>
      </c>
      <c r="C506" t="s">
        <v>17</v>
      </c>
      <c r="D506" t="s">
        <v>12</v>
      </c>
      <c r="E506" t="s">
        <v>56</v>
      </c>
      <c r="F506" t="s">
        <v>57</v>
      </c>
      <c r="G506" t="s">
        <v>24</v>
      </c>
      <c r="H506">
        <v>7</v>
      </c>
      <c r="I506">
        <v>2898</v>
      </c>
      <c r="J506">
        <v>490.11</v>
      </c>
    </row>
    <row r="507" spans="1:10" x14ac:dyDescent="0.25">
      <c r="A507" s="1">
        <v>45442</v>
      </c>
      <c r="B507" t="s">
        <v>18</v>
      </c>
      <c r="C507" t="s">
        <v>19</v>
      </c>
      <c r="D507" t="s">
        <v>12</v>
      </c>
      <c r="E507" t="s">
        <v>52</v>
      </c>
      <c r="F507" t="s">
        <v>42</v>
      </c>
      <c r="G507" t="s">
        <v>28</v>
      </c>
      <c r="H507">
        <v>4</v>
      </c>
      <c r="I507">
        <v>3960</v>
      </c>
      <c r="J507">
        <v>632.76</v>
      </c>
    </row>
    <row r="508" spans="1:10" x14ac:dyDescent="0.25">
      <c r="A508" s="1">
        <v>45504</v>
      </c>
      <c r="B508" t="s">
        <v>18</v>
      </c>
      <c r="C508" t="s">
        <v>19</v>
      </c>
      <c r="D508" t="s">
        <v>12</v>
      </c>
      <c r="E508" t="s">
        <v>226</v>
      </c>
      <c r="F508" t="s">
        <v>227</v>
      </c>
      <c r="G508" t="s">
        <v>24</v>
      </c>
      <c r="H508">
        <v>3</v>
      </c>
      <c r="I508">
        <v>1476</v>
      </c>
      <c r="J508">
        <v>85.16</v>
      </c>
    </row>
    <row r="509" spans="1:10" x14ac:dyDescent="0.25">
      <c r="A509" s="1">
        <v>45244</v>
      </c>
      <c r="B509" t="s">
        <v>10</v>
      </c>
      <c r="C509" t="s">
        <v>11</v>
      </c>
      <c r="D509" t="s">
        <v>12</v>
      </c>
      <c r="E509" t="s">
        <v>130</v>
      </c>
      <c r="F509" t="s">
        <v>54</v>
      </c>
      <c r="G509" t="s">
        <v>24</v>
      </c>
      <c r="H509">
        <v>2</v>
      </c>
      <c r="I509">
        <v>1058</v>
      </c>
      <c r="J509">
        <v>298.69</v>
      </c>
    </row>
    <row r="510" spans="1:10" x14ac:dyDescent="0.25">
      <c r="A510" s="1">
        <v>45257</v>
      </c>
      <c r="B510" t="s">
        <v>36</v>
      </c>
      <c r="C510" t="s">
        <v>17</v>
      </c>
      <c r="D510" t="s">
        <v>12</v>
      </c>
      <c r="E510" t="s">
        <v>72</v>
      </c>
      <c r="F510" t="s">
        <v>21</v>
      </c>
      <c r="G510" t="s">
        <v>15</v>
      </c>
      <c r="H510">
        <v>5</v>
      </c>
      <c r="I510">
        <v>1215</v>
      </c>
      <c r="J510">
        <v>162.02000000000001</v>
      </c>
    </row>
    <row r="511" spans="1:10" x14ac:dyDescent="0.25">
      <c r="A511" s="1">
        <v>45355</v>
      </c>
      <c r="B511" t="s">
        <v>25</v>
      </c>
      <c r="C511" t="s">
        <v>19</v>
      </c>
      <c r="D511" t="s">
        <v>12</v>
      </c>
      <c r="E511" t="s">
        <v>228</v>
      </c>
      <c r="F511" t="s">
        <v>78</v>
      </c>
      <c r="G511" t="s">
        <v>28</v>
      </c>
      <c r="H511">
        <v>3</v>
      </c>
      <c r="I511">
        <v>204</v>
      </c>
      <c r="J511">
        <v>20.43</v>
      </c>
    </row>
    <row r="512" spans="1:10" x14ac:dyDescent="0.25">
      <c r="A512" s="1">
        <v>45650</v>
      </c>
      <c r="B512" t="s">
        <v>18</v>
      </c>
      <c r="C512" t="s">
        <v>19</v>
      </c>
      <c r="D512" t="s">
        <v>12</v>
      </c>
      <c r="E512" t="s">
        <v>26</v>
      </c>
      <c r="F512" t="s">
        <v>27</v>
      </c>
      <c r="G512" t="s">
        <v>28</v>
      </c>
      <c r="H512">
        <v>7</v>
      </c>
      <c r="I512">
        <v>4137</v>
      </c>
      <c r="J512">
        <v>221.66</v>
      </c>
    </row>
    <row r="513" spans="1:10" x14ac:dyDescent="0.25">
      <c r="A513" s="1">
        <v>44702</v>
      </c>
      <c r="B513" t="s">
        <v>25</v>
      </c>
      <c r="C513" t="s">
        <v>19</v>
      </c>
      <c r="D513" t="s">
        <v>12</v>
      </c>
      <c r="E513" t="s">
        <v>229</v>
      </c>
      <c r="F513" t="s">
        <v>149</v>
      </c>
      <c r="G513" t="s">
        <v>15</v>
      </c>
      <c r="H513">
        <v>5</v>
      </c>
      <c r="I513">
        <v>250</v>
      </c>
      <c r="J513">
        <v>16.809999999999999</v>
      </c>
    </row>
    <row r="514" spans="1:10" x14ac:dyDescent="0.25">
      <c r="A514" s="1">
        <v>44818</v>
      </c>
      <c r="B514" t="s">
        <v>18</v>
      </c>
      <c r="C514" t="s">
        <v>19</v>
      </c>
      <c r="D514" t="s">
        <v>12</v>
      </c>
      <c r="E514" t="s">
        <v>229</v>
      </c>
      <c r="F514" t="s">
        <v>149</v>
      </c>
      <c r="G514" t="s">
        <v>15</v>
      </c>
      <c r="H514">
        <v>5</v>
      </c>
      <c r="I514">
        <v>1185</v>
      </c>
      <c r="J514">
        <v>254.34</v>
      </c>
    </row>
    <row r="515" spans="1:10" x14ac:dyDescent="0.25">
      <c r="A515" s="1">
        <v>45363</v>
      </c>
      <c r="B515" t="s">
        <v>29</v>
      </c>
      <c r="C515" t="s">
        <v>17</v>
      </c>
      <c r="D515" t="s">
        <v>12</v>
      </c>
      <c r="E515" t="s">
        <v>22</v>
      </c>
      <c r="F515" t="s">
        <v>23</v>
      </c>
      <c r="G515" t="s">
        <v>24</v>
      </c>
      <c r="H515">
        <v>2</v>
      </c>
      <c r="I515">
        <v>1504</v>
      </c>
      <c r="J515">
        <v>108.52</v>
      </c>
    </row>
    <row r="516" spans="1:10" x14ac:dyDescent="0.25">
      <c r="A516" s="1">
        <v>45471</v>
      </c>
      <c r="B516" t="s">
        <v>49</v>
      </c>
      <c r="C516" t="s">
        <v>17</v>
      </c>
      <c r="D516" t="s">
        <v>12</v>
      </c>
      <c r="E516" t="s">
        <v>22</v>
      </c>
      <c r="F516" t="s">
        <v>23</v>
      </c>
      <c r="G516" t="s">
        <v>24</v>
      </c>
      <c r="H516">
        <v>6</v>
      </c>
      <c r="I516">
        <v>6888</v>
      </c>
      <c r="J516">
        <v>945.07</v>
      </c>
    </row>
    <row r="517" spans="1:10" x14ac:dyDescent="0.25">
      <c r="A517" s="1">
        <v>45651</v>
      </c>
      <c r="B517" t="s">
        <v>40</v>
      </c>
      <c r="C517" t="s">
        <v>19</v>
      </c>
      <c r="D517" t="s">
        <v>12</v>
      </c>
      <c r="E517" t="s">
        <v>56</v>
      </c>
      <c r="F517" t="s">
        <v>57</v>
      </c>
      <c r="G517" t="s">
        <v>24</v>
      </c>
      <c r="H517">
        <v>3</v>
      </c>
      <c r="I517">
        <v>3588</v>
      </c>
      <c r="J517">
        <v>958.84</v>
      </c>
    </row>
    <row r="518" spans="1:10" x14ac:dyDescent="0.25">
      <c r="A518" s="1">
        <v>44883</v>
      </c>
      <c r="B518" t="s">
        <v>55</v>
      </c>
      <c r="C518" t="s">
        <v>19</v>
      </c>
      <c r="D518" t="s">
        <v>12</v>
      </c>
      <c r="E518" t="s">
        <v>37</v>
      </c>
      <c r="F518" t="s">
        <v>34</v>
      </c>
      <c r="G518" t="s">
        <v>35</v>
      </c>
      <c r="H518">
        <v>7</v>
      </c>
      <c r="I518">
        <v>1477</v>
      </c>
      <c r="J518">
        <v>367.22</v>
      </c>
    </row>
    <row r="519" spans="1:10" x14ac:dyDescent="0.25">
      <c r="A519" s="1">
        <v>44856</v>
      </c>
      <c r="B519" t="s">
        <v>32</v>
      </c>
      <c r="C519" t="s">
        <v>19</v>
      </c>
      <c r="D519" t="s">
        <v>12</v>
      </c>
      <c r="E519" t="s">
        <v>230</v>
      </c>
      <c r="F519" t="s">
        <v>39</v>
      </c>
      <c r="G519" t="s">
        <v>35</v>
      </c>
      <c r="H519">
        <v>8</v>
      </c>
      <c r="I519">
        <v>1280</v>
      </c>
      <c r="J519">
        <v>131.56</v>
      </c>
    </row>
    <row r="520" spans="1:10" x14ac:dyDescent="0.25">
      <c r="A520" s="1">
        <v>45612</v>
      </c>
      <c r="B520" t="s">
        <v>18</v>
      </c>
      <c r="C520" t="s">
        <v>19</v>
      </c>
      <c r="D520" t="s">
        <v>12</v>
      </c>
      <c r="E520" t="s">
        <v>74</v>
      </c>
      <c r="F520" t="s">
        <v>23</v>
      </c>
      <c r="G520" t="s">
        <v>24</v>
      </c>
      <c r="H520">
        <v>7</v>
      </c>
      <c r="I520">
        <v>7161</v>
      </c>
      <c r="J520">
        <v>630.76</v>
      </c>
    </row>
    <row r="521" spans="1:10" x14ac:dyDescent="0.25">
      <c r="A521" s="1">
        <v>44998</v>
      </c>
      <c r="B521" t="s">
        <v>10</v>
      </c>
      <c r="C521" t="s">
        <v>11</v>
      </c>
      <c r="D521" t="s">
        <v>12</v>
      </c>
      <c r="E521" t="s">
        <v>43</v>
      </c>
      <c r="F521" t="s">
        <v>44</v>
      </c>
      <c r="G521" t="s">
        <v>35</v>
      </c>
      <c r="H521">
        <v>5</v>
      </c>
      <c r="I521">
        <v>1850</v>
      </c>
      <c r="J521">
        <v>346.4</v>
      </c>
    </row>
    <row r="522" spans="1:10" x14ac:dyDescent="0.25">
      <c r="A522" s="1">
        <v>45287</v>
      </c>
      <c r="B522" t="s">
        <v>16</v>
      </c>
      <c r="C522" t="s">
        <v>17</v>
      </c>
      <c r="D522" t="s">
        <v>12</v>
      </c>
      <c r="E522" t="s">
        <v>231</v>
      </c>
      <c r="F522" t="s">
        <v>78</v>
      </c>
      <c r="G522" t="s">
        <v>28</v>
      </c>
      <c r="H522">
        <v>3</v>
      </c>
      <c r="I522">
        <v>3378</v>
      </c>
      <c r="J522">
        <v>520.30999999999995</v>
      </c>
    </row>
    <row r="523" spans="1:10" x14ac:dyDescent="0.25">
      <c r="A523" s="1">
        <v>45595</v>
      </c>
      <c r="B523" t="s">
        <v>55</v>
      </c>
      <c r="C523" t="s">
        <v>19</v>
      </c>
      <c r="D523" t="s">
        <v>12</v>
      </c>
      <c r="E523" t="s">
        <v>112</v>
      </c>
      <c r="F523" t="s">
        <v>63</v>
      </c>
      <c r="G523" t="s">
        <v>28</v>
      </c>
      <c r="H523">
        <v>7</v>
      </c>
      <c r="I523">
        <v>7672</v>
      </c>
      <c r="J523">
        <v>2046.38</v>
      </c>
    </row>
    <row r="524" spans="1:10" x14ac:dyDescent="0.25">
      <c r="A524" s="1">
        <v>45599</v>
      </c>
      <c r="B524" t="s">
        <v>18</v>
      </c>
      <c r="C524" t="s">
        <v>19</v>
      </c>
      <c r="D524" t="s">
        <v>12</v>
      </c>
      <c r="E524" t="s">
        <v>74</v>
      </c>
      <c r="F524" t="s">
        <v>23</v>
      </c>
      <c r="G524" t="s">
        <v>24</v>
      </c>
      <c r="H524">
        <v>6</v>
      </c>
      <c r="I524">
        <v>4254</v>
      </c>
      <c r="J524">
        <v>938.66</v>
      </c>
    </row>
    <row r="525" spans="1:10" x14ac:dyDescent="0.25">
      <c r="A525" s="1">
        <v>45615</v>
      </c>
      <c r="B525" t="s">
        <v>49</v>
      </c>
      <c r="C525" t="s">
        <v>17</v>
      </c>
      <c r="D525" t="s">
        <v>12</v>
      </c>
      <c r="E525" t="s">
        <v>74</v>
      </c>
      <c r="F525" t="s">
        <v>23</v>
      </c>
      <c r="G525" t="s">
        <v>24</v>
      </c>
      <c r="H525">
        <v>5</v>
      </c>
      <c r="I525">
        <v>2285</v>
      </c>
      <c r="J525">
        <v>279.89999999999998</v>
      </c>
    </row>
    <row r="526" spans="1:10" x14ac:dyDescent="0.25">
      <c r="A526" s="1">
        <v>45411</v>
      </c>
      <c r="B526" t="s">
        <v>49</v>
      </c>
      <c r="C526" t="s">
        <v>17</v>
      </c>
      <c r="D526" t="s">
        <v>12</v>
      </c>
      <c r="E526" t="s">
        <v>232</v>
      </c>
      <c r="F526" t="s">
        <v>94</v>
      </c>
      <c r="G526" t="s">
        <v>24</v>
      </c>
      <c r="H526">
        <v>7</v>
      </c>
      <c r="I526">
        <v>5775</v>
      </c>
      <c r="J526">
        <v>680.6</v>
      </c>
    </row>
    <row r="527" spans="1:10" x14ac:dyDescent="0.25">
      <c r="A527" s="1">
        <v>44855</v>
      </c>
      <c r="B527" t="s">
        <v>40</v>
      </c>
      <c r="C527" t="s">
        <v>19</v>
      </c>
      <c r="D527" t="s">
        <v>12</v>
      </c>
      <c r="E527" t="s">
        <v>233</v>
      </c>
      <c r="F527" t="s">
        <v>84</v>
      </c>
      <c r="G527" t="s">
        <v>28</v>
      </c>
      <c r="H527">
        <v>9</v>
      </c>
      <c r="I527">
        <v>9360</v>
      </c>
      <c r="J527">
        <v>910.35</v>
      </c>
    </row>
    <row r="528" spans="1:10" x14ac:dyDescent="0.25">
      <c r="A528" s="1">
        <v>44951</v>
      </c>
      <c r="B528" t="s">
        <v>10</v>
      </c>
      <c r="C528" t="s">
        <v>11</v>
      </c>
      <c r="D528" t="s">
        <v>12</v>
      </c>
      <c r="E528" t="s">
        <v>187</v>
      </c>
      <c r="F528" t="s">
        <v>23</v>
      </c>
      <c r="G528" t="s">
        <v>24</v>
      </c>
      <c r="H528">
        <v>8</v>
      </c>
      <c r="I528">
        <v>6936</v>
      </c>
      <c r="J528">
        <v>1156.52</v>
      </c>
    </row>
    <row r="529" spans="1:10" x14ac:dyDescent="0.25">
      <c r="A529" s="1">
        <v>44698</v>
      </c>
      <c r="B529" t="s">
        <v>25</v>
      </c>
      <c r="C529" t="s">
        <v>19</v>
      </c>
      <c r="D529" t="s">
        <v>12</v>
      </c>
      <c r="E529" t="s">
        <v>13</v>
      </c>
      <c r="F529" t="s">
        <v>14</v>
      </c>
      <c r="G529" t="s">
        <v>15</v>
      </c>
      <c r="H529">
        <v>9</v>
      </c>
      <c r="I529">
        <v>5634</v>
      </c>
      <c r="J529">
        <v>464.71</v>
      </c>
    </row>
    <row r="530" spans="1:10" x14ac:dyDescent="0.25">
      <c r="A530" s="1">
        <v>45380</v>
      </c>
      <c r="B530" t="s">
        <v>40</v>
      </c>
      <c r="C530" t="s">
        <v>19</v>
      </c>
      <c r="D530" t="s">
        <v>12</v>
      </c>
      <c r="E530" t="s">
        <v>37</v>
      </c>
      <c r="F530" t="s">
        <v>34</v>
      </c>
      <c r="G530" t="s">
        <v>35</v>
      </c>
      <c r="H530">
        <v>4</v>
      </c>
      <c r="I530">
        <v>2644</v>
      </c>
      <c r="J530">
        <v>731.86</v>
      </c>
    </row>
    <row r="531" spans="1:10" x14ac:dyDescent="0.25">
      <c r="A531" s="1">
        <v>45252</v>
      </c>
      <c r="B531" t="s">
        <v>29</v>
      </c>
      <c r="C531" t="s">
        <v>17</v>
      </c>
      <c r="D531" t="s">
        <v>12</v>
      </c>
      <c r="E531" t="s">
        <v>30</v>
      </c>
      <c r="F531" t="s">
        <v>31</v>
      </c>
      <c r="G531" t="s">
        <v>24</v>
      </c>
      <c r="H531">
        <v>1</v>
      </c>
      <c r="I531">
        <v>247</v>
      </c>
      <c r="J531">
        <v>35.65</v>
      </c>
    </row>
    <row r="532" spans="1:10" x14ac:dyDescent="0.25">
      <c r="A532" s="1">
        <v>45193</v>
      </c>
      <c r="B532" t="s">
        <v>55</v>
      </c>
      <c r="C532" t="s">
        <v>19</v>
      </c>
      <c r="D532" t="s">
        <v>12</v>
      </c>
      <c r="E532" t="s">
        <v>234</v>
      </c>
      <c r="F532" t="s">
        <v>57</v>
      </c>
      <c r="G532" t="s">
        <v>24</v>
      </c>
      <c r="H532">
        <v>7</v>
      </c>
      <c r="I532">
        <v>1869</v>
      </c>
      <c r="J532">
        <v>357.27</v>
      </c>
    </row>
    <row r="533" spans="1:10" x14ac:dyDescent="0.25">
      <c r="A533" s="1">
        <v>45490</v>
      </c>
      <c r="B533" t="s">
        <v>32</v>
      </c>
      <c r="C533" t="s">
        <v>19</v>
      </c>
      <c r="D533" t="s">
        <v>12</v>
      </c>
      <c r="E533" t="s">
        <v>182</v>
      </c>
      <c r="F533" t="s">
        <v>39</v>
      </c>
      <c r="G533" t="s">
        <v>35</v>
      </c>
      <c r="H533">
        <v>7</v>
      </c>
      <c r="I533">
        <v>1988</v>
      </c>
      <c r="J533">
        <v>430.59</v>
      </c>
    </row>
    <row r="534" spans="1:10" x14ac:dyDescent="0.25">
      <c r="A534" s="1">
        <v>45094</v>
      </c>
      <c r="B534" t="s">
        <v>55</v>
      </c>
      <c r="C534" t="s">
        <v>19</v>
      </c>
      <c r="D534" t="s">
        <v>12</v>
      </c>
      <c r="E534" t="s">
        <v>235</v>
      </c>
      <c r="F534" t="s">
        <v>115</v>
      </c>
      <c r="G534" t="s">
        <v>15</v>
      </c>
      <c r="H534">
        <v>4</v>
      </c>
      <c r="I534">
        <v>1920</v>
      </c>
      <c r="J534">
        <v>549.11</v>
      </c>
    </row>
    <row r="535" spans="1:10" x14ac:dyDescent="0.25">
      <c r="A535" s="1">
        <v>45432</v>
      </c>
      <c r="B535" t="s">
        <v>29</v>
      </c>
      <c r="C535" t="s">
        <v>17</v>
      </c>
      <c r="D535" t="s">
        <v>12</v>
      </c>
      <c r="E535" t="s">
        <v>235</v>
      </c>
      <c r="F535" t="s">
        <v>115</v>
      </c>
      <c r="G535" t="s">
        <v>15</v>
      </c>
      <c r="H535">
        <v>3</v>
      </c>
      <c r="I535">
        <v>2577</v>
      </c>
      <c r="J535">
        <v>196.37</v>
      </c>
    </row>
    <row r="536" spans="1:10" x14ac:dyDescent="0.25">
      <c r="A536" s="1">
        <v>45453</v>
      </c>
      <c r="B536" t="s">
        <v>25</v>
      </c>
      <c r="C536" t="s">
        <v>19</v>
      </c>
      <c r="D536" t="s">
        <v>12</v>
      </c>
      <c r="E536" t="s">
        <v>52</v>
      </c>
      <c r="F536" t="s">
        <v>42</v>
      </c>
      <c r="G536" t="s">
        <v>28</v>
      </c>
      <c r="H536">
        <v>3</v>
      </c>
      <c r="I536">
        <v>828</v>
      </c>
      <c r="J536">
        <v>117.95</v>
      </c>
    </row>
    <row r="537" spans="1:10" x14ac:dyDescent="0.25">
      <c r="A537" s="1">
        <v>44592</v>
      </c>
      <c r="B537" t="s">
        <v>25</v>
      </c>
      <c r="C537" t="s">
        <v>19</v>
      </c>
      <c r="D537" t="s">
        <v>12</v>
      </c>
      <c r="E537" t="s">
        <v>236</v>
      </c>
      <c r="F537" t="s">
        <v>44</v>
      </c>
      <c r="G537" t="s">
        <v>35</v>
      </c>
      <c r="H537">
        <v>2</v>
      </c>
      <c r="I537">
        <v>1580</v>
      </c>
      <c r="J537">
        <v>403.76</v>
      </c>
    </row>
    <row r="538" spans="1:10" x14ac:dyDescent="0.25">
      <c r="A538" s="1">
        <v>45182</v>
      </c>
      <c r="B538" t="s">
        <v>25</v>
      </c>
      <c r="C538" t="s">
        <v>19</v>
      </c>
      <c r="D538" t="s">
        <v>12</v>
      </c>
      <c r="E538" t="s">
        <v>236</v>
      </c>
      <c r="F538" t="s">
        <v>44</v>
      </c>
      <c r="G538" t="s">
        <v>35</v>
      </c>
      <c r="H538">
        <v>9</v>
      </c>
      <c r="I538">
        <v>9009</v>
      </c>
      <c r="J538">
        <v>1909.26</v>
      </c>
    </row>
    <row r="539" spans="1:10" x14ac:dyDescent="0.25">
      <c r="A539" s="1">
        <v>44835</v>
      </c>
      <c r="B539" t="s">
        <v>40</v>
      </c>
      <c r="C539" t="s">
        <v>19</v>
      </c>
      <c r="D539" t="s">
        <v>12</v>
      </c>
      <c r="E539" t="s">
        <v>52</v>
      </c>
      <c r="F539" t="s">
        <v>42</v>
      </c>
      <c r="G539" t="s">
        <v>28</v>
      </c>
      <c r="H539">
        <v>9</v>
      </c>
      <c r="I539">
        <v>7425</v>
      </c>
      <c r="J539">
        <v>1580.86</v>
      </c>
    </row>
    <row r="540" spans="1:10" x14ac:dyDescent="0.25">
      <c r="A540" s="1">
        <v>45650</v>
      </c>
      <c r="B540" t="s">
        <v>36</v>
      </c>
      <c r="C540" t="s">
        <v>17</v>
      </c>
      <c r="D540" t="s">
        <v>12</v>
      </c>
      <c r="E540" t="s">
        <v>52</v>
      </c>
      <c r="F540" t="s">
        <v>42</v>
      </c>
      <c r="G540" t="s">
        <v>28</v>
      </c>
      <c r="H540">
        <v>5</v>
      </c>
      <c r="I540">
        <v>2945</v>
      </c>
      <c r="J540">
        <v>672.35</v>
      </c>
    </row>
    <row r="541" spans="1:10" x14ac:dyDescent="0.25">
      <c r="A541" s="1">
        <v>45126</v>
      </c>
      <c r="B541" t="s">
        <v>16</v>
      </c>
      <c r="C541" t="s">
        <v>17</v>
      </c>
      <c r="D541" t="s">
        <v>12</v>
      </c>
      <c r="E541" t="s">
        <v>111</v>
      </c>
      <c r="F541" t="s">
        <v>34</v>
      </c>
      <c r="G541" t="s">
        <v>35</v>
      </c>
      <c r="H541">
        <v>3</v>
      </c>
      <c r="I541">
        <v>294</v>
      </c>
      <c r="J541">
        <v>22.9</v>
      </c>
    </row>
    <row r="542" spans="1:10" x14ac:dyDescent="0.25">
      <c r="A542" s="1">
        <v>45429</v>
      </c>
      <c r="B542" t="s">
        <v>16</v>
      </c>
      <c r="C542" t="s">
        <v>17</v>
      </c>
      <c r="D542" t="s">
        <v>12</v>
      </c>
      <c r="E542" t="s">
        <v>111</v>
      </c>
      <c r="F542" t="s">
        <v>34</v>
      </c>
      <c r="G542" t="s">
        <v>35</v>
      </c>
      <c r="H542">
        <v>5</v>
      </c>
      <c r="I542">
        <v>5875</v>
      </c>
      <c r="J542">
        <v>789.23</v>
      </c>
    </row>
    <row r="543" spans="1:10" x14ac:dyDescent="0.25">
      <c r="A543" s="1">
        <v>44578</v>
      </c>
      <c r="B543" t="s">
        <v>32</v>
      </c>
      <c r="C543" t="s">
        <v>19</v>
      </c>
      <c r="D543" t="s">
        <v>12</v>
      </c>
      <c r="E543" t="s">
        <v>22</v>
      </c>
      <c r="F543" t="s">
        <v>23</v>
      </c>
      <c r="G543" t="s">
        <v>24</v>
      </c>
      <c r="H543">
        <v>3</v>
      </c>
      <c r="I543">
        <v>1308</v>
      </c>
      <c r="J543">
        <v>197.6</v>
      </c>
    </row>
    <row r="544" spans="1:10" x14ac:dyDescent="0.25">
      <c r="A544" s="1">
        <v>45301</v>
      </c>
      <c r="B544" t="s">
        <v>36</v>
      </c>
      <c r="C544" t="s">
        <v>17</v>
      </c>
      <c r="D544" t="s">
        <v>12</v>
      </c>
      <c r="E544" t="s">
        <v>22</v>
      </c>
      <c r="F544" t="s">
        <v>23</v>
      </c>
      <c r="G544" t="s">
        <v>24</v>
      </c>
      <c r="H544">
        <v>4</v>
      </c>
      <c r="I544">
        <v>2360</v>
      </c>
      <c r="J544">
        <v>391.82</v>
      </c>
    </row>
    <row r="545" spans="1:10" x14ac:dyDescent="0.25">
      <c r="A545" s="1">
        <v>45026</v>
      </c>
      <c r="B545" t="s">
        <v>32</v>
      </c>
      <c r="C545" t="s">
        <v>19</v>
      </c>
      <c r="D545" t="s">
        <v>12</v>
      </c>
      <c r="E545" t="s">
        <v>56</v>
      </c>
      <c r="F545" t="s">
        <v>57</v>
      </c>
      <c r="G545" t="s">
        <v>24</v>
      </c>
      <c r="H545">
        <v>6</v>
      </c>
      <c r="I545">
        <v>1008</v>
      </c>
      <c r="J545">
        <v>245.45</v>
      </c>
    </row>
    <row r="546" spans="1:10" x14ac:dyDescent="0.25">
      <c r="A546" s="1">
        <v>45226</v>
      </c>
      <c r="B546" t="s">
        <v>32</v>
      </c>
      <c r="C546" t="s">
        <v>19</v>
      </c>
      <c r="D546" t="s">
        <v>12</v>
      </c>
      <c r="E546" t="s">
        <v>56</v>
      </c>
      <c r="F546" t="s">
        <v>57</v>
      </c>
      <c r="G546" t="s">
        <v>24</v>
      </c>
      <c r="H546">
        <v>6</v>
      </c>
      <c r="I546">
        <v>1344</v>
      </c>
      <c r="J546">
        <v>338.4</v>
      </c>
    </row>
    <row r="547" spans="1:10" x14ac:dyDescent="0.25">
      <c r="A547" s="1">
        <v>44573</v>
      </c>
      <c r="B547" t="s">
        <v>10</v>
      </c>
      <c r="C547" t="s">
        <v>11</v>
      </c>
      <c r="D547" t="s">
        <v>12</v>
      </c>
      <c r="E547" t="s">
        <v>56</v>
      </c>
      <c r="F547" t="s">
        <v>57</v>
      </c>
      <c r="G547" t="s">
        <v>24</v>
      </c>
      <c r="H547">
        <v>7</v>
      </c>
      <c r="I547">
        <v>5635</v>
      </c>
      <c r="J547">
        <v>1185.97</v>
      </c>
    </row>
    <row r="548" spans="1:10" x14ac:dyDescent="0.25">
      <c r="A548" s="1">
        <v>45184</v>
      </c>
      <c r="B548" t="s">
        <v>16</v>
      </c>
      <c r="C548" t="s">
        <v>17</v>
      </c>
      <c r="D548" t="s">
        <v>12</v>
      </c>
      <c r="E548" t="s">
        <v>229</v>
      </c>
      <c r="F548" t="s">
        <v>149</v>
      </c>
      <c r="G548" t="s">
        <v>15</v>
      </c>
      <c r="H548">
        <v>4</v>
      </c>
      <c r="I548">
        <v>4088</v>
      </c>
      <c r="J548">
        <v>1200.03</v>
      </c>
    </row>
    <row r="549" spans="1:10" x14ac:dyDescent="0.25">
      <c r="A549" s="1">
        <v>45630</v>
      </c>
      <c r="B549" t="s">
        <v>25</v>
      </c>
      <c r="C549" t="s">
        <v>19</v>
      </c>
      <c r="D549" t="s">
        <v>12</v>
      </c>
      <c r="E549" t="s">
        <v>52</v>
      </c>
      <c r="F549" t="s">
        <v>42</v>
      </c>
      <c r="G549" t="s">
        <v>28</v>
      </c>
      <c r="H549">
        <v>8</v>
      </c>
      <c r="I549">
        <v>2192</v>
      </c>
      <c r="J549">
        <v>441.77</v>
      </c>
    </row>
    <row r="550" spans="1:10" x14ac:dyDescent="0.25">
      <c r="A550" s="1">
        <v>44718</v>
      </c>
      <c r="B550" t="s">
        <v>49</v>
      </c>
      <c r="C550" t="s">
        <v>17</v>
      </c>
      <c r="D550" t="s">
        <v>12</v>
      </c>
      <c r="E550" t="s">
        <v>237</v>
      </c>
      <c r="F550" t="s">
        <v>149</v>
      </c>
      <c r="G550" t="s">
        <v>15</v>
      </c>
      <c r="H550">
        <v>8</v>
      </c>
      <c r="I550">
        <v>1952</v>
      </c>
      <c r="J550">
        <v>444.15</v>
      </c>
    </row>
    <row r="551" spans="1:10" x14ac:dyDescent="0.25">
      <c r="A551" s="1">
        <v>44954</v>
      </c>
      <c r="B551" t="s">
        <v>40</v>
      </c>
      <c r="C551" t="s">
        <v>19</v>
      </c>
      <c r="D551" t="s">
        <v>12</v>
      </c>
      <c r="E551" t="s">
        <v>238</v>
      </c>
      <c r="F551" t="s">
        <v>191</v>
      </c>
      <c r="G551" t="s">
        <v>35</v>
      </c>
      <c r="H551">
        <v>7</v>
      </c>
      <c r="I551">
        <v>3955</v>
      </c>
      <c r="J551">
        <v>1144.76</v>
      </c>
    </row>
    <row r="552" spans="1:10" x14ac:dyDescent="0.25">
      <c r="A552" s="1">
        <v>45101</v>
      </c>
      <c r="B552" t="s">
        <v>16</v>
      </c>
      <c r="C552" t="s">
        <v>17</v>
      </c>
      <c r="D552" t="s">
        <v>12</v>
      </c>
      <c r="E552" t="s">
        <v>238</v>
      </c>
      <c r="F552" t="s">
        <v>191</v>
      </c>
      <c r="G552" t="s">
        <v>35</v>
      </c>
      <c r="H552">
        <v>8</v>
      </c>
      <c r="I552">
        <v>5256</v>
      </c>
      <c r="J552">
        <v>1118.1600000000001</v>
      </c>
    </row>
    <row r="553" spans="1:10" x14ac:dyDescent="0.25">
      <c r="A553" s="1">
        <v>44923</v>
      </c>
      <c r="B553" t="s">
        <v>25</v>
      </c>
      <c r="C553" t="s">
        <v>19</v>
      </c>
      <c r="D553" t="s">
        <v>12</v>
      </c>
      <c r="E553" t="s">
        <v>239</v>
      </c>
      <c r="F553" t="s">
        <v>23</v>
      </c>
      <c r="G553" t="s">
        <v>24</v>
      </c>
      <c r="H553">
        <v>1</v>
      </c>
      <c r="I553">
        <v>1163</v>
      </c>
      <c r="J553">
        <v>115.09</v>
      </c>
    </row>
    <row r="554" spans="1:10" x14ac:dyDescent="0.25">
      <c r="A554" s="1">
        <v>44828</v>
      </c>
      <c r="B554" t="s">
        <v>32</v>
      </c>
      <c r="C554" t="s">
        <v>19</v>
      </c>
      <c r="D554" t="s">
        <v>12</v>
      </c>
      <c r="E554" t="s">
        <v>166</v>
      </c>
      <c r="F554" t="s">
        <v>31</v>
      </c>
      <c r="G554" t="s">
        <v>24</v>
      </c>
      <c r="H554">
        <v>9</v>
      </c>
      <c r="I554">
        <v>5004</v>
      </c>
      <c r="J554">
        <v>973.65</v>
      </c>
    </row>
    <row r="555" spans="1:10" x14ac:dyDescent="0.25">
      <c r="A555" s="1">
        <v>45052</v>
      </c>
      <c r="B555" t="s">
        <v>16</v>
      </c>
      <c r="C555" t="s">
        <v>17</v>
      </c>
      <c r="D555" t="s">
        <v>12</v>
      </c>
      <c r="E555" t="s">
        <v>240</v>
      </c>
      <c r="F555" t="s">
        <v>94</v>
      </c>
      <c r="G555" t="s">
        <v>24</v>
      </c>
      <c r="H555">
        <v>8</v>
      </c>
      <c r="I555">
        <v>9128</v>
      </c>
      <c r="J555">
        <v>1342.19</v>
      </c>
    </row>
    <row r="556" spans="1:10" x14ac:dyDescent="0.25">
      <c r="A556" s="1">
        <v>45120</v>
      </c>
      <c r="B556" t="s">
        <v>55</v>
      </c>
      <c r="C556" t="s">
        <v>19</v>
      </c>
      <c r="D556" t="s">
        <v>12</v>
      </c>
      <c r="E556" t="s">
        <v>45</v>
      </c>
      <c r="F556" t="s">
        <v>46</v>
      </c>
      <c r="G556" t="s">
        <v>15</v>
      </c>
      <c r="H556">
        <v>4</v>
      </c>
      <c r="I556">
        <v>4700</v>
      </c>
      <c r="J556">
        <v>576.34</v>
      </c>
    </row>
    <row r="557" spans="1:10" x14ac:dyDescent="0.25">
      <c r="A557" s="1">
        <v>44566</v>
      </c>
      <c r="B557" t="s">
        <v>25</v>
      </c>
      <c r="C557" t="s">
        <v>19</v>
      </c>
      <c r="D557" t="s">
        <v>12</v>
      </c>
      <c r="E557" t="s">
        <v>22</v>
      </c>
      <c r="F557" t="s">
        <v>23</v>
      </c>
      <c r="G557" t="s">
        <v>24</v>
      </c>
      <c r="H557">
        <v>2</v>
      </c>
      <c r="I557">
        <v>1686</v>
      </c>
      <c r="J557">
        <v>146.38999999999999</v>
      </c>
    </row>
    <row r="558" spans="1:10" x14ac:dyDescent="0.25">
      <c r="A558" s="1">
        <v>45507</v>
      </c>
      <c r="B558" t="s">
        <v>49</v>
      </c>
      <c r="C558" t="s">
        <v>17</v>
      </c>
      <c r="D558" t="s">
        <v>12</v>
      </c>
      <c r="E558" t="s">
        <v>241</v>
      </c>
      <c r="F558" t="s">
        <v>84</v>
      </c>
      <c r="G558" t="s">
        <v>28</v>
      </c>
      <c r="H558">
        <v>9</v>
      </c>
      <c r="I558">
        <v>4572</v>
      </c>
      <c r="J558">
        <v>279.54000000000002</v>
      </c>
    </row>
    <row r="559" spans="1:10" x14ac:dyDescent="0.25">
      <c r="A559" s="1">
        <v>45159</v>
      </c>
      <c r="B559" t="s">
        <v>40</v>
      </c>
      <c r="C559" t="s">
        <v>19</v>
      </c>
      <c r="D559" t="s">
        <v>12</v>
      </c>
      <c r="E559" t="s">
        <v>56</v>
      </c>
      <c r="F559" t="s">
        <v>57</v>
      </c>
      <c r="G559" t="s">
        <v>24</v>
      </c>
      <c r="H559">
        <v>5</v>
      </c>
      <c r="I559">
        <v>2510</v>
      </c>
      <c r="J559">
        <v>515.12</v>
      </c>
    </row>
    <row r="560" spans="1:10" x14ac:dyDescent="0.25">
      <c r="A560" s="1">
        <v>45081</v>
      </c>
      <c r="B560" t="s">
        <v>40</v>
      </c>
      <c r="C560" t="s">
        <v>19</v>
      </c>
      <c r="D560" t="s">
        <v>12</v>
      </c>
      <c r="E560" t="s">
        <v>242</v>
      </c>
      <c r="F560" t="s">
        <v>21</v>
      </c>
      <c r="G560" t="s">
        <v>15</v>
      </c>
      <c r="H560">
        <v>3</v>
      </c>
      <c r="I560">
        <v>3117</v>
      </c>
      <c r="J560">
        <v>829.09</v>
      </c>
    </row>
    <row r="561" spans="1:10" x14ac:dyDescent="0.25">
      <c r="A561" s="1">
        <v>45424</v>
      </c>
      <c r="B561" t="s">
        <v>55</v>
      </c>
      <c r="C561" t="s">
        <v>19</v>
      </c>
      <c r="D561" t="s">
        <v>12</v>
      </c>
      <c r="E561" t="s">
        <v>103</v>
      </c>
      <c r="F561" t="s">
        <v>21</v>
      </c>
      <c r="G561" t="s">
        <v>15</v>
      </c>
      <c r="H561">
        <v>1</v>
      </c>
      <c r="I561">
        <v>380</v>
      </c>
      <c r="J561">
        <v>94.35</v>
      </c>
    </row>
    <row r="562" spans="1:10" x14ac:dyDescent="0.25">
      <c r="A562" s="1">
        <v>45121</v>
      </c>
      <c r="B562" t="s">
        <v>36</v>
      </c>
      <c r="C562" t="s">
        <v>17</v>
      </c>
      <c r="D562" t="s">
        <v>12</v>
      </c>
      <c r="E562" t="s">
        <v>103</v>
      </c>
      <c r="F562" t="s">
        <v>21</v>
      </c>
      <c r="G562" t="s">
        <v>15</v>
      </c>
      <c r="H562">
        <v>9</v>
      </c>
      <c r="I562">
        <v>2889</v>
      </c>
      <c r="J562">
        <v>604.19000000000005</v>
      </c>
    </row>
    <row r="563" spans="1:10" x14ac:dyDescent="0.25">
      <c r="A563" s="1">
        <v>45604</v>
      </c>
      <c r="B563" t="s">
        <v>32</v>
      </c>
      <c r="C563" t="s">
        <v>19</v>
      </c>
      <c r="D563" t="s">
        <v>12</v>
      </c>
      <c r="E563" t="s">
        <v>22</v>
      </c>
      <c r="F563" t="s">
        <v>23</v>
      </c>
      <c r="G563" t="s">
        <v>24</v>
      </c>
      <c r="H563">
        <v>9</v>
      </c>
      <c r="I563">
        <v>3654</v>
      </c>
      <c r="J563">
        <v>581.9</v>
      </c>
    </row>
    <row r="564" spans="1:10" x14ac:dyDescent="0.25">
      <c r="A564" s="1">
        <v>45181</v>
      </c>
      <c r="B564" t="s">
        <v>10</v>
      </c>
      <c r="C564" t="s">
        <v>11</v>
      </c>
      <c r="D564" t="s">
        <v>12</v>
      </c>
      <c r="E564" t="s">
        <v>243</v>
      </c>
      <c r="F564" t="s">
        <v>63</v>
      </c>
      <c r="G564" t="s">
        <v>28</v>
      </c>
      <c r="H564">
        <v>6</v>
      </c>
      <c r="I564">
        <v>5610</v>
      </c>
      <c r="J564">
        <v>298.77</v>
      </c>
    </row>
    <row r="565" spans="1:10" x14ac:dyDescent="0.25">
      <c r="A565" s="1">
        <v>45409</v>
      </c>
      <c r="B565" t="s">
        <v>40</v>
      </c>
      <c r="C565" t="s">
        <v>19</v>
      </c>
      <c r="D565" t="s">
        <v>12</v>
      </c>
      <c r="E565" t="s">
        <v>37</v>
      </c>
      <c r="F565" t="s">
        <v>34</v>
      </c>
      <c r="G565" t="s">
        <v>35</v>
      </c>
      <c r="H565">
        <v>1</v>
      </c>
      <c r="I565">
        <v>668</v>
      </c>
      <c r="J565">
        <v>99.4</v>
      </c>
    </row>
    <row r="566" spans="1:10" x14ac:dyDescent="0.25">
      <c r="A566" s="1">
        <v>44569</v>
      </c>
      <c r="B566" t="s">
        <v>40</v>
      </c>
      <c r="C566" t="s">
        <v>19</v>
      </c>
      <c r="D566" t="s">
        <v>12</v>
      </c>
      <c r="E566" t="s">
        <v>26</v>
      </c>
      <c r="F566" t="s">
        <v>27</v>
      </c>
      <c r="G566" t="s">
        <v>28</v>
      </c>
      <c r="H566">
        <v>7</v>
      </c>
      <c r="I566">
        <v>3983</v>
      </c>
      <c r="J566">
        <v>360.13</v>
      </c>
    </row>
    <row r="567" spans="1:10" x14ac:dyDescent="0.25">
      <c r="A567" s="1">
        <v>45315</v>
      </c>
      <c r="B567" t="s">
        <v>49</v>
      </c>
      <c r="C567" t="s">
        <v>17</v>
      </c>
      <c r="D567" t="s">
        <v>12</v>
      </c>
      <c r="E567" t="s">
        <v>56</v>
      </c>
      <c r="F567" t="s">
        <v>57</v>
      </c>
      <c r="G567" t="s">
        <v>24</v>
      </c>
      <c r="H567">
        <v>1</v>
      </c>
      <c r="I567">
        <v>1112</v>
      </c>
      <c r="J567">
        <v>272.81</v>
      </c>
    </row>
    <row r="568" spans="1:10" x14ac:dyDescent="0.25">
      <c r="A568" s="1">
        <v>44732</v>
      </c>
      <c r="B568" t="s">
        <v>36</v>
      </c>
      <c r="C568" t="s">
        <v>17</v>
      </c>
      <c r="D568" t="s">
        <v>12</v>
      </c>
      <c r="E568" t="s">
        <v>62</v>
      </c>
      <c r="F568" t="s">
        <v>59</v>
      </c>
      <c r="G568" t="s">
        <v>28</v>
      </c>
      <c r="H568">
        <v>9</v>
      </c>
      <c r="I568">
        <v>4230</v>
      </c>
      <c r="J568">
        <v>221.06</v>
      </c>
    </row>
    <row r="569" spans="1:10" x14ac:dyDescent="0.25">
      <c r="A569" s="1">
        <v>45505</v>
      </c>
      <c r="B569" t="s">
        <v>18</v>
      </c>
      <c r="C569" t="s">
        <v>19</v>
      </c>
      <c r="D569" t="s">
        <v>12</v>
      </c>
      <c r="E569" t="s">
        <v>105</v>
      </c>
      <c r="F569" t="s">
        <v>23</v>
      </c>
      <c r="G569" t="s">
        <v>24</v>
      </c>
      <c r="H569">
        <v>8</v>
      </c>
      <c r="I569">
        <v>2968</v>
      </c>
      <c r="J569">
        <v>530.29999999999995</v>
      </c>
    </row>
    <row r="570" spans="1:10" x14ac:dyDescent="0.25">
      <c r="A570" s="1">
        <v>44571</v>
      </c>
      <c r="B570" t="s">
        <v>36</v>
      </c>
      <c r="C570" t="s">
        <v>17</v>
      </c>
      <c r="D570" t="s">
        <v>12</v>
      </c>
      <c r="E570" t="s">
        <v>74</v>
      </c>
      <c r="F570" t="s">
        <v>23</v>
      </c>
      <c r="G570" t="s">
        <v>24</v>
      </c>
      <c r="H570">
        <v>5</v>
      </c>
      <c r="I570">
        <v>4690</v>
      </c>
      <c r="J570">
        <v>706.74</v>
      </c>
    </row>
    <row r="571" spans="1:10" x14ac:dyDescent="0.25">
      <c r="A571" s="1">
        <v>44690</v>
      </c>
      <c r="B571" t="s">
        <v>25</v>
      </c>
      <c r="C571" t="s">
        <v>19</v>
      </c>
      <c r="D571" t="s">
        <v>12</v>
      </c>
      <c r="E571" t="s">
        <v>64</v>
      </c>
      <c r="F571" t="s">
        <v>84</v>
      </c>
      <c r="G571" t="s">
        <v>28</v>
      </c>
      <c r="H571">
        <v>6</v>
      </c>
      <c r="I571">
        <v>4296</v>
      </c>
      <c r="J571">
        <v>1240.31</v>
      </c>
    </row>
    <row r="572" spans="1:10" x14ac:dyDescent="0.25">
      <c r="A572" s="1">
        <v>45279</v>
      </c>
      <c r="B572" t="s">
        <v>25</v>
      </c>
      <c r="C572" t="s">
        <v>19</v>
      </c>
      <c r="D572" t="s">
        <v>12</v>
      </c>
      <c r="E572" t="s">
        <v>56</v>
      </c>
      <c r="F572" t="s">
        <v>57</v>
      </c>
      <c r="G572" t="s">
        <v>24</v>
      </c>
      <c r="H572">
        <v>7</v>
      </c>
      <c r="I572">
        <v>7203</v>
      </c>
      <c r="J572">
        <v>523.52</v>
      </c>
    </row>
    <row r="573" spans="1:10" x14ac:dyDescent="0.25">
      <c r="A573" s="1">
        <v>44885</v>
      </c>
      <c r="B573" t="s">
        <v>40</v>
      </c>
      <c r="C573" t="s">
        <v>19</v>
      </c>
      <c r="D573" t="s">
        <v>12</v>
      </c>
      <c r="E573" t="s">
        <v>22</v>
      </c>
      <c r="F573" t="s">
        <v>23</v>
      </c>
      <c r="G573" t="s">
        <v>24</v>
      </c>
      <c r="H573">
        <v>4</v>
      </c>
      <c r="I573">
        <v>3640</v>
      </c>
      <c r="J573">
        <v>695.31</v>
      </c>
    </row>
    <row r="574" spans="1:10" x14ac:dyDescent="0.25">
      <c r="A574" s="1">
        <v>44876</v>
      </c>
      <c r="B574" t="s">
        <v>40</v>
      </c>
      <c r="C574" t="s">
        <v>19</v>
      </c>
      <c r="D574" t="s">
        <v>12</v>
      </c>
      <c r="E574" t="s">
        <v>75</v>
      </c>
      <c r="F574" t="s">
        <v>108</v>
      </c>
      <c r="G574" t="s">
        <v>15</v>
      </c>
      <c r="H574">
        <v>1</v>
      </c>
      <c r="I574">
        <v>1131</v>
      </c>
      <c r="J574">
        <v>304.62</v>
      </c>
    </row>
    <row r="575" spans="1:10" x14ac:dyDescent="0.25">
      <c r="A575" s="1">
        <v>45294</v>
      </c>
      <c r="B575" t="s">
        <v>25</v>
      </c>
      <c r="C575" t="s">
        <v>19</v>
      </c>
      <c r="D575" t="s">
        <v>12</v>
      </c>
      <c r="E575" t="s">
        <v>20</v>
      </c>
      <c r="F575" t="s">
        <v>21</v>
      </c>
      <c r="G575" t="s">
        <v>15</v>
      </c>
      <c r="H575">
        <v>9</v>
      </c>
      <c r="I575">
        <v>3627</v>
      </c>
      <c r="J575">
        <v>797.53</v>
      </c>
    </row>
    <row r="576" spans="1:10" x14ac:dyDescent="0.25">
      <c r="A576" s="1">
        <v>45149</v>
      </c>
      <c r="B576" t="s">
        <v>16</v>
      </c>
      <c r="C576" t="s">
        <v>17</v>
      </c>
      <c r="D576" t="s">
        <v>12</v>
      </c>
      <c r="E576" t="s">
        <v>244</v>
      </c>
      <c r="F576" t="s">
        <v>23</v>
      </c>
      <c r="G576" t="s">
        <v>24</v>
      </c>
      <c r="H576">
        <v>8</v>
      </c>
      <c r="I576">
        <v>7968</v>
      </c>
      <c r="J576">
        <v>1249.98</v>
      </c>
    </row>
    <row r="577" spans="1:10" x14ac:dyDescent="0.25">
      <c r="A577" s="1">
        <v>44888</v>
      </c>
      <c r="B577" t="s">
        <v>29</v>
      </c>
      <c r="C577" t="s">
        <v>17</v>
      </c>
      <c r="D577" t="s">
        <v>12</v>
      </c>
      <c r="E577" t="s">
        <v>245</v>
      </c>
      <c r="F577" t="s">
        <v>21</v>
      </c>
      <c r="G577" t="s">
        <v>15</v>
      </c>
      <c r="H577">
        <v>3</v>
      </c>
      <c r="I577">
        <v>3546</v>
      </c>
      <c r="J577">
        <v>490.28</v>
      </c>
    </row>
    <row r="578" spans="1:10" x14ac:dyDescent="0.25">
      <c r="A578" s="1">
        <v>45352</v>
      </c>
      <c r="B578" t="s">
        <v>18</v>
      </c>
      <c r="C578" t="s">
        <v>19</v>
      </c>
      <c r="D578" t="s">
        <v>12</v>
      </c>
      <c r="E578" t="s">
        <v>22</v>
      </c>
      <c r="F578" t="s">
        <v>23</v>
      </c>
      <c r="G578" t="s">
        <v>24</v>
      </c>
      <c r="H578">
        <v>5</v>
      </c>
      <c r="I578">
        <v>2270</v>
      </c>
      <c r="J578">
        <v>546.55999999999995</v>
      </c>
    </row>
    <row r="579" spans="1:10" x14ac:dyDescent="0.25">
      <c r="A579" s="1">
        <v>45114</v>
      </c>
      <c r="B579" t="s">
        <v>49</v>
      </c>
      <c r="C579" t="s">
        <v>17</v>
      </c>
      <c r="D579" t="s">
        <v>12</v>
      </c>
      <c r="E579" t="s">
        <v>246</v>
      </c>
      <c r="F579" t="s">
        <v>34</v>
      </c>
      <c r="G579" t="s">
        <v>35</v>
      </c>
      <c r="H579">
        <v>2</v>
      </c>
      <c r="I579">
        <v>1354</v>
      </c>
      <c r="J579">
        <v>136.91</v>
      </c>
    </row>
    <row r="580" spans="1:10" x14ac:dyDescent="0.25">
      <c r="A580" s="1">
        <v>45036</v>
      </c>
      <c r="B580" t="s">
        <v>29</v>
      </c>
      <c r="C580" t="s">
        <v>17</v>
      </c>
      <c r="D580" t="s">
        <v>12</v>
      </c>
      <c r="E580" t="s">
        <v>246</v>
      </c>
      <c r="F580" t="s">
        <v>34</v>
      </c>
      <c r="G580" t="s">
        <v>35</v>
      </c>
      <c r="H580">
        <v>7</v>
      </c>
      <c r="I580">
        <v>6811</v>
      </c>
      <c r="J580">
        <v>1423.57</v>
      </c>
    </row>
    <row r="581" spans="1:10" x14ac:dyDescent="0.25">
      <c r="A581" s="1">
        <v>44601</v>
      </c>
      <c r="B581" t="s">
        <v>32</v>
      </c>
      <c r="C581" t="s">
        <v>19</v>
      </c>
      <c r="D581" t="s">
        <v>12</v>
      </c>
      <c r="E581" t="s">
        <v>247</v>
      </c>
      <c r="F581" t="s">
        <v>23</v>
      </c>
      <c r="G581" t="s">
        <v>24</v>
      </c>
      <c r="H581">
        <v>3</v>
      </c>
      <c r="I581">
        <v>1410</v>
      </c>
      <c r="J581">
        <v>232.65</v>
      </c>
    </row>
    <row r="582" spans="1:10" x14ac:dyDescent="0.25">
      <c r="A582" s="1">
        <v>44851</v>
      </c>
      <c r="B582" t="s">
        <v>49</v>
      </c>
      <c r="C582" t="s">
        <v>17</v>
      </c>
      <c r="D582" t="s">
        <v>12</v>
      </c>
      <c r="E582" t="s">
        <v>248</v>
      </c>
      <c r="F582" t="s">
        <v>227</v>
      </c>
      <c r="G582" t="s">
        <v>24</v>
      </c>
      <c r="H582">
        <v>2</v>
      </c>
      <c r="I582">
        <v>1170</v>
      </c>
      <c r="J582">
        <v>249.99</v>
      </c>
    </row>
    <row r="583" spans="1:10" x14ac:dyDescent="0.25">
      <c r="A583" s="1">
        <v>45142</v>
      </c>
      <c r="B583" t="s">
        <v>55</v>
      </c>
      <c r="C583" t="s">
        <v>19</v>
      </c>
      <c r="D583" t="s">
        <v>12</v>
      </c>
      <c r="E583" t="s">
        <v>178</v>
      </c>
      <c r="F583" t="s">
        <v>34</v>
      </c>
      <c r="G583" t="s">
        <v>35</v>
      </c>
      <c r="H583">
        <v>7</v>
      </c>
      <c r="I583">
        <v>4739</v>
      </c>
      <c r="J583">
        <v>740.74</v>
      </c>
    </row>
    <row r="584" spans="1:10" x14ac:dyDescent="0.25">
      <c r="A584" s="1">
        <v>45261</v>
      </c>
      <c r="B584" t="s">
        <v>16</v>
      </c>
      <c r="C584" t="s">
        <v>17</v>
      </c>
      <c r="D584" t="s">
        <v>12</v>
      </c>
      <c r="E584" t="s">
        <v>56</v>
      </c>
      <c r="F584" t="s">
        <v>57</v>
      </c>
      <c r="G584" t="s">
        <v>24</v>
      </c>
      <c r="H584">
        <v>9</v>
      </c>
      <c r="I584">
        <v>7866</v>
      </c>
      <c r="J584">
        <v>1554.38</v>
      </c>
    </row>
    <row r="585" spans="1:10" x14ac:dyDescent="0.25">
      <c r="A585" s="1">
        <v>44773</v>
      </c>
      <c r="B585" t="s">
        <v>36</v>
      </c>
      <c r="C585" t="s">
        <v>17</v>
      </c>
      <c r="D585" t="s">
        <v>12</v>
      </c>
      <c r="E585" t="s">
        <v>56</v>
      </c>
      <c r="F585" t="s">
        <v>57</v>
      </c>
      <c r="G585" t="s">
        <v>24</v>
      </c>
      <c r="H585">
        <v>5</v>
      </c>
      <c r="I585">
        <v>3645</v>
      </c>
      <c r="J585">
        <v>388.31</v>
      </c>
    </row>
    <row r="586" spans="1:10" x14ac:dyDescent="0.25">
      <c r="A586" s="1">
        <v>44981</v>
      </c>
      <c r="B586" t="s">
        <v>29</v>
      </c>
      <c r="C586" t="s">
        <v>17</v>
      </c>
      <c r="D586" t="s">
        <v>12</v>
      </c>
      <c r="E586" t="s">
        <v>136</v>
      </c>
      <c r="F586" t="s">
        <v>65</v>
      </c>
      <c r="G586" t="s">
        <v>35</v>
      </c>
      <c r="H586">
        <v>6</v>
      </c>
      <c r="I586">
        <v>5358</v>
      </c>
      <c r="J586">
        <v>568.34</v>
      </c>
    </row>
    <row r="587" spans="1:10" x14ac:dyDescent="0.25">
      <c r="A587" s="1">
        <v>45430</v>
      </c>
      <c r="B587" t="s">
        <v>25</v>
      </c>
      <c r="C587" t="s">
        <v>19</v>
      </c>
      <c r="D587" t="s">
        <v>12</v>
      </c>
      <c r="E587" t="s">
        <v>136</v>
      </c>
      <c r="F587" t="s">
        <v>65</v>
      </c>
      <c r="G587" t="s">
        <v>35</v>
      </c>
      <c r="H587">
        <v>5</v>
      </c>
      <c r="I587">
        <v>1775</v>
      </c>
      <c r="J587">
        <v>486.37</v>
      </c>
    </row>
    <row r="588" spans="1:10" x14ac:dyDescent="0.25">
      <c r="A588" s="1">
        <v>45065</v>
      </c>
      <c r="B588" t="s">
        <v>29</v>
      </c>
      <c r="C588" t="s">
        <v>17</v>
      </c>
      <c r="D588" t="s">
        <v>12</v>
      </c>
      <c r="E588" t="s">
        <v>136</v>
      </c>
      <c r="F588" t="s">
        <v>65</v>
      </c>
      <c r="G588" t="s">
        <v>35</v>
      </c>
      <c r="H588">
        <v>9</v>
      </c>
      <c r="I588">
        <v>4905</v>
      </c>
      <c r="J588">
        <v>1351.25</v>
      </c>
    </row>
    <row r="589" spans="1:10" x14ac:dyDescent="0.25">
      <c r="A589" s="1">
        <v>44833</v>
      </c>
      <c r="B589" t="s">
        <v>16</v>
      </c>
      <c r="C589" t="s">
        <v>17</v>
      </c>
      <c r="D589" t="s">
        <v>12</v>
      </c>
      <c r="E589" t="s">
        <v>64</v>
      </c>
      <c r="F589" t="s">
        <v>84</v>
      </c>
      <c r="G589" t="s">
        <v>28</v>
      </c>
      <c r="H589">
        <v>6</v>
      </c>
      <c r="I589">
        <v>4260</v>
      </c>
      <c r="J589">
        <v>372.33</v>
      </c>
    </row>
    <row r="590" spans="1:10" x14ac:dyDescent="0.25">
      <c r="A590" s="1">
        <v>45538</v>
      </c>
      <c r="B590" t="s">
        <v>10</v>
      </c>
      <c r="C590" t="s">
        <v>11</v>
      </c>
      <c r="D590" t="s">
        <v>12</v>
      </c>
      <c r="E590" t="s">
        <v>64</v>
      </c>
      <c r="F590" t="s">
        <v>84</v>
      </c>
      <c r="G590" t="s">
        <v>28</v>
      </c>
      <c r="H590">
        <v>2</v>
      </c>
      <c r="I590">
        <v>1632</v>
      </c>
      <c r="J590">
        <v>292.77999999999997</v>
      </c>
    </row>
    <row r="591" spans="1:10" x14ac:dyDescent="0.25">
      <c r="A591" s="1">
        <v>44997</v>
      </c>
      <c r="B591" t="s">
        <v>32</v>
      </c>
      <c r="C591" t="s">
        <v>19</v>
      </c>
      <c r="D591" t="s">
        <v>12</v>
      </c>
      <c r="E591" t="s">
        <v>150</v>
      </c>
      <c r="F591" t="s">
        <v>23</v>
      </c>
      <c r="G591" t="s">
        <v>24</v>
      </c>
      <c r="H591">
        <v>6</v>
      </c>
      <c r="I591">
        <v>3324</v>
      </c>
      <c r="J591">
        <v>466.78</v>
      </c>
    </row>
    <row r="592" spans="1:10" x14ac:dyDescent="0.25">
      <c r="A592" s="1">
        <v>45124</v>
      </c>
      <c r="B592" t="s">
        <v>25</v>
      </c>
      <c r="C592" t="s">
        <v>19</v>
      </c>
      <c r="D592" t="s">
        <v>12</v>
      </c>
      <c r="E592" t="s">
        <v>37</v>
      </c>
      <c r="F592" t="s">
        <v>34</v>
      </c>
      <c r="G592" t="s">
        <v>35</v>
      </c>
      <c r="H592">
        <v>5</v>
      </c>
      <c r="I592">
        <v>4590</v>
      </c>
      <c r="J592">
        <v>347.14</v>
      </c>
    </row>
    <row r="593" spans="1:10" x14ac:dyDescent="0.25">
      <c r="A593" s="1">
        <v>44665</v>
      </c>
      <c r="B593" t="s">
        <v>55</v>
      </c>
      <c r="C593" t="s">
        <v>19</v>
      </c>
      <c r="D593" t="s">
        <v>12</v>
      </c>
      <c r="E593" t="s">
        <v>249</v>
      </c>
      <c r="F593" t="s">
        <v>115</v>
      </c>
      <c r="G593" t="s">
        <v>15</v>
      </c>
      <c r="H593">
        <v>9</v>
      </c>
      <c r="I593">
        <v>8496</v>
      </c>
      <c r="J593">
        <v>2182.42</v>
      </c>
    </row>
    <row r="594" spans="1:10" x14ac:dyDescent="0.25">
      <c r="A594" s="1">
        <v>44728</v>
      </c>
      <c r="B594" t="s">
        <v>10</v>
      </c>
      <c r="C594" t="s">
        <v>11</v>
      </c>
      <c r="D594" t="s">
        <v>12</v>
      </c>
      <c r="E594" t="s">
        <v>250</v>
      </c>
      <c r="F594" t="s">
        <v>44</v>
      </c>
      <c r="G594" t="s">
        <v>35</v>
      </c>
      <c r="H594">
        <v>6</v>
      </c>
      <c r="I594">
        <v>6444</v>
      </c>
      <c r="J594">
        <v>518.79</v>
      </c>
    </row>
    <row r="595" spans="1:10" x14ac:dyDescent="0.25">
      <c r="A595" s="1">
        <v>44634</v>
      </c>
      <c r="B595" t="s">
        <v>25</v>
      </c>
      <c r="C595" t="s">
        <v>19</v>
      </c>
      <c r="D595" t="s">
        <v>12</v>
      </c>
      <c r="E595" t="s">
        <v>220</v>
      </c>
      <c r="F595" t="s">
        <v>108</v>
      </c>
      <c r="G595" t="s">
        <v>15</v>
      </c>
      <c r="H595">
        <v>1</v>
      </c>
      <c r="I595">
        <v>812</v>
      </c>
      <c r="J595">
        <v>51.13</v>
      </c>
    </row>
    <row r="596" spans="1:10" x14ac:dyDescent="0.25">
      <c r="A596" s="1">
        <v>45122</v>
      </c>
      <c r="B596" t="s">
        <v>36</v>
      </c>
      <c r="C596" t="s">
        <v>17</v>
      </c>
      <c r="D596" t="s">
        <v>12</v>
      </c>
      <c r="E596" t="s">
        <v>118</v>
      </c>
      <c r="F596" t="s">
        <v>42</v>
      </c>
      <c r="G596" t="s">
        <v>28</v>
      </c>
      <c r="H596">
        <v>6</v>
      </c>
      <c r="I596">
        <v>1764</v>
      </c>
      <c r="J596">
        <v>465.93</v>
      </c>
    </row>
    <row r="597" spans="1:10" x14ac:dyDescent="0.25">
      <c r="A597" s="1">
        <v>45425</v>
      </c>
      <c r="B597" t="s">
        <v>10</v>
      </c>
      <c r="C597" t="s">
        <v>11</v>
      </c>
      <c r="D597" t="s">
        <v>12</v>
      </c>
      <c r="E597" t="s">
        <v>118</v>
      </c>
      <c r="F597" t="s">
        <v>42</v>
      </c>
      <c r="G597" t="s">
        <v>28</v>
      </c>
      <c r="H597">
        <v>1</v>
      </c>
      <c r="I597">
        <v>1012</v>
      </c>
      <c r="J597">
        <v>172.67</v>
      </c>
    </row>
    <row r="598" spans="1:10" x14ac:dyDescent="0.25">
      <c r="A598" s="1">
        <v>45049</v>
      </c>
      <c r="B598" t="s">
        <v>49</v>
      </c>
      <c r="C598" t="s">
        <v>17</v>
      </c>
      <c r="D598" t="s">
        <v>12</v>
      </c>
      <c r="E598" t="s">
        <v>105</v>
      </c>
      <c r="F598" t="s">
        <v>23</v>
      </c>
      <c r="G598" t="s">
        <v>24</v>
      </c>
      <c r="H598">
        <v>2</v>
      </c>
      <c r="I598">
        <v>836</v>
      </c>
      <c r="J598">
        <v>47.07</v>
      </c>
    </row>
    <row r="599" spans="1:10" x14ac:dyDescent="0.25">
      <c r="A599" s="1">
        <v>45289</v>
      </c>
      <c r="B599" t="s">
        <v>32</v>
      </c>
      <c r="C599" t="s">
        <v>19</v>
      </c>
      <c r="D599" t="s">
        <v>12</v>
      </c>
      <c r="E599" t="s">
        <v>229</v>
      </c>
      <c r="F599" t="s">
        <v>149</v>
      </c>
      <c r="G599" t="s">
        <v>15</v>
      </c>
      <c r="H599">
        <v>1</v>
      </c>
      <c r="I599">
        <v>723</v>
      </c>
      <c r="J599">
        <v>115.26</v>
      </c>
    </row>
    <row r="600" spans="1:10" x14ac:dyDescent="0.25">
      <c r="A600" s="1">
        <v>44900</v>
      </c>
      <c r="B600" t="s">
        <v>29</v>
      </c>
      <c r="C600" t="s">
        <v>17</v>
      </c>
      <c r="D600" t="s">
        <v>12</v>
      </c>
      <c r="E600" t="s">
        <v>251</v>
      </c>
      <c r="F600" t="s">
        <v>108</v>
      </c>
      <c r="G600" t="s">
        <v>15</v>
      </c>
      <c r="H600">
        <v>6</v>
      </c>
      <c r="I600">
        <v>5628</v>
      </c>
      <c r="J600">
        <v>1033.1500000000001</v>
      </c>
    </row>
    <row r="601" spans="1:10" x14ac:dyDescent="0.25">
      <c r="A601" s="1">
        <v>45561</v>
      </c>
      <c r="B601" t="s">
        <v>55</v>
      </c>
      <c r="C601" t="s">
        <v>19</v>
      </c>
      <c r="D601" t="s">
        <v>12</v>
      </c>
      <c r="E601" t="s">
        <v>120</v>
      </c>
      <c r="F601" t="s">
        <v>21</v>
      </c>
      <c r="G601" t="s">
        <v>15</v>
      </c>
      <c r="H601">
        <v>5</v>
      </c>
      <c r="I601">
        <v>1660</v>
      </c>
      <c r="J601">
        <v>283.14</v>
      </c>
    </row>
    <row r="602" spans="1:10" x14ac:dyDescent="0.25">
      <c r="A602" s="1">
        <v>45013</v>
      </c>
      <c r="B602" t="s">
        <v>29</v>
      </c>
      <c r="C602" t="s">
        <v>17</v>
      </c>
      <c r="D602" t="s">
        <v>12</v>
      </c>
      <c r="E602" t="s">
        <v>164</v>
      </c>
      <c r="F602" t="s">
        <v>94</v>
      </c>
      <c r="G602" t="s">
        <v>24</v>
      </c>
      <c r="H602">
        <v>3</v>
      </c>
      <c r="I602">
        <v>2295</v>
      </c>
      <c r="J602">
        <v>244.83</v>
      </c>
    </row>
    <row r="603" spans="1:10" x14ac:dyDescent="0.25">
      <c r="A603" s="1">
        <v>45401</v>
      </c>
      <c r="B603" t="s">
        <v>10</v>
      </c>
      <c r="C603" t="s">
        <v>11</v>
      </c>
      <c r="D603" t="s">
        <v>12</v>
      </c>
      <c r="E603" t="s">
        <v>105</v>
      </c>
      <c r="F603" t="s">
        <v>23</v>
      </c>
      <c r="G603" t="s">
        <v>24</v>
      </c>
      <c r="H603">
        <v>2</v>
      </c>
      <c r="I603">
        <v>2190</v>
      </c>
      <c r="J603">
        <v>477.8</v>
      </c>
    </row>
    <row r="604" spans="1:10" x14ac:dyDescent="0.25">
      <c r="A604" s="1">
        <v>45576</v>
      </c>
      <c r="B604" t="s">
        <v>18</v>
      </c>
      <c r="C604" t="s">
        <v>19</v>
      </c>
      <c r="D604" t="s">
        <v>12</v>
      </c>
      <c r="E604" t="s">
        <v>105</v>
      </c>
      <c r="F604" t="s">
        <v>23</v>
      </c>
      <c r="G604" t="s">
        <v>24</v>
      </c>
      <c r="H604">
        <v>7</v>
      </c>
      <c r="I604">
        <v>3500</v>
      </c>
      <c r="J604">
        <v>919.35</v>
      </c>
    </row>
    <row r="605" spans="1:10" x14ac:dyDescent="0.25">
      <c r="A605" s="1">
        <v>44674</v>
      </c>
      <c r="B605" t="s">
        <v>29</v>
      </c>
      <c r="C605" t="s">
        <v>17</v>
      </c>
      <c r="D605" t="s">
        <v>12</v>
      </c>
      <c r="E605" t="s">
        <v>74</v>
      </c>
      <c r="F605" t="s">
        <v>23</v>
      </c>
      <c r="G605" t="s">
        <v>24</v>
      </c>
      <c r="H605">
        <v>2</v>
      </c>
      <c r="I605">
        <v>1098</v>
      </c>
      <c r="J605">
        <v>239.92</v>
      </c>
    </row>
    <row r="606" spans="1:10" x14ac:dyDescent="0.25">
      <c r="A606" s="1">
        <v>45078</v>
      </c>
      <c r="B606" t="s">
        <v>16</v>
      </c>
      <c r="C606" t="s">
        <v>17</v>
      </c>
      <c r="D606" t="s">
        <v>12</v>
      </c>
      <c r="E606" t="s">
        <v>252</v>
      </c>
      <c r="F606" t="s">
        <v>94</v>
      </c>
      <c r="G606" t="s">
        <v>24</v>
      </c>
      <c r="H606">
        <v>5</v>
      </c>
      <c r="I606">
        <v>945</v>
      </c>
      <c r="J606">
        <v>194.03</v>
      </c>
    </row>
    <row r="607" spans="1:10" x14ac:dyDescent="0.25">
      <c r="A607" s="1">
        <v>44611</v>
      </c>
      <c r="B607" t="s">
        <v>16</v>
      </c>
      <c r="C607" t="s">
        <v>17</v>
      </c>
      <c r="D607" t="s">
        <v>12</v>
      </c>
      <c r="E607" t="s">
        <v>253</v>
      </c>
      <c r="F607" t="s">
        <v>183</v>
      </c>
      <c r="G607" t="s">
        <v>15</v>
      </c>
      <c r="H607">
        <v>6</v>
      </c>
      <c r="I607">
        <v>5622</v>
      </c>
      <c r="J607">
        <v>1382.67</v>
      </c>
    </row>
    <row r="608" spans="1:10" x14ac:dyDescent="0.25">
      <c r="A608" s="1">
        <v>45120</v>
      </c>
      <c r="B608" t="s">
        <v>25</v>
      </c>
      <c r="C608" t="s">
        <v>19</v>
      </c>
      <c r="D608" t="s">
        <v>12</v>
      </c>
      <c r="E608" t="s">
        <v>134</v>
      </c>
      <c r="F608" t="s">
        <v>42</v>
      </c>
      <c r="G608" t="s">
        <v>28</v>
      </c>
      <c r="H608">
        <v>3</v>
      </c>
      <c r="I608">
        <v>2325</v>
      </c>
      <c r="J608">
        <v>309.49</v>
      </c>
    </row>
    <row r="609" spans="1:10" x14ac:dyDescent="0.25">
      <c r="A609" s="1">
        <v>44776</v>
      </c>
      <c r="B609" t="s">
        <v>49</v>
      </c>
      <c r="C609" t="s">
        <v>17</v>
      </c>
      <c r="D609" t="s">
        <v>12</v>
      </c>
      <c r="E609" t="s">
        <v>37</v>
      </c>
      <c r="F609" t="s">
        <v>34</v>
      </c>
      <c r="G609" t="s">
        <v>35</v>
      </c>
      <c r="H609">
        <v>1</v>
      </c>
      <c r="I609">
        <v>1157</v>
      </c>
      <c r="J609">
        <v>252.08</v>
      </c>
    </row>
    <row r="610" spans="1:10" x14ac:dyDescent="0.25">
      <c r="A610" s="1">
        <v>45321</v>
      </c>
      <c r="B610" t="s">
        <v>10</v>
      </c>
      <c r="C610" t="s">
        <v>11</v>
      </c>
      <c r="D610" t="s">
        <v>12</v>
      </c>
      <c r="E610" t="s">
        <v>254</v>
      </c>
      <c r="F610" t="s">
        <v>44</v>
      </c>
      <c r="G610" t="s">
        <v>35</v>
      </c>
      <c r="H610">
        <v>3</v>
      </c>
      <c r="I610">
        <v>531</v>
      </c>
      <c r="J610">
        <v>126.24</v>
      </c>
    </row>
    <row r="611" spans="1:10" x14ac:dyDescent="0.25">
      <c r="A611" s="1">
        <v>45130</v>
      </c>
      <c r="B611" t="s">
        <v>18</v>
      </c>
      <c r="C611" t="s">
        <v>19</v>
      </c>
      <c r="D611" t="s">
        <v>12</v>
      </c>
      <c r="E611" t="s">
        <v>26</v>
      </c>
      <c r="F611" t="s">
        <v>27</v>
      </c>
      <c r="G611" t="s">
        <v>28</v>
      </c>
      <c r="H611">
        <v>2</v>
      </c>
      <c r="I611">
        <v>1760</v>
      </c>
      <c r="J611">
        <v>278.08999999999997</v>
      </c>
    </row>
    <row r="612" spans="1:10" x14ac:dyDescent="0.25">
      <c r="A612" s="1">
        <v>45242</v>
      </c>
      <c r="B612" t="s">
        <v>32</v>
      </c>
      <c r="C612" t="s">
        <v>19</v>
      </c>
      <c r="D612" t="s">
        <v>12</v>
      </c>
      <c r="E612" t="s">
        <v>26</v>
      </c>
      <c r="F612" t="s">
        <v>27</v>
      </c>
      <c r="G612" t="s">
        <v>28</v>
      </c>
      <c r="H612">
        <v>1</v>
      </c>
      <c r="I612">
        <v>371</v>
      </c>
      <c r="J612">
        <v>108.58</v>
      </c>
    </row>
    <row r="613" spans="1:10" x14ac:dyDescent="0.25">
      <c r="A613" s="1">
        <v>45580</v>
      </c>
      <c r="B613" t="s">
        <v>40</v>
      </c>
      <c r="C613" t="s">
        <v>19</v>
      </c>
      <c r="D613" t="s">
        <v>12</v>
      </c>
      <c r="E613" t="s">
        <v>177</v>
      </c>
      <c r="F613" t="s">
        <v>42</v>
      </c>
      <c r="G613" t="s">
        <v>28</v>
      </c>
      <c r="H613">
        <v>4</v>
      </c>
      <c r="I613">
        <v>1896</v>
      </c>
      <c r="J613">
        <v>191.7</v>
      </c>
    </row>
    <row r="614" spans="1:10" x14ac:dyDescent="0.25">
      <c r="A614" s="1">
        <v>45147</v>
      </c>
      <c r="B614" t="s">
        <v>32</v>
      </c>
      <c r="C614" t="s">
        <v>19</v>
      </c>
      <c r="D614" t="s">
        <v>12</v>
      </c>
      <c r="E614" t="s">
        <v>75</v>
      </c>
      <c r="F614" t="s">
        <v>108</v>
      </c>
      <c r="G614" t="s">
        <v>15</v>
      </c>
      <c r="H614">
        <v>2</v>
      </c>
      <c r="I614">
        <v>514</v>
      </c>
      <c r="J614">
        <v>106.75</v>
      </c>
    </row>
    <row r="615" spans="1:10" x14ac:dyDescent="0.25">
      <c r="A615" s="1">
        <v>44791</v>
      </c>
      <c r="B615" t="s">
        <v>36</v>
      </c>
      <c r="C615" t="s">
        <v>17</v>
      </c>
      <c r="D615" t="s">
        <v>12</v>
      </c>
      <c r="E615" t="s">
        <v>255</v>
      </c>
      <c r="F615" t="s">
        <v>71</v>
      </c>
      <c r="G615" t="s">
        <v>35</v>
      </c>
      <c r="H615">
        <v>7</v>
      </c>
      <c r="I615">
        <v>1876</v>
      </c>
      <c r="J615">
        <v>129.25</v>
      </c>
    </row>
    <row r="616" spans="1:10" x14ac:dyDescent="0.25">
      <c r="A616" s="1">
        <v>45157</v>
      </c>
      <c r="B616" t="s">
        <v>25</v>
      </c>
      <c r="C616" t="s">
        <v>19</v>
      </c>
      <c r="D616" t="s">
        <v>12</v>
      </c>
      <c r="E616" t="s">
        <v>74</v>
      </c>
      <c r="F616" t="s">
        <v>23</v>
      </c>
      <c r="G616" t="s">
        <v>24</v>
      </c>
      <c r="H616">
        <v>6</v>
      </c>
      <c r="I616">
        <v>1182</v>
      </c>
      <c r="J616">
        <v>236.12</v>
      </c>
    </row>
    <row r="617" spans="1:10" x14ac:dyDescent="0.25">
      <c r="A617" s="1">
        <v>44634</v>
      </c>
      <c r="B617" t="s">
        <v>40</v>
      </c>
      <c r="C617" t="s">
        <v>19</v>
      </c>
      <c r="D617" t="s">
        <v>12</v>
      </c>
      <c r="E617" t="s">
        <v>136</v>
      </c>
      <c r="F617" t="s">
        <v>65</v>
      </c>
      <c r="G617" t="s">
        <v>35</v>
      </c>
      <c r="H617">
        <v>5</v>
      </c>
      <c r="I617">
        <v>4255</v>
      </c>
      <c r="J617">
        <v>961.41</v>
      </c>
    </row>
    <row r="618" spans="1:10" x14ac:dyDescent="0.25">
      <c r="A618" s="1">
        <v>44819</v>
      </c>
      <c r="B618" t="s">
        <v>36</v>
      </c>
      <c r="C618" t="s">
        <v>17</v>
      </c>
      <c r="D618" t="s">
        <v>12</v>
      </c>
      <c r="E618" t="s">
        <v>136</v>
      </c>
      <c r="F618" t="s">
        <v>65</v>
      </c>
      <c r="G618" t="s">
        <v>35</v>
      </c>
      <c r="H618">
        <v>9</v>
      </c>
      <c r="I618">
        <v>1341</v>
      </c>
      <c r="J618">
        <v>150.69999999999999</v>
      </c>
    </row>
    <row r="619" spans="1:10" x14ac:dyDescent="0.25">
      <c r="A619" s="1">
        <v>44827</v>
      </c>
      <c r="B619" t="s">
        <v>49</v>
      </c>
      <c r="C619" t="s">
        <v>17</v>
      </c>
      <c r="D619" t="s">
        <v>12</v>
      </c>
      <c r="E619" t="s">
        <v>136</v>
      </c>
      <c r="F619" t="s">
        <v>65</v>
      </c>
      <c r="G619" t="s">
        <v>35</v>
      </c>
      <c r="H619">
        <v>1</v>
      </c>
      <c r="I619">
        <v>644</v>
      </c>
      <c r="J619">
        <v>49.25</v>
      </c>
    </row>
    <row r="620" spans="1:10" x14ac:dyDescent="0.25">
      <c r="A620" s="1">
        <v>45429</v>
      </c>
      <c r="B620" t="s">
        <v>36</v>
      </c>
      <c r="C620" t="s">
        <v>17</v>
      </c>
      <c r="D620" t="s">
        <v>12</v>
      </c>
      <c r="E620" t="s">
        <v>22</v>
      </c>
      <c r="F620" t="s">
        <v>23</v>
      </c>
      <c r="G620" t="s">
        <v>24</v>
      </c>
      <c r="H620">
        <v>3</v>
      </c>
      <c r="I620">
        <v>1827</v>
      </c>
      <c r="J620">
        <v>94.4</v>
      </c>
    </row>
    <row r="621" spans="1:10" x14ac:dyDescent="0.25">
      <c r="A621" s="1">
        <v>45592</v>
      </c>
      <c r="B621" t="s">
        <v>25</v>
      </c>
      <c r="C621" t="s">
        <v>19</v>
      </c>
      <c r="D621" t="s">
        <v>12</v>
      </c>
      <c r="E621" t="s">
        <v>74</v>
      </c>
      <c r="F621" t="s">
        <v>23</v>
      </c>
      <c r="G621" t="s">
        <v>24</v>
      </c>
      <c r="H621">
        <v>1</v>
      </c>
      <c r="I621">
        <v>930</v>
      </c>
      <c r="J621">
        <v>136.16</v>
      </c>
    </row>
    <row r="622" spans="1:10" x14ac:dyDescent="0.25">
      <c r="A622" s="1">
        <v>44607</v>
      </c>
      <c r="B622" t="s">
        <v>25</v>
      </c>
      <c r="C622" t="s">
        <v>19</v>
      </c>
      <c r="D622" t="s">
        <v>12</v>
      </c>
      <c r="E622" t="s">
        <v>105</v>
      </c>
      <c r="F622" t="s">
        <v>23</v>
      </c>
      <c r="G622" t="s">
        <v>24</v>
      </c>
      <c r="H622">
        <v>4</v>
      </c>
      <c r="I622">
        <v>528</v>
      </c>
      <c r="J622">
        <v>152.80000000000001</v>
      </c>
    </row>
    <row r="623" spans="1:10" x14ac:dyDescent="0.25">
      <c r="A623" s="1">
        <v>44615</v>
      </c>
      <c r="B623" t="s">
        <v>36</v>
      </c>
      <c r="C623" t="s">
        <v>17</v>
      </c>
      <c r="D623" t="s">
        <v>12</v>
      </c>
      <c r="E623" t="s">
        <v>171</v>
      </c>
      <c r="F623" t="s">
        <v>94</v>
      </c>
      <c r="G623" t="s">
        <v>24</v>
      </c>
      <c r="H623">
        <v>6</v>
      </c>
      <c r="I623">
        <v>4236</v>
      </c>
      <c r="J623">
        <v>739.22</v>
      </c>
    </row>
    <row r="624" spans="1:10" x14ac:dyDescent="0.25">
      <c r="A624" s="1">
        <v>44940</v>
      </c>
      <c r="B624" t="s">
        <v>29</v>
      </c>
      <c r="C624" t="s">
        <v>17</v>
      </c>
      <c r="D624" t="s">
        <v>12</v>
      </c>
      <c r="E624" t="s">
        <v>171</v>
      </c>
      <c r="F624" t="s">
        <v>94</v>
      </c>
      <c r="G624" t="s">
        <v>24</v>
      </c>
      <c r="H624">
        <v>4</v>
      </c>
      <c r="I624">
        <v>1664</v>
      </c>
      <c r="J624">
        <v>190.82</v>
      </c>
    </row>
    <row r="625" spans="1:10" x14ac:dyDescent="0.25">
      <c r="A625" s="1">
        <v>44938</v>
      </c>
      <c r="B625" t="s">
        <v>32</v>
      </c>
      <c r="C625" t="s">
        <v>19</v>
      </c>
      <c r="D625" t="s">
        <v>12</v>
      </c>
      <c r="E625" t="s">
        <v>177</v>
      </c>
      <c r="F625" t="s">
        <v>42</v>
      </c>
      <c r="G625" t="s">
        <v>28</v>
      </c>
      <c r="H625">
        <v>3</v>
      </c>
      <c r="I625">
        <v>2727</v>
      </c>
      <c r="J625">
        <v>554.46</v>
      </c>
    </row>
    <row r="626" spans="1:10" x14ac:dyDescent="0.25">
      <c r="A626" s="1">
        <v>44600</v>
      </c>
      <c r="B626" t="s">
        <v>32</v>
      </c>
      <c r="C626" t="s">
        <v>19</v>
      </c>
      <c r="D626" t="s">
        <v>12</v>
      </c>
      <c r="E626" t="s">
        <v>118</v>
      </c>
      <c r="F626" t="s">
        <v>23</v>
      </c>
      <c r="G626" t="s">
        <v>24</v>
      </c>
      <c r="H626">
        <v>2</v>
      </c>
      <c r="I626">
        <v>522</v>
      </c>
      <c r="J626">
        <v>52.73</v>
      </c>
    </row>
    <row r="627" spans="1:10" x14ac:dyDescent="0.25">
      <c r="A627" s="1">
        <v>45632</v>
      </c>
      <c r="B627" t="s">
        <v>16</v>
      </c>
      <c r="C627" t="s">
        <v>17</v>
      </c>
      <c r="D627" t="s">
        <v>12</v>
      </c>
      <c r="E627" t="s">
        <v>118</v>
      </c>
      <c r="F627" t="s">
        <v>23</v>
      </c>
      <c r="G627" t="s">
        <v>24</v>
      </c>
      <c r="H627">
        <v>7</v>
      </c>
      <c r="I627">
        <v>8288</v>
      </c>
      <c r="J627">
        <v>1945.03</v>
      </c>
    </row>
    <row r="628" spans="1:10" x14ac:dyDescent="0.25">
      <c r="A628" s="1">
        <v>45363</v>
      </c>
      <c r="B628" t="s">
        <v>55</v>
      </c>
      <c r="C628" t="s">
        <v>19</v>
      </c>
      <c r="D628" t="s">
        <v>12</v>
      </c>
      <c r="E628" t="s">
        <v>118</v>
      </c>
      <c r="F628" t="s">
        <v>23</v>
      </c>
      <c r="G628" t="s">
        <v>24</v>
      </c>
      <c r="H628">
        <v>9</v>
      </c>
      <c r="I628">
        <v>1062</v>
      </c>
      <c r="J628">
        <v>73.58</v>
      </c>
    </row>
    <row r="629" spans="1:10" x14ac:dyDescent="0.25">
      <c r="A629" s="1">
        <v>45200</v>
      </c>
      <c r="B629" t="s">
        <v>40</v>
      </c>
      <c r="C629" t="s">
        <v>19</v>
      </c>
      <c r="D629" t="s">
        <v>12</v>
      </c>
      <c r="E629" t="s">
        <v>256</v>
      </c>
      <c r="F629" t="s">
        <v>44</v>
      </c>
      <c r="G629" t="s">
        <v>35</v>
      </c>
      <c r="H629">
        <v>3</v>
      </c>
      <c r="I629">
        <v>1140</v>
      </c>
      <c r="J629">
        <v>226.52</v>
      </c>
    </row>
    <row r="630" spans="1:10" x14ac:dyDescent="0.25">
      <c r="A630" s="1">
        <v>45394</v>
      </c>
      <c r="B630" t="s">
        <v>49</v>
      </c>
      <c r="C630" t="s">
        <v>17</v>
      </c>
      <c r="D630" t="s">
        <v>12</v>
      </c>
      <c r="E630" t="s">
        <v>229</v>
      </c>
      <c r="F630" t="s">
        <v>149</v>
      </c>
      <c r="G630" t="s">
        <v>15</v>
      </c>
      <c r="H630">
        <v>8</v>
      </c>
      <c r="I630">
        <v>3488</v>
      </c>
      <c r="J630">
        <v>712.24</v>
      </c>
    </row>
    <row r="631" spans="1:10" x14ac:dyDescent="0.25">
      <c r="A631" s="1">
        <v>45282</v>
      </c>
      <c r="B631" t="s">
        <v>18</v>
      </c>
      <c r="C631" t="s">
        <v>19</v>
      </c>
      <c r="D631" t="s">
        <v>12</v>
      </c>
      <c r="E631" t="s">
        <v>257</v>
      </c>
      <c r="F631" t="s">
        <v>34</v>
      </c>
      <c r="G631" t="s">
        <v>35</v>
      </c>
      <c r="H631">
        <v>8</v>
      </c>
      <c r="I631">
        <v>5920</v>
      </c>
      <c r="J631">
        <v>1436.7</v>
      </c>
    </row>
    <row r="632" spans="1:10" x14ac:dyDescent="0.25">
      <c r="A632" s="1">
        <v>45357</v>
      </c>
      <c r="B632" t="s">
        <v>36</v>
      </c>
      <c r="C632" t="s">
        <v>17</v>
      </c>
      <c r="D632" t="s">
        <v>12</v>
      </c>
      <c r="E632" t="s">
        <v>26</v>
      </c>
      <c r="F632" t="s">
        <v>27</v>
      </c>
      <c r="G632" t="s">
        <v>28</v>
      </c>
      <c r="H632">
        <v>9</v>
      </c>
      <c r="I632">
        <v>3096</v>
      </c>
      <c r="J632">
        <v>362.89</v>
      </c>
    </row>
    <row r="633" spans="1:10" x14ac:dyDescent="0.25">
      <c r="A633" s="1">
        <v>45414</v>
      </c>
      <c r="B633" t="s">
        <v>36</v>
      </c>
      <c r="C633" t="s">
        <v>17</v>
      </c>
      <c r="D633" t="s">
        <v>12</v>
      </c>
      <c r="E633" t="s">
        <v>258</v>
      </c>
      <c r="F633" t="s">
        <v>48</v>
      </c>
      <c r="G633" t="s">
        <v>15</v>
      </c>
      <c r="H633">
        <v>5</v>
      </c>
      <c r="I633">
        <v>3490</v>
      </c>
      <c r="J633">
        <v>205.04</v>
      </c>
    </row>
    <row r="634" spans="1:10" x14ac:dyDescent="0.25">
      <c r="A634" s="1">
        <v>44653</v>
      </c>
      <c r="B634" t="s">
        <v>32</v>
      </c>
      <c r="C634" t="s">
        <v>19</v>
      </c>
      <c r="D634" t="s">
        <v>12</v>
      </c>
      <c r="E634" t="s">
        <v>26</v>
      </c>
      <c r="F634" t="s">
        <v>27</v>
      </c>
      <c r="G634" t="s">
        <v>28</v>
      </c>
      <c r="H634">
        <v>6</v>
      </c>
      <c r="I634">
        <v>4374</v>
      </c>
      <c r="J634">
        <v>702.62</v>
      </c>
    </row>
    <row r="635" spans="1:10" x14ac:dyDescent="0.25">
      <c r="A635" s="1">
        <v>45333</v>
      </c>
      <c r="B635" t="s">
        <v>40</v>
      </c>
      <c r="C635" t="s">
        <v>19</v>
      </c>
      <c r="D635" t="s">
        <v>12</v>
      </c>
      <c r="E635" t="s">
        <v>56</v>
      </c>
      <c r="F635" t="s">
        <v>57</v>
      </c>
      <c r="G635" t="s">
        <v>24</v>
      </c>
      <c r="H635">
        <v>6</v>
      </c>
      <c r="I635">
        <v>3366</v>
      </c>
      <c r="J635">
        <v>541.86</v>
      </c>
    </row>
    <row r="636" spans="1:10" x14ac:dyDescent="0.25">
      <c r="A636" s="1">
        <v>45384</v>
      </c>
      <c r="B636" t="s">
        <v>10</v>
      </c>
      <c r="C636" t="s">
        <v>11</v>
      </c>
      <c r="D636" t="s">
        <v>12</v>
      </c>
      <c r="E636" t="s">
        <v>132</v>
      </c>
      <c r="F636" t="s">
        <v>189</v>
      </c>
      <c r="G636" t="s">
        <v>24</v>
      </c>
      <c r="H636">
        <v>6</v>
      </c>
      <c r="I636">
        <v>822</v>
      </c>
      <c r="J636">
        <v>231.62</v>
      </c>
    </row>
    <row r="637" spans="1:10" x14ac:dyDescent="0.25">
      <c r="A637" s="1">
        <v>45623</v>
      </c>
      <c r="B637" t="s">
        <v>36</v>
      </c>
      <c r="C637" t="s">
        <v>17</v>
      </c>
      <c r="D637" t="s">
        <v>12</v>
      </c>
      <c r="E637" t="s">
        <v>75</v>
      </c>
      <c r="F637" t="s">
        <v>108</v>
      </c>
      <c r="G637" t="s">
        <v>15</v>
      </c>
      <c r="H637">
        <v>2</v>
      </c>
      <c r="I637">
        <v>340</v>
      </c>
      <c r="J637">
        <v>39.119999999999997</v>
      </c>
    </row>
    <row r="638" spans="1:10" x14ac:dyDescent="0.25">
      <c r="A638" s="1">
        <v>44803</v>
      </c>
      <c r="B638" t="s">
        <v>16</v>
      </c>
      <c r="C638" t="s">
        <v>17</v>
      </c>
      <c r="D638" t="s">
        <v>12</v>
      </c>
      <c r="E638" t="s">
        <v>26</v>
      </c>
      <c r="F638" t="s">
        <v>27</v>
      </c>
      <c r="G638" t="s">
        <v>28</v>
      </c>
      <c r="H638">
        <v>1</v>
      </c>
      <c r="I638">
        <v>763</v>
      </c>
      <c r="J638">
        <v>217.94</v>
      </c>
    </row>
    <row r="639" spans="1:10" x14ac:dyDescent="0.25">
      <c r="A639" s="1">
        <v>44757</v>
      </c>
      <c r="B639" t="s">
        <v>29</v>
      </c>
      <c r="C639" t="s">
        <v>17</v>
      </c>
      <c r="D639" t="s">
        <v>12</v>
      </c>
      <c r="E639" t="s">
        <v>259</v>
      </c>
      <c r="F639" t="s">
        <v>14</v>
      </c>
      <c r="G639" t="s">
        <v>15</v>
      </c>
      <c r="H639">
        <v>4</v>
      </c>
      <c r="I639">
        <v>3408</v>
      </c>
      <c r="J639">
        <v>856.98</v>
      </c>
    </row>
    <row r="640" spans="1:10" x14ac:dyDescent="0.25">
      <c r="A640" s="1">
        <v>44613</v>
      </c>
      <c r="B640" t="s">
        <v>18</v>
      </c>
      <c r="C640" t="s">
        <v>19</v>
      </c>
      <c r="D640" t="s">
        <v>12</v>
      </c>
      <c r="E640" t="s">
        <v>52</v>
      </c>
      <c r="F640" t="s">
        <v>42</v>
      </c>
      <c r="G640" t="s">
        <v>28</v>
      </c>
      <c r="H640">
        <v>7</v>
      </c>
      <c r="I640">
        <v>2282</v>
      </c>
      <c r="J640">
        <v>537.71</v>
      </c>
    </row>
    <row r="641" spans="1:10" x14ac:dyDescent="0.25">
      <c r="A641" s="1">
        <v>45183</v>
      </c>
      <c r="B641" t="s">
        <v>25</v>
      </c>
      <c r="C641" t="s">
        <v>19</v>
      </c>
      <c r="D641" t="s">
        <v>12</v>
      </c>
      <c r="E641" t="s">
        <v>260</v>
      </c>
      <c r="F641" t="s">
        <v>34</v>
      </c>
      <c r="G641" t="s">
        <v>35</v>
      </c>
      <c r="H641">
        <v>7</v>
      </c>
      <c r="I641">
        <v>4151</v>
      </c>
      <c r="J641">
        <v>1047.43</v>
      </c>
    </row>
    <row r="642" spans="1:10" x14ac:dyDescent="0.25">
      <c r="A642" s="1">
        <v>45390</v>
      </c>
      <c r="B642" t="s">
        <v>55</v>
      </c>
      <c r="C642" t="s">
        <v>19</v>
      </c>
      <c r="D642" t="s">
        <v>12</v>
      </c>
      <c r="E642" t="s">
        <v>261</v>
      </c>
      <c r="F642" t="s">
        <v>31</v>
      </c>
      <c r="G642" t="s">
        <v>24</v>
      </c>
      <c r="H642">
        <v>7</v>
      </c>
      <c r="I642">
        <v>6279</v>
      </c>
      <c r="J642">
        <v>1689.55</v>
      </c>
    </row>
    <row r="643" spans="1:10" x14ac:dyDescent="0.25">
      <c r="A643" s="1">
        <v>45223</v>
      </c>
      <c r="B643" t="s">
        <v>36</v>
      </c>
      <c r="C643" t="s">
        <v>17</v>
      </c>
      <c r="D643" t="s">
        <v>12</v>
      </c>
      <c r="E643" t="s">
        <v>262</v>
      </c>
      <c r="F643" t="s">
        <v>34</v>
      </c>
      <c r="G643" t="s">
        <v>35</v>
      </c>
      <c r="H643">
        <v>3</v>
      </c>
      <c r="I643">
        <v>474</v>
      </c>
      <c r="J643">
        <v>83.32</v>
      </c>
    </row>
    <row r="644" spans="1:10" x14ac:dyDescent="0.25">
      <c r="A644" s="1">
        <v>45032</v>
      </c>
      <c r="B644" t="s">
        <v>36</v>
      </c>
      <c r="C644" t="s">
        <v>17</v>
      </c>
      <c r="D644" t="s">
        <v>12</v>
      </c>
      <c r="E644" t="s">
        <v>26</v>
      </c>
      <c r="F644" t="s">
        <v>27</v>
      </c>
      <c r="G644" t="s">
        <v>28</v>
      </c>
      <c r="H644">
        <v>5</v>
      </c>
      <c r="I644">
        <v>680</v>
      </c>
      <c r="J644">
        <v>176.44</v>
      </c>
    </row>
    <row r="645" spans="1:10" x14ac:dyDescent="0.25">
      <c r="A645" s="1">
        <v>45214</v>
      </c>
      <c r="B645" t="s">
        <v>29</v>
      </c>
      <c r="C645" t="s">
        <v>17</v>
      </c>
      <c r="D645" t="s">
        <v>12</v>
      </c>
      <c r="E645" t="s">
        <v>249</v>
      </c>
      <c r="F645" t="s">
        <v>115</v>
      </c>
      <c r="G645" t="s">
        <v>15</v>
      </c>
      <c r="H645">
        <v>9</v>
      </c>
      <c r="I645">
        <v>8496</v>
      </c>
      <c r="J645">
        <v>1721.6</v>
      </c>
    </row>
    <row r="646" spans="1:10" x14ac:dyDescent="0.25">
      <c r="A646" s="1">
        <v>45158</v>
      </c>
      <c r="B646" t="s">
        <v>49</v>
      </c>
      <c r="C646" t="s">
        <v>17</v>
      </c>
      <c r="D646" t="s">
        <v>12</v>
      </c>
      <c r="E646" t="s">
        <v>263</v>
      </c>
      <c r="F646" t="s">
        <v>71</v>
      </c>
      <c r="G646" t="s">
        <v>35</v>
      </c>
      <c r="H646">
        <v>7</v>
      </c>
      <c r="I646">
        <v>7826</v>
      </c>
      <c r="J646">
        <v>714.68</v>
      </c>
    </row>
    <row r="647" spans="1:10" x14ac:dyDescent="0.25">
      <c r="A647" s="1">
        <v>45223</v>
      </c>
      <c r="B647" t="s">
        <v>16</v>
      </c>
      <c r="C647" t="s">
        <v>17</v>
      </c>
      <c r="D647" t="s">
        <v>12</v>
      </c>
      <c r="E647" t="s">
        <v>264</v>
      </c>
      <c r="F647" t="s">
        <v>189</v>
      </c>
      <c r="G647" t="s">
        <v>24</v>
      </c>
      <c r="H647">
        <v>6</v>
      </c>
      <c r="I647">
        <v>4014</v>
      </c>
      <c r="J647">
        <v>717.44</v>
      </c>
    </row>
    <row r="648" spans="1:10" x14ac:dyDescent="0.25">
      <c r="A648" s="1">
        <v>45499</v>
      </c>
      <c r="B648" t="s">
        <v>55</v>
      </c>
      <c r="C648" t="s">
        <v>19</v>
      </c>
      <c r="D648" t="s">
        <v>12</v>
      </c>
      <c r="E648" t="s">
        <v>148</v>
      </c>
      <c r="F648" t="s">
        <v>183</v>
      </c>
      <c r="G648" t="s">
        <v>15</v>
      </c>
      <c r="H648">
        <v>1</v>
      </c>
      <c r="I648">
        <v>687</v>
      </c>
      <c r="J648">
        <v>62.82</v>
      </c>
    </row>
    <row r="649" spans="1:10" x14ac:dyDescent="0.25">
      <c r="A649" s="1">
        <v>45596</v>
      </c>
      <c r="B649" t="s">
        <v>32</v>
      </c>
      <c r="C649" t="s">
        <v>19</v>
      </c>
      <c r="D649" t="s">
        <v>12</v>
      </c>
      <c r="E649" t="s">
        <v>162</v>
      </c>
      <c r="F649" t="s">
        <v>23</v>
      </c>
      <c r="G649" t="s">
        <v>24</v>
      </c>
      <c r="H649">
        <v>3</v>
      </c>
      <c r="I649">
        <v>2943</v>
      </c>
      <c r="J649">
        <v>234.27</v>
      </c>
    </row>
    <row r="650" spans="1:10" x14ac:dyDescent="0.25">
      <c r="A650" s="1">
        <v>44679</v>
      </c>
      <c r="B650" t="s">
        <v>10</v>
      </c>
      <c r="C650" t="s">
        <v>11</v>
      </c>
      <c r="D650" t="s">
        <v>12</v>
      </c>
      <c r="E650" t="s">
        <v>265</v>
      </c>
      <c r="F650" t="s">
        <v>46</v>
      </c>
      <c r="G650" t="s">
        <v>15</v>
      </c>
      <c r="H650">
        <v>7</v>
      </c>
      <c r="I650">
        <v>5649</v>
      </c>
      <c r="J650">
        <v>660.37</v>
      </c>
    </row>
    <row r="651" spans="1:10" x14ac:dyDescent="0.25">
      <c r="A651" s="1">
        <v>45519</v>
      </c>
      <c r="B651" t="s">
        <v>18</v>
      </c>
      <c r="C651" t="s">
        <v>19</v>
      </c>
      <c r="D651" t="s">
        <v>12</v>
      </c>
      <c r="E651" t="s">
        <v>116</v>
      </c>
      <c r="F651" t="s">
        <v>23</v>
      </c>
      <c r="G651" t="s">
        <v>24</v>
      </c>
      <c r="H651">
        <v>8</v>
      </c>
      <c r="I651">
        <v>3296</v>
      </c>
      <c r="J651">
        <v>623.66999999999996</v>
      </c>
    </row>
    <row r="652" spans="1:10" x14ac:dyDescent="0.25">
      <c r="A652" s="1">
        <v>45563</v>
      </c>
      <c r="B652" t="s">
        <v>29</v>
      </c>
      <c r="C652" t="s">
        <v>17</v>
      </c>
      <c r="D652" t="s">
        <v>12</v>
      </c>
      <c r="E652" t="s">
        <v>75</v>
      </c>
      <c r="F652" t="s">
        <v>108</v>
      </c>
      <c r="G652" t="s">
        <v>15</v>
      </c>
      <c r="H652">
        <v>3</v>
      </c>
      <c r="I652">
        <v>1137</v>
      </c>
      <c r="J652">
        <v>173.92</v>
      </c>
    </row>
    <row r="653" spans="1:10" x14ac:dyDescent="0.25">
      <c r="A653" s="1">
        <v>45491</v>
      </c>
      <c r="B653" t="s">
        <v>40</v>
      </c>
      <c r="C653" t="s">
        <v>19</v>
      </c>
      <c r="D653" t="s">
        <v>12</v>
      </c>
      <c r="E653" t="s">
        <v>266</v>
      </c>
      <c r="F653" t="s">
        <v>267</v>
      </c>
      <c r="G653" t="s">
        <v>24</v>
      </c>
      <c r="H653">
        <v>2</v>
      </c>
      <c r="I653">
        <v>380</v>
      </c>
      <c r="J653">
        <v>101.7</v>
      </c>
    </row>
    <row r="654" spans="1:10" x14ac:dyDescent="0.25">
      <c r="A654" s="1">
        <v>44856</v>
      </c>
      <c r="B654" t="s">
        <v>55</v>
      </c>
      <c r="C654" t="s">
        <v>19</v>
      </c>
      <c r="D654" t="s">
        <v>12</v>
      </c>
      <c r="E654" t="s">
        <v>74</v>
      </c>
      <c r="F654" t="s">
        <v>23</v>
      </c>
      <c r="G654" t="s">
        <v>24</v>
      </c>
      <c r="H654">
        <v>5</v>
      </c>
      <c r="I654">
        <v>4405</v>
      </c>
      <c r="J654">
        <v>1247.8599999999999</v>
      </c>
    </row>
    <row r="655" spans="1:10" x14ac:dyDescent="0.25">
      <c r="A655" s="1">
        <v>44866</v>
      </c>
      <c r="B655" t="s">
        <v>18</v>
      </c>
      <c r="C655" t="s">
        <v>19</v>
      </c>
      <c r="D655" t="s">
        <v>12</v>
      </c>
      <c r="E655" t="s">
        <v>74</v>
      </c>
      <c r="F655" t="s">
        <v>23</v>
      </c>
      <c r="G655" t="s">
        <v>24</v>
      </c>
      <c r="H655">
        <v>1</v>
      </c>
      <c r="I655">
        <v>120</v>
      </c>
      <c r="J655">
        <v>9.43</v>
      </c>
    </row>
    <row r="656" spans="1:10" x14ac:dyDescent="0.25">
      <c r="A656" s="1">
        <v>45090</v>
      </c>
      <c r="B656" t="s">
        <v>10</v>
      </c>
      <c r="C656" t="s">
        <v>11</v>
      </c>
      <c r="D656" t="s">
        <v>12</v>
      </c>
      <c r="E656" t="s">
        <v>62</v>
      </c>
      <c r="F656" t="s">
        <v>59</v>
      </c>
      <c r="G656" t="s">
        <v>28</v>
      </c>
      <c r="H656">
        <v>1</v>
      </c>
      <c r="I656">
        <v>1176</v>
      </c>
      <c r="J656">
        <v>182.07</v>
      </c>
    </row>
    <row r="657" spans="1:10" x14ac:dyDescent="0.25">
      <c r="A657" s="1">
        <v>44977</v>
      </c>
      <c r="B657" t="s">
        <v>25</v>
      </c>
      <c r="C657" t="s">
        <v>19</v>
      </c>
      <c r="D657" t="s">
        <v>12</v>
      </c>
      <c r="E657" t="s">
        <v>22</v>
      </c>
      <c r="F657" t="s">
        <v>23</v>
      </c>
      <c r="G657" t="s">
        <v>24</v>
      </c>
      <c r="H657">
        <v>3</v>
      </c>
      <c r="I657">
        <v>1770</v>
      </c>
      <c r="J657">
        <v>366.58</v>
      </c>
    </row>
    <row r="658" spans="1:10" x14ac:dyDescent="0.25">
      <c r="A658" s="1">
        <v>45066</v>
      </c>
      <c r="B658" t="s">
        <v>25</v>
      </c>
      <c r="C658" t="s">
        <v>19</v>
      </c>
      <c r="D658" t="s">
        <v>12</v>
      </c>
      <c r="E658" t="s">
        <v>210</v>
      </c>
      <c r="F658" t="s">
        <v>34</v>
      </c>
      <c r="G658" t="s">
        <v>35</v>
      </c>
      <c r="H658">
        <v>6</v>
      </c>
      <c r="I658">
        <v>4302</v>
      </c>
      <c r="J658">
        <v>965.02</v>
      </c>
    </row>
    <row r="659" spans="1:10" x14ac:dyDescent="0.25">
      <c r="A659" s="1">
        <v>45279</v>
      </c>
      <c r="B659" t="s">
        <v>25</v>
      </c>
      <c r="C659" t="s">
        <v>19</v>
      </c>
      <c r="D659" t="s">
        <v>12</v>
      </c>
      <c r="E659" t="s">
        <v>210</v>
      </c>
      <c r="F659" t="s">
        <v>34</v>
      </c>
      <c r="G659" t="s">
        <v>35</v>
      </c>
      <c r="H659">
        <v>3</v>
      </c>
      <c r="I659">
        <v>2988</v>
      </c>
      <c r="J659">
        <v>362.68</v>
      </c>
    </row>
    <row r="660" spans="1:10" x14ac:dyDescent="0.25">
      <c r="A660" s="1">
        <v>45460</v>
      </c>
      <c r="B660" t="s">
        <v>29</v>
      </c>
      <c r="C660" t="s">
        <v>17</v>
      </c>
      <c r="D660" t="s">
        <v>12</v>
      </c>
      <c r="E660" t="s">
        <v>37</v>
      </c>
      <c r="F660" t="s">
        <v>34</v>
      </c>
      <c r="G660" t="s">
        <v>35</v>
      </c>
      <c r="H660">
        <v>3</v>
      </c>
      <c r="I660">
        <v>3033</v>
      </c>
      <c r="J660">
        <v>458.41</v>
      </c>
    </row>
    <row r="661" spans="1:10" x14ac:dyDescent="0.25">
      <c r="A661" s="1">
        <v>45121</v>
      </c>
      <c r="B661" t="s">
        <v>16</v>
      </c>
      <c r="C661" t="s">
        <v>17</v>
      </c>
      <c r="D661" t="s">
        <v>12</v>
      </c>
      <c r="E661" t="s">
        <v>13</v>
      </c>
      <c r="F661" t="s">
        <v>14</v>
      </c>
      <c r="G661" t="s">
        <v>15</v>
      </c>
      <c r="H661">
        <v>9</v>
      </c>
      <c r="I661">
        <v>6363</v>
      </c>
      <c r="J661">
        <v>1752.65</v>
      </c>
    </row>
    <row r="662" spans="1:10" x14ac:dyDescent="0.25">
      <c r="A662" s="1">
        <v>44746</v>
      </c>
      <c r="B662" t="s">
        <v>18</v>
      </c>
      <c r="C662" t="s">
        <v>19</v>
      </c>
      <c r="D662" t="s">
        <v>12</v>
      </c>
      <c r="E662" t="s">
        <v>102</v>
      </c>
      <c r="F662" t="s">
        <v>34</v>
      </c>
      <c r="G662" t="s">
        <v>35</v>
      </c>
      <c r="H662">
        <v>6</v>
      </c>
      <c r="I662">
        <v>3402</v>
      </c>
      <c r="J662">
        <v>501.29</v>
      </c>
    </row>
    <row r="663" spans="1:10" x14ac:dyDescent="0.25">
      <c r="A663" s="1">
        <v>44643</v>
      </c>
      <c r="B663" t="s">
        <v>49</v>
      </c>
      <c r="C663" t="s">
        <v>17</v>
      </c>
      <c r="D663" t="s">
        <v>12</v>
      </c>
      <c r="E663" t="s">
        <v>52</v>
      </c>
      <c r="F663" t="s">
        <v>42</v>
      </c>
      <c r="G663" t="s">
        <v>28</v>
      </c>
      <c r="H663">
        <v>4</v>
      </c>
      <c r="I663">
        <v>3496</v>
      </c>
      <c r="J663">
        <v>1032.81</v>
      </c>
    </row>
    <row r="664" spans="1:10" x14ac:dyDescent="0.25">
      <c r="A664" s="1">
        <v>44884</v>
      </c>
      <c r="B664" t="s">
        <v>36</v>
      </c>
      <c r="C664" t="s">
        <v>17</v>
      </c>
      <c r="D664" t="s">
        <v>12</v>
      </c>
      <c r="E664" t="s">
        <v>199</v>
      </c>
      <c r="F664" t="s">
        <v>200</v>
      </c>
      <c r="G664" t="s">
        <v>28</v>
      </c>
      <c r="H664">
        <v>4</v>
      </c>
      <c r="I664">
        <v>1080</v>
      </c>
      <c r="J664">
        <v>204.95</v>
      </c>
    </row>
    <row r="665" spans="1:10" x14ac:dyDescent="0.25">
      <c r="A665" s="1">
        <v>44620</v>
      </c>
      <c r="B665" t="s">
        <v>29</v>
      </c>
      <c r="C665" t="s">
        <v>17</v>
      </c>
      <c r="D665" t="s">
        <v>12</v>
      </c>
      <c r="E665" t="s">
        <v>56</v>
      </c>
      <c r="F665" t="s">
        <v>57</v>
      </c>
      <c r="G665" t="s">
        <v>24</v>
      </c>
      <c r="H665">
        <v>6</v>
      </c>
      <c r="I665">
        <v>1530</v>
      </c>
      <c r="J665">
        <v>218.99</v>
      </c>
    </row>
    <row r="666" spans="1:10" x14ac:dyDescent="0.25">
      <c r="A666" s="1">
        <v>45180</v>
      </c>
      <c r="B666" t="s">
        <v>49</v>
      </c>
      <c r="C666" t="s">
        <v>17</v>
      </c>
      <c r="D666" t="s">
        <v>12</v>
      </c>
      <c r="E666" t="s">
        <v>101</v>
      </c>
      <c r="F666" t="s">
        <v>21</v>
      </c>
      <c r="G666" t="s">
        <v>15</v>
      </c>
      <c r="H666">
        <v>4</v>
      </c>
      <c r="I666">
        <v>3568</v>
      </c>
      <c r="J666">
        <v>764.2</v>
      </c>
    </row>
    <row r="667" spans="1:10" x14ac:dyDescent="0.25">
      <c r="A667" s="1">
        <v>44878</v>
      </c>
      <c r="B667" t="s">
        <v>40</v>
      </c>
      <c r="C667" t="s">
        <v>19</v>
      </c>
      <c r="D667" t="s">
        <v>12</v>
      </c>
      <c r="E667" t="s">
        <v>101</v>
      </c>
      <c r="F667" t="s">
        <v>21</v>
      </c>
      <c r="G667" t="s">
        <v>15</v>
      </c>
      <c r="H667">
        <v>1</v>
      </c>
      <c r="I667">
        <v>954</v>
      </c>
      <c r="J667">
        <v>48.97</v>
      </c>
    </row>
    <row r="668" spans="1:10" x14ac:dyDescent="0.25">
      <c r="A668" s="1">
        <v>45368</v>
      </c>
      <c r="B668" t="s">
        <v>25</v>
      </c>
      <c r="C668" t="s">
        <v>19</v>
      </c>
      <c r="D668" t="s">
        <v>12</v>
      </c>
      <c r="E668" t="s">
        <v>22</v>
      </c>
      <c r="F668" t="s">
        <v>23</v>
      </c>
      <c r="G668" t="s">
        <v>24</v>
      </c>
      <c r="H668">
        <v>4</v>
      </c>
      <c r="I668">
        <v>1196</v>
      </c>
      <c r="J668">
        <v>223.66</v>
      </c>
    </row>
    <row r="669" spans="1:10" x14ac:dyDescent="0.25">
      <c r="A669" s="1">
        <v>44605</v>
      </c>
      <c r="B669" t="s">
        <v>32</v>
      </c>
      <c r="C669" t="s">
        <v>19</v>
      </c>
      <c r="D669" t="s">
        <v>12</v>
      </c>
      <c r="E669" t="s">
        <v>22</v>
      </c>
      <c r="F669" t="s">
        <v>23</v>
      </c>
      <c r="G669" t="s">
        <v>24</v>
      </c>
      <c r="H669">
        <v>4</v>
      </c>
      <c r="I669">
        <v>2136</v>
      </c>
      <c r="J669">
        <v>217.47</v>
      </c>
    </row>
    <row r="670" spans="1:10" x14ac:dyDescent="0.25">
      <c r="A670" s="1">
        <v>45486</v>
      </c>
      <c r="B670" t="s">
        <v>10</v>
      </c>
      <c r="C670" t="s">
        <v>11</v>
      </c>
      <c r="D670" t="s">
        <v>12</v>
      </c>
      <c r="E670" t="s">
        <v>118</v>
      </c>
      <c r="F670" t="s">
        <v>42</v>
      </c>
      <c r="G670" t="s">
        <v>28</v>
      </c>
      <c r="H670">
        <v>9</v>
      </c>
      <c r="I670">
        <v>8496</v>
      </c>
      <c r="J670">
        <v>2316.0300000000002</v>
      </c>
    </row>
    <row r="671" spans="1:10" x14ac:dyDescent="0.25">
      <c r="A671" s="1">
        <v>45419</v>
      </c>
      <c r="B671" t="s">
        <v>55</v>
      </c>
      <c r="C671" t="s">
        <v>19</v>
      </c>
      <c r="D671" t="s">
        <v>12</v>
      </c>
      <c r="E671" t="s">
        <v>210</v>
      </c>
      <c r="F671" t="s">
        <v>34</v>
      </c>
      <c r="G671" t="s">
        <v>35</v>
      </c>
      <c r="H671">
        <v>7</v>
      </c>
      <c r="I671">
        <v>7280</v>
      </c>
      <c r="J671">
        <v>1450.82</v>
      </c>
    </row>
    <row r="672" spans="1:10" x14ac:dyDescent="0.25">
      <c r="A672" s="1">
        <v>44828</v>
      </c>
      <c r="B672" t="s">
        <v>32</v>
      </c>
      <c r="C672" t="s">
        <v>19</v>
      </c>
      <c r="D672" t="s">
        <v>12</v>
      </c>
      <c r="E672" t="s">
        <v>268</v>
      </c>
      <c r="F672" t="s">
        <v>34</v>
      </c>
      <c r="G672" t="s">
        <v>35</v>
      </c>
      <c r="H672">
        <v>5</v>
      </c>
      <c r="I672">
        <v>4935</v>
      </c>
      <c r="J672">
        <v>625.39</v>
      </c>
    </row>
    <row r="673" spans="1:10" x14ac:dyDescent="0.25">
      <c r="A673" s="1">
        <v>45516</v>
      </c>
      <c r="B673" t="s">
        <v>18</v>
      </c>
      <c r="C673" t="s">
        <v>19</v>
      </c>
      <c r="D673" t="s">
        <v>12</v>
      </c>
      <c r="E673" t="s">
        <v>56</v>
      </c>
      <c r="F673" t="s">
        <v>57</v>
      </c>
      <c r="G673" t="s">
        <v>24</v>
      </c>
      <c r="H673">
        <v>8</v>
      </c>
      <c r="I673">
        <v>9056</v>
      </c>
      <c r="J673">
        <v>872.48</v>
      </c>
    </row>
    <row r="674" spans="1:10" x14ac:dyDescent="0.25">
      <c r="A674" s="1">
        <v>44932</v>
      </c>
      <c r="B674" t="s">
        <v>32</v>
      </c>
      <c r="C674" t="s">
        <v>19</v>
      </c>
      <c r="D674" t="s">
        <v>12</v>
      </c>
      <c r="E674" t="s">
        <v>62</v>
      </c>
      <c r="F674" t="s">
        <v>63</v>
      </c>
      <c r="G674" t="s">
        <v>28</v>
      </c>
      <c r="H674">
        <v>1</v>
      </c>
      <c r="I674">
        <v>563</v>
      </c>
      <c r="J674">
        <v>46.96</v>
      </c>
    </row>
    <row r="675" spans="1:10" x14ac:dyDescent="0.25">
      <c r="A675" s="1">
        <v>44623</v>
      </c>
      <c r="B675" t="s">
        <v>10</v>
      </c>
      <c r="C675" t="s">
        <v>11</v>
      </c>
      <c r="D675" t="s">
        <v>12</v>
      </c>
      <c r="E675" t="s">
        <v>52</v>
      </c>
      <c r="F675" t="s">
        <v>42</v>
      </c>
      <c r="G675" t="s">
        <v>28</v>
      </c>
      <c r="H675">
        <v>2</v>
      </c>
      <c r="I675">
        <v>1570</v>
      </c>
      <c r="J675">
        <v>247.7</v>
      </c>
    </row>
    <row r="676" spans="1:10" x14ac:dyDescent="0.25">
      <c r="A676" s="1">
        <v>44622</v>
      </c>
      <c r="B676" t="s">
        <v>25</v>
      </c>
      <c r="C676" t="s">
        <v>19</v>
      </c>
      <c r="D676" t="s">
        <v>12</v>
      </c>
      <c r="E676" t="s">
        <v>206</v>
      </c>
      <c r="F676" t="s">
        <v>71</v>
      </c>
      <c r="G676" t="s">
        <v>35</v>
      </c>
      <c r="H676">
        <v>3</v>
      </c>
      <c r="I676">
        <v>2181</v>
      </c>
      <c r="J676">
        <v>517.02</v>
      </c>
    </row>
    <row r="677" spans="1:10" x14ac:dyDescent="0.25">
      <c r="A677" s="1">
        <v>45560</v>
      </c>
      <c r="B677" t="s">
        <v>16</v>
      </c>
      <c r="C677" t="s">
        <v>17</v>
      </c>
      <c r="D677" t="s">
        <v>12</v>
      </c>
      <c r="E677" t="s">
        <v>269</v>
      </c>
      <c r="F677" t="s">
        <v>21</v>
      </c>
      <c r="G677" t="s">
        <v>15</v>
      </c>
      <c r="H677">
        <v>4</v>
      </c>
      <c r="I677">
        <v>3808</v>
      </c>
      <c r="J677">
        <v>442.33</v>
      </c>
    </row>
    <row r="678" spans="1:10" x14ac:dyDescent="0.25">
      <c r="A678" s="1">
        <v>44901</v>
      </c>
      <c r="B678" t="s">
        <v>49</v>
      </c>
      <c r="C678" t="s">
        <v>17</v>
      </c>
      <c r="D678" t="s">
        <v>12</v>
      </c>
      <c r="E678" t="s">
        <v>43</v>
      </c>
      <c r="F678" t="s">
        <v>44</v>
      </c>
      <c r="G678" t="s">
        <v>35</v>
      </c>
      <c r="H678">
        <v>7</v>
      </c>
      <c r="I678">
        <v>6552</v>
      </c>
      <c r="J678">
        <v>635.09</v>
      </c>
    </row>
    <row r="679" spans="1:10" x14ac:dyDescent="0.25">
      <c r="A679" s="1">
        <v>45095</v>
      </c>
      <c r="B679" t="s">
        <v>55</v>
      </c>
      <c r="C679" t="s">
        <v>19</v>
      </c>
      <c r="D679" t="s">
        <v>12</v>
      </c>
      <c r="E679" t="s">
        <v>270</v>
      </c>
      <c r="F679" t="s">
        <v>54</v>
      </c>
      <c r="G679" t="s">
        <v>24</v>
      </c>
      <c r="H679">
        <v>8</v>
      </c>
      <c r="I679">
        <v>6544</v>
      </c>
      <c r="J679">
        <v>1086.29</v>
      </c>
    </row>
    <row r="680" spans="1:10" x14ac:dyDescent="0.25">
      <c r="A680" s="1">
        <v>45251</v>
      </c>
      <c r="B680" t="s">
        <v>16</v>
      </c>
      <c r="C680" t="s">
        <v>17</v>
      </c>
      <c r="D680" t="s">
        <v>12</v>
      </c>
      <c r="E680" t="s">
        <v>52</v>
      </c>
      <c r="F680" t="s">
        <v>42</v>
      </c>
      <c r="G680" t="s">
        <v>28</v>
      </c>
      <c r="H680">
        <v>3</v>
      </c>
      <c r="I680">
        <v>2631</v>
      </c>
      <c r="J680">
        <v>157.19</v>
      </c>
    </row>
    <row r="681" spans="1:10" x14ac:dyDescent="0.25">
      <c r="A681" s="1">
        <v>45016</v>
      </c>
      <c r="B681" t="s">
        <v>36</v>
      </c>
      <c r="C681" t="s">
        <v>17</v>
      </c>
      <c r="D681" t="s">
        <v>12</v>
      </c>
      <c r="E681" t="s">
        <v>52</v>
      </c>
      <c r="F681" t="s">
        <v>42</v>
      </c>
      <c r="G681" t="s">
        <v>28</v>
      </c>
      <c r="H681">
        <v>9</v>
      </c>
      <c r="I681">
        <v>945</v>
      </c>
      <c r="J681">
        <v>94.75</v>
      </c>
    </row>
    <row r="682" spans="1:10" x14ac:dyDescent="0.25">
      <c r="A682" s="1">
        <v>45454</v>
      </c>
      <c r="B682" t="s">
        <v>36</v>
      </c>
      <c r="C682" t="s">
        <v>17</v>
      </c>
      <c r="D682" t="s">
        <v>12</v>
      </c>
      <c r="E682" t="s">
        <v>90</v>
      </c>
      <c r="F682" t="s">
        <v>63</v>
      </c>
      <c r="G682" t="s">
        <v>28</v>
      </c>
      <c r="H682">
        <v>2</v>
      </c>
      <c r="I682">
        <v>760</v>
      </c>
      <c r="J682">
        <v>192.42</v>
      </c>
    </row>
    <row r="683" spans="1:10" x14ac:dyDescent="0.25">
      <c r="A683" s="1">
        <v>45041</v>
      </c>
      <c r="B683" t="s">
        <v>36</v>
      </c>
      <c r="C683" t="s">
        <v>17</v>
      </c>
      <c r="D683" t="s">
        <v>12</v>
      </c>
      <c r="E683" t="s">
        <v>105</v>
      </c>
      <c r="F683" t="s">
        <v>23</v>
      </c>
      <c r="G683" t="s">
        <v>24</v>
      </c>
      <c r="H683">
        <v>4</v>
      </c>
      <c r="I683">
        <v>1392</v>
      </c>
      <c r="J683">
        <v>394.48</v>
      </c>
    </row>
    <row r="684" spans="1:10" x14ac:dyDescent="0.25">
      <c r="A684" s="1">
        <v>44912</v>
      </c>
      <c r="B684" t="s">
        <v>32</v>
      </c>
      <c r="C684" t="s">
        <v>19</v>
      </c>
      <c r="D684" t="s">
        <v>12</v>
      </c>
      <c r="E684" t="s">
        <v>105</v>
      </c>
      <c r="F684" t="s">
        <v>23</v>
      </c>
      <c r="G684" t="s">
        <v>24</v>
      </c>
      <c r="H684">
        <v>3</v>
      </c>
      <c r="I684">
        <v>1242</v>
      </c>
      <c r="J684">
        <v>206.74</v>
      </c>
    </row>
    <row r="685" spans="1:10" x14ac:dyDescent="0.25">
      <c r="A685" s="1">
        <v>45478</v>
      </c>
      <c r="B685" t="s">
        <v>55</v>
      </c>
      <c r="C685" t="s">
        <v>19</v>
      </c>
      <c r="D685" t="s">
        <v>12</v>
      </c>
      <c r="E685" t="s">
        <v>52</v>
      </c>
      <c r="F685" t="s">
        <v>42</v>
      </c>
      <c r="G685" t="s">
        <v>28</v>
      </c>
      <c r="H685">
        <v>3</v>
      </c>
      <c r="I685">
        <v>3183</v>
      </c>
      <c r="J685">
        <v>868.73</v>
      </c>
    </row>
    <row r="686" spans="1:10" x14ac:dyDescent="0.25">
      <c r="A686" s="1">
        <v>45023</v>
      </c>
      <c r="B686" t="s">
        <v>36</v>
      </c>
      <c r="C686" t="s">
        <v>17</v>
      </c>
      <c r="D686" t="s">
        <v>12</v>
      </c>
      <c r="E686" t="s">
        <v>195</v>
      </c>
      <c r="F686" t="s">
        <v>83</v>
      </c>
      <c r="G686" t="s">
        <v>28</v>
      </c>
      <c r="H686">
        <v>5</v>
      </c>
      <c r="I686">
        <v>4260</v>
      </c>
      <c r="J686">
        <v>229.77</v>
      </c>
    </row>
    <row r="687" spans="1:10" x14ac:dyDescent="0.25">
      <c r="A687" s="1">
        <v>44768</v>
      </c>
      <c r="B687" t="s">
        <v>40</v>
      </c>
      <c r="C687" t="s">
        <v>19</v>
      </c>
      <c r="D687" t="s">
        <v>12</v>
      </c>
      <c r="E687" t="s">
        <v>37</v>
      </c>
      <c r="F687" t="s">
        <v>34</v>
      </c>
      <c r="G687" t="s">
        <v>35</v>
      </c>
      <c r="H687">
        <v>1</v>
      </c>
      <c r="I687">
        <v>1041</v>
      </c>
      <c r="J687">
        <v>132.46</v>
      </c>
    </row>
    <row r="688" spans="1:10" x14ac:dyDescent="0.25">
      <c r="A688" s="1">
        <v>44699</v>
      </c>
      <c r="B688" t="s">
        <v>32</v>
      </c>
      <c r="C688" t="s">
        <v>19</v>
      </c>
      <c r="D688" t="s">
        <v>12</v>
      </c>
      <c r="E688" t="s">
        <v>37</v>
      </c>
      <c r="F688" t="s">
        <v>34</v>
      </c>
      <c r="G688" t="s">
        <v>35</v>
      </c>
      <c r="H688">
        <v>3</v>
      </c>
      <c r="I688">
        <v>1692</v>
      </c>
      <c r="J688">
        <v>348.81</v>
      </c>
    </row>
    <row r="689" spans="1:10" x14ac:dyDescent="0.25">
      <c r="A689" s="1">
        <v>44635</v>
      </c>
      <c r="B689" t="s">
        <v>25</v>
      </c>
      <c r="C689" t="s">
        <v>19</v>
      </c>
      <c r="D689" t="s">
        <v>12</v>
      </c>
      <c r="E689" t="s">
        <v>207</v>
      </c>
      <c r="F689" t="s">
        <v>34</v>
      </c>
      <c r="G689" t="s">
        <v>35</v>
      </c>
      <c r="H689">
        <v>4</v>
      </c>
      <c r="I689">
        <v>1728</v>
      </c>
      <c r="J689">
        <v>403.06</v>
      </c>
    </row>
    <row r="690" spans="1:10" x14ac:dyDescent="0.25">
      <c r="A690" s="1">
        <v>45212</v>
      </c>
      <c r="B690" t="s">
        <v>25</v>
      </c>
      <c r="C690" t="s">
        <v>19</v>
      </c>
      <c r="D690" t="s">
        <v>12</v>
      </c>
      <c r="E690" t="s">
        <v>56</v>
      </c>
      <c r="F690" t="s">
        <v>57</v>
      </c>
      <c r="G690" t="s">
        <v>24</v>
      </c>
      <c r="H690">
        <v>4</v>
      </c>
      <c r="I690">
        <v>4484</v>
      </c>
      <c r="J690">
        <v>893.27</v>
      </c>
    </row>
    <row r="691" spans="1:10" x14ac:dyDescent="0.25">
      <c r="A691" s="1">
        <v>45462</v>
      </c>
      <c r="B691" t="s">
        <v>40</v>
      </c>
      <c r="C691" t="s">
        <v>19</v>
      </c>
      <c r="D691" t="s">
        <v>12</v>
      </c>
      <c r="E691" t="s">
        <v>26</v>
      </c>
      <c r="F691" t="s">
        <v>27</v>
      </c>
      <c r="G691" t="s">
        <v>28</v>
      </c>
      <c r="H691">
        <v>7</v>
      </c>
      <c r="I691">
        <v>4123</v>
      </c>
      <c r="J691">
        <v>750.05</v>
      </c>
    </row>
    <row r="692" spans="1:10" x14ac:dyDescent="0.25">
      <c r="A692" s="1">
        <v>45599</v>
      </c>
      <c r="B692" t="s">
        <v>16</v>
      </c>
      <c r="C692" t="s">
        <v>17</v>
      </c>
      <c r="D692" t="s">
        <v>12</v>
      </c>
      <c r="E692" t="s">
        <v>64</v>
      </c>
      <c r="F692" t="s">
        <v>46</v>
      </c>
      <c r="G692" t="s">
        <v>15</v>
      </c>
      <c r="H692">
        <v>2</v>
      </c>
      <c r="I692">
        <v>2372</v>
      </c>
      <c r="J692">
        <v>392.07</v>
      </c>
    </row>
    <row r="693" spans="1:10" x14ac:dyDescent="0.25">
      <c r="A693" s="1">
        <v>45032</v>
      </c>
      <c r="B693" t="s">
        <v>40</v>
      </c>
      <c r="C693" t="s">
        <v>19</v>
      </c>
      <c r="D693" t="s">
        <v>12</v>
      </c>
      <c r="E693" t="s">
        <v>22</v>
      </c>
      <c r="F693" t="s">
        <v>23</v>
      </c>
      <c r="G693" t="s">
        <v>24</v>
      </c>
      <c r="H693">
        <v>7</v>
      </c>
      <c r="I693">
        <v>5201</v>
      </c>
      <c r="J693">
        <v>745.2</v>
      </c>
    </row>
    <row r="694" spans="1:10" x14ac:dyDescent="0.25">
      <c r="A694" s="1">
        <v>45562</v>
      </c>
      <c r="B694" t="s">
        <v>16</v>
      </c>
      <c r="C694" t="s">
        <v>17</v>
      </c>
      <c r="D694" t="s">
        <v>12</v>
      </c>
      <c r="E694" t="s">
        <v>52</v>
      </c>
      <c r="F694" t="s">
        <v>42</v>
      </c>
      <c r="G694" t="s">
        <v>28</v>
      </c>
      <c r="H694">
        <v>5</v>
      </c>
      <c r="I694">
        <v>3100</v>
      </c>
      <c r="J694">
        <v>695.28</v>
      </c>
    </row>
    <row r="695" spans="1:10" x14ac:dyDescent="0.25">
      <c r="A695" s="1">
        <v>44754</v>
      </c>
      <c r="B695" t="s">
        <v>32</v>
      </c>
      <c r="C695" t="s">
        <v>19</v>
      </c>
      <c r="D695" t="s">
        <v>12</v>
      </c>
      <c r="E695" t="s">
        <v>105</v>
      </c>
      <c r="F695" t="s">
        <v>23</v>
      </c>
      <c r="G695" t="s">
        <v>24</v>
      </c>
      <c r="H695">
        <v>6</v>
      </c>
      <c r="I695">
        <v>5292</v>
      </c>
      <c r="J695">
        <v>1105.95</v>
      </c>
    </row>
    <row r="696" spans="1:10" x14ac:dyDescent="0.25">
      <c r="A696" s="1">
        <v>44991</v>
      </c>
      <c r="B696" t="s">
        <v>18</v>
      </c>
      <c r="C696" t="s">
        <v>19</v>
      </c>
      <c r="D696" t="s">
        <v>12</v>
      </c>
      <c r="E696" t="s">
        <v>26</v>
      </c>
      <c r="F696" t="s">
        <v>27</v>
      </c>
      <c r="G696" t="s">
        <v>28</v>
      </c>
      <c r="H696">
        <v>6</v>
      </c>
      <c r="I696">
        <v>5952</v>
      </c>
      <c r="J696">
        <v>971.53</v>
      </c>
    </row>
    <row r="697" spans="1:10" x14ac:dyDescent="0.25">
      <c r="A697" s="1">
        <v>44936</v>
      </c>
      <c r="B697" t="s">
        <v>40</v>
      </c>
      <c r="C697" t="s">
        <v>19</v>
      </c>
      <c r="D697" t="s">
        <v>12</v>
      </c>
      <c r="E697" t="s">
        <v>271</v>
      </c>
      <c r="F697" t="s">
        <v>88</v>
      </c>
      <c r="G697" t="s">
        <v>15</v>
      </c>
      <c r="H697">
        <v>4</v>
      </c>
      <c r="I697">
        <v>1932</v>
      </c>
      <c r="J697">
        <v>472.91</v>
      </c>
    </row>
    <row r="698" spans="1:10" x14ac:dyDescent="0.25">
      <c r="A698" s="1">
        <v>45204</v>
      </c>
      <c r="B698" t="s">
        <v>18</v>
      </c>
      <c r="C698" t="s">
        <v>19</v>
      </c>
      <c r="D698" t="s">
        <v>12</v>
      </c>
      <c r="E698" t="s">
        <v>105</v>
      </c>
      <c r="F698" t="s">
        <v>23</v>
      </c>
      <c r="G698" t="s">
        <v>24</v>
      </c>
      <c r="H698">
        <v>6</v>
      </c>
      <c r="I698">
        <v>3486</v>
      </c>
      <c r="J698">
        <v>1011.74</v>
      </c>
    </row>
    <row r="699" spans="1:10" x14ac:dyDescent="0.25">
      <c r="A699" s="1">
        <v>45437</v>
      </c>
      <c r="B699" t="s">
        <v>18</v>
      </c>
      <c r="C699" t="s">
        <v>19</v>
      </c>
      <c r="D699" t="s">
        <v>12</v>
      </c>
      <c r="E699" t="s">
        <v>118</v>
      </c>
      <c r="F699" t="s">
        <v>42</v>
      </c>
      <c r="G699" t="s">
        <v>28</v>
      </c>
      <c r="H699">
        <v>2</v>
      </c>
      <c r="I699">
        <v>1708</v>
      </c>
      <c r="J699">
        <v>441.43</v>
      </c>
    </row>
    <row r="700" spans="1:10" x14ac:dyDescent="0.25">
      <c r="A700" s="1">
        <v>45547</v>
      </c>
      <c r="B700" t="s">
        <v>36</v>
      </c>
      <c r="C700" t="s">
        <v>17</v>
      </c>
      <c r="D700" t="s">
        <v>12</v>
      </c>
      <c r="E700" t="s">
        <v>139</v>
      </c>
      <c r="F700" t="s">
        <v>34</v>
      </c>
      <c r="G700" t="s">
        <v>35</v>
      </c>
      <c r="H700">
        <v>4</v>
      </c>
      <c r="I700">
        <v>4324</v>
      </c>
      <c r="J700">
        <v>288.12</v>
      </c>
    </row>
    <row r="701" spans="1:10" x14ac:dyDescent="0.25">
      <c r="A701" s="1">
        <v>45503</v>
      </c>
      <c r="B701" t="s">
        <v>55</v>
      </c>
      <c r="C701" t="s">
        <v>19</v>
      </c>
      <c r="D701" t="s">
        <v>12</v>
      </c>
      <c r="E701" t="s">
        <v>47</v>
      </c>
      <c r="F701" t="s">
        <v>46</v>
      </c>
      <c r="G701" t="s">
        <v>15</v>
      </c>
      <c r="H701">
        <v>4</v>
      </c>
      <c r="I701">
        <v>2708</v>
      </c>
      <c r="J701">
        <v>302.14</v>
      </c>
    </row>
    <row r="702" spans="1:10" x14ac:dyDescent="0.25">
      <c r="A702" s="1">
        <v>44649</v>
      </c>
      <c r="B702" t="s">
        <v>10</v>
      </c>
      <c r="C702" t="s">
        <v>11</v>
      </c>
      <c r="D702" t="s">
        <v>12</v>
      </c>
      <c r="E702" t="s">
        <v>52</v>
      </c>
      <c r="F702" t="s">
        <v>42</v>
      </c>
      <c r="G702" t="s">
        <v>28</v>
      </c>
      <c r="H702">
        <v>8</v>
      </c>
      <c r="I702">
        <v>7944</v>
      </c>
      <c r="J702">
        <v>1142.83</v>
      </c>
    </row>
    <row r="703" spans="1:10" x14ac:dyDescent="0.25">
      <c r="A703" s="1">
        <v>45026</v>
      </c>
      <c r="B703" t="s">
        <v>25</v>
      </c>
      <c r="C703" t="s">
        <v>19</v>
      </c>
      <c r="D703" t="s">
        <v>12</v>
      </c>
      <c r="E703" t="s">
        <v>43</v>
      </c>
      <c r="F703" t="s">
        <v>44</v>
      </c>
      <c r="G703" t="s">
        <v>35</v>
      </c>
      <c r="H703">
        <v>3</v>
      </c>
      <c r="I703">
        <v>684</v>
      </c>
      <c r="J703">
        <v>39.33</v>
      </c>
    </row>
    <row r="704" spans="1:10" x14ac:dyDescent="0.25">
      <c r="A704" s="1">
        <v>44927</v>
      </c>
      <c r="B704" t="s">
        <v>10</v>
      </c>
      <c r="C704" t="s">
        <v>11</v>
      </c>
      <c r="D704" t="s">
        <v>12</v>
      </c>
      <c r="E704" t="s">
        <v>184</v>
      </c>
      <c r="F704" t="s">
        <v>23</v>
      </c>
      <c r="G704" t="s">
        <v>24</v>
      </c>
      <c r="H704">
        <v>9</v>
      </c>
      <c r="I704">
        <v>5904</v>
      </c>
      <c r="J704">
        <v>1440.45</v>
      </c>
    </row>
    <row r="705" spans="1:10" x14ac:dyDescent="0.25">
      <c r="A705" s="1">
        <v>45371</v>
      </c>
      <c r="B705" t="s">
        <v>10</v>
      </c>
      <c r="C705" t="s">
        <v>11</v>
      </c>
      <c r="D705" t="s">
        <v>12</v>
      </c>
      <c r="E705" t="s">
        <v>184</v>
      </c>
      <c r="F705" t="s">
        <v>23</v>
      </c>
      <c r="G705" t="s">
        <v>24</v>
      </c>
      <c r="H705">
        <v>5</v>
      </c>
      <c r="I705">
        <v>4970</v>
      </c>
      <c r="J705">
        <v>1080.1199999999999</v>
      </c>
    </row>
    <row r="706" spans="1:10" x14ac:dyDescent="0.25">
      <c r="A706" s="1">
        <v>45324</v>
      </c>
      <c r="B706" t="s">
        <v>29</v>
      </c>
      <c r="C706" t="s">
        <v>17</v>
      </c>
      <c r="D706" t="s">
        <v>12</v>
      </c>
      <c r="E706" t="s">
        <v>272</v>
      </c>
      <c r="F706" t="s">
        <v>84</v>
      </c>
      <c r="G706" t="s">
        <v>28</v>
      </c>
      <c r="H706">
        <v>2</v>
      </c>
      <c r="I706">
        <v>2288</v>
      </c>
      <c r="J706">
        <v>234.97</v>
      </c>
    </row>
    <row r="707" spans="1:10" x14ac:dyDescent="0.25">
      <c r="A707" s="1">
        <v>45125</v>
      </c>
      <c r="B707" t="s">
        <v>40</v>
      </c>
      <c r="C707" t="s">
        <v>19</v>
      </c>
      <c r="D707" t="s">
        <v>12</v>
      </c>
      <c r="E707" t="s">
        <v>105</v>
      </c>
      <c r="F707" t="s">
        <v>23</v>
      </c>
      <c r="G707" t="s">
        <v>24</v>
      </c>
      <c r="H707">
        <v>6</v>
      </c>
      <c r="I707">
        <v>4662</v>
      </c>
      <c r="J707">
        <v>350.79</v>
      </c>
    </row>
    <row r="708" spans="1:10" x14ac:dyDescent="0.25">
      <c r="A708" s="1">
        <v>44617</v>
      </c>
      <c r="B708" t="s">
        <v>16</v>
      </c>
      <c r="C708" t="s">
        <v>17</v>
      </c>
      <c r="D708" t="s">
        <v>12</v>
      </c>
      <c r="E708" t="s">
        <v>273</v>
      </c>
      <c r="F708" t="s">
        <v>83</v>
      </c>
      <c r="G708" t="s">
        <v>28</v>
      </c>
      <c r="H708">
        <v>4</v>
      </c>
      <c r="I708">
        <v>2532</v>
      </c>
      <c r="J708">
        <v>404.96</v>
      </c>
    </row>
    <row r="709" spans="1:10" x14ac:dyDescent="0.25">
      <c r="A709" s="1">
        <v>45645</v>
      </c>
      <c r="B709" t="s">
        <v>18</v>
      </c>
      <c r="C709" t="s">
        <v>19</v>
      </c>
      <c r="D709" t="s">
        <v>12</v>
      </c>
      <c r="E709" t="s">
        <v>52</v>
      </c>
      <c r="F709" t="s">
        <v>42</v>
      </c>
      <c r="G709" t="s">
        <v>28</v>
      </c>
      <c r="H709">
        <v>8</v>
      </c>
      <c r="I709">
        <v>9328</v>
      </c>
      <c r="J709">
        <v>1008.6</v>
      </c>
    </row>
    <row r="710" spans="1:10" x14ac:dyDescent="0.25">
      <c r="A710" s="1">
        <v>44597</v>
      </c>
      <c r="B710" t="s">
        <v>10</v>
      </c>
      <c r="C710" t="s">
        <v>11</v>
      </c>
      <c r="D710" t="s">
        <v>12</v>
      </c>
      <c r="E710" t="s">
        <v>37</v>
      </c>
      <c r="F710" t="s">
        <v>34</v>
      </c>
      <c r="G710" t="s">
        <v>35</v>
      </c>
      <c r="H710">
        <v>1</v>
      </c>
      <c r="I710">
        <v>686</v>
      </c>
      <c r="J710">
        <v>86.18</v>
      </c>
    </row>
    <row r="711" spans="1:10" x14ac:dyDescent="0.25">
      <c r="A711" s="1">
        <v>45351</v>
      </c>
      <c r="B711" t="s">
        <v>32</v>
      </c>
      <c r="C711" t="s">
        <v>19</v>
      </c>
      <c r="D711" t="s">
        <v>12</v>
      </c>
      <c r="E711" t="s">
        <v>274</v>
      </c>
      <c r="F711" t="s">
        <v>23</v>
      </c>
      <c r="G711" t="s">
        <v>24</v>
      </c>
      <c r="H711">
        <v>6</v>
      </c>
      <c r="I711">
        <v>1290</v>
      </c>
      <c r="J711">
        <v>343.35</v>
      </c>
    </row>
    <row r="712" spans="1:10" x14ac:dyDescent="0.25">
      <c r="A712" s="1">
        <v>44799</v>
      </c>
      <c r="B712" t="s">
        <v>10</v>
      </c>
      <c r="C712" t="s">
        <v>11</v>
      </c>
      <c r="D712" t="s">
        <v>12</v>
      </c>
      <c r="E712" t="s">
        <v>275</v>
      </c>
      <c r="F712" t="s">
        <v>173</v>
      </c>
      <c r="G712" t="s">
        <v>24</v>
      </c>
      <c r="H712">
        <v>5</v>
      </c>
      <c r="I712">
        <v>1205</v>
      </c>
      <c r="J712">
        <v>235.19</v>
      </c>
    </row>
    <row r="713" spans="1:10" x14ac:dyDescent="0.25">
      <c r="A713" s="1">
        <v>45552</v>
      </c>
      <c r="B713" t="s">
        <v>29</v>
      </c>
      <c r="C713" t="s">
        <v>17</v>
      </c>
      <c r="D713" t="s">
        <v>12</v>
      </c>
      <c r="E713" t="s">
        <v>276</v>
      </c>
      <c r="F713" t="s">
        <v>42</v>
      </c>
      <c r="G713" t="s">
        <v>28</v>
      </c>
      <c r="H713">
        <v>7</v>
      </c>
      <c r="I713">
        <v>7966</v>
      </c>
      <c r="J713">
        <v>1313.56</v>
      </c>
    </row>
    <row r="714" spans="1:10" x14ac:dyDescent="0.25">
      <c r="A714" s="1">
        <v>44787</v>
      </c>
      <c r="B714" t="s">
        <v>25</v>
      </c>
      <c r="C714" t="s">
        <v>19</v>
      </c>
      <c r="D714" t="s">
        <v>12</v>
      </c>
      <c r="E714" t="s">
        <v>276</v>
      </c>
      <c r="F714" t="s">
        <v>42</v>
      </c>
      <c r="G714" t="s">
        <v>28</v>
      </c>
      <c r="H714">
        <v>7</v>
      </c>
      <c r="I714">
        <v>1085</v>
      </c>
      <c r="J714">
        <v>130.72</v>
      </c>
    </row>
    <row r="715" spans="1:10" x14ac:dyDescent="0.25">
      <c r="A715" s="1">
        <v>45533</v>
      </c>
      <c r="B715" t="s">
        <v>36</v>
      </c>
      <c r="C715" t="s">
        <v>17</v>
      </c>
      <c r="D715" t="s">
        <v>12</v>
      </c>
      <c r="E715" t="s">
        <v>276</v>
      </c>
      <c r="F715" t="s">
        <v>42</v>
      </c>
      <c r="G715" t="s">
        <v>28</v>
      </c>
      <c r="H715">
        <v>9</v>
      </c>
      <c r="I715">
        <v>6633</v>
      </c>
      <c r="J715">
        <v>1239.1099999999999</v>
      </c>
    </row>
    <row r="716" spans="1:10" x14ac:dyDescent="0.25">
      <c r="A716" s="1">
        <v>45617</v>
      </c>
      <c r="B716" t="s">
        <v>55</v>
      </c>
      <c r="C716" t="s">
        <v>19</v>
      </c>
      <c r="D716" t="s">
        <v>12</v>
      </c>
      <c r="E716" t="s">
        <v>26</v>
      </c>
      <c r="F716" t="s">
        <v>27</v>
      </c>
      <c r="G716" t="s">
        <v>28</v>
      </c>
      <c r="H716">
        <v>7</v>
      </c>
      <c r="I716">
        <v>5096</v>
      </c>
      <c r="J716">
        <v>971.5</v>
      </c>
    </row>
    <row r="717" spans="1:10" x14ac:dyDescent="0.25">
      <c r="A717" s="1">
        <v>44762</v>
      </c>
      <c r="B717" t="s">
        <v>18</v>
      </c>
      <c r="C717" t="s">
        <v>19</v>
      </c>
      <c r="D717" t="s">
        <v>12</v>
      </c>
      <c r="E717" t="s">
        <v>52</v>
      </c>
      <c r="F717" t="s">
        <v>42</v>
      </c>
      <c r="G717" t="s">
        <v>28</v>
      </c>
      <c r="H717">
        <v>4</v>
      </c>
      <c r="I717">
        <v>4120</v>
      </c>
      <c r="J717">
        <v>710.07</v>
      </c>
    </row>
    <row r="718" spans="1:10" x14ac:dyDescent="0.25">
      <c r="A718" s="1">
        <v>44788</v>
      </c>
      <c r="B718" t="s">
        <v>36</v>
      </c>
      <c r="C718" t="s">
        <v>17</v>
      </c>
      <c r="D718" t="s">
        <v>12</v>
      </c>
      <c r="E718" t="s">
        <v>192</v>
      </c>
      <c r="F718" t="s">
        <v>149</v>
      </c>
      <c r="G718" t="s">
        <v>15</v>
      </c>
      <c r="H718">
        <v>3</v>
      </c>
      <c r="I718">
        <v>1479</v>
      </c>
      <c r="J718">
        <v>207.58</v>
      </c>
    </row>
    <row r="719" spans="1:10" x14ac:dyDescent="0.25">
      <c r="A719" s="1">
        <v>45391</v>
      </c>
      <c r="B719" t="s">
        <v>40</v>
      </c>
      <c r="C719" t="s">
        <v>19</v>
      </c>
      <c r="D719" t="s">
        <v>12</v>
      </c>
      <c r="E719" t="s">
        <v>277</v>
      </c>
      <c r="F719" t="s">
        <v>44</v>
      </c>
      <c r="G719" t="s">
        <v>35</v>
      </c>
      <c r="H719">
        <v>7</v>
      </c>
      <c r="I719">
        <v>1652</v>
      </c>
      <c r="J719">
        <v>397.49</v>
      </c>
    </row>
    <row r="720" spans="1:10" x14ac:dyDescent="0.25">
      <c r="A720" s="1">
        <v>44749</v>
      </c>
      <c r="B720" t="s">
        <v>55</v>
      </c>
      <c r="C720" t="s">
        <v>19</v>
      </c>
      <c r="D720" t="s">
        <v>12</v>
      </c>
      <c r="E720" t="s">
        <v>37</v>
      </c>
      <c r="F720" t="s">
        <v>34</v>
      </c>
      <c r="G720" t="s">
        <v>35</v>
      </c>
      <c r="H720">
        <v>1</v>
      </c>
      <c r="I720">
        <v>1028</v>
      </c>
      <c r="J720">
        <v>240.61</v>
      </c>
    </row>
    <row r="721" spans="1:10" x14ac:dyDescent="0.25">
      <c r="A721" s="1">
        <v>45047</v>
      </c>
      <c r="B721" t="s">
        <v>36</v>
      </c>
      <c r="C721" t="s">
        <v>17</v>
      </c>
      <c r="D721" t="s">
        <v>12</v>
      </c>
      <c r="E721" t="s">
        <v>75</v>
      </c>
      <c r="F721" t="s">
        <v>63</v>
      </c>
      <c r="G721" t="s">
        <v>28</v>
      </c>
      <c r="H721">
        <v>4</v>
      </c>
      <c r="I721">
        <v>4580</v>
      </c>
      <c r="J721">
        <v>655.14</v>
      </c>
    </row>
    <row r="722" spans="1:10" x14ac:dyDescent="0.25">
      <c r="A722" s="1">
        <v>45319</v>
      </c>
      <c r="B722" t="s">
        <v>36</v>
      </c>
      <c r="C722" t="s">
        <v>17</v>
      </c>
      <c r="D722" t="s">
        <v>12</v>
      </c>
      <c r="E722" t="s">
        <v>75</v>
      </c>
      <c r="F722" t="s">
        <v>63</v>
      </c>
      <c r="G722" t="s">
        <v>28</v>
      </c>
      <c r="H722">
        <v>8</v>
      </c>
      <c r="I722">
        <v>2152</v>
      </c>
      <c r="J722">
        <v>196.53</v>
      </c>
    </row>
    <row r="723" spans="1:10" x14ac:dyDescent="0.25">
      <c r="A723" s="1">
        <v>44746</v>
      </c>
      <c r="B723" t="s">
        <v>36</v>
      </c>
      <c r="C723" t="s">
        <v>17</v>
      </c>
      <c r="D723" t="s">
        <v>12</v>
      </c>
      <c r="E723" t="s">
        <v>75</v>
      </c>
      <c r="F723" t="s">
        <v>63</v>
      </c>
      <c r="G723" t="s">
        <v>28</v>
      </c>
      <c r="H723">
        <v>6</v>
      </c>
      <c r="I723">
        <v>4566</v>
      </c>
      <c r="J723">
        <v>866.13</v>
      </c>
    </row>
    <row r="724" spans="1:10" x14ac:dyDescent="0.25">
      <c r="A724" s="1">
        <v>45388</v>
      </c>
      <c r="B724" t="s">
        <v>29</v>
      </c>
      <c r="C724" t="s">
        <v>17</v>
      </c>
      <c r="D724" t="s">
        <v>12</v>
      </c>
      <c r="E724" t="s">
        <v>52</v>
      </c>
      <c r="F724" t="s">
        <v>42</v>
      </c>
      <c r="G724" t="s">
        <v>28</v>
      </c>
      <c r="H724">
        <v>3</v>
      </c>
      <c r="I724">
        <v>2244</v>
      </c>
      <c r="J724">
        <v>301.52999999999997</v>
      </c>
    </row>
    <row r="725" spans="1:10" x14ac:dyDescent="0.25">
      <c r="A725" s="1">
        <v>45323</v>
      </c>
      <c r="B725" t="s">
        <v>16</v>
      </c>
      <c r="C725" t="s">
        <v>17</v>
      </c>
      <c r="D725" t="s">
        <v>12</v>
      </c>
      <c r="E725" t="s">
        <v>278</v>
      </c>
      <c r="F725" t="s">
        <v>122</v>
      </c>
      <c r="G725" t="s">
        <v>35</v>
      </c>
      <c r="H725">
        <v>4</v>
      </c>
      <c r="I725">
        <v>1344</v>
      </c>
      <c r="J725">
        <v>140.52000000000001</v>
      </c>
    </row>
    <row r="726" spans="1:10" x14ac:dyDescent="0.25">
      <c r="A726" s="1">
        <v>45200</v>
      </c>
      <c r="B726" t="s">
        <v>10</v>
      </c>
      <c r="C726" t="s">
        <v>11</v>
      </c>
      <c r="D726" t="s">
        <v>12</v>
      </c>
      <c r="E726" t="s">
        <v>123</v>
      </c>
      <c r="F726" t="s">
        <v>63</v>
      </c>
      <c r="G726" t="s">
        <v>28</v>
      </c>
      <c r="H726">
        <v>6</v>
      </c>
      <c r="I726">
        <v>2622</v>
      </c>
      <c r="J726">
        <v>131.53</v>
      </c>
    </row>
    <row r="727" spans="1:10" x14ac:dyDescent="0.25">
      <c r="A727" s="1">
        <v>44898</v>
      </c>
      <c r="B727" t="s">
        <v>40</v>
      </c>
      <c r="C727" t="s">
        <v>19</v>
      </c>
      <c r="D727" t="s">
        <v>12</v>
      </c>
      <c r="E727" t="s">
        <v>279</v>
      </c>
      <c r="F727" t="s">
        <v>23</v>
      </c>
      <c r="G727" t="s">
        <v>24</v>
      </c>
      <c r="H727">
        <v>1</v>
      </c>
      <c r="I727">
        <v>325</v>
      </c>
      <c r="J727">
        <v>46.84</v>
      </c>
    </row>
    <row r="728" spans="1:10" x14ac:dyDescent="0.25">
      <c r="A728" s="1">
        <v>45643</v>
      </c>
      <c r="B728" t="s">
        <v>49</v>
      </c>
      <c r="C728" t="s">
        <v>17</v>
      </c>
      <c r="D728" t="s">
        <v>12</v>
      </c>
      <c r="E728" t="s">
        <v>43</v>
      </c>
      <c r="F728" t="s">
        <v>44</v>
      </c>
      <c r="G728" t="s">
        <v>35</v>
      </c>
      <c r="H728">
        <v>1</v>
      </c>
      <c r="I728">
        <v>960</v>
      </c>
      <c r="J728">
        <v>95.88</v>
      </c>
    </row>
    <row r="729" spans="1:10" x14ac:dyDescent="0.25">
      <c r="A729" s="1">
        <v>45260</v>
      </c>
      <c r="B729" t="s">
        <v>40</v>
      </c>
      <c r="C729" t="s">
        <v>19</v>
      </c>
      <c r="D729" t="s">
        <v>12</v>
      </c>
      <c r="E729" t="s">
        <v>210</v>
      </c>
      <c r="F729" t="s">
        <v>34</v>
      </c>
      <c r="G729" t="s">
        <v>35</v>
      </c>
      <c r="H729">
        <v>7</v>
      </c>
      <c r="I729">
        <v>2639</v>
      </c>
      <c r="J729">
        <v>268.88</v>
      </c>
    </row>
    <row r="730" spans="1:10" x14ac:dyDescent="0.25">
      <c r="A730" s="1">
        <v>45448</v>
      </c>
      <c r="B730" t="s">
        <v>10</v>
      </c>
      <c r="C730" t="s">
        <v>11</v>
      </c>
      <c r="D730" t="s">
        <v>12</v>
      </c>
      <c r="E730" t="s">
        <v>210</v>
      </c>
      <c r="F730" t="s">
        <v>34</v>
      </c>
      <c r="G730" t="s">
        <v>35</v>
      </c>
      <c r="H730">
        <v>5</v>
      </c>
      <c r="I730">
        <v>1025</v>
      </c>
      <c r="J730">
        <v>246.15</v>
      </c>
    </row>
    <row r="731" spans="1:10" x14ac:dyDescent="0.25">
      <c r="A731" s="1">
        <v>44574</v>
      </c>
      <c r="B731" t="s">
        <v>36</v>
      </c>
      <c r="C731" t="s">
        <v>17</v>
      </c>
      <c r="D731" t="s">
        <v>12</v>
      </c>
      <c r="E731" t="s">
        <v>26</v>
      </c>
      <c r="F731" t="s">
        <v>27</v>
      </c>
      <c r="G731" t="s">
        <v>28</v>
      </c>
      <c r="H731">
        <v>2</v>
      </c>
      <c r="I731">
        <v>1924</v>
      </c>
      <c r="J731">
        <v>434.86</v>
      </c>
    </row>
    <row r="732" spans="1:10" x14ac:dyDescent="0.25">
      <c r="A732" s="1">
        <v>45167</v>
      </c>
      <c r="B732" t="s">
        <v>40</v>
      </c>
      <c r="C732" t="s">
        <v>19</v>
      </c>
      <c r="D732" t="s">
        <v>12</v>
      </c>
      <c r="E732" t="s">
        <v>280</v>
      </c>
      <c r="F732" t="s">
        <v>84</v>
      </c>
      <c r="G732" t="s">
        <v>28</v>
      </c>
      <c r="H732">
        <v>2</v>
      </c>
      <c r="I732">
        <v>1660</v>
      </c>
      <c r="J732">
        <v>362.88</v>
      </c>
    </row>
    <row r="733" spans="1:10" x14ac:dyDescent="0.25">
      <c r="A733" s="1">
        <v>44704</v>
      </c>
      <c r="B733" t="s">
        <v>10</v>
      </c>
      <c r="C733" t="s">
        <v>11</v>
      </c>
      <c r="D733" t="s">
        <v>12</v>
      </c>
      <c r="E733" t="s">
        <v>87</v>
      </c>
      <c r="F733" t="s">
        <v>88</v>
      </c>
      <c r="G733" t="s">
        <v>15</v>
      </c>
      <c r="H733">
        <v>1</v>
      </c>
      <c r="I733">
        <v>985</v>
      </c>
      <c r="J733">
        <v>105.09</v>
      </c>
    </row>
    <row r="734" spans="1:10" x14ac:dyDescent="0.25">
      <c r="A734" s="1">
        <v>45487</v>
      </c>
      <c r="B734" t="s">
        <v>49</v>
      </c>
      <c r="C734" t="s">
        <v>17</v>
      </c>
      <c r="D734" t="s">
        <v>12</v>
      </c>
      <c r="E734" t="s">
        <v>74</v>
      </c>
      <c r="F734" t="s">
        <v>23</v>
      </c>
      <c r="G734" t="s">
        <v>24</v>
      </c>
      <c r="H734">
        <v>5</v>
      </c>
      <c r="I734">
        <v>2600</v>
      </c>
      <c r="J734">
        <v>537.11</v>
      </c>
    </row>
    <row r="735" spans="1:10" x14ac:dyDescent="0.25">
      <c r="A735" s="1">
        <v>45586</v>
      </c>
      <c r="B735" t="s">
        <v>25</v>
      </c>
      <c r="C735" t="s">
        <v>19</v>
      </c>
      <c r="D735" t="s">
        <v>12</v>
      </c>
      <c r="E735" t="s">
        <v>281</v>
      </c>
      <c r="F735" t="s">
        <v>71</v>
      </c>
      <c r="G735" t="s">
        <v>35</v>
      </c>
      <c r="H735">
        <v>4</v>
      </c>
      <c r="I735">
        <v>2792</v>
      </c>
      <c r="J735">
        <v>725.35</v>
      </c>
    </row>
    <row r="736" spans="1:10" x14ac:dyDescent="0.25">
      <c r="A736" s="1">
        <v>45535</v>
      </c>
      <c r="B736" t="s">
        <v>29</v>
      </c>
      <c r="C736" t="s">
        <v>17</v>
      </c>
      <c r="D736" t="s">
        <v>12</v>
      </c>
      <c r="E736" t="s">
        <v>74</v>
      </c>
      <c r="F736" t="s">
        <v>23</v>
      </c>
      <c r="G736" t="s">
        <v>24</v>
      </c>
      <c r="H736">
        <v>2</v>
      </c>
      <c r="I736">
        <v>378</v>
      </c>
      <c r="J736">
        <v>87.37</v>
      </c>
    </row>
    <row r="737" spans="1:10" x14ac:dyDescent="0.25">
      <c r="A737" s="1">
        <v>44668</v>
      </c>
      <c r="B737" t="s">
        <v>25</v>
      </c>
      <c r="C737" t="s">
        <v>19</v>
      </c>
      <c r="D737" t="s">
        <v>12</v>
      </c>
      <c r="E737" t="s">
        <v>282</v>
      </c>
      <c r="F737" t="s">
        <v>168</v>
      </c>
      <c r="G737" t="s">
        <v>15</v>
      </c>
      <c r="H737">
        <v>8</v>
      </c>
      <c r="I737">
        <v>968</v>
      </c>
      <c r="J737">
        <v>271.61</v>
      </c>
    </row>
    <row r="738" spans="1:10" x14ac:dyDescent="0.25">
      <c r="A738" s="1">
        <v>45424</v>
      </c>
      <c r="B738" t="s">
        <v>32</v>
      </c>
      <c r="C738" t="s">
        <v>19</v>
      </c>
      <c r="D738" t="s">
        <v>12</v>
      </c>
      <c r="E738" t="s">
        <v>132</v>
      </c>
      <c r="F738" t="s">
        <v>115</v>
      </c>
      <c r="G738" t="s">
        <v>15</v>
      </c>
      <c r="H738">
        <v>3</v>
      </c>
      <c r="I738">
        <v>564</v>
      </c>
      <c r="J738">
        <v>108.35</v>
      </c>
    </row>
    <row r="739" spans="1:10" x14ac:dyDescent="0.25">
      <c r="A739" s="1">
        <v>44951</v>
      </c>
      <c r="B739" t="s">
        <v>55</v>
      </c>
      <c r="C739" t="s">
        <v>19</v>
      </c>
      <c r="D739" t="s">
        <v>12</v>
      </c>
      <c r="E739" t="s">
        <v>132</v>
      </c>
      <c r="F739" t="s">
        <v>115</v>
      </c>
      <c r="G739" t="s">
        <v>15</v>
      </c>
      <c r="H739">
        <v>5</v>
      </c>
      <c r="I739">
        <v>2365</v>
      </c>
      <c r="J739">
        <v>667.61</v>
      </c>
    </row>
    <row r="740" spans="1:10" x14ac:dyDescent="0.25">
      <c r="A740" s="1">
        <v>45383</v>
      </c>
      <c r="B740" t="s">
        <v>40</v>
      </c>
      <c r="C740" t="s">
        <v>19</v>
      </c>
      <c r="D740" t="s">
        <v>12</v>
      </c>
      <c r="E740" t="s">
        <v>283</v>
      </c>
      <c r="F740" t="s">
        <v>44</v>
      </c>
      <c r="G740" t="s">
        <v>35</v>
      </c>
      <c r="H740">
        <v>6</v>
      </c>
      <c r="I740">
        <v>3252</v>
      </c>
      <c r="J740">
        <v>834.84</v>
      </c>
    </row>
    <row r="741" spans="1:10" x14ac:dyDescent="0.25">
      <c r="A741" s="1">
        <v>45417</v>
      </c>
      <c r="B741" t="s">
        <v>25</v>
      </c>
      <c r="C741" t="s">
        <v>19</v>
      </c>
      <c r="D741" t="s">
        <v>12</v>
      </c>
      <c r="E741" t="s">
        <v>283</v>
      </c>
      <c r="F741" t="s">
        <v>44</v>
      </c>
      <c r="G741" t="s">
        <v>35</v>
      </c>
      <c r="H741">
        <v>1</v>
      </c>
      <c r="I741">
        <v>276</v>
      </c>
      <c r="J741">
        <v>42.68</v>
      </c>
    </row>
    <row r="742" spans="1:10" x14ac:dyDescent="0.25">
      <c r="A742" s="1">
        <v>45432</v>
      </c>
      <c r="B742" t="s">
        <v>16</v>
      </c>
      <c r="C742" t="s">
        <v>17</v>
      </c>
      <c r="D742" t="s">
        <v>12</v>
      </c>
      <c r="E742" t="s">
        <v>284</v>
      </c>
      <c r="F742" t="s">
        <v>51</v>
      </c>
      <c r="G742" t="s">
        <v>35</v>
      </c>
      <c r="H742">
        <v>3</v>
      </c>
      <c r="I742">
        <v>3408</v>
      </c>
      <c r="J742">
        <v>205.76</v>
      </c>
    </row>
    <row r="743" spans="1:10" x14ac:dyDescent="0.25">
      <c r="A743" s="1">
        <v>44854</v>
      </c>
      <c r="B743" t="s">
        <v>55</v>
      </c>
      <c r="C743" t="s">
        <v>19</v>
      </c>
      <c r="D743" t="s">
        <v>12</v>
      </c>
      <c r="E743" t="s">
        <v>22</v>
      </c>
      <c r="F743" t="s">
        <v>23</v>
      </c>
      <c r="G743" t="s">
        <v>24</v>
      </c>
      <c r="H743">
        <v>6</v>
      </c>
      <c r="I743">
        <v>1398</v>
      </c>
      <c r="J743">
        <v>180.88</v>
      </c>
    </row>
    <row r="744" spans="1:10" x14ac:dyDescent="0.25">
      <c r="A744" s="1">
        <v>44619</v>
      </c>
      <c r="B744" t="s">
        <v>49</v>
      </c>
      <c r="C744" t="s">
        <v>17</v>
      </c>
      <c r="D744" t="s">
        <v>12</v>
      </c>
      <c r="E744" t="s">
        <v>285</v>
      </c>
      <c r="F744" t="s">
        <v>34</v>
      </c>
      <c r="G744" t="s">
        <v>35</v>
      </c>
      <c r="H744">
        <v>4</v>
      </c>
      <c r="I744">
        <v>904</v>
      </c>
      <c r="J744">
        <v>108.85</v>
      </c>
    </row>
    <row r="745" spans="1:10" x14ac:dyDescent="0.25">
      <c r="A745" s="1">
        <v>45261</v>
      </c>
      <c r="B745" t="s">
        <v>49</v>
      </c>
      <c r="C745" t="s">
        <v>17</v>
      </c>
      <c r="D745" t="s">
        <v>12</v>
      </c>
      <c r="E745" t="s">
        <v>43</v>
      </c>
      <c r="F745" t="s">
        <v>44</v>
      </c>
      <c r="G745" t="s">
        <v>35</v>
      </c>
      <c r="H745">
        <v>1</v>
      </c>
      <c r="I745">
        <v>1178</v>
      </c>
      <c r="J745">
        <v>161.06</v>
      </c>
    </row>
    <row r="746" spans="1:10" x14ac:dyDescent="0.25">
      <c r="A746" s="1">
        <v>44771</v>
      </c>
      <c r="B746" t="s">
        <v>29</v>
      </c>
      <c r="C746" t="s">
        <v>17</v>
      </c>
      <c r="D746" t="s">
        <v>12</v>
      </c>
      <c r="E746" t="s">
        <v>53</v>
      </c>
      <c r="F746" t="s">
        <v>44</v>
      </c>
      <c r="G746" t="s">
        <v>35</v>
      </c>
      <c r="H746">
        <v>3</v>
      </c>
      <c r="I746">
        <v>2535</v>
      </c>
      <c r="J746">
        <v>292.19</v>
      </c>
    </row>
    <row r="747" spans="1:10" x14ac:dyDescent="0.25">
      <c r="A747" s="1">
        <v>45033</v>
      </c>
      <c r="B747" t="s">
        <v>18</v>
      </c>
      <c r="C747" t="s">
        <v>19</v>
      </c>
      <c r="D747" t="s">
        <v>12</v>
      </c>
      <c r="E747" t="s">
        <v>75</v>
      </c>
      <c r="F747" t="s">
        <v>63</v>
      </c>
      <c r="G747" t="s">
        <v>28</v>
      </c>
      <c r="H747">
        <v>1</v>
      </c>
      <c r="I747">
        <v>496</v>
      </c>
      <c r="J747">
        <v>146.91999999999999</v>
      </c>
    </row>
    <row r="748" spans="1:10" x14ac:dyDescent="0.25">
      <c r="A748" s="1">
        <v>45473</v>
      </c>
      <c r="B748" t="s">
        <v>40</v>
      </c>
      <c r="C748" t="s">
        <v>19</v>
      </c>
      <c r="D748" t="s">
        <v>12</v>
      </c>
      <c r="E748" t="s">
        <v>75</v>
      </c>
      <c r="F748" t="s">
        <v>63</v>
      </c>
      <c r="G748" t="s">
        <v>28</v>
      </c>
      <c r="H748">
        <v>4</v>
      </c>
      <c r="I748">
        <v>3888</v>
      </c>
      <c r="J748">
        <v>284.17</v>
      </c>
    </row>
    <row r="749" spans="1:10" x14ac:dyDescent="0.25">
      <c r="A749" s="1">
        <v>45363</v>
      </c>
      <c r="B749" t="s">
        <v>18</v>
      </c>
      <c r="C749" t="s">
        <v>19</v>
      </c>
      <c r="D749" t="s">
        <v>12</v>
      </c>
      <c r="E749" t="s">
        <v>104</v>
      </c>
      <c r="F749" t="s">
        <v>14</v>
      </c>
      <c r="G749" t="s">
        <v>15</v>
      </c>
      <c r="H749">
        <v>7</v>
      </c>
      <c r="I749">
        <v>4921</v>
      </c>
      <c r="J749">
        <v>798.16</v>
      </c>
    </row>
    <row r="750" spans="1:10" x14ac:dyDescent="0.25">
      <c r="A750" s="1">
        <v>45477</v>
      </c>
      <c r="B750" t="s">
        <v>32</v>
      </c>
      <c r="C750" t="s">
        <v>19</v>
      </c>
      <c r="D750" t="s">
        <v>12</v>
      </c>
      <c r="E750" t="s">
        <v>43</v>
      </c>
      <c r="F750" t="s">
        <v>44</v>
      </c>
      <c r="G750" t="s">
        <v>35</v>
      </c>
      <c r="H750">
        <v>8</v>
      </c>
      <c r="I750">
        <v>4472</v>
      </c>
      <c r="J750">
        <v>290.79000000000002</v>
      </c>
    </row>
    <row r="751" spans="1:10" x14ac:dyDescent="0.25">
      <c r="A751" s="1">
        <v>45025</v>
      </c>
      <c r="B751" t="s">
        <v>18</v>
      </c>
      <c r="C751" t="s">
        <v>19</v>
      </c>
      <c r="D751" t="s">
        <v>12</v>
      </c>
      <c r="E751" t="s">
        <v>210</v>
      </c>
      <c r="F751" t="s">
        <v>34</v>
      </c>
      <c r="G751" t="s">
        <v>35</v>
      </c>
      <c r="H751">
        <v>3</v>
      </c>
      <c r="I751">
        <v>603</v>
      </c>
      <c r="J751">
        <v>153.37</v>
      </c>
    </row>
    <row r="752" spans="1:10" x14ac:dyDescent="0.25">
      <c r="A752" s="1">
        <v>44995</v>
      </c>
      <c r="B752" t="s">
        <v>29</v>
      </c>
      <c r="C752" t="s">
        <v>17</v>
      </c>
      <c r="D752" t="s">
        <v>12</v>
      </c>
      <c r="E752" t="s">
        <v>87</v>
      </c>
      <c r="F752" t="s">
        <v>88</v>
      </c>
      <c r="G752" t="s">
        <v>15</v>
      </c>
      <c r="H752">
        <v>9</v>
      </c>
      <c r="I752">
        <v>1899</v>
      </c>
      <c r="J752">
        <v>501.4</v>
      </c>
    </row>
    <row r="753" spans="1:10" x14ac:dyDescent="0.25">
      <c r="A753" s="1">
        <v>44929</v>
      </c>
      <c r="B753" t="s">
        <v>10</v>
      </c>
      <c r="C753" t="s">
        <v>11</v>
      </c>
      <c r="D753" t="s">
        <v>12</v>
      </c>
      <c r="E753" t="s">
        <v>87</v>
      </c>
      <c r="F753" t="s">
        <v>71</v>
      </c>
      <c r="G753" t="s">
        <v>35</v>
      </c>
      <c r="H753">
        <v>4</v>
      </c>
      <c r="I753">
        <v>544</v>
      </c>
      <c r="J753">
        <v>67.84</v>
      </c>
    </row>
    <row r="754" spans="1:10" x14ac:dyDescent="0.25">
      <c r="A754" s="1">
        <v>44710</v>
      </c>
      <c r="B754" t="s">
        <v>36</v>
      </c>
      <c r="C754" t="s">
        <v>17</v>
      </c>
      <c r="D754" t="s">
        <v>12</v>
      </c>
      <c r="E754" t="s">
        <v>87</v>
      </c>
      <c r="F754" t="s">
        <v>71</v>
      </c>
      <c r="G754" t="s">
        <v>35</v>
      </c>
      <c r="H754">
        <v>9</v>
      </c>
      <c r="I754">
        <v>6471</v>
      </c>
      <c r="J754">
        <v>1844.59</v>
      </c>
    </row>
    <row r="755" spans="1:10" x14ac:dyDescent="0.25">
      <c r="A755" s="1">
        <v>45007</v>
      </c>
      <c r="B755" t="s">
        <v>49</v>
      </c>
      <c r="C755" t="s">
        <v>17</v>
      </c>
      <c r="D755" t="s">
        <v>12</v>
      </c>
      <c r="E755" t="s">
        <v>26</v>
      </c>
      <c r="F755" t="s">
        <v>27</v>
      </c>
      <c r="G755" t="s">
        <v>28</v>
      </c>
      <c r="H755">
        <v>1</v>
      </c>
      <c r="I755">
        <v>677</v>
      </c>
      <c r="J755">
        <v>54.14</v>
      </c>
    </row>
    <row r="756" spans="1:10" x14ac:dyDescent="0.25">
      <c r="A756" s="1">
        <v>44811</v>
      </c>
      <c r="B756" t="s">
        <v>55</v>
      </c>
      <c r="C756" t="s">
        <v>19</v>
      </c>
      <c r="D756" t="s">
        <v>12</v>
      </c>
      <c r="E756" t="s">
        <v>26</v>
      </c>
      <c r="F756" t="s">
        <v>27</v>
      </c>
      <c r="G756" t="s">
        <v>28</v>
      </c>
      <c r="H756">
        <v>4</v>
      </c>
      <c r="I756">
        <v>1372</v>
      </c>
      <c r="J756">
        <v>302.58</v>
      </c>
    </row>
    <row r="757" spans="1:10" x14ac:dyDescent="0.25">
      <c r="A757" s="1">
        <v>45451</v>
      </c>
      <c r="B757" t="s">
        <v>49</v>
      </c>
      <c r="C757" t="s">
        <v>17</v>
      </c>
      <c r="D757" t="s">
        <v>12</v>
      </c>
      <c r="E757" t="s">
        <v>47</v>
      </c>
      <c r="F757" t="s">
        <v>156</v>
      </c>
      <c r="G757" t="s">
        <v>28</v>
      </c>
      <c r="H757">
        <v>9</v>
      </c>
      <c r="I757">
        <v>7542</v>
      </c>
      <c r="J757">
        <v>1477.49</v>
      </c>
    </row>
    <row r="758" spans="1:10" x14ac:dyDescent="0.25">
      <c r="A758" s="1">
        <v>45032</v>
      </c>
      <c r="B758" t="s">
        <v>36</v>
      </c>
      <c r="C758" t="s">
        <v>17</v>
      </c>
      <c r="D758" t="s">
        <v>12</v>
      </c>
      <c r="E758" t="s">
        <v>47</v>
      </c>
      <c r="F758" t="s">
        <v>156</v>
      </c>
      <c r="G758" t="s">
        <v>28</v>
      </c>
      <c r="H758">
        <v>1</v>
      </c>
      <c r="I758">
        <v>924</v>
      </c>
      <c r="J758">
        <v>125.65</v>
      </c>
    </row>
    <row r="759" spans="1:10" x14ac:dyDescent="0.25">
      <c r="A759" s="1">
        <v>44753</v>
      </c>
      <c r="B759" t="s">
        <v>40</v>
      </c>
      <c r="C759" t="s">
        <v>19</v>
      </c>
      <c r="D759" t="s">
        <v>12</v>
      </c>
      <c r="E759" t="s">
        <v>66</v>
      </c>
      <c r="F759" t="s">
        <v>34</v>
      </c>
      <c r="G759" t="s">
        <v>35</v>
      </c>
      <c r="H759">
        <v>5</v>
      </c>
      <c r="I759">
        <v>3940</v>
      </c>
      <c r="J759">
        <v>755.11</v>
      </c>
    </row>
    <row r="760" spans="1:10" x14ac:dyDescent="0.25">
      <c r="A760" s="1">
        <v>45570</v>
      </c>
      <c r="B760" t="s">
        <v>18</v>
      </c>
      <c r="C760" t="s">
        <v>19</v>
      </c>
      <c r="D760" t="s">
        <v>12</v>
      </c>
      <c r="E760" t="s">
        <v>286</v>
      </c>
      <c r="F760" t="s">
        <v>108</v>
      </c>
      <c r="G760" t="s">
        <v>15</v>
      </c>
      <c r="H760">
        <v>2</v>
      </c>
      <c r="I760">
        <v>374</v>
      </c>
      <c r="J760">
        <v>49.26</v>
      </c>
    </row>
    <row r="761" spans="1:10" x14ac:dyDescent="0.25">
      <c r="A761" s="1">
        <v>45004</v>
      </c>
      <c r="B761" t="s">
        <v>10</v>
      </c>
      <c r="C761" t="s">
        <v>11</v>
      </c>
      <c r="D761" t="s">
        <v>12</v>
      </c>
      <c r="E761" t="s">
        <v>74</v>
      </c>
      <c r="F761" t="s">
        <v>23</v>
      </c>
      <c r="G761" t="s">
        <v>24</v>
      </c>
      <c r="H761">
        <v>5</v>
      </c>
      <c r="I761">
        <v>1800</v>
      </c>
      <c r="J761">
        <v>252.69</v>
      </c>
    </row>
    <row r="762" spans="1:10" x14ac:dyDescent="0.25">
      <c r="A762" s="1">
        <v>44921</v>
      </c>
      <c r="B762" t="s">
        <v>36</v>
      </c>
      <c r="C762" t="s">
        <v>17</v>
      </c>
      <c r="D762" t="s">
        <v>12</v>
      </c>
      <c r="E762" t="s">
        <v>132</v>
      </c>
      <c r="F762" t="s">
        <v>63</v>
      </c>
      <c r="G762" t="s">
        <v>28</v>
      </c>
      <c r="H762">
        <v>5</v>
      </c>
      <c r="I762">
        <v>3170</v>
      </c>
      <c r="J762">
        <v>868.34</v>
      </c>
    </row>
    <row r="763" spans="1:10" x14ac:dyDescent="0.25">
      <c r="A763" s="1">
        <v>45521</v>
      </c>
      <c r="B763" t="s">
        <v>29</v>
      </c>
      <c r="C763" t="s">
        <v>17</v>
      </c>
      <c r="D763" t="s">
        <v>12</v>
      </c>
      <c r="E763" t="s">
        <v>287</v>
      </c>
      <c r="F763" t="s">
        <v>21</v>
      </c>
      <c r="G763" t="s">
        <v>15</v>
      </c>
      <c r="H763">
        <v>7</v>
      </c>
      <c r="I763">
        <v>5362</v>
      </c>
      <c r="J763">
        <v>1029.47</v>
      </c>
    </row>
    <row r="764" spans="1:10" x14ac:dyDescent="0.25">
      <c r="A764" s="1">
        <v>45235</v>
      </c>
      <c r="B764" t="s">
        <v>36</v>
      </c>
      <c r="C764" t="s">
        <v>17</v>
      </c>
      <c r="D764" t="s">
        <v>12</v>
      </c>
      <c r="E764" t="s">
        <v>287</v>
      </c>
      <c r="F764" t="s">
        <v>21</v>
      </c>
      <c r="G764" t="s">
        <v>15</v>
      </c>
      <c r="H764">
        <v>9</v>
      </c>
      <c r="I764">
        <v>5976</v>
      </c>
      <c r="J764">
        <v>1747.57</v>
      </c>
    </row>
    <row r="765" spans="1:10" x14ac:dyDescent="0.25">
      <c r="A765" s="1">
        <v>45113</v>
      </c>
      <c r="B765" t="s">
        <v>49</v>
      </c>
      <c r="C765" t="s">
        <v>17</v>
      </c>
      <c r="D765" t="s">
        <v>12</v>
      </c>
      <c r="E765" t="s">
        <v>26</v>
      </c>
      <c r="F765" t="s">
        <v>27</v>
      </c>
      <c r="G765" t="s">
        <v>28</v>
      </c>
      <c r="H765">
        <v>9</v>
      </c>
      <c r="I765">
        <v>8514</v>
      </c>
      <c r="J765">
        <v>1400.4</v>
      </c>
    </row>
    <row r="766" spans="1:10" x14ac:dyDescent="0.25">
      <c r="A766" s="1">
        <v>45255</v>
      </c>
      <c r="B766" t="s">
        <v>55</v>
      </c>
      <c r="C766" t="s">
        <v>19</v>
      </c>
      <c r="D766" t="s">
        <v>12</v>
      </c>
      <c r="E766" t="s">
        <v>105</v>
      </c>
      <c r="F766" t="s">
        <v>23</v>
      </c>
      <c r="G766" t="s">
        <v>24</v>
      </c>
      <c r="H766">
        <v>1</v>
      </c>
      <c r="I766">
        <v>810</v>
      </c>
      <c r="J766">
        <v>157.47</v>
      </c>
    </row>
    <row r="767" spans="1:10" x14ac:dyDescent="0.25">
      <c r="A767" s="1">
        <v>44569</v>
      </c>
      <c r="B767" t="s">
        <v>16</v>
      </c>
      <c r="C767" t="s">
        <v>17</v>
      </c>
      <c r="D767" t="s">
        <v>12</v>
      </c>
      <c r="E767" t="s">
        <v>288</v>
      </c>
      <c r="F767" t="s">
        <v>156</v>
      </c>
      <c r="G767" t="s">
        <v>28</v>
      </c>
      <c r="H767">
        <v>1</v>
      </c>
      <c r="I767">
        <v>71</v>
      </c>
      <c r="J767">
        <v>12.02</v>
      </c>
    </row>
    <row r="768" spans="1:10" x14ac:dyDescent="0.25">
      <c r="A768" s="1">
        <v>44727</v>
      </c>
      <c r="B768" t="s">
        <v>55</v>
      </c>
      <c r="C768" t="s">
        <v>19</v>
      </c>
      <c r="D768" t="s">
        <v>12</v>
      </c>
      <c r="E768" t="s">
        <v>67</v>
      </c>
      <c r="F768" t="s">
        <v>54</v>
      </c>
      <c r="G768" t="s">
        <v>24</v>
      </c>
      <c r="H768">
        <v>1</v>
      </c>
      <c r="I768">
        <v>651</v>
      </c>
      <c r="J768">
        <v>57.94</v>
      </c>
    </row>
    <row r="769" spans="1:10" x14ac:dyDescent="0.25">
      <c r="A769" s="1">
        <v>44633</v>
      </c>
      <c r="B769" t="s">
        <v>36</v>
      </c>
      <c r="C769" t="s">
        <v>17</v>
      </c>
      <c r="D769" t="s">
        <v>12</v>
      </c>
      <c r="E769" t="s">
        <v>56</v>
      </c>
      <c r="F769" t="s">
        <v>57</v>
      </c>
      <c r="G769" t="s">
        <v>24</v>
      </c>
      <c r="H769">
        <v>3</v>
      </c>
      <c r="I769">
        <v>1245</v>
      </c>
      <c r="J769">
        <v>119.11</v>
      </c>
    </row>
    <row r="770" spans="1:10" x14ac:dyDescent="0.25">
      <c r="A770" s="1">
        <v>45236</v>
      </c>
      <c r="B770" t="s">
        <v>36</v>
      </c>
      <c r="C770" t="s">
        <v>17</v>
      </c>
      <c r="D770" t="s">
        <v>12</v>
      </c>
      <c r="E770" t="s">
        <v>134</v>
      </c>
      <c r="F770" t="s">
        <v>42</v>
      </c>
      <c r="G770" t="s">
        <v>28</v>
      </c>
      <c r="H770">
        <v>1</v>
      </c>
      <c r="I770">
        <v>464</v>
      </c>
      <c r="J770">
        <v>58.38</v>
      </c>
    </row>
    <row r="771" spans="1:10" x14ac:dyDescent="0.25">
      <c r="A771" s="1">
        <v>44968</v>
      </c>
      <c r="B771" t="s">
        <v>36</v>
      </c>
      <c r="C771" t="s">
        <v>17</v>
      </c>
      <c r="D771" t="s">
        <v>12</v>
      </c>
      <c r="E771" t="s">
        <v>289</v>
      </c>
      <c r="F771" t="s">
        <v>63</v>
      </c>
      <c r="G771" t="s">
        <v>28</v>
      </c>
      <c r="H771">
        <v>5</v>
      </c>
      <c r="I771">
        <v>5155</v>
      </c>
      <c r="J771">
        <v>356.43</v>
      </c>
    </row>
    <row r="772" spans="1:10" x14ac:dyDescent="0.25">
      <c r="A772" s="1">
        <v>45271</v>
      </c>
      <c r="B772" t="s">
        <v>40</v>
      </c>
      <c r="C772" t="s">
        <v>19</v>
      </c>
      <c r="D772" t="s">
        <v>12</v>
      </c>
      <c r="E772" t="s">
        <v>290</v>
      </c>
      <c r="F772" t="s">
        <v>34</v>
      </c>
      <c r="G772" t="s">
        <v>35</v>
      </c>
      <c r="H772">
        <v>5</v>
      </c>
      <c r="I772">
        <v>5175</v>
      </c>
      <c r="J772">
        <v>786.27</v>
      </c>
    </row>
    <row r="773" spans="1:10" x14ac:dyDescent="0.25">
      <c r="A773" s="1">
        <v>44574</v>
      </c>
      <c r="B773" t="s">
        <v>40</v>
      </c>
      <c r="C773" t="s">
        <v>19</v>
      </c>
      <c r="D773" t="s">
        <v>12</v>
      </c>
      <c r="E773" t="s">
        <v>22</v>
      </c>
      <c r="F773" t="s">
        <v>23</v>
      </c>
      <c r="G773" t="s">
        <v>24</v>
      </c>
      <c r="H773">
        <v>2</v>
      </c>
      <c r="I773">
        <v>1668</v>
      </c>
      <c r="J773">
        <v>470.42</v>
      </c>
    </row>
    <row r="774" spans="1:10" x14ac:dyDescent="0.25">
      <c r="A774" s="1">
        <v>45565</v>
      </c>
      <c r="B774" t="s">
        <v>10</v>
      </c>
      <c r="C774" t="s">
        <v>11</v>
      </c>
      <c r="D774" t="s">
        <v>12</v>
      </c>
      <c r="E774" t="s">
        <v>56</v>
      </c>
      <c r="F774" t="s">
        <v>57</v>
      </c>
      <c r="G774" t="s">
        <v>24</v>
      </c>
      <c r="H774">
        <v>3</v>
      </c>
      <c r="I774">
        <v>1872</v>
      </c>
      <c r="J774">
        <v>532.80999999999995</v>
      </c>
    </row>
    <row r="775" spans="1:10" x14ac:dyDescent="0.25">
      <c r="A775" s="1">
        <v>44942</v>
      </c>
      <c r="B775" t="s">
        <v>55</v>
      </c>
      <c r="C775" t="s">
        <v>19</v>
      </c>
      <c r="D775" t="s">
        <v>12</v>
      </c>
      <c r="E775" t="s">
        <v>141</v>
      </c>
      <c r="F775" t="s">
        <v>57</v>
      </c>
      <c r="G775" t="s">
        <v>24</v>
      </c>
      <c r="H775">
        <v>3</v>
      </c>
      <c r="I775">
        <v>513</v>
      </c>
      <c r="J775">
        <v>132.56</v>
      </c>
    </row>
    <row r="776" spans="1:10" x14ac:dyDescent="0.25">
      <c r="A776" s="1">
        <v>45387</v>
      </c>
      <c r="B776" t="s">
        <v>10</v>
      </c>
      <c r="C776" t="s">
        <v>11</v>
      </c>
      <c r="D776" t="s">
        <v>12</v>
      </c>
      <c r="E776" t="s">
        <v>87</v>
      </c>
      <c r="F776" t="s">
        <v>88</v>
      </c>
      <c r="G776" t="s">
        <v>15</v>
      </c>
      <c r="H776">
        <v>2</v>
      </c>
      <c r="I776">
        <v>2276</v>
      </c>
      <c r="J776">
        <v>366.5</v>
      </c>
    </row>
    <row r="777" spans="1:10" x14ac:dyDescent="0.25">
      <c r="A777" s="1">
        <v>45293</v>
      </c>
      <c r="B777" t="s">
        <v>16</v>
      </c>
      <c r="C777" t="s">
        <v>17</v>
      </c>
      <c r="D777" t="s">
        <v>12</v>
      </c>
      <c r="E777" t="s">
        <v>52</v>
      </c>
      <c r="F777" t="s">
        <v>42</v>
      </c>
      <c r="G777" t="s">
        <v>28</v>
      </c>
      <c r="H777">
        <v>4</v>
      </c>
      <c r="I777">
        <v>3428</v>
      </c>
      <c r="J777">
        <v>305.79000000000002</v>
      </c>
    </row>
    <row r="778" spans="1:10" x14ac:dyDescent="0.25">
      <c r="A778" s="1">
        <v>45353</v>
      </c>
      <c r="B778" t="s">
        <v>49</v>
      </c>
      <c r="C778" t="s">
        <v>17</v>
      </c>
      <c r="D778" t="s">
        <v>12</v>
      </c>
      <c r="E778" t="s">
        <v>75</v>
      </c>
      <c r="F778" t="s">
        <v>108</v>
      </c>
      <c r="G778" t="s">
        <v>15</v>
      </c>
      <c r="H778">
        <v>2</v>
      </c>
      <c r="I778">
        <v>1640</v>
      </c>
      <c r="J778">
        <v>176.87</v>
      </c>
    </row>
    <row r="779" spans="1:10" x14ac:dyDescent="0.25">
      <c r="A779" s="1">
        <v>45437</v>
      </c>
      <c r="B779" t="s">
        <v>25</v>
      </c>
      <c r="C779" t="s">
        <v>19</v>
      </c>
      <c r="D779" t="s">
        <v>12</v>
      </c>
      <c r="E779" t="s">
        <v>279</v>
      </c>
      <c r="F779" t="s">
        <v>23</v>
      </c>
      <c r="G779" t="s">
        <v>24</v>
      </c>
      <c r="H779">
        <v>7</v>
      </c>
      <c r="I779">
        <v>7077</v>
      </c>
      <c r="J779">
        <v>1921.73</v>
      </c>
    </row>
    <row r="780" spans="1:10" x14ac:dyDescent="0.25">
      <c r="A780" s="1">
        <v>45219</v>
      </c>
      <c r="B780" t="s">
        <v>10</v>
      </c>
      <c r="C780" t="s">
        <v>11</v>
      </c>
      <c r="D780" t="s">
        <v>12</v>
      </c>
      <c r="E780" t="s">
        <v>279</v>
      </c>
      <c r="F780" t="s">
        <v>23</v>
      </c>
      <c r="G780" t="s">
        <v>24</v>
      </c>
      <c r="H780">
        <v>9</v>
      </c>
      <c r="I780">
        <v>9225</v>
      </c>
      <c r="J780">
        <v>1391.15</v>
      </c>
    </row>
    <row r="781" spans="1:10" x14ac:dyDescent="0.25">
      <c r="A781" s="1">
        <v>44732</v>
      </c>
      <c r="B781" t="s">
        <v>16</v>
      </c>
      <c r="C781" t="s">
        <v>17</v>
      </c>
      <c r="D781" t="s">
        <v>12</v>
      </c>
      <c r="E781" t="s">
        <v>291</v>
      </c>
      <c r="F781" t="s">
        <v>34</v>
      </c>
      <c r="G781" t="s">
        <v>35</v>
      </c>
      <c r="H781">
        <v>5</v>
      </c>
      <c r="I781">
        <v>3910</v>
      </c>
      <c r="J781">
        <v>584.77</v>
      </c>
    </row>
    <row r="782" spans="1:10" x14ac:dyDescent="0.25">
      <c r="A782" s="1">
        <v>45055</v>
      </c>
      <c r="B782" t="s">
        <v>10</v>
      </c>
      <c r="C782" t="s">
        <v>11</v>
      </c>
      <c r="D782" t="s">
        <v>12</v>
      </c>
      <c r="E782" t="s">
        <v>22</v>
      </c>
      <c r="F782" t="s">
        <v>23</v>
      </c>
      <c r="G782" t="s">
        <v>24</v>
      </c>
      <c r="H782">
        <v>5</v>
      </c>
      <c r="I782">
        <v>1995</v>
      </c>
      <c r="J782">
        <v>369.22</v>
      </c>
    </row>
    <row r="783" spans="1:10" x14ac:dyDescent="0.25">
      <c r="A783" s="1">
        <v>45169</v>
      </c>
      <c r="B783" t="s">
        <v>49</v>
      </c>
      <c r="C783" t="s">
        <v>17</v>
      </c>
      <c r="D783" t="s">
        <v>12</v>
      </c>
      <c r="E783" t="s">
        <v>292</v>
      </c>
      <c r="F783" t="s">
        <v>65</v>
      </c>
      <c r="G783" t="s">
        <v>35</v>
      </c>
      <c r="H783">
        <v>7</v>
      </c>
      <c r="I783">
        <v>385</v>
      </c>
      <c r="J783">
        <v>43.43</v>
      </c>
    </row>
    <row r="784" spans="1:10" x14ac:dyDescent="0.25">
      <c r="A784" s="1">
        <v>45008</v>
      </c>
      <c r="B784" t="s">
        <v>16</v>
      </c>
      <c r="C784" t="s">
        <v>17</v>
      </c>
      <c r="D784" t="s">
        <v>12</v>
      </c>
      <c r="E784" t="s">
        <v>37</v>
      </c>
      <c r="F784" t="s">
        <v>34</v>
      </c>
      <c r="G784" t="s">
        <v>35</v>
      </c>
      <c r="H784">
        <v>4</v>
      </c>
      <c r="I784">
        <v>4316</v>
      </c>
      <c r="J784">
        <v>566.70000000000005</v>
      </c>
    </row>
    <row r="785" spans="1:10" x14ac:dyDescent="0.25">
      <c r="A785" s="1">
        <v>45410</v>
      </c>
      <c r="B785" t="s">
        <v>32</v>
      </c>
      <c r="C785" t="s">
        <v>19</v>
      </c>
      <c r="D785" t="s">
        <v>12</v>
      </c>
      <c r="E785" t="s">
        <v>242</v>
      </c>
      <c r="F785" t="s">
        <v>21</v>
      </c>
      <c r="G785" t="s">
        <v>15</v>
      </c>
      <c r="H785">
        <v>1</v>
      </c>
      <c r="I785">
        <v>1169</v>
      </c>
      <c r="J785">
        <v>340.69</v>
      </c>
    </row>
    <row r="786" spans="1:10" x14ac:dyDescent="0.25">
      <c r="A786" s="1">
        <v>45015</v>
      </c>
      <c r="B786" t="s">
        <v>29</v>
      </c>
      <c r="C786" t="s">
        <v>17</v>
      </c>
      <c r="D786" t="s">
        <v>12</v>
      </c>
      <c r="E786" t="s">
        <v>74</v>
      </c>
      <c r="F786" t="s">
        <v>23</v>
      </c>
      <c r="G786" t="s">
        <v>24</v>
      </c>
      <c r="H786">
        <v>5</v>
      </c>
      <c r="I786">
        <v>2325</v>
      </c>
      <c r="J786">
        <v>506.32</v>
      </c>
    </row>
    <row r="787" spans="1:10" x14ac:dyDescent="0.25">
      <c r="A787" s="1">
        <v>45340</v>
      </c>
      <c r="B787" t="s">
        <v>36</v>
      </c>
      <c r="C787" t="s">
        <v>17</v>
      </c>
      <c r="D787" t="s">
        <v>12</v>
      </c>
      <c r="E787" t="s">
        <v>293</v>
      </c>
      <c r="F787" t="s">
        <v>23</v>
      </c>
      <c r="G787" t="s">
        <v>24</v>
      </c>
      <c r="H787">
        <v>1</v>
      </c>
      <c r="I787">
        <v>199</v>
      </c>
      <c r="J787">
        <v>48.92</v>
      </c>
    </row>
    <row r="788" spans="1:10" x14ac:dyDescent="0.25">
      <c r="A788" s="1">
        <v>44786</v>
      </c>
      <c r="B788" t="s">
        <v>32</v>
      </c>
      <c r="C788" t="s">
        <v>19</v>
      </c>
      <c r="D788" t="s">
        <v>12</v>
      </c>
      <c r="E788" t="s">
        <v>105</v>
      </c>
      <c r="F788" t="s">
        <v>23</v>
      </c>
      <c r="G788" t="s">
        <v>24</v>
      </c>
      <c r="H788">
        <v>3</v>
      </c>
      <c r="I788">
        <v>375</v>
      </c>
      <c r="J788">
        <v>80.58</v>
      </c>
    </row>
    <row r="789" spans="1:10" x14ac:dyDescent="0.25">
      <c r="A789" s="1">
        <v>44686</v>
      </c>
      <c r="B789" t="s">
        <v>55</v>
      </c>
      <c r="C789" t="s">
        <v>19</v>
      </c>
      <c r="D789" t="s">
        <v>12</v>
      </c>
      <c r="E789" t="s">
        <v>294</v>
      </c>
      <c r="F789" t="s">
        <v>149</v>
      </c>
      <c r="G789" t="s">
        <v>15</v>
      </c>
      <c r="H789">
        <v>9</v>
      </c>
      <c r="I789">
        <v>8010</v>
      </c>
      <c r="J789">
        <v>763.32</v>
      </c>
    </row>
    <row r="790" spans="1:10" x14ac:dyDescent="0.25">
      <c r="A790" s="1">
        <v>44929</v>
      </c>
      <c r="B790" t="s">
        <v>16</v>
      </c>
      <c r="C790" t="s">
        <v>17</v>
      </c>
      <c r="D790" t="s">
        <v>12</v>
      </c>
      <c r="E790" t="s">
        <v>103</v>
      </c>
      <c r="F790" t="s">
        <v>149</v>
      </c>
      <c r="G790" t="s">
        <v>15</v>
      </c>
      <c r="H790">
        <v>4</v>
      </c>
      <c r="I790">
        <v>316</v>
      </c>
      <c r="J790">
        <v>77.13</v>
      </c>
    </row>
    <row r="791" spans="1:10" x14ac:dyDescent="0.25">
      <c r="A791" s="1">
        <v>45610</v>
      </c>
      <c r="B791" t="s">
        <v>25</v>
      </c>
      <c r="C791" t="s">
        <v>19</v>
      </c>
      <c r="D791" t="s">
        <v>12</v>
      </c>
      <c r="E791" t="s">
        <v>287</v>
      </c>
      <c r="F791" t="s">
        <v>21</v>
      </c>
      <c r="G791" t="s">
        <v>15</v>
      </c>
      <c r="H791">
        <v>9</v>
      </c>
      <c r="I791">
        <v>5895</v>
      </c>
      <c r="J791">
        <v>442.49</v>
      </c>
    </row>
    <row r="792" spans="1:10" x14ac:dyDescent="0.25">
      <c r="A792" s="1">
        <v>44660</v>
      </c>
      <c r="B792" t="s">
        <v>29</v>
      </c>
      <c r="C792" t="s">
        <v>17</v>
      </c>
      <c r="D792" t="s">
        <v>12</v>
      </c>
      <c r="E792" t="s">
        <v>287</v>
      </c>
      <c r="F792" t="s">
        <v>21</v>
      </c>
      <c r="G792" t="s">
        <v>15</v>
      </c>
      <c r="H792">
        <v>4</v>
      </c>
      <c r="I792">
        <v>388</v>
      </c>
      <c r="J792">
        <v>35.21</v>
      </c>
    </row>
    <row r="793" spans="1:10" x14ac:dyDescent="0.25">
      <c r="A793" s="1">
        <v>45455</v>
      </c>
      <c r="B793" t="s">
        <v>16</v>
      </c>
      <c r="C793" t="s">
        <v>17</v>
      </c>
      <c r="D793" t="s">
        <v>12</v>
      </c>
      <c r="E793" t="s">
        <v>282</v>
      </c>
      <c r="F793" t="s">
        <v>168</v>
      </c>
      <c r="G793" t="s">
        <v>15</v>
      </c>
      <c r="H793">
        <v>5</v>
      </c>
      <c r="I793">
        <v>3670</v>
      </c>
      <c r="J793">
        <v>462.97</v>
      </c>
    </row>
    <row r="794" spans="1:10" x14ac:dyDescent="0.25">
      <c r="A794" s="1">
        <v>45580</v>
      </c>
      <c r="B794" t="s">
        <v>40</v>
      </c>
      <c r="C794" t="s">
        <v>19</v>
      </c>
      <c r="D794" t="s">
        <v>12</v>
      </c>
      <c r="E794" t="s">
        <v>282</v>
      </c>
      <c r="F794" t="s">
        <v>168</v>
      </c>
      <c r="G794" t="s">
        <v>15</v>
      </c>
      <c r="H794">
        <v>9</v>
      </c>
      <c r="I794">
        <v>7731</v>
      </c>
      <c r="J794">
        <v>2178.0500000000002</v>
      </c>
    </row>
    <row r="795" spans="1:10" x14ac:dyDescent="0.25">
      <c r="A795" s="1">
        <v>45217</v>
      </c>
      <c r="B795" t="s">
        <v>55</v>
      </c>
      <c r="C795" t="s">
        <v>19</v>
      </c>
      <c r="D795" t="s">
        <v>12</v>
      </c>
      <c r="E795" t="s">
        <v>52</v>
      </c>
      <c r="F795" t="s">
        <v>42</v>
      </c>
      <c r="G795" t="s">
        <v>28</v>
      </c>
      <c r="H795">
        <v>3</v>
      </c>
      <c r="I795">
        <v>1596</v>
      </c>
      <c r="J795">
        <v>91.23</v>
      </c>
    </row>
    <row r="796" spans="1:10" x14ac:dyDescent="0.25">
      <c r="A796" s="1">
        <v>45388</v>
      </c>
      <c r="B796" t="s">
        <v>25</v>
      </c>
      <c r="C796" t="s">
        <v>19</v>
      </c>
      <c r="D796" t="s">
        <v>12</v>
      </c>
      <c r="E796" t="s">
        <v>70</v>
      </c>
      <c r="F796" t="s">
        <v>71</v>
      </c>
      <c r="G796" t="s">
        <v>35</v>
      </c>
      <c r="H796">
        <v>4</v>
      </c>
      <c r="I796">
        <v>4192</v>
      </c>
      <c r="J796">
        <v>216.16</v>
      </c>
    </row>
    <row r="797" spans="1:10" x14ac:dyDescent="0.25">
      <c r="A797" s="1">
        <v>45136</v>
      </c>
      <c r="B797" t="s">
        <v>18</v>
      </c>
      <c r="C797" t="s">
        <v>19</v>
      </c>
      <c r="D797" t="s">
        <v>12</v>
      </c>
      <c r="E797" t="s">
        <v>70</v>
      </c>
      <c r="F797" t="s">
        <v>71</v>
      </c>
      <c r="G797" t="s">
        <v>35</v>
      </c>
      <c r="H797">
        <v>7</v>
      </c>
      <c r="I797">
        <v>5264</v>
      </c>
      <c r="J797">
        <v>756.33</v>
      </c>
    </row>
    <row r="798" spans="1:10" x14ac:dyDescent="0.25">
      <c r="A798" s="1">
        <v>45081</v>
      </c>
      <c r="B798" t="s">
        <v>55</v>
      </c>
      <c r="C798" t="s">
        <v>19</v>
      </c>
      <c r="D798" t="s">
        <v>12</v>
      </c>
      <c r="E798" t="s">
        <v>70</v>
      </c>
      <c r="F798" t="s">
        <v>71</v>
      </c>
      <c r="G798" t="s">
        <v>35</v>
      </c>
      <c r="H798">
        <v>1</v>
      </c>
      <c r="I798">
        <v>425</v>
      </c>
      <c r="J798">
        <v>48.81</v>
      </c>
    </row>
    <row r="799" spans="1:10" x14ac:dyDescent="0.25">
      <c r="A799" s="1">
        <v>44637</v>
      </c>
      <c r="B799" t="s">
        <v>32</v>
      </c>
      <c r="C799" t="s">
        <v>19</v>
      </c>
      <c r="D799" t="s">
        <v>12</v>
      </c>
      <c r="E799" t="s">
        <v>117</v>
      </c>
      <c r="F799" t="s">
        <v>59</v>
      </c>
      <c r="G799" t="s">
        <v>28</v>
      </c>
      <c r="H799">
        <v>4</v>
      </c>
      <c r="I799">
        <v>3380</v>
      </c>
      <c r="J799">
        <v>211.72</v>
      </c>
    </row>
    <row r="800" spans="1:10" x14ac:dyDescent="0.25">
      <c r="A800" s="1">
        <v>45358</v>
      </c>
      <c r="B800" t="s">
        <v>10</v>
      </c>
      <c r="C800" t="s">
        <v>11</v>
      </c>
      <c r="D800" t="s">
        <v>12</v>
      </c>
      <c r="E800" t="s">
        <v>75</v>
      </c>
      <c r="F800" t="s">
        <v>63</v>
      </c>
      <c r="G800" t="s">
        <v>28</v>
      </c>
      <c r="H800">
        <v>7</v>
      </c>
      <c r="I800">
        <v>8379</v>
      </c>
      <c r="J800">
        <v>2009.05</v>
      </c>
    </row>
    <row r="801" spans="1:10" x14ac:dyDescent="0.25">
      <c r="A801" s="1">
        <v>44625</v>
      </c>
      <c r="B801" t="s">
        <v>49</v>
      </c>
      <c r="C801" t="s">
        <v>17</v>
      </c>
      <c r="D801" t="s">
        <v>12</v>
      </c>
      <c r="E801" t="s">
        <v>172</v>
      </c>
      <c r="F801" t="s">
        <v>173</v>
      </c>
      <c r="G801" t="s">
        <v>24</v>
      </c>
      <c r="H801">
        <v>4</v>
      </c>
      <c r="I801">
        <v>2040</v>
      </c>
      <c r="J801">
        <v>393.72</v>
      </c>
    </row>
    <row r="802" spans="1:10" x14ac:dyDescent="0.25">
      <c r="A802" s="1">
        <v>45399</v>
      </c>
      <c r="B802" t="s">
        <v>10</v>
      </c>
      <c r="C802" t="s">
        <v>11</v>
      </c>
      <c r="D802" t="s">
        <v>12</v>
      </c>
      <c r="E802" t="s">
        <v>172</v>
      </c>
      <c r="F802" t="s">
        <v>173</v>
      </c>
      <c r="G802" t="s">
        <v>24</v>
      </c>
      <c r="H802">
        <v>4</v>
      </c>
      <c r="I802">
        <v>1336</v>
      </c>
      <c r="J802">
        <v>116.65</v>
      </c>
    </row>
    <row r="803" spans="1:10" x14ac:dyDescent="0.25">
      <c r="A803" s="1">
        <v>45526</v>
      </c>
      <c r="B803" t="s">
        <v>49</v>
      </c>
      <c r="C803" t="s">
        <v>17</v>
      </c>
      <c r="D803" t="s">
        <v>12</v>
      </c>
      <c r="E803" t="s">
        <v>273</v>
      </c>
      <c r="F803" t="s">
        <v>46</v>
      </c>
      <c r="G803" t="s">
        <v>15</v>
      </c>
      <c r="H803">
        <v>2</v>
      </c>
      <c r="I803">
        <v>1934</v>
      </c>
      <c r="J803">
        <v>157.41</v>
      </c>
    </row>
    <row r="804" spans="1:10" x14ac:dyDescent="0.25">
      <c r="A804" s="1">
        <v>45391</v>
      </c>
      <c r="B804" t="s">
        <v>49</v>
      </c>
      <c r="C804" t="s">
        <v>17</v>
      </c>
      <c r="D804" t="s">
        <v>12</v>
      </c>
      <c r="E804" t="s">
        <v>22</v>
      </c>
      <c r="F804" t="s">
        <v>23</v>
      </c>
      <c r="G804" t="s">
        <v>24</v>
      </c>
      <c r="H804">
        <v>3</v>
      </c>
      <c r="I804">
        <v>1560</v>
      </c>
      <c r="J804">
        <v>391.11</v>
      </c>
    </row>
    <row r="805" spans="1:10" x14ac:dyDescent="0.25">
      <c r="A805" s="1">
        <v>45493</v>
      </c>
      <c r="B805" t="s">
        <v>49</v>
      </c>
      <c r="C805" t="s">
        <v>17</v>
      </c>
      <c r="D805" t="s">
        <v>12</v>
      </c>
      <c r="E805" t="s">
        <v>272</v>
      </c>
      <c r="F805" t="s">
        <v>84</v>
      </c>
      <c r="G805" t="s">
        <v>28</v>
      </c>
      <c r="H805">
        <v>6</v>
      </c>
      <c r="I805">
        <v>4446</v>
      </c>
      <c r="J805">
        <v>1217.8599999999999</v>
      </c>
    </row>
    <row r="806" spans="1:10" x14ac:dyDescent="0.25">
      <c r="A806" s="1">
        <v>45002</v>
      </c>
      <c r="B806" t="s">
        <v>10</v>
      </c>
      <c r="C806" t="s">
        <v>11</v>
      </c>
      <c r="D806" t="s">
        <v>12</v>
      </c>
      <c r="E806" t="s">
        <v>74</v>
      </c>
      <c r="F806" t="s">
        <v>23</v>
      </c>
      <c r="G806" t="s">
        <v>24</v>
      </c>
      <c r="H806">
        <v>3</v>
      </c>
      <c r="I806">
        <v>1893</v>
      </c>
      <c r="J806">
        <v>508.8</v>
      </c>
    </row>
    <row r="807" spans="1:10" x14ac:dyDescent="0.25">
      <c r="A807" s="1">
        <v>45477</v>
      </c>
      <c r="B807" t="s">
        <v>25</v>
      </c>
      <c r="C807" t="s">
        <v>19</v>
      </c>
      <c r="D807" t="s">
        <v>12</v>
      </c>
      <c r="E807" t="s">
        <v>43</v>
      </c>
      <c r="F807" t="s">
        <v>44</v>
      </c>
      <c r="G807" t="s">
        <v>35</v>
      </c>
      <c r="H807">
        <v>4</v>
      </c>
      <c r="I807">
        <v>4492</v>
      </c>
      <c r="J807">
        <v>670.42</v>
      </c>
    </row>
    <row r="808" spans="1:10" x14ac:dyDescent="0.25">
      <c r="A808" s="1">
        <v>45150</v>
      </c>
      <c r="B808" t="s">
        <v>16</v>
      </c>
      <c r="C808" t="s">
        <v>17</v>
      </c>
      <c r="D808" t="s">
        <v>12</v>
      </c>
      <c r="E808" t="s">
        <v>295</v>
      </c>
      <c r="F808" t="s">
        <v>44</v>
      </c>
      <c r="G808" t="s">
        <v>35</v>
      </c>
      <c r="H808">
        <v>6</v>
      </c>
      <c r="I808">
        <v>6228</v>
      </c>
      <c r="J808">
        <v>1852.45</v>
      </c>
    </row>
    <row r="809" spans="1:10" x14ac:dyDescent="0.25">
      <c r="A809" s="1">
        <v>45039</v>
      </c>
      <c r="B809" t="s">
        <v>25</v>
      </c>
      <c r="C809" t="s">
        <v>19</v>
      </c>
      <c r="D809" t="s">
        <v>12</v>
      </c>
      <c r="E809" t="s">
        <v>105</v>
      </c>
      <c r="F809" t="s">
        <v>23</v>
      </c>
      <c r="G809" t="s">
        <v>24</v>
      </c>
      <c r="H809">
        <v>7</v>
      </c>
      <c r="I809">
        <v>4403</v>
      </c>
      <c r="J809">
        <v>1295.8900000000001</v>
      </c>
    </row>
    <row r="810" spans="1:10" x14ac:dyDescent="0.25">
      <c r="A810" s="1">
        <v>44849</v>
      </c>
      <c r="B810" t="s">
        <v>29</v>
      </c>
      <c r="C810" t="s">
        <v>17</v>
      </c>
      <c r="D810" t="s">
        <v>12</v>
      </c>
      <c r="E810" t="s">
        <v>105</v>
      </c>
      <c r="F810" t="s">
        <v>23</v>
      </c>
      <c r="G810" t="s">
        <v>24</v>
      </c>
      <c r="H810">
        <v>9</v>
      </c>
      <c r="I810">
        <v>4176</v>
      </c>
      <c r="J810">
        <v>510.97</v>
      </c>
    </row>
    <row r="811" spans="1:10" x14ac:dyDescent="0.25">
      <c r="A811" s="1">
        <v>44705</v>
      </c>
      <c r="B811" t="s">
        <v>49</v>
      </c>
      <c r="C811" t="s">
        <v>17</v>
      </c>
      <c r="D811" t="s">
        <v>12</v>
      </c>
      <c r="E811" t="s">
        <v>105</v>
      </c>
      <c r="F811" t="s">
        <v>23</v>
      </c>
      <c r="G811" t="s">
        <v>24</v>
      </c>
      <c r="H811">
        <v>2</v>
      </c>
      <c r="I811">
        <v>486</v>
      </c>
      <c r="J811">
        <v>64.430000000000007</v>
      </c>
    </row>
    <row r="812" spans="1:10" x14ac:dyDescent="0.25">
      <c r="A812" s="1">
        <v>44690</v>
      </c>
      <c r="B812" t="s">
        <v>10</v>
      </c>
      <c r="C812" t="s">
        <v>11</v>
      </c>
      <c r="D812" t="s">
        <v>12</v>
      </c>
      <c r="E812" t="s">
        <v>240</v>
      </c>
      <c r="F812" t="s">
        <v>94</v>
      </c>
      <c r="G812" t="s">
        <v>24</v>
      </c>
      <c r="H812">
        <v>5</v>
      </c>
      <c r="I812">
        <v>4880</v>
      </c>
      <c r="J812">
        <v>1084.69</v>
      </c>
    </row>
    <row r="813" spans="1:10" x14ac:dyDescent="0.25">
      <c r="A813" s="1">
        <v>44867</v>
      </c>
      <c r="B813" t="s">
        <v>10</v>
      </c>
      <c r="C813" t="s">
        <v>11</v>
      </c>
      <c r="D813" t="s">
        <v>12</v>
      </c>
      <c r="E813" t="s">
        <v>240</v>
      </c>
      <c r="F813" t="s">
        <v>94</v>
      </c>
      <c r="G813" t="s">
        <v>24</v>
      </c>
      <c r="H813">
        <v>5</v>
      </c>
      <c r="I813">
        <v>265</v>
      </c>
      <c r="J813">
        <v>53.21</v>
      </c>
    </row>
    <row r="814" spans="1:10" x14ac:dyDescent="0.25">
      <c r="A814" s="1">
        <v>45179</v>
      </c>
      <c r="B814" t="s">
        <v>55</v>
      </c>
      <c r="C814" t="s">
        <v>19</v>
      </c>
      <c r="D814" t="s">
        <v>12</v>
      </c>
      <c r="E814" t="s">
        <v>22</v>
      </c>
      <c r="F814" t="s">
        <v>23</v>
      </c>
      <c r="G814" t="s">
        <v>24</v>
      </c>
      <c r="H814">
        <v>1</v>
      </c>
      <c r="I814">
        <v>1041</v>
      </c>
      <c r="J814">
        <v>128.58000000000001</v>
      </c>
    </row>
    <row r="815" spans="1:10" x14ac:dyDescent="0.25">
      <c r="A815" s="1">
        <v>45379</v>
      </c>
      <c r="B815" t="s">
        <v>40</v>
      </c>
      <c r="C815" t="s">
        <v>19</v>
      </c>
      <c r="D815" t="s">
        <v>12</v>
      </c>
      <c r="E815" t="s">
        <v>26</v>
      </c>
      <c r="F815" t="s">
        <v>27</v>
      </c>
      <c r="G815" t="s">
        <v>28</v>
      </c>
      <c r="H815">
        <v>8</v>
      </c>
      <c r="I815">
        <v>9448</v>
      </c>
      <c r="J815">
        <v>616.5</v>
      </c>
    </row>
    <row r="816" spans="1:10" x14ac:dyDescent="0.25">
      <c r="A816" s="1">
        <v>44743</v>
      </c>
      <c r="B816" t="s">
        <v>29</v>
      </c>
      <c r="C816" t="s">
        <v>17</v>
      </c>
      <c r="D816" t="s">
        <v>12</v>
      </c>
      <c r="E816" t="s">
        <v>26</v>
      </c>
      <c r="F816" t="s">
        <v>27</v>
      </c>
      <c r="G816" t="s">
        <v>28</v>
      </c>
      <c r="H816">
        <v>3</v>
      </c>
      <c r="I816">
        <v>1617</v>
      </c>
      <c r="J816">
        <v>440.46</v>
      </c>
    </row>
    <row r="817" spans="1:10" x14ac:dyDescent="0.25">
      <c r="A817" s="1">
        <v>45339</v>
      </c>
      <c r="B817" t="s">
        <v>55</v>
      </c>
      <c r="C817" t="s">
        <v>19</v>
      </c>
      <c r="D817" t="s">
        <v>12</v>
      </c>
      <c r="E817" t="s">
        <v>26</v>
      </c>
      <c r="F817" t="s">
        <v>27</v>
      </c>
      <c r="G817" t="s">
        <v>28</v>
      </c>
      <c r="H817">
        <v>2</v>
      </c>
      <c r="I817">
        <v>1486</v>
      </c>
      <c r="J817">
        <v>233.7</v>
      </c>
    </row>
    <row r="818" spans="1:10" x14ac:dyDescent="0.25">
      <c r="A818" s="1">
        <v>45115</v>
      </c>
      <c r="B818" t="s">
        <v>32</v>
      </c>
      <c r="C818" t="s">
        <v>19</v>
      </c>
      <c r="D818" t="s">
        <v>12</v>
      </c>
      <c r="E818" t="s">
        <v>52</v>
      </c>
      <c r="F818" t="s">
        <v>42</v>
      </c>
      <c r="G818" t="s">
        <v>28</v>
      </c>
      <c r="H818">
        <v>8</v>
      </c>
      <c r="I818">
        <v>7152</v>
      </c>
      <c r="J818">
        <v>1539.72</v>
      </c>
    </row>
    <row r="819" spans="1:10" x14ac:dyDescent="0.25">
      <c r="A819" s="1">
        <v>44924</v>
      </c>
      <c r="B819" t="s">
        <v>16</v>
      </c>
      <c r="C819" t="s">
        <v>17</v>
      </c>
      <c r="D819" t="s">
        <v>12</v>
      </c>
      <c r="E819" t="s">
        <v>93</v>
      </c>
      <c r="F819" t="s">
        <v>94</v>
      </c>
      <c r="G819" t="s">
        <v>24</v>
      </c>
      <c r="H819">
        <v>6</v>
      </c>
      <c r="I819">
        <v>1404</v>
      </c>
      <c r="J819">
        <v>368.36</v>
      </c>
    </row>
    <row r="820" spans="1:10" x14ac:dyDescent="0.25">
      <c r="A820" s="1">
        <v>45149</v>
      </c>
      <c r="B820" t="s">
        <v>25</v>
      </c>
      <c r="C820" t="s">
        <v>19</v>
      </c>
      <c r="D820" t="s">
        <v>12</v>
      </c>
      <c r="E820" t="s">
        <v>93</v>
      </c>
      <c r="F820" t="s">
        <v>94</v>
      </c>
      <c r="G820" t="s">
        <v>24</v>
      </c>
      <c r="H820">
        <v>2</v>
      </c>
      <c r="I820">
        <v>122</v>
      </c>
      <c r="J820">
        <v>16.23</v>
      </c>
    </row>
    <row r="821" spans="1:10" x14ac:dyDescent="0.25">
      <c r="A821" s="1">
        <v>45139</v>
      </c>
      <c r="B821" t="s">
        <v>25</v>
      </c>
      <c r="C821" t="s">
        <v>19</v>
      </c>
      <c r="D821" t="s">
        <v>12</v>
      </c>
      <c r="E821" t="s">
        <v>93</v>
      </c>
      <c r="F821" t="s">
        <v>94</v>
      </c>
      <c r="G821" t="s">
        <v>24</v>
      </c>
      <c r="H821">
        <v>9</v>
      </c>
      <c r="I821">
        <v>7533</v>
      </c>
      <c r="J821">
        <v>1285.72</v>
      </c>
    </row>
    <row r="822" spans="1:10" x14ac:dyDescent="0.25">
      <c r="A822" s="1">
        <v>45130</v>
      </c>
      <c r="B822" t="s">
        <v>29</v>
      </c>
      <c r="C822" t="s">
        <v>17</v>
      </c>
      <c r="D822" t="s">
        <v>12</v>
      </c>
      <c r="E822" t="s">
        <v>56</v>
      </c>
      <c r="F822" t="s">
        <v>57</v>
      </c>
      <c r="G822" t="s">
        <v>24</v>
      </c>
      <c r="H822">
        <v>4</v>
      </c>
      <c r="I822">
        <v>3888</v>
      </c>
      <c r="J822">
        <v>810.08</v>
      </c>
    </row>
    <row r="823" spans="1:10" x14ac:dyDescent="0.25">
      <c r="A823" s="1">
        <v>45478</v>
      </c>
      <c r="B823" t="s">
        <v>40</v>
      </c>
      <c r="C823" t="s">
        <v>19</v>
      </c>
      <c r="D823" t="s">
        <v>12</v>
      </c>
      <c r="E823" t="s">
        <v>296</v>
      </c>
      <c r="F823" t="s">
        <v>34</v>
      </c>
      <c r="G823" t="s">
        <v>35</v>
      </c>
      <c r="H823">
        <v>5</v>
      </c>
      <c r="I823">
        <v>870</v>
      </c>
      <c r="J823">
        <v>48.87</v>
      </c>
    </row>
    <row r="824" spans="1:10" x14ac:dyDescent="0.25">
      <c r="A824" s="1">
        <v>44893</v>
      </c>
      <c r="B824" t="s">
        <v>16</v>
      </c>
      <c r="C824" t="s">
        <v>17</v>
      </c>
      <c r="D824" t="s">
        <v>12</v>
      </c>
      <c r="E824" t="s">
        <v>207</v>
      </c>
      <c r="F824" t="s">
        <v>34</v>
      </c>
      <c r="G824" t="s">
        <v>35</v>
      </c>
      <c r="H824">
        <v>2</v>
      </c>
      <c r="I824">
        <v>1446</v>
      </c>
      <c r="J824">
        <v>403.89</v>
      </c>
    </row>
    <row r="825" spans="1:10" x14ac:dyDescent="0.25">
      <c r="A825" s="1">
        <v>45607</v>
      </c>
      <c r="B825" t="s">
        <v>18</v>
      </c>
      <c r="C825" t="s">
        <v>19</v>
      </c>
      <c r="D825" t="s">
        <v>12</v>
      </c>
      <c r="E825" t="s">
        <v>297</v>
      </c>
      <c r="F825" t="s">
        <v>39</v>
      </c>
      <c r="G825" t="s">
        <v>35</v>
      </c>
      <c r="H825">
        <v>6</v>
      </c>
      <c r="I825">
        <v>510</v>
      </c>
      <c r="J825">
        <v>151.91</v>
      </c>
    </row>
    <row r="826" spans="1:10" x14ac:dyDescent="0.25">
      <c r="A826" s="1">
        <v>45502</v>
      </c>
      <c r="B826" t="s">
        <v>49</v>
      </c>
      <c r="C826" t="s">
        <v>17</v>
      </c>
      <c r="D826" t="s">
        <v>12</v>
      </c>
      <c r="E826" t="s">
        <v>52</v>
      </c>
      <c r="F826" t="s">
        <v>42</v>
      </c>
      <c r="G826" t="s">
        <v>28</v>
      </c>
      <c r="H826">
        <v>8</v>
      </c>
      <c r="I826">
        <v>6224</v>
      </c>
      <c r="J826">
        <v>790.27</v>
      </c>
    </row>
    <row r="827" spans="1:10" x14ac:dyDescent="0.25">
      <c r="A827" s="1">
        <v>45041</v>
      </c>
      <c r="B827" t="s">
        <v>49</v>
      </c>
      <c r="C827" t="s">
        <v>17</v>
      </c>
      <c r="D827" t="s">
        <v>12</v>
      </c>
      <c r="E827" t="s">
        <v>162</v>
      </c>
      <c r="F827" t="s">
        <v>34</v>
      </c>
      <c r="G827" t="s">
        <v>35</v>
      </c>
      <c r="H827">
        <v>2</v>
      </c>
      <c r="I827">
        <v>686</v>
      </c>
      <c r="J827">
        <v>85.03</v>
      </c>
    </row>
    <row r="828" spans="1:10" x14ac:dyDescent="0.25">
      <c r="A828" s="1">
        <v>45271</v>
      </c>
      <c r="B828" t="s">
        <v>16</v>
      </c>
      <c r="C828" t="s">
        <v>17</v>
      </c>
      <c r="D828" t="s">
        <v>12</v>
      </c>
      <c r="E828" t="s">
        <v>70</v>
      </c>
      <c r="F828" t="s">
        <v>71</v>
      </c>
      <c r="G828" t="s">
        <v>35</v>
      </c>
      <c r="H828">
        <v>4</v>
      </c>
      <c r="I828">
        <v>2840</v>
      </c>
      <c r="J828">
        <v>591.94000000000005</v>
      </c>
    </row>
    <row r="829" spans="1:10" x14ac:dyDescent="0.25">
      <c r="A829" s="1">
        <v>45242</v>
      </c>
      <c r="B829" t="s">
        <v>55</v>
      </c>
      <c r="C829" t="s">
        <v>19</v>
      </c>
      <c r="D829" t="s">
        <v>12</v>
      </c>
      <c r="E829" t="s">
        <v>74</v>
      </c>
      <c r="F829" t="s">
        <v>23</v>
      </c>
      <c r="G829" t="s">
        <v>24</v>
      </c>
      <c r="H829">
        <v>7</v>
      </c>
      <c r="I829">
        <v>2562</v>
      </c>
      <c r="J829">
        <v>347.62</v>
      </c>
    </row>
    <row r="830" spans="1:10" x14ac:dyDescent="0.25">
      <c r="A830" s="1">
        <v>45416</v>
      </c>
      <c r="B830" t="s">
        <v>40</v>
      </c>
      <c r="C830" t="s">
        <v>19</v>
      </c>
      <c r="D830" t="s">
        <v>12</v>
      </c>
      <c r="E830" t="s">
        <v>298</v>
      </c>
      <c r="F830" t="s">
        <v>46</v>
      </c>
      <c r="G830" t="s">
        <v>15</v>
      </c>
      <c r="H830">
        <v>5</v>
      </c>
      <c r="I830">
        <v>790</v>
      </c>
      <c r="J830">
        <v>216.12</v>
      </c>
    </row>
    <row r="831" spans="1:10" x14ac:dyDescent="0.25">
      <c r="A831" s="1">
        <v>44751</v>
      </c>
      <c r="B831" t="s">
        <v>55</v>
      </c>
      <c r="C831" t="s">
        <v>19</v>
      </c>
      <c r="D831" t="s">
        <v>12</v>
      </c>
      <c r="E831" t="s">
        <v>22</v>
      </c>
      <c r="F831" t="s">
        <v>23</v>
      </c>
      <c r="G831" t="s">
        <v>24</v>
      </c>
      <c r="H831">
        <v>5</v>
      </c>
      <c r="I831">
        <v>4170</v>
      </c>
      <c r="J831">
        <v>786.42</v>
      </c>
    </row>
    <row r="832" spans="1:10" x14ac:dyDescent="0.25">
      <c r="A832" s="1">
        <v>44887</v>
      </c>
      <c r="B832" t="s">
        <v>18</v>
      </c>
      <c r="C832" t="s">
        <v>19</v>
      </c>
      <c r="D832" t="s">
        <v>12</v>
      </c>
      <c r="E832" t="s">
        <v>52</v>
      </c>
      <c r="F832" t="s">
        <v>42</v>
      </c>
      <c r="G832" t="s">
        <v>28</v>
      </c>
      <c r="H832">
        <v>4</v>
      </c>
      <c r="I832">
        <v>1360</v>
      </c>
      <c r="J832">
        <v>373.59</v>
      </c>
    </row>
    <row r="833" spans="1:10" x14ac:dyDescent="0.25">
      <c r="A833" s="1">
        <v>44633</v>
      </c>
      <c r="B833" t="s">
        <v>25</v>
      </c>
      <c r="C833" t="s">
        <v>19</v>
      </c>
      <c r="D833" t="s">
        <v>12</v>
      </c>
      <c r="E833" t="s">
        <v>104</v>
      </c>
      <c r="F833" t="s">
        <v>115</v>
      </c>
      <c r="G833" t="s">
        <v>15</v>
      </c>
      <c r="H833">
        <v>6</v>
      </c>
      <c r="I833">
        <v>5316</v>
      </c>
      <c r="J833">
        <v>782.42</v>
      </c>
    </row>
    <row r="834" spans="1:10" x14ac:dyDescent="0.25">
      <c r="A834" s="1">
        <v>45127</v>
      </c>
      <c r="B834" t="s">
        <v>55</v>
      </c>
      <c r="C834" t="s">
        <v>19</v>
      </c>
      <c r="D834" t="s">
        <v>12</v>
      </c>
      <c r="E834" t="s">
        <v>52</v>
      </c>
      <c r="F834" t="s">
        <v>42</v>
      </c>
      <c r="G834" t="s">
        <v>28</v>
      </c>
      <c r="H834">
        <v>4</v>
      </c>
      <c r="I834">
        <v>3956</v>
      </c>
      <c r="J834">
        <v>293.38</v>
      </c>
    </row>
    <row r="835" spans="1:10" x14ac:dyDescent="0.25">
      <c r="A835" s="1">
        <v>44690</v>
      </c>
      <c r="B835" t="s">
        <v>36</v>
      </c>
      <c r="C835" t="s">
        <v>17</v>
      </c>
      <c r="D835" t="s">
        <v>12</v>
      </c>
      <c r="E835" t="s">
        <v>56</v>
      </c>
      <c r="F835" t="s">
        <v>57</v>
      </c>
      <c r="G835" t="s">
        <v>24</v>
      </c>
      <c r="H835">
        <v>3</v>
      </c>
      <c r="I835">
        <v>726</v>
      </c>
      <c r="J835">
        <v>94.38</v>
      </c>
    </row>
    <row r="836" spans="1:10" x14ac:dyDescent="0.25">
      <c r="A836" s="1">
        <v>45508</v>
      </c>
      <c r="B836" t="s">
        <v>40</v>
      </c>
      <c r="C836" t="s">
        <v>19</v>
      </c>
      <c r="D836" t="s">
        <v>12</v>
      </c>
      <c r="E836" t="s">
        <v>22</v>
      </c>
      <c r="F836" t="s">
        <v>23</v>
      </c>
      <c r="G836" t="s">
        <v>24</v>
      </c>
      <c r="H836">
        <v>4</v>
      </c>
      <c r="I836">
        <v>228</v>
      </c>
      <c r="J836">
        <v>29.37</v>
      </c>
    </row>
    <row r="837" spans="1:10" x14ac:dyDescent="0.25">
      <c r="A837" s="1">
        <v>44773</v>
      </c>
      <c r="B837" t="s">
        <v>29</v>
      </c>
      <c r="C837" t="s">
        <v>17</v>
      </c>
      <c r="D837" t="s">
        <v>12</v>
      </c>
      <c r="E837" t="s">
        <v>243</v>
      </c>
      <c r="F837" t="s">
        <v>23</v>
      </c>
      <c r="G837" t="s">
        <v>24</v>
      </c>
      <c r="H837">
        <v>3</v>
      </c>
      <c r="I837">
        <v>2274</v>
      </c>
      <c r="J837">
        <v>442.57</v>
      </c>
    </row>
    <row r="838" spans="1:10" x14ac:dyDescent="0.25">
      <c r="A838" s="1">
        <v>45548</v>
      </c>
      <c r="B838" t="s">
        <v>49</v>
      </c>
      <c r="C838" t="s">
        <v>17</v>
      </c>
      <c r="D838" t="s">
        <v>12</v>
      </c>
      <c r="E838" t="s">
        <v>47</v>
      </c>
      <c r="F838" t="s">
        <v>46</v>
      </c>
      <c r="G838" t="s">
        <v>15</v>
      </c>
      <c r="H838">
        <v>9</v>
      </c>
      <c r="I838">
        <v>2628</v>
      </c>
      <c r="J838">
        <v>459.87</v>
      </c>
    </row>
    <row r="839" spans="1:10" x14ac:dyDescent="0.25">
      <c r="A839" s="1">
        <v>45438</v>
      </c>
      <c r="B839" t="s">
        <v>25</v>
      </c>
      <c r="C839" t="s">
        <v>19</v>
      </c>
      <c r="D839" t="s">
        <v>12</v>
      </c>
      <c r="E839" t="s">
        <v>299</v>
      </c>
      <c r="F839" t="s">
        <v>200</v>
      </c>
      <c r="G839" t="s">
        <v>28</v>
      </c>
      <c r="H839">
        <v>6</v>
      </c>
      <c r="I839">
        <v>606</v>
      </c>
      <c r="J839">
        <v>104.85</v>
      </c>
    </row>
    <row r="840" spans="1:10" x14ac:dyDescent="0.25">
      <c r="A840" s="1">
        <v>45611</v>
      </c>
      <c r="B840" t="s">
        <v>29</v>
      </c>
      <c r="C840" t="s">
        <v>17</v>
      </c>
      <c r="D840" t="s">
        <v>12</v>
      </c>
      <c r="E840" t="s">
        <v>72</v>
      </c>
      <c r="F840" t="s">
        <v>21</v>
      </c>
      <c r="G840" t="s">
        <v>15</v>
      </c>
      <c r="H840">
        <v>8</v>
      </c>
      <c r="I840">
        <v>7256</v>
      </c>
      <c r="J840">
        <v>558.79</v>
      </c>
    </row>
    <row r="841" spans="1:10" x14ac:dyDescent="0.25">
      <c r="A841" s="1">
        <v>44996</v>
      </c>
      <c r="B841" t="s">
        <v>25</v>
      </c>
      <c r="C841" t="s">
        <v>19</v>
      </c>
      <c r="D841" t="s">
        <v>12</v>
      </c>
      <c r="E841" t="s">
        <v>300</v>
      </c>
      <c r="F841" t="s">
        <v>65</v>
      </c>
      <c r="G841" t="s">
        <v>35</v>
      </c>
      <c r="H841">
        <v>4</v>
      </c>
      <c r="I841">
        <v>1956</v>
      </c>
      <c r="J841">
        <v>125.69</v>
      </c>
    </row>
    <row r="842" spans="1:10" x14ac:dyDescent="0.25">
      <c r="A842" s="1">
        <v>45463</v>
      </c>
      <c r="B842" t="s">
        <v>10</v>
      </c>
      <c r="C842" t="s">
        <v>11</v>
      </c>
      <c r="D842" t="s">
        <v>12</v>
      </c>
      <c r="E842" t="s">
        <v>300</v>
      </c>
      <c r="F842" t="s">
        <v>65</v>
      </c>
      <c r="G842" t="s">
        <v>35</v>
      </c>
      <c r="H842">
        <v>6</v>
      </c>
      <c r="I842">
        <v>3954</v>
      </c>
      <c r="J842">
        <v>690.1</v>
      </c>
    </row>
    <row r="843" spans="1:10" x14ac:dyDescent="0.25">
      <c r="A843" s="1">
        <v>44937</v>
      </c>
      <c r="B843" t="s">
        <v>49</v>
      </c>
      <c r="C843" t="s">
        <v>17</v>
      </c>
      <c r="D843" t="s">
        <v>12</v>
      </c>
      <c r="E843" t="s">
        <v>300</v>
      </c>
      <c r="F843" t="s">
        <v>65</v>
      </c>
      <c r="G843" t="s">
        <v>35</v>
      </c>
      <c r="H843">
        <v>6</v>
      </c>
      <c r="I843">
        <v>2262</v>
      </c>
      <c r="J843">
        <v>442.86</v>
      </c>
    </row>
    <row r="844" spans="1:10" x14ac:dyDescent="0.25">
      <c r="A844" s="1">
        <v>44607</v>
      </c>
      <c r="B844" t="s">
        <v>10</v>
      </c>
      <c r="C844" t="s">
        <v>11</v>
      </c>
      <c r="D844" t="s">
        <v>12</v>
      </c>
      <c r="E844" t="s">
        <v>301</v>
      </c>
      <c r="F844" t="s">
        <v>21</v>
      </c>
      <c r="G844" t="s">
        <v>15</v>
      </c>
      <c r="H844">
        <v>4</v>
      </c>
      <c r="I844">
        <v>2804</v>
      </c>
      <c r="J844">
        <v>391.59</v>
      </c>
    </row>
    <row r="845" spans="1:10" x14ac:dyDescent="0.25">
      <c r="A845" s="1">
        <v>44677</v>
      </c>
      <c r="B845" t="s">
        <v>18</v>
      </c>
      <c r="C845" t="s">
        <v>19</v>
      </c>
      <c r="D845" t="s">
        <v>12</v>
      </c>
      <c r="E845" t="s">
        <v>56</v>
      </c>
      <c r="F845" t="s">
        <v>57</v>
      </c>
      <c r="G845" t="s">
        <v>24</v>
      </c>
      <c r="H845">
        <v>9</v>
      </c>
      <c r="I845">
        <v>5850</v>
      </c>
      <c r="J845">
        <v>1511.06</v>
      </c>
    </row>
    <row r="846" spans="1:10" x14ac:dyDescent="0.25">
      <c r="A846" s="1">
        <v>45084</v>
      </c>
      <c r="B846" t="s">
        <v>49</v>
      </c>
      <c r="C846" t="s">
        <v>17</v>
      </c>
      <c r="D846" t="s">
        <v>12</v>
      </c>
      <c r="E846" t="s">
        <v>66</v>
      </c>
      <c r="F846" t="s">
        <v>34</v>
      </c>
      <c r="G846" t="s">
        <v>35</v>
      </c>
      <c r="H846">
        <v>1</v>
      </c>
      <c r="I846">
        <v>56</v>
      </c>
      <c r="J846">
        <v>9.16</v>
      </c>
    </row>
    <row r="847" spans="1:10" x14ac:dyDescent="0.25">
      <c r="A847" s="1">
        <v>45308</v>
      </c>
      <c r="B847" t="s">
        <v>36</v>
      </c>
      <c r="C847" t="s">
        <v>17</v>
      </c>
      <c r="D847" t="s">
        <v>12</v>
      </c>
      <c r="E847" t="s">
        <v>22</v>
      </c>
      <c r="F847" t="s">
        <v>23</v>
      </c>
      <c r="G847" t="s">
        <v>24</v>
      </c>
      <c r="H847">
        <v>9</v>
      </c>
      <c r="I847">
        <v>4302</v>
      </c>
      <c r="J847">
        <v>344.64</v>
      </c>
    </row>
    <row r="848" spans="1:10" x14ac:dyDescent="0.25">
      <c r="A848" s="1">
        <v>45426</v>
      </c>
      <c r="B848" t="s">
        <v>25</v>
      </c>
      <c r="C848" t="s">
        <v>19</v>
      </c>
      <c r="D848" t="s">
        <v>12</v>
      </c>
      <c r="E848" t="s">
        <v>160</v>
      </c>
      <c r="F848" t="s">
        <v>27</v>
      </c>
      <c r="G848" t="s">
        <v>28</v>
      </c>
      <c r="H848">
        <v>9</v>
      </c>
      <c r="I848">
        <v>10143</v>
      </c>
      <c r="J848">
        <v>1690.66</v>
      </c>
    </row>
    <row r="849" spans="1:10" x14ac:dyDescent="0.25">
      <c r="A849" s="1">
        <v>45061</v>
      </c>
      <c r="B849" t="s">
        <v>29</v>
      </c>
      <c r="C849" t="s">
        <v>17</v>
      </c>
      <c r="D849" t="s">
        <v>12</v>
      </c>
      <c r="E849" t="s">
        <v>160</v>
      </c>
      <c r="F849" t="s">
        <v>27</v>
      </c>
      <c r="G849" t="s">
        <v>28</v>
      </c>
      <c r="H849">
        <v>1</v>
      </c>
      <c r="I849">
        <v>1012</v>
      </c>
      <c r="J849">
        <v>164.89</v>
      </c>
    </row>
    <row r="850" spans="1:10" x14ac:dyDescent="0.25">
      <c r="A850" s="1">
        <v>45068</v>
      </c>
      <c r="B850" t="s">
        <v>18</v>
      </c>
      <c r="C850" t="s">
        <v>19</v>
      </c>
      <c r="D850" t="s">
        <v>12</v>
      </c>
      <c r="E850" t="s">
        <v>74</v>
      </c>
      <c r="F850" t="s">
        <v>23</v>
      </c>
      <c r="G850" t="s">
        <v>24</v>
      </c>
      <c r="H850">
        <v>9</v>
      </c>
      <c r="I850">
        <v>8964</v>
      </c>
      <c r="J850">
        <v>448.62</v>
      </c>
    </row>
    <row r="851" spans="1:10" x14ac:dyDescent="0.25">
      <c r="A851" s="1">
        <v>44778</v>
      </c>
      <c r="B851" t="s">
        <v>16</v>
      </c>
      <c r="C851" t="s">
        <v>17</v>
      </c>
      <c r="D851" t="s">
        <v>12</v>
      </c>
      <c r="E851" t="s">
        <v>182</v>
      </c>
      <c r="F851" t="s">
        <v>183</v>
      </c>
      <c r="G851" t="s">
        <v>15</v>
      </c>
      <c r="H851">
        <v>6</v>
      </c>
      <c r="I851">
        <v>1758</v>
      </c>
      <c r="J851">
        <v>262.36</v>
      </c>
    </row>
    <row r="852" spans="1:10" x14ac:dyDescent="0.25">
      <c r="A852" s="1">
        <v>45211</v>
      </c>
      <c r="B852" t="s">
        <v>10</v>
      </c>
      <c r="C852" t="s">
        <v>11</v>
      </c>
      <c r="D852" t="s">
        <v>12</v>
      </c>
      <c r="E852" t="s">
        <v>74</v>
      </c>
      <c r="F852" t="s">
        <v>23</v>
      </c>
      <c r="G852" t="s">
        <v>24</v>
      </c>
      <c r="H852">
        <v>6</v>
      </c>
      <c r="I852">
        <v>6348</v>
      </c>
      <c r="J852">
        <v>557.72</v>
      </c>
    </row>
    <row r="853" spans="1:10" x14ac:dyDescent="0.25">
      <c r="A853" s="1">
        <v>45234</v>
      </c>
      <c r="B853" t="s">
        <v>10</v>
      </c>
      <c r="C853" t="s">
        <v>11</v>
      </c>
      <c r="D853" t="s">
        <v>12</v>
      </c>
      <c r="E853" t="s">
        <v>74</v>
      </c>
      <c r="F853" t="s">
        <v>23</v>
      </c>
      <c r="G853" t="s">
        <v>24</v>
      </c>
      <c r="H853">
        <v>2</v>
      </c>
      <c r="I853">
        <v>1582</v>
      </c>
      <c r="J853">
        <v>422.46</v>
      </c>
    </row>
    <row r="854" spans="1:10" x14ac:dyDescent="0.25">
      <c r="A854" s="1">
        <v>45063</v>
      </c>
      <c r="B854" t="s">
        <v>16</v>
      </c>
      <c r="C854" t="s">
        <v>17</v>
      </c>
      <c r="D854" t="s">
        <v>12</v>
      </c>
      <c r="E854" t="s">
        <v>74</v>
      </c>
      <c r="F854" t="s">
        <v>23</v>
      </c>
      <c r="G854" t="s">
        <v>24</v>
      </c>
      <c r="H854">
        <v>2</v>
      </c>
      <c r="I854">
        <v>1924</v>
      </c>
      <c r="J854">
        <v>394.4</v>
      </c>
    </row>
    <row r="855" spans="1:10" x14ac:dyDescent="0.25">
      <c r="A855" s="1">
        <v>45018</v>
      </c>
      <c r="B855" t="s">
        <v>49</v>
      </c>
      <c r="C855" t="s">
        <v>17</v>
      </c>
      <c r="D855" t="s">
        <v>12</v>
      </c>
      <c r="E855" t="s">
        <v>52</v>
      </c>
      <c r="F855" t="s">
        <v>42</v>
      </c>
      <c r="G855" t="s">
        <v>28</v>
      </c>
      <c r="H855">
        <v>1</v>
      </c>
      <c r="I855">
        <v>120</v>
      </c>
      <c r="J855">
        <v>23.86</v>
      </c>
    </row>
    <row r="856" spans="1:10" x14ac:dyDescent="0.25">
      <c r="A856" s="1">
        <v>45317</v>
      </c>
      <c r="B856" t="s">
        <v>29</v>
      </c>
      <c r="C856" t="s">
        <v>17</v>
      </c>
      <c r="D856" t="s">
        <v>12</v>
      </c>
      <c r="E856" t="s">
        <v>52</v>
      </c>
      <c r="F856" t="s">
        <v>42</v>
      </c>
      <c r="G856" t="s">
        <v>28</v>
      </c>
      <c r="H856">
        <v>8</v>
      </c>
      <c r="I856">
        <v>7752</v>
      </c>
      <c r="J856">
        <v>1943.84</v>
      </c>
    </row>
    <row r="857" spans="1:10" x14ac:dyDescent="0.25">
      <c r="A857" s="1">
        <v>45120</v>
      </c>
      <c r="B857" t="s">
        <v>25</v>
      </c>
      <c r="C857" t="s">
        <v>19</v>
      </c>
      <c r="D857" t="s">
        <v>12</v>
      </c>
      <c r="E857" t="s">
        <v>26</v>
      </c>
      <c r="F857" t="s">
        <v>27</v>
      </c>
      <c r="G857" t="s">
        <v>28</v>
      </c>
      <c r="H857">
        <v>2</v>
      </c>
      <c r="I857">
        <v>1114</v>
      </c>
      <c r="J857">
        <v>300.44</v>
      </c>
    </row>
    <row r="858" spans="1:10" x14ac:dyDescent="0.25">
      <c r="A858" s="1">
        <v>45624</v>
      </c>
      <c r="B858" t="s">
        <v>49</v>
      </c>
      <c r="C858" t="s">
        <v>17</v>
      </c>
      <c r="D858" t="s">
        <v>12</v>
      </c>
      <c r="E858" t="s">
        <v>26</v>
      </c>
      <c r="F858" t="s">
        <v>27</v>
      </c>
      <c r="G858" t="s">
        <v>28</v>
      </c>
      <c r="H858">
        <v>5</v>
      </c>
      <c r="I858">
        <v>1765</v>
      </c>
      <c r="J858">
        <v>229.06</v>
      </c>
    </row>
    <row r="859" spans="1:10" x14ac:dyDescent="0.25">
      <c r="A859" s="1">
        <v>44783</v>
      </c>
      <c r="B859" t="s">
        <v>49</v>
      </c>
      <c r="C859" t="s">
        <v>17</v>
      </c>
      <c r="D859" t="s">
        <v>12</v>
      </c>
      <c r="E859" t="s">
        <v>184</v>
      </c>
      <c r="F859" t="s">
        <v>23</v>
      </c>
      <c r="G859" t="s">
        <v>24</v>
      </c>
      <c r="H859">
        <v>6</v>
      </c>
      <c r="I859">
        <v>6834</v>
      </c>
      <c r="J859">
        <v>1418.21</v>
      </c>
    </row>
    <row r="860" spans="1:10" x14ac:dyDescent="0.25">
      <c r="A860" s="1">
        <v>44818</v>
      </c>
      <c r="B860" t="s">
        <v>40</v>
      </c>
      <c r="C860" t="s">
        <v>19</v>
      </c>
      <c r="D860" t="s">
        <v>12</v>
      </c>
      <c r="E860" t="s">
        <v>210</v>
      </c>
      <c r="F860" t="s">
        <v>34</v>
      </c>
      <c r="G860" t="s">
        <v>35</v>
      </c>
      <c r="H860">
        <v>5</v>
      </c>
      <c r="I860">
        <v>1520</v>
      </c>
      <c r="J860">
        <v>433.53</v>
      </c>
    </row>
    <row r="861" spans="1:10" x14ac:dyDescent="0.25">
      <c r="A861" s="1">
        <v>45143</v>
      </c>
      <c r="B861" t="s">
        <v>32</v>
      </c>
      <c r="C861" t="s">
        <v>19</v>
      </c>
      <c r="D861" t="s">
        <v>12</v>
      </c>
      <c r="E861" t="s">
        <v>302</v>
      </c>
      <c r="F861" t="s">
        <v>21</v>
      </c>
      <c r="G861" t="s">
        <v>15</v>
      </c>
      <c r="H861">
        <v>7</v>
      </c>
      <c r="I861">
        <v>8141</v>
      </c>
      <c r="J861">
        <v>767.6</v>
      </c>
    </row>
    <row r="862" spans="1:10" x14ac:dyDescent="0.25">
      <c r="A862" s="1">
        <v>45168</v>
      </c>
      <c r="B862" t="s">
        <v>18</v>
      </c>
      <c r="C862" t="s">
        <v>19</v>
      </c>
      <c r="D862" t="s">
        <v>12</v>
      </c>
      <c r="E862" t="s">
        <v>302</v>
      </c>
      <c r="F862" t="s">
        <v>21</v>
      </c>
      <c r="G862" t="s">
        <v>15</v>
      </c>
      <c r="H862">
        <v>8</v>
      </c>
      <c r="I862">
        <v>5176</v>
      </c>
      <c r="J862">
        <v>866.36</v>
      </c>
    </row>
    <row r="863" spans="1:10" x14ac:dyDescent="0.25">
      <c r="A863" s="1">
        <v>45423</v>
      </c>
      <c r="B863" t="s">
        <v>16</v>
      </c>
      <c r="C863" t="s">
        <v>17</v>
      </c>
      <c r="D863" t="s">
        <v>12</v>
      </c>
      <c r="E863" t="s">
        <v>151</v>
      </c>
      <c r="F863" t="s">
        <v>152</v>
      </c>
      <c r="G863" t="s">
        <v>15</v>
      </c>
      <c r="H863">
        <v>9</v>
      </c>
      <c r="I863">
        <v>738</v>
      </c>
      <c r="J863">
        <v>64.42</v>
      </c>
    </row>
    <row r="864" spans="1:10" x14ac:dyDescent="0.25">
      <c r="A864" s="1">
        <v>45308</v>
      </c>
      <c r="B864" t="s">
        <v>10</v>
      </c>
      <c r="C864" t="s">
        <v>11</v>
      </c>
      <c r="D864" t="s">
        <v>12</v>
      </c>
      <c r="E864" t="s">
        <v>303</v>
      </c>
      <c r="F864" t="s">
        <v>126</v>
      </c>
      <c r="G864" t="s">
        <v>35</v>
      </c>
      <c r="H864">
        <v>9</v>
      </c>
      <c r="I864">
        <v>4086</v>
      </c>
      <c r="J864">
        <v>217.48</v>
      </c>
    </row>
    <row r="865" spans="1:10" x14ac:dyDescent="0.25">
      <c r="A865" s="1">
        <v>44820</v>
      </c>
      <c r="B865" t="s">
        <v>16</v>
      </c>
      <c r="C865" t="s">
        <v>17</v>
      </c>
      <c r="D865" t="s">
        <v>12</v>
      </c>
      <c r="E865" t="s">
        <v>52</v>
      </c>
      <c r="F865" t="s">
        <v>42</v>
      </c>
      <c r="G865" t="s">
        <v>28</v>
      </c>
      <c r="H865">
        <v>2</v>
      </c>
      <c r="I865">
        <v>442</v>
      </c>
      <c r="J865">
        <v>28.13</v>
      </c>
    </row>
    <row r="866" spans="1:10" x14ac:dyDescent="0.25">
      <c r="A866" s="1">
        <v>44939</v>
      </c>
      <c r="B866" t="s">
        <v>40</v>
      </c>
      <c r="C866" t="s">
        <v>19</v>
      </c>
      <c r="D866" t="s">
        <v>12</v>
      </c>
      <c r="E866" t="s">
        <v>70</v>
      </c>
      <c r="F866" t="s">
        <v>71</v>
      </c>
      <c r="G866" t="s">
        <v>35</v>
      </c>
      <c r="H866">
        <v>6</v>
      </c>
      <c r="I866">
        <v>2478</v>
      </c>
      <c r="J866">
        <v>153.86000000000001</v>
      </c>
    </row>
    <row r="867" spans="1:10" x14ac:dyDescent="0.25">
      <c r="A867" s="1">
        <v>44583</v>
      </c>
      <c r="B867" t="s">
        <v>49</v>
      </c>
      <c r="C867" t="s">
        <v>17</v>
      </c>
      <c r="D867" t="s">
        <v>12</v>
      </c>
      <c r="E867" t="s">
        <v>103</v>
      </c>
      <c r="F867" t="s">
        <v>21</v>
      </c>
      <c r="G867" t="s">
        <v>15</v>
      </c>
      <c r="H867">
        <v>2</v>
      </c>
      <c r="I867">
        <v>1860</v>
      </c>
      <c r="J867">
        <v>327.14999999999998</v>
      </c>
    </row>
    <row r="868" spans="1:10" x14ac:dyDescent="0.25">
      <c r="A868" s="1">
        <v>44705</v>
      </c>
      <c r="B868" t="s">
        <v>36</v>
      </c>
      <c r="C868" t="s">
        <v>17</v>
      </c>
      <c r="D868" t="s">
        <v>12</v>
      </c>
      <c r="E868" t="s">
        <v>26</v>
      </c>
      <c r="F868" t="s">
        <v>27</v>
      </c>
      <c r="G868" t="s">
        <v>28</v>
      </c>
      <c r="H868">
        <v>9</v>
      </c>
      <c r="I868">
        <v>4968</v>
      </c>
      <c r="J868">
        <v>991.82</v>
      </c>
    </row>
    <row r="869" spans="1:10" x14ac:dyDescent="0.25">
      <c r="A869" s="1">
        <v>44990</v>
      </c>
      <c r="B869" t="s">
        <v>10</v>
      </c>
      <c r="C869" t="s">
        <v>11</v>
      </c>
      <c r="D869" t="s">
        <v>12</v>
      </c>
      <c r="E869" t="s">
        <v>74</v>
      </c>
      <c r="F869" t="s">
        <v>23</v>
      </c>
      <c r="G869" t="s">
        <v>24</v>
      </c>
      <c r="H869">
        <v>3</v>
      </c>
      <c r="I869">
        <v>1446</v>
      </c>
      <c r="J869">
        <v>278.94</v>
      </c>
    </row>
    <row r="870" spans="1:10" x14ac:dyDescent="0.25">
      <c r="A870" s="1">
        <v>45041</v>
      </c>
      <c r="B870" t="s">
        <v>16</v>
      </c>
      <c r="C870" t="s">
        <v>17</v>
      </c>
      <c r="D870" t="s">
        <v>12</v>
      </c>
      <c r="E870" t="s">
        <v>304</v>
      </c>
      <c r="F870" t="s">
        <v>42</v>
      </c>
      <c r="G870" t="s">
        <v>28</v>
      </c>
      <c r="H870">
        <v>7</v>
      </c>
      <c r="I870">
        <v>1722</v>
      </c>
      <c r="J870">
        <v>414.87</v>
      </c>
    </row>
    <row r="871" spans="1:10" x14ac:dyDescent="0.25">
      <c r="A871" s="1">
        <v>45486</v>
      </c>
      <c r="B871" t="s">
        <v>32</v>
      </c>
      <c r="C871" t="s">
        <v>19</v>
      </c>
      <c r="D871" t="s">
        <v>12</v>
      </c>
      <c r="E871" t="s">
        <v>162</v>
      </c>
      <c r="F871" t="s">
        <v>23</v>
      </c>
      <c r="G871" t="s">
        <v>24</v>
      </c>
      <c r="H871">
        <v>7</v>
      </c>
      <c r="I871">
        <v>6573</v>
      </c>
      <c r="J871">
        <v>460.28</v>
      </c>
    </row>
    <row r="872" spans="1:10" x14ac:dyDescent="0.25">
      <c r="A872" s="1">
        <v>45536</v>
      </c>
      <c r="B872" t="s">
        <v>29</v>
      </c>
      <c r="C872" t="s">
        <v>17</v>
      </c>
      <c r="D872" t="s">
        <v>12</v>
      </c>
      <c r="E872" t="s">
        <v>64</v>
      </c>
      <c r="F872" t="s">
        <v>84</v>
      </c>
      <c r="G872" t="s">
        <v>28</v>
      </c>
      <c r="H872">
        <v>3</v>
      </c>
      <c r="I872">
        <v>2481</v>
      </c>
      <c r="J872">
        <v>249.52</v>
      </c>
    </row>
    <row r="873" spans="1:10" x14ac:dyDescent="0.25">
      <c r="A873" s="1">
        <v>45652</v>
      </c>
      <c r="B873" t="s">
        <v>36</v>
      </c>
      <c r="C873" t="s">
        <v>17</v>
      </c>
      <c r="D873" t="s">
        <v>12</v>
      </c>
      <c r="E873" t="s">
        <v>305</v>
      </c>
      <c r="F873" t="s">
        <v>267</v>
      </c>
      <c r="G873" t="s">
        <v>24</v>
      </c>
      <c r="H873">
        <v>6</v>
      </c>
      <c r="I873">
        <v>3828</v>
      </c>
      <c r="J873">
        <v>1102.8599999999999</v>
      </c>
    </row>
    <row r="874" spans="1:10" x14ac:dyDescent="0.25">
      <c r="A874" s="1">
        <v>45158</v>
      </c>
      <c r="B874" t="s">
        <v>18</v>
      </c>
      <c r="C874" t="s">
        <v>19</v>
      </c>
      <c r="D874" t="s">
        <v>12</v>
      </c>
      <c r="E874" t="s">
        <v>22</v>
      </c>
      <c r="F874" t="s">
        <v>23</v>
      </c>
      <c r="G874" t="s">
        <v>24</v>
      </c>
      <c r="H874">
        <v>7</v>
      </c>
      <c r="I874">
        <v>1197</v>
      </c>
      <c r="J874">
        <v>103.34</v>
      </c>
    </row>
    <row r="875" spans="1:10" x14ac:dyDescent="0.25">
      <c r="A875" s="1">
        <v>44570</v>
      </c>
      <c r="B875" t="s">
        <v>18</v>
      </c>
      <c r="C875" t="s">
        <v>19</v>
      </c>
      <c r="D875" t="s">
        <v>12</v>
      </c>
      <c r="E875" t="s">
        <v>306</v>
      </c>
      <c r="F875" t="s">
        <v>200</v>
      </c>
      <c r="G875" t="s">
        <v>28</v>
      </c>
      <c r="H875">
        <v>7</v>
      </c>
      <c r="I875">
        <v>7623</v>
      </c>
      <c r="J875">
        <v>1459.84</v>
      </c>
    </row>
    <row r="876" spans="1:10" x14ac:dyDescent="0.25">
      <c r="A876" s="1">
        <v>44787</v>
      </c>
      <c r="B876" t="s">
        <v>16</v>
      </c>
      <c r="C876" t="s">
        <v>17</v>
      </c>
      <c r="D876" t="s">
        <v>12</v>
      </c>
      <c r="E876" t="s">
        <v>306</v>
      </c>
      <c r="F876" t="s">
        <v>200</v>
      </c>
      <c r="G876" t="s">
        <v>28</v>
      </c>
      <c r="H876">
        <v>9</v>
      </c>
      <c r="I876">
        <v>3384</v>
      </c>
      <c r="J876">
        <v>252.11</v>
      </c>
    </row>
    <row r="877" spans="1:10" x14ac:dyDescent="0.25">
      <c r="A877" s="1">
        <v>44562</v>
      </c>
      <c r="B877" t="s">
        <v>36</v>
      </c>
      <c r="C877" t="s">
        <v>17</v>
      </c>
      <c r="D877" t="s">
        <v>12</v>
      </c>
      <c r="E877" t="s">
        <v>306</v>
      </c>
      <c r="F877" t="s">
        <v>200</v>
      </c>
      <c r="G877" t="s">
        <v>28</v>
      </c>
      <c r="H877">
        <v>8</v>
      </c>
      <c r="I877">
        <v>1296</v>
      </c>
      <c r="J877">
        <v>273.97000000000003</v>
      </c>
    </row>
    <row r="878" spans="1:10" x14ac:dyDescent="0.25">
      <c r="A878" s="1">
        <v>45498</v>
      </c>
      <c r="B878" t="s">
        <v>18</v>
      </c>
      <c r="C878" t="s">
        <v>19</v>
      </c>
      <c r="D878" t="s">
        <v>12</v>
      </c>
      <c r="E878" t="s">
        <v>306</v>
      </c>
      <c r="F878" t="s">
        <v>200</v>
      </c>
      <c r="G878" t="s">
        <v>28</v>
      </c>
      <c r="H878">
        <v>8</v>
      </c>
      <c r="I878">
        <v>2840</v>
      </c>
      <c r="J878">
        <v>262.62</v>
      </c>
    </row>
    <row r="879" spans="1:10" x14ac:dyDescent="0.25">
      <c r="A879" s="1">
        <v>45526</v>
      </c>
      <c r="B879" t="s">
        <v>25</v>
      </c>
      <c r="C879" t="s">
        <v>19</v>
      </c>
      <c r="D879" t="s">
        <v>12</v>
      </c>
      <c r="E879" t="s">
        <v>74</v>
      </c>
      <c r="F879" t="s">
        <v>23</v>
      </c>
      <c r="G879" t="s">
        <v>24</v>
      </c>
      <c r="H879">
        <v>7</v>
      </c>
      <c r="I879">
        <v>1540</v>
      </c>
      <c r="J879">
        <v>342.93</v>
      </c>
    </row>
    <row r="880" spans="1:10" x14ac:dyDescent="0.25">
      <c r="A880" s="1">
        <v>44740</v>
      </c>
      <c r="B880" t="s">
        <v>25</v>
      </c>
      <c r="C880" t="s">
        <v>19</v>
      </c>
      <c r="D880" t="s">
        <v>12</v>
      </c>
      <c r="E880" t="s">
        <v>56</v>
      </c>
      <c r="F880" t="s">
        <v>57</v>
      </c>
      <c r="G880" t="s">
        <v>24</v>
      </c>
      <c r="H880">
        <v>2</v>
      </c>
      <c r="I880">
        <v>1414</v>
      </c>
      <c r="J880">
        <v>308.39</v>
      </c>
    </row>
    <row r="881" spans="1:10" x14ac:dyDescent="0.25">
      <c r="A881" s="1">
        <v>45042</v>
      </c>
      <c r="B881" t="s">
        <v>25</v>
      </c>
      <c r="C881" t="s">
        <v>19</v>
      </c>
      <c r="D881" t="s">
        <v>12</v>
      </c>
      <c r="E881" t="s">
        <v>43</v>
      </c>
      <c r="F881" t="s">
        <v>44</v>
      </c>
      <c r="G881" t="s">
        <v>35</v>
      </c>
      <c r="H881">
        <v>8</v>
      </c>
      <c r="I881">
        <v>8328</v>
      </c>
      <c r="J881">
        <v>466.38</v>
      </c>
    </row>
    <row r="882" spans="1:10" x14ac:dyDescent="0.25">
      <c r="A882" s="1">
        <v>45167</v>
      </c>
      <c r="B882" t="s">
        <v>25</v>
      </c>
      <c r="C882" t="s">
        <v>19</v>
      </c>
      <c r="D882" t="s">
        <v>12</v>
      </c>
      <c r="E882" t="s">
        <v>56</v>
      </c>
      <c r="F882" t="s">
        <v>57</v>
      </c>
      <c r="G882" t="s">
        <v>24</v>
      </c>
      <c r="H882">
        <v>2</v>
      </c>
      <c r="I882">
        <v>744</v>
      </c>
      <c r="J882">
        <v>217.21</v>
      </c>
    </row>
    <row r="883" spans="1:10" x14ac:dyDescent="0.25">
      <c r="A883" s="1">
        <v>44928</v>
      </c>
      <c r="B883" t="s">
        <v>16</v>
      </c>
      <c r="C883" t="s">
        <v>17</v>
      </c>
      <c r="D883" t="s">
        <v>12</v>
      </c>
      <c r="E883" t="s">
        <v>210</v>
      </c>
      <c r="F883" t="s">
        <v>34</v>
      </c>
      <c r="G883" t="s">
        <v>35</v>
      </c>
      <c r="H883">
        <v>9</v>
      </c>
      <c r="I883">
        <v>1773</v>
      </c>
      <c r="J883">
        <v>168.01</v>
      </c>
    </row>
    <row r="884" spans="1:10" x14ac:dyDescent="0.25">
      <c r="A884" s="1">
        <v>45149</v>
      </c>
      <c r="B884" t="s">
        <v>40</v>
      </c>
      <c r="C884" t="s">
        <v>19</v>
      </c>
      <c r="D884" t="s">
        <v>12</v>
      </c>
      <c r="E884" t="s">
        <v>307</v>
      </c>
      <c r="F884" t="s">
        <v>156</v>
      </c>
      <c r="G884" t="s">
        <v>28</v>
      </c>
      <c r="H884">
        <v>7</v>
      </c>
      <c r="I884">
        <v>6034</v>
      </c>
      <c r="J884">
        <v>1018.37</v>
      </c>
    </row>
    <row r="885" spans="1:10" x14ac:dyDescent="0.25">
      <c r="A885" s="1">
        <v>45099</v>
      </c>
      <c r="B885" t="s">
        <v>40</v>
      </c>
      <c r="C885" t="s">
        <v>19</v>
      </c>
      <c r="D885" t="s">
        <v>12</v>
      </c>
      <c r="E885" t="s">
        <v>307</v>
      </c>
      <c r="F885" t="s">
        <v>156</v>
      </c>
      <c r="G885" t="s">
        <v>28</v>
      </c>
      <c r="H885">
        <v>9</v>
      </c>
      <c r="I885">
        <v>756</v>
      </c>
      <c r="J885">
        <v>99.21</v>
      </c>
    </row>
    <row r="886" spans="1:10" x14ac:dyDescent="0.25">
      <c r="A886" s="1">
        <v>45500</v>
      </c>
      <c r="B886" t="s">
        <v>36</v>
      </c>
      <c r="C886" t="s">
        <v>17</v>
      </c>
      <c r="D886" t="s">
        <v>12</v>
      </c>
      <c r="E886" t="s">
        <v>195</v>
      </c>
      <c r="F886" t="s">
        <v>83</v>
      </c>
      <c r="G886" t="s">
        <v>28</v>
      </c>
      <c r="H886">
        <v>8</v>
      </c>
      <c r="I886">
        <v>2256</v>
      </c>
      <c r="J886">
        <v>468.52</v>
      </c>
    </row>
    <row r="887" spans="1:10" x14ac:dyDescent="0.25">
      <c r="A887" s="1">
        <v>45260</v>
      </c>
      <c r="B887" t="s">
        <v>36</v>
      </c>
      <c r="C887" t="s">
        <v>17</v>
      </c>
      <c r="D887" t="s">
        <v>12</v>
      </c>
      <c r="E887" t="s">
        <v>52</v>
      </c>
      <c r="F887" t="s">
        <v>42</v>
      </c>
      <c r="G887" t="s">
        <v>28</v>
      </c>
      <c r="H887">
        <v>7</v>
      </c>
      <c r="I887">
        <v>875</v>
      </c>
      <c r="J887">
        <v>203.63</v>
      </c>
    </row>
    <row r="888" spans="1:10" x14ac:dyDescent="0.25">
      <c r="A888" s="1">
        <v>45622</v>
      </c>
      <c r="B888" t="s">
        <v>29</v>
      </c>
      <c r="C888" t="s">
        <v>17</v>
      </c>
      <c r="D888" t="s">
        <v>12</v>
      </c>
      <c r="E888" t="s">
        <v>304</v>
      </c>
      <c r="F888" t="s">
        <v>44</v>
      </c>
      <c r="G888" t="s">
        <v>35</v>
      </c>
      <c r="H888">
        <v>4</v>
      </c>
      <c r="I888">
        <v>1208</v>
      </c>
      <c r="J888">
        <v>115.13</v>
      </c>
    </row>
    <row r="889" spans="1:10" x14ac:dyDescent="0.25">
      <c r="A889" s="1">
        <v>45153</v>
      </c>
      <c r="B889" t="s">
        <v>29</v>
      </c>
      <c r="C889" t="s">
        <v>17</v>
      </c>
      <c r="D889" t="s">
        <v>12</v>
      </c>
      <c r="E889" t="s">
        <v>56</v>
      </c>
      <c r="F889" t="s">
        <v>57</v>
      </c>
      <c r="G889" t="s">
        <v>24</v>
      </c>
      <c r="H889">
        <v>2</v>
      </c>
      <c r="I889">
        <v>352</v>
      </c>
      <c r="J889">
        <v>54.19</v>
      </c>
    </row>
    <row r="890" spans="1:10" x14ac:dyDescent="0.25">
      <c r="A890" s="1">
        <v>44980</v>
      </c>
      <c r="B890" t="s">
        <v>10</v>
      </c>
      <c r="C890" t="s">
        <v>11</v>
      </c>
      <c r="D890" t="s">
        <v>12</v>
      </c>
      <c r="E890" t="s">
        <v>37</v>
      </c>
      <c r="F890" t="s">
        <v>34</v>
      </c>
      <c r="G890" t="s">
        <v>35</v>
      </c>
      <c r="H890">
        <v>6</v>
      </c>
      <c r="I890">
        <v>4266</v>
      </c>
      <c r="J890">
        <v>357.51</v>
      </c>
    </row>
    <row r="891" spans="1:10" x14ac:dyDescent="0.25">
      <c r="A891" s="1">
        <v>44646</v>
      </c>
      <c r="B891" t="s">
        <v>18</v>
      </c>
      <c r="C891" t="s">
        <v>19</v>
      </c>
      <c r="D891" t="s">
        <v>12</v>
      </c>
      <c r="E891" t="s">
        <v>37</v>
      </c>
      <c r="F891" t="s">
        <v>34</v>
      </c>
      <c r="G891" t="s">
        <v>35</v>
      </c>
      <c r="H891">
        <v>7</v>
      </c>
      <c r="I891">
        <v>1841</v>
      </c>
      <c r="J891">
        <v>496.89</v>
      </c>
    </row>
    <row r="892" spans="1:10" x14ac:dyDescent="0.25">
      <c r="A892" s="1">
        <v>45500</v>
      </c>
      <c r="B892" t="s">
        <v>25</v>
      </c>
      <c r="C892" t="s">
        <v>19</v>
      </c>
      <c r="D892" t="s">
        <v>12</v>
      </c>
      <c r="E892" t="s">
        <v>56</v>
      </c>
      <c r="F892" t="s">
        <v>57</v>
      </c>
      <c r="G892" t="s">
        <v>24</v>
      </c>
      <c r="H892">
        <v>1</v>
      </c>
      <c r="I892">
        <v>712</v>
      </c>
      <c r="J892">
        <v>89.5</v>
      </c>
    </row>
    <row r="893" spans="1:10" x14ac:dyDescent="0.25">
      <c r="A893" s="1">
        <v>45374</v>
      </c>
      <c r="B893" t="s">
        <v>10</v>
      </c>
      <c r="C893" t="s">
        <v>11</v>
      </c>
      <c r="D893" t="s">
        <v>12</v>
      </c>
      <c r="E893" t="s">
        <v>87</v>
      </c>
      <c r="F893" t="s">
        <v>46</v>
      </c>
      <c r="G893" t="s">
        <v>15</v>
      </c>
      <c r="H893">
        <v>2</v>
      </c>
      <c r="I893">
        <v>724</v>
      </c>
      <c r="J893">
        <v>72.19</v>
      </c>
    </row>
    <row r="894" spans="1:10" x14ac:dyDescent="0.25">
      <c r="A894" s="1">
        <v>45635</v>
      </c>
      <c r="B894" t="s">
        <v>40</v>
      </c>
      <c r="C894" t="s">
        <v>19</v>
      </c>
      <c r="D894" t="s">
        <v>12</v>
      </c>
      <c r="E894" t="s">
        <v>307</v>
      </c>
      <c r="F894" t="s">
        <v>156</v>
      </c>
      <c r="G894" t="s">
        <v>28</v>
      </c>
      <c r="H894">
        <v>8</v>
      </c>
      <c r="I894">
        <v>5832</v>
      </c>
      <c r="J894">
        <v>662.72</v>
      </c>
    </row>
    <row r="895" spans="1:10" x14ac:dyDescent="0.25">
      <c r="A895" s="1">
        <v>45094</v>
      </c>
      <c r="B895" t="s">
        <v>49</v>
      </c>
      <c r="C895" t="s">
        <v>17</v>
      </c>
      <c r="D895" t="s">
        <v>12</v>
      </c>
      <c r="E895" t="s">
        <v>243</v>
      </c>
      <c r="F895" t="s">
        <v>78</v>
      </c>
      <c r="G895" t="s">
        <v>28</v>
      </c>
      <c r="H895">
        <v>6</v>
      </c>
      <c r="I895">
        <v>4188</v>
      </c>
      <c r="J895">
        <v>989.14</v>
      </c>
    </row>
    <row r="896" spans="1:10" x14ac:dyDescent="0.25">
      <c r="A896" s="1">
        <v>45190</v>
      </c>
      <c r="B896" t="s">
        <v>18</v>
      </c>
      <c r="C896" t="s">
        <v>19</v>
      </c>
      <c r="D896" t="s">
        <v>12</v>
      </c>
      <c r="E896" t="s">
        <v>52</v>
      </c>
      <c r="F896" t="s">
        <v>42</v>
      </c>
      <c r="G896" t="s">
        <v>28</v>
      </c>
      <c r="H896">
        <v>1</v>
      </c>
      <c r="I896">
        <v>392</v>
      </c>
      <c r="J896">
        <v>50.7</v>
      </c>
    </row>
    <row r="897" spans="1:10" x14ac:dyDescent="0.25">
      <c r="A897" s="1">
        <v>44695</v>
      </c>
      <c r="B897" t="s">
        <v>55</v>
      </c>
      <c r="C897" t="s">
        <v>19</v>
      </c>
      <c r="D897" t="s">
        <v>12</v>
      </c>
      <c r="E897" t="s">
        <v>308</v>
      </c>
      <c r="F897" t="s">
        <v>34</v>
      </c>
      <c r="G897" t="s">
        <v>35</v>
      </c>
      <c r="H897">
        <v>9</v>
      </c>
      <c r="I897">
        <v>963</v>
      </c>
      <c r="J897">
        <v>49.71</v>
      </c>
    </row>
    <row r="898" spans="1:10" x14ac:dyDescent="0.25">
      <c r="A898" s="1">
        <v>45395</v>
      </c>
      <c r="B898" t="s">
        <v>25</v>
      </c>
      <c r="C898" t="s">
        <v>19</v>
      </c>
      <c r="D898" t="s">
        <v>12</v>
      </c>
      <c r="E898" t="s">
        <v>22</v>
      </c>
      <c r="F898" t="s">
        <v>23</v>
      </c>
      <c r="G898" t="s">
        <v>24</v>
      </c>
      <c r="H898">
        <v>6</v>
      </c>
      <c r="I898">
        <v>5706</v>
      </c>
      <c r="J898">
        <v>319.45999999999998</v>
      </c>
    </row>
    <row r="899" spans="1:10" x14ac:dyDescent="0.25">
      <c r="A899" s="1">
        <v>45454</v>
      </c>
      <c r="B899" t="s">
        <v>29</v>
      </c>
      <c r="C899" t="s">
        <v>17</v>
      </c>
      <c r="D899" t="s">
        <v>12</v>
      </c>
      <c r="E899" t="s">
        <v>188</v>
      </c>
      <c r="F899" t="s">
        <v>189</v>
      </c>
      <c r="G899" t="s">
        <v>24</v>
      </c>
      <c r="H899">
        <v>7</v>
      </c>
      <c r="I899">
        <v>1365</v>
      </c>
      <c r="J899">
        <v>312.04000000000002</v>
      </c>
    </row>
    <row r="900" spans="1:10" x14ac:dyDescent="0.25">
      <c r="A900" s="1">
        <v>45069</v>
      </c>
      <c r="B900" t="s">
        <v>29</v>
      </c>
      <c r="C900" t="s">
        <v>17</v>
      </c>
      <c r="D900" t="s">
        <v>12</v>
      </c>
      <c r="E900" t="s">
        <v>309</v>
      </c>
      <c r="F900" t="s">
        <v>23</v>
      </c>
      <c r="G900" t="s">
        <v>24</v>
      </c>
      <c r="H900">
        <v>1</v>
      </c>
      <c r="I900">
        <v>202</v>
      </c>
      <c r="J900">
        <v>11.24</v>
      </c>
    </row>
    <row r="901" spans="1:10" x14ac:dyDescent="0.25">
      <c r="A901" s="1">
        <v>45284</v>
      </c>
      <c r="B901" t="s">
        <v>40</v>
      </c>
      <c r="C901" t="s">
        <v>19</v>
      </c>
      <c r="D901" t="s">
        <v>12</v>
      </c>
      <c r="E901" t="s">
        <v>269</v>
      </c>
      <c r="F901" t="s">
        <v>21</v>
      </c>
      <c r="G901" t="s">
        <v>15</v>
      </c>
      <c r="H901">
        <v>9</v>
      </c>
      <c r="I901">
        <v>2430</v>
      </c>
      <c r="J901">
        <v>613.66999999999996</v>
      </c>
    </row>
    <row r="902" spans="1:10" x14ac:dyDescent="0.25">
      <c r="A902" s="1">
        <v>45042</v>
      </c>
      <c r="B902" t="s">
        <v>36</v>
      </c>
      <c r="C902" t="s">
        <v>17</v>
      </c>
      <c r="D902" t="s">
        <v>12</v>
      </c>
      <c r="E902" t="s">
        <v>56</v>
      </c>
      <c r="F902" t="s">
        <v>57</v>
      </c>
      <c r="G902" t="s">
        <v>24</v>
      </c>
      <c r="H902">
        <v>3</v>
      </c>
      <c r="I902">
        <v>2670</v>
      </c>
      <c r="J902">
        <v>515.39</v>
      </c>
    </row>
    <row r="903" spans="1:10" x14ac:dyDescent="0.25">
      <c r="A903" s="1">
        <v>44582</v>
      </c>
      <c r="B903" t="s">
        <v>18</v>
      </c>
      <c r="C903" t="s">
        <v>19</v>
      </c>
      <c r="D903" t="s">
        <v>12</v>
      </c>
      <c r="E903" t="s">
        <v>22</v>
      </c>
      <c r="F903" t="s">
        <v>23</v>
      </c>
      <c r="G903" t="s">
        <v>24</v>
      </c>
      <c r="H903">
        <v>7</v>
      </c>
      <c r="I903">
        <v>2758</v>
      </c>
      <c r="J903">
        <v>520.66</v>
      </c>
    </row>
    <row r="904" spans="1:10" x14ac:dyDescent="0.25">
      <c r="A904" s="1">
        <v>44848</v>
      </c>
      <c r="B904" t="s">
        <v>36</v>
      </c>
      <c r="C904" t="s">
        <v>17</v>
      </c>
      <c r="D904" t="s">
        <v>12</v>
      </c>
      <c r="E904" t="s">
        <v>104</v>
      </c>
      <c r="F904" t="s">
        <v>115</v>
      </c>
      <c r="G904" t="s">
        <v>15</v>
      </c>
      <c r="H904">
        <v>9</v>
      </c>
      <c r="I904">
        <v>873</v>
      </c>
      <c r="J904">
        <v>82.35</v>
      </c>
    </row>
    <row r="905" spans="1:10" x14ac:dyDescent="0.25">
      <c r="A905" s="1">
        <v>45161</v>
      </c>
      <c r="B905" t="s">
        <v>32</v>
      </c>
      <c r="C905" t="s">
        <v>19</v>
      </c>
      <c r="D905" t="s">
        <v>12</v>
      </c>
      <c r="E905" t="s">
        <v>310</v>
      </c>
      <c r="F905" t="s">
        <v>94</v>
      </c>
      <c r="G905" t="s">
        <v>24</v>
      </c>
      <c r="H905">
        <v>9</v>
      </c>
      <c r="I905">
        <v>7245</v>
      </c>
      <c r="J905">
        <v>1410.92</v>
      </c>
    </row>
    <row r="906" spans="1:10" x14ac:dyDescent="0.25">
      <c r="A906" s="1">
        <v>45182</v>
      </c>
      <c r="B906" t="s">
        <v>25</v>
      </c>
      <c r="C906" t="s">
        <v>19</v>
      </c>
      <c r="D906" t="s">
        <v>12</v>
      </c>
      <c r="E906" t="s">
        <v>311</v>
      </c>
      <c r="F906" t="s">
        <v>42</v>
      </c>
      <c r="G906" t="s">
        <v>28</v>
      </c>
      <c r="H906">
        <v>4</v>
      </c>
      <c r="I906">
        <v>960</v>
      </c>
      <c r="J906">
        <v>255.24</v>
      </c>
    </row>
    <row r="907" spans="1:10" x14ac:dyDescent="0.25">
      <c r="A907" s="1">
        <v>45654</v>
      </c>
      <c r="B907" t="s">
        <v>32</v>
      </c>
      <c r="C907" t="s">
        <v>19</v>
      </c>
      <c r="D907" t="s">
        <v>12</v>
      </c>
      <c r="E907" t="s">
        <v>311</v>
      </c>
      <c r="F907" t="s">
        <v>42</v>
      </c>
      <c r="G907" t="s">
        <v>28</v>
      </c>
      <c r="H907">
        <v>4</v>
      </c>
      <c r="I907">
        <v>1284</v>
      </c>
      <c r="J907">
        <v>171.02</v>
      </c>
    </row>
    <row r="908" spans="1:10" x14ac:dyDescent="0.25">
      <c r="A908" s="1">
        <v>45086</v>
      </c>
      <c r="B908" t="s">
        <v>16</v>
      </c>
      <c r="C908" t="s">
        <v>17</v>
      </c>
      <c r="D908" t="s">
        <v>12</v>
      </c>
      <c r="E908" t="s">
        <v>53</v>
      </c>
      <c r="F908" t="s">
        <v>44</v>
      </c>
      <c r="G908" t="s">
        <v>35</v>
      </c>
      <c r="H908">
        <v>4</v>
      </c>
      <c r="I908">
        <v>512</v>
      </c>
      <c r="J908">
        <v>110.47</v>
      </c>
    </row>
    <row r="909" spans="1:10" x14ac:dyDescent="0.25">
      <c r="A909" s="1">
        <v>44752</v>
      </c>
      <c r="B909" t="s">
        <v>32</v>
      </c>
      <c r="C909" t="s">
        <v>19</v>
      </c>
      <c r="D909" t="s">
        <v>12</v>
      </c>
      <c r="E909" t="s">
        <v>53</v>
      </c>
      <c r="F909" t="s">
        <v>44</v>
      </c>
      <c r="G909" t="s">
        <v>35</v>
      </c>
      <c r="H909">
        <v>9</v>
      </c>
      <c r="I909">
        <v>9729</v>
      </c>
      <c r="J909">
        <v>2039.41</v>
      </c>
    </row>
    <row r="910" spans="1:10" x14ac:dyDescent="0.25">
      <c r="A910" s="1">
        <v>44937</v>
      </c>
      <c r="B910" t="s">
        <v>25</v>
      </c>
      <c r="C910" t="s">
        <v>19</v>
      </c>
      <c r="D910" t="s">
        <v>12</v>
      </c>
      <c r="E910" t="s">
        <v>312</v>
      </c>
      <c r="F910" t="s">
        <v>23</v>
      </c>
      <c r="G910" t="s">
        <v>24</v>
      </c>
      <c r="H910">
        <v>5</v>
      </c>
      <c r="I910">
        <v>1580</v>
      </c>
      <c r="J910">
        <v>166.16</v>
      </c>
    </row>
    <row r="911" spans="1:10" x14ac:dyDescent="0.25">
      <c r="A911" s="1">
        <v>45133</v>
      </c>
      <c r="B911" t="s">
        <v>16</v>
      </c>
      <c r="C911" t="s">
        <v>17</v>
      </c>
      <c r="D911" t="s">
        <v>12</v>
      </c>
      <c r="E911" t="s">
        <v>312</v>
      </c>
      <c r="F911" t="s">
        <v>23</v>
      </c>
      <c r="G911" t="s">
        <v>24</v>
      </c>
      <c r="H911">
        <v>8</v>
      </c>
      <c r="I911">
        <v>976</v>
      </c>
      <c r="J911">
        <v>234.24</v>
      </c>
    </row>
    <row r="912" spans="1:10" x14ac:dyDescent="0.25">
      <c r="A912" s="1">
        <v>45296</v>
      </c>
      <c r="B912" t="s">
        <v>10</v>
      </c>
      <c r="C912" t="s">
        <v>11</v>
      </c>
      <c r="D912" t="s">
        <v>12</v>
      </c>
      <c r="E912" t="s">
        <v>74</v>
      </c>
      <c r="F912" t="s">
        <v>23</v>
      </c>
      <c r="G912" t="s">
        <v>24</v>
      </c>
      <c r="H912">
        <v>8</v>
      </c>
      <c r="I912">
        <v>1824</v>
      </c>
      <c r="J912">
        <v>495.35</v>
      </c>
    </row>
    <row r="913" spans="1:10" x14ac:dyDescent="0.25">
      <c r="A913" s="1">
        <v>45054</v>
      </c>
      <c r="B913" t="s">
        <v>40</v>
      </c>
      <c r="C913" t="s">
        <v>19</v>
      </c>
      <c r="D913" t="s">
        <v>12</v>
      </c>
      <c r="E913" t="s">
        <v>254</v>
      </c>
      <c r="F913" t="s">
        <v>44</v>
      </c>
      <c r="G913" t="s">
        <v>35</v>
      </c>
      <c r="H913">
        <v>4</v>
      </c>
      <c r="I913">
        <v>3188</v>
      </c>
      <c r="J913">
        <v>202.81</v>
      </c>
    </row>
    <row r="914" spans="1:10" x14ac:dyDescent="0.25">
      <c r="A914" s="1">
        <v>45259</v>
      </c>
      <c r="B914" t="s">
        <v>25</v>
      </c>
      <c r="C914" t="s">
        <v>19</v>
      </c>
      <c r="D914" t="s">
        <v>12</v>
      </c>
      <c r="E914" t="s">
        <v>254</v>
      </c>
      <c r="F914" t="s">
        <v>44</v>
      </c>
      <c r="G914" t="s">
        <v>35</v>
      </c>
      <c r="H914">
        <v>7</v>
      </c>
      <c r="I914">
        <v>5467</v>
      </c>
      <c r="J914">
        <v>556.02</v>
      </c>
    </row>
    <row r="915" spans="1:10" x14ac:dyDescent="0.25">
      <c r="A915" s="1">
        <v>45540</v>
      </c>
      <c r="B915" t="s">
        <v>40</v>
      </c>
      <c r="C915" t="s">
        <v>19</v>
      </c>
      <c r="D915" t="s">
        <v>12</v>
      </c>
      <c r="E915" t="s">
        <v>52</v>
      </c>
      <c r="F915" t="s">
        <v>42</v>
      </c>
      <c r="G915" t="s">
        <v>28</v>
      </c>
      <c r="H915">
        <v>6</v>
      </c>
      <c r="I915">
        <v>5406</v>
      </c>
      <c r="J915">
        <v>1277.46</v>
      </c>
    </row>
    <row r="916" spans="1:10" x14ac:dyDescent="0.25">
      <c r="A916" s="1">
        <v>45512</v>
      </c>
      <c r="B916" t="s">
        <v>29</v>
      </c>
      <c r="C916" t="s">
        <v>17</v>
      </c>
      <c r="D916" t="s">
        <v>12</v>
      </c>
      <c r="E916" t="s">
        <v>26</v>
      </c>
      <c r="F916" t="s">
        <v>27</v>
      </c>
      <c r="G916" t="s">
        <v>28</v>
      </c>
      <c r="H916">
        <v>8</v>
      </c>
      <c r="I916">
        <v>2984</v>
      </c>
      <c r="J916">
        <v>742.31</v>
      </c>
    </row>
    <row r="917" spans="1:10" x14ac:dyDescent="0.25">
      <c r="A917" s="1">
        <v>45028</v>
      </c>
      <c r="B917" t="s">
        <v>10</v>
      </c>
      <c r="C917" t="s">
        <v>11</v>
      </c>
      <c r="D917" t="s">
        <v>12</v>
      </c>
      <c r="E917" t="s">
        <v>26</v>
      </c>
      <c r="F917" t="s">
        <v>27</v>
      </c>
      <c r="G917" t="s">
        <v>28</v>
      </c>
      <c r="H917">
        <v>1</v>
      </c>
      <c r="I917">
        <v>919</v>
      </c>
      <c r="J917">
        <v>193.35</v>
      </c>
    </row>
    <row r="918" spans="1:10" x14ac:dyDescent="0.25">
      <c r="A918" s="1">
        <v>45156</v>
      </c>
      <c r="B918" t="s">
        <v>25</v>
      </c>
      <c r="C918" t="s">
        <v>19</v>
      </c>
      <c r="D918" t="s">
        <v>12</v>
      </c>
      <c r="E918" t="s">
        <v>47</v>
      </c>
      <c r="F918" t="s">
        <v>156</v>
      </c>
      <c r="G918" t="s">
        <v>28</v>
      </c>
      <c r="H918">
        <v>6</v>
      </c>
      <c r="I918">
        <v>1686</v>
      </c>
      <c r="J918">
        <v>426.72</v>
      </c>
    </row>
    <row r="919" spans="1:10" x14ac:dyDescent="0.25">
      <c r="A919" s="1">
        <v>45079</v>
      </c>
      <c r="B919" t="s">
        <v>55</v>
      </c>
      <c r="C919" t="s">
        <v>19</v>
      </c>
      <c r="D919" t="s">
        <v>12</v>
      </c>
      <c r="E919" t="s">
        <v>313</v>
      </c>
      <c r="F919" t="s">
        <v>63</v>
      </c>
      <c r="G919" t="s">
        <v>28</v>
      </c>
      <c r="H919">
        <v>7</v>
      </c>
      <c r="I919">
        <v>4165</v>
      </c>
      <c r="J919">
        <v>493.24</v>
      </c>
    </row>
    <row r="920" spans="1:10" x14ac:dyDescent="0.25">
      <c r="A920" s="1">
        <v>45247</v>
      </c>
      <c r="B920" t="s">
        <v>40</v>
      </c>
      <c r="C920" t="s">
        <v>19</v>
      </c>
      <c r="D920" t="s">
        <v>12</v>
      </c>
      <c r="E920" t="s">
        <v>314</v>
      </c>
      <c r="F920" t="s">
        <v>108</v>
      </c>
      <c r="G920" t="s">
        <v>15</v>
      </c>
      <c r="H920">
        <v>7</v>
      </c>
      <c r="I920">
        <v>1281</v>
      </c>
      <c r="J920">
        <v>282.63</v>
      </c>
    </row>
    <row r="921" spans="1:10" x14ac:dyDescent="0.25">
      <c r="A921" s="1">
        <v>45460</v>
      </c>
      <c r="B921" t="s">
        <v>32</v>
      </c>
      <c r="C921" t="s">
        <v>19</v>
      </c>
      <c r="D921" t="s">
        <v>12</v>
      </c>
      <c r="E921" t="s">
        <v>238</v>
      </c>
      <c r="F921" t="s">
        <v>191</v>
      </c>
      <c r="G921" t="s">
        <v>35</v>
      </c>
      <c r="H921">
        <v>3</v>
      </c>
      <c r="I921">
        <v>2829</v>
      </c>
      <c r="J921">
        <v>362.16</v>
      </c>
    </row>
    <row r="922" spans="1:10" x14ac:dyDescent="0.25">
      <c r="A922" s="1">
        <v>45388</v>
      </c>
      <c r="B922" t="s">
        <v>36</v>
      </c>
      <c r="C922" t="s">
        <v>17</v>
      </c>
      <c r="D922" t="s">
        <v>12</v>
      </c>
      <c r="E922" t="s">
        <v>13</v>
      </c>
      <c r="F922" t="s">
        <v>14</v>
      </c>
      <c r="G922" t="s">
        <v>15</v>
      </c>
      <c r="H922">
        <v>3</v>
      </c>
      <c r="I922">
        <v>2211</v>
      </c>
      <c r="J922">
        <v>292.31</v>
      </c>
    </row>
    <row r="923" spans="1:10" x14ac:dyDescent="0.25">
      <c r="A923" s="1">
        <v>45644</v>
      </c>
      <c r="B923" t="s">
        <v>29</v>
      </c>
      <c r="C923" t="s">
        <v>17</v>
      </c>
      <c r="D923" t="s">
        <v>12</v>
      </c>
      <c r="E923" t="s">
        <v>13</v>
      </c>
      <c r="F923" t="s">
        <v>14</v>
      </c>
      <c r="G923" t="s">
        <v>15</v>
      </c>
      <c r="H923">
        <v>4</v>
      </c>
      <c r="I923">
        <v>4740</v>
      </c>
      <c r="J923">
        <v>607.80999999999995</v>
      </c>
    </row>
    <row r="924" spans="1:10" x14ac:dyDescent="0.25">
      <c r="A924" s="1">
        <v>45269</v>
      </c>
      <c r="B924" t="s">
        <v>25</v>
      </c>
      <c r="C924" t="s">
        <v>19</v>
      </c>
      <c r="D924" t="s">
        <v>12</v>
      </c>
      <c r="E924" t="s">
        <v>22</v>
      </c>
      <c r="F924" t="s">
        <v>23</v>
      </c>
      <c r="G924" t="s">
        <v>24</v>
      </c>
      <c r="H924">
        <v>1</v>
      </c>
      <c r="I924">
        <v>718</v>
      </c>
      <c r="J924">
        <v>169.09</v>
      </c>
    </row>
    <row r="925" spans="1:10" x14ac:dyDescent="0.25">
      <c r="A925" s="1">
        <v>44844</v>
      </c>
      <c r="B925" t="s">
        <v>29</v>
      </c>
      <c r="C925" t="s">
        <v>17</v>
      </c>
      <c r="D925" t="s">
        <v>12</v>
      </c>
      <c r="E925" t="s">
        <v>74</v>
      </c>
      <c r="F925" t="s">
        <v>23</v>
      </c>
      <c r="G925" t="s">
        <v>24</v>
      </c>
      <c r="H925">
        <v>6</v>
      </c>
      <c r="I925">
        <v>1716</v>
      </c>
      <c r="J925">
        <v>108.81</v>
      </c>
    </row>
    <row r="926" spans="1:10" x14ac:dyDescent="0.25">
      <c r="A926" s="1">
        <v>45404</v>
      </c>
      <c r="B926" t="s">
        <v>36</v>
      </c>
      <c r="C926" t="s">
        <v>17</v>
      </c>
      <c r="D926" t="s">
        <v>12</v>
      </c>
      <c r="E926" t="s">
        <v>74</v>
      </c>
      <c r="F926" t="s">
        <v>23</v>
      </c>
      <c r="G926" t="s">
        <v>24</v>
      </c>
      <c r="H926">
        <v>7</v>
      </c>
      <c r="I926">
        <v>1547</v>
      </c>
      <c r="J926">
        <v>152.59</v>
      </c>
    </row>
    <row r="927" spans="1:10" x14ac:dyDescent="0.25">
      <c r="A927" s="1">
        <v>44726</v>
      </c>
      <c r="B927" t="s">
        <v>16</v>
      </c>
      <c r="C927" t="s">
        <v>17</v>
      </c>
      <c r="D927" t="s">
        <v>12</v>
      </c>
      <c r="E927" t="s">
        <v>74</v>
      </c>
      <c r="F927" t="s">
        <v>23</v>
      </c>
      <c r="G927" t="s">
        <v>24</v>
      </c>
      <c r="H927">
        <v>1</v>
      </c>
      <c r="I927">
        <v>739</v>
      </c>
      <c r="J927">
        <v>111.18</v>
      </c>
    </row>
    <row r="928" spans="1:10" x14ac:dyDescent="0.25">
      <c r="A928" s="1">
        <v>45172</v>
      </c>
      <c r="B928" t="s">
        <v>55</v>
      </c>
      <c r="C928" t="s">
        <v>19</v>
      </c>
      <c r="D928" t="s">
        <v>12</v>
      </c>
      <c r="E928" t="s">
        <v>53</v>
      </c>
      <c r="F928" t="s">
        <v>54</v>
      </c>
      <c r="G928" t="s">
        <v>24</v>
      </c>
      <c r="H928">
        <v>3</v>
      </c>
      <c r="I928">
        <v>819</v>
      </c>
      <c r="J928">
        <v>231.88</v>
      </c>
    </row>
    <row r="929" spans="1:10" x14ac:dyDescent="0.25">
      <c r="A929" s="1">
        <v>45279</v>
      </c>
      <c r="B929" t="s">
        <v>55</v>
      </c>
      <c r="C929" t="s">
        <v>19</v>
      </c>
      <c r="D929" t="s">
        <v>12</v>
      </c>
      <c r="E929" t="s">
        <v>52</v>
      </c>
      <c r="F929" t="s">
        <v>42</v>
      </c>
      <c r="G929" t="s">
        <v>28</v>
      </c>
      <c r="H929">
        <v>8</v>
      </c>
      <c r="I929">
        <v>5696</v>
      </c>
      <c r="J929">
        <v>1156.3</v>
      </c>
    </row>
    <row r="930" spans="1:10" x14ac:dyDescent="0.25">
      <c r="A930" s="1">
        <v>44948</v>
      </c>
      <c r="B930" t="s">
        <v>36</v>
      </c>
      <c r="C930" t="s">
        <v>17</v>
      </c>
      <c r="D930" t="s">
        <v>12</v>
      </c>
      <c r="E930" t="s">
        <v>26</v>
      </c>
      <c r="F930" t="s">
        <v>27</v>
      </c>
      <c r="G930" t="s">
        <v>28</v>
      </c>
      <c r="H930">
        <v>2</v>
      </c>
      <c r="I930">
        <v>1706</v>
      </c>
      <c r="J930">
        <v>184.71</v>
      </c>
    </row>
    <row r="931" spans="1:10" x14ac:dyDescent="0.25">
      <c r="A931" s="1">
        <v>45314</v>
      </c>
      <c r="B931" t="s">
        <v>25</v>
      </c>
      <c r="C931" t="s">
        <v>19</v>
      </c>
      <c r="D931" t="s">
        <v>12</v>
      </c>
      <c r="E931" t="s">
        <v>315</v>
      </c>
      <c r="F931" t="s">
        <v>63</v>
      </c>
      <c r="G931" t="s">
        <v>28</v>
      </c>
      <c r="H931">
        <v>2</v>
      </c>
      <c r="I931">
        <v>2066</v>
      </c>
      <c r="J931">
        <v>608.23</v>
      </c>
    </row>
    <row r="932" spans="1:10" x14ac:dyDescent="0.25">
      <c r="A932" s="1">
        <v>45450</v>
      </c>
      <c r="B932" t="s">
        <v>55</v>
      </c>
      <c r="C932" t="s">
        <v>19</v>
      </c>
      <c r="D932" t="s">
        <v>12</v>
      </c>
      <c r="E932" t="s">
        <v>315</v>
      </c>
      <c r="F932" t="s">
        <v>63</v>
      </c>
      <c r="G932" t="s">
        <v>28</v>
      </c>
      <c r="H932">
        <v>2</v>
      </c>
      <c r="I932">
        <v>256</v>
      </c>
      <c r="J932">
        <v>35.659999999999997</v>
      </c>
    </row>
    <row r="933" spans="1:10" x14ac:dyDescent="0.25">
      <c r="A933" s="1">
        <v>45326</v>
      </c>
      <c r="B933" t="s">
        <v>40</v>
      </c>
      <c r="C933" t="s">
        <v>19</v>
      </c>
      <c r="D933" t="s">
        <v>12</v>
      </c>
      <c r="E933" t="s">
        <v>315</v>
      </c>
      <c r="F933" t="s">
        <v>63</v>
      </c>
      <c r="G933" t="s">
        <v>28</v>
      </c>
      <c r="H933">
        <v>2</v>
      </c>
      <c r="I933">
        <v>1102</v>
      </c>
      <c r="J933">
        <v>182.54</v>
      </c>
    </row>
    <row r="934" spans="1:10" x14ac:dyDescent="0.25">
      <c r="A934" s="1">
        <v>45535</v>
      </c>
      <c r="B934" t="s">
        <v>36</v>
      </c>
      <c r="C934" t="s">
        <v>17</v>
      </c>
      <c r="D934" t="s">
        <v>12</v>
      </c>
      <c r="E934" t="s">
        <v>316</v>
      </c>
      <c r="F934" t="s">
        <v>191</v>
      </c>
      <c r="G934" t="s">
        <v>35</v>
      </c>
      <c r="H934">
        <v>8</v>
      </c>
      <c r="I934">
        <v>2872</v>
      </c>
      <c r="J934">
        <v>483.94</v>
      </c>
    </row>
    <row r="935" spans="1:10" x14ac:dyDescent="0.25">
      <c r="A935" s="1">
        <v>45607</v>
      </c>
      <c r="B935" t="s">
        <v>18</v>
      </c>
      <c r="C935" t="s">
        <v>19</v>
      </c>
      <c r="D935" t="s">
        <v>12</v>
      </c>
      <c r="E935" t="s">
        <v>22</v>
      </c>
      <c r="F935" t="s">
        <v>23</v>
      </c>
      <c r="G935" t="s">
        <v>24</v>
      </c>
      <c r="H935">
        <v>4</v>
      </c>
      <c r="I935">
        <v>2584</v>
      </c>
      <c r="J935">
        <v>394.52</v>
      </c>
    </row>
    <row r="936" spans="1:10" x14ac:dyDescent="0.25">
      <c r="A936" s="1">
        <v>45500</v>
      </c>
      <c r="B936" t="s">
        <v>16</v>
      </c>
      <c r="C936" t="s">
        <v>17</v>
      </c>
      <c r="D936" t="s">
        <v>12</v>
      </c>
      <c r="E936" t="s">
        <v>75</v>
      </c>
      <c r="F936" t="s">
        <v>63</v>
      </c>
      <c r="G936" t="s">
        <v>28</v>
      </c>
      <c r="H936">
        <v>2</v>
      </c>
      <c r="I936">
        <v>1366</v>
      </c>
      <c r="J936">
        <v>298.32</v>
      </c>
    </row>
    <row r="937" spans="1:10" x14ac:dyDescent="0.25">
      <c r="A937" s="1">
        <v>45423</v>
      </c>
      <c r="B937" t="s">
        <v>32</v>
      </c>
      <c r="C937" t="s">
        <v>19</v>
      </c>
      <c r="D937" t="s">
        <v>12</v>
      </c>
      <c r="E937" t="s">
        <v>75</v>
      </c>
      <c r="F937" t="s">
        <v>63</v>
      </c>
      <c r="G937" t="s">
        <v>28</v>
      </c>
      <c r="H937">
        <v>7</v>
      </c>
      <c r="I937">
        <v>1253</v>
      </c>
      <c r="J937">
        <v>354.23</v>
      </c>
    </row>
    <row r="938" spans="1:10" x14ac:dyDescent="0.25">
      <c r="A938" s="1">
        <v>45009</v>
      </c>
      <c r="B938" t="s">
        <v>55</v>
      </c>
      <c r="C938" t="s">
        <v>19</v>
      </c>
      <c r="D938" t="s">
        <v>12</v>
      </c>
      <c r="E938" t="s">
        <v>22</v>
      </c>
      <c r="F938" t="s">
        <v>23</v>
      </c>
      <c r="G938" t="s">
        <v>24</v>
      </c>
      <c r="H938">
        <v>7</v>
      </c>
      <c r="I938">
        <v>2618</v>
      </c>
      <c r="J938">
        <v>300.81</v>
      </c>
    </row>
    <row r="939" spans="1:10" x14ac:dyDescent="0.25">
      <c r="A939" s="1">
        <v>44826</v>
      </c>
      <c r="B939" t="s">
        <v>29</v>
      </c>
      <c r="C939" t="s">
        <v>17</v>
      </c>
      <c r="D939" t="s">
        <v>12</v>
      </c>
      <c r="E939" t="s">
        <v>22</v>
      </c>
      <c r="F939" t="s">
        <v>23</v>
      </c>
      <c r="G939" t="s">
        <v>24</v>
      </c>
      <c r="H939">
        <v>9</v>
      </c>
      <c r="I939">
        <v>6822</v>
      </c>
      <c r="J939">
        <v>1811.37</v>
      </c>
    </row>
    <row r="940" spans="1:10" x14ac:dyDescent="0.25">
      <c r="A940" s="1">
        <v>45235</v>
      </c>
      <c r="B940" t="s">
        <v>49</v>
      </c>
      <c r="C940" t="s">
        <v>17</v>
      </c>
      <c r="D940" t="s">
        <v>12</v>
      </c>
      <c r="E940" t="s">
        <v>22</v>
      </c>
      <c r="F940" t="s">
        <v>23</v>
      </c>
      <c r="G940" t="s">
        <v>24</v>
      </c>
      <c r="H940">
        <v>6</v>
      </c>
      <c r="I940">
        <v>5286</v>
      </c>
      <c r="J940">
        <v>636.16</v>
      </c>
    </row>
    <row r="941" spans="1:10" x14ac:dyDescent="0.25">
      <c r="A941" s="1">
        <v>45456</v>
      </c>
      <c r="B941" t="s">
        <v>36</v>
      </c>
      <c r="C941" t="s">
        <v>17</v>
      </c>
      <c r="D941" t="s">
        <v>12</v>
      </c>
      <c r="E941" t="s">
        <v>132</v>
      </c>
      <c r="F941" t="s">
        <v>100</v>
      </c>
      <c r="G941" t="s">
        <v>35</v>
      </c>
      <c r="H941">
        <v>1</v>
      </c>
      <c r="I941">
        <v>579</v>
      </c>
      <c r="J941">
        <v>133.57</v>
      </c>
    </row>
    <row r="942" spans="1:10" x14ac:dyDescent="0.25">
      <c r="A942" s="1">
        <v>44620</v>
      </c>
      <c r="B942" t="s">
        <v>55</v>
      </c>
      <c r="C942" t="s">
        <v>19</v>
      </c>
      <c r="D942" t="s">
        <v>12</v>
      </c>
      <c r="E942" t="s">
        <v>317</v>
      </c>
      <c r="F942" t="s">
        <v>115</v>
      </c>
      <c r="G942" t="s">
        <v>15</v>
      </c>
      <c r="H942">
        <v>8</v>
      </c>
      <c r="I942">
        <v>1392</v>
      </c>
      <c r="J942">
        <v>190.99</v>
      </c>
    </row>
    <row r="943" spans="1:10" x14ac:dyDescent="0.25">
      <c r="A943" s="1">
        <v>44879</v>
      </c>
      <c r="B943" t="s">
        <v>55</v>
      </c>
      <c r="C943" t="s">
        <v>19</v>
      </c>
      <c r="D943" t="s">
        <v>12</v>
      </c>
      <c r="E943" t="s">
        <v>104</v>
      </c>
      <c r="F943" t="s">
        <v>39</v>
      </c>
      <c r="G943" t="s">
        <v>35</v>
      </c>
      <c r="H943">
        <v>9</v>
      </c>
      <c r="I943">
        <v>2493</v>
      </c>
      <c r="J943">
        <v>696.69</v>
      </c>
    </row>
    <row r="944" spans="1:10" x14ac:dyDescent="0.25">
      <c r="A944" s="1">
        <v>45186</v>
      </c>
      <c r="B944" t="s">
        <v>40</v>
      </c>
      <c r="C944" t="s">
        <v>19</v>
      </c>
      <c r="D944" t="s">
        <v>12</v>
      </c>
      <c r="E944" t="s">
        <v>52</v>
      </c>
      <c r="F944" t="s">
        <v>42</v>
      </c>
      <c r="G944" t="s">
        <v>28</v>
      </c>
      <c r="H944">
        <v>7</v>
      </c>
      <c r="I944">
        <v>6461</v>
      </c>
      <c r="J944">
        <v>766.45</v>
      </c>
    </row>
    <row r="945" spans="1:10" x14ac:dyDescent="0.25">
      <c r="A945" s="1">
        <v>44790</v>
      </c>
      <c r="B945" t="s">
        <v>18</v>
      </c>
      <c r="C945" t="s">
        <v>19</v>
      </c>
      <c r="D945" t="s">
        <v>12</v>
      </c>
      <c r="E945" t="s">
        <v>318</v>
      </c>
      <c r="F945" t="s">
        <v>42</v>
      </c>
      <c r="G945" t="s">
        <v>28</v>
      </c>
      <c r="H945">
        <v>2</v>
      </c>
      <c r="I945">
        <v>1486</v>
      </c>
      <c r="J945">
        <v>201.07</v>
      </c>
    </row>
    <row r="946" spans="1:10" x14ac:dyDescent="0.25">
      <c r="A946" s="1">
        <v>45060</v>
      </c>
      <c r="B946" t="s">
        <v>10</v>
      </c>
      <c r="C946" t="s">
        <v>11</v>
      </c>
      <c r="D946" t="s">
        <v>12</v>
      </c>
      <c r="E946" t="s">
        <v>52</v>
      </c>
      <c r="F946" t="s">
        <v>42</v>
      </c>
      <c r="G946" t="s">
        <v>28</v>
      </c>
      <c r="H946">
        <v>1</v>
      </c>
      <c r="I946">
        <v>1152</v>
      </c>
      <c r="J946">
        <v>280.27999999999997</v>
      </c>
    </row>
    <row r="947" spans="1:10" x14ac:dyDescent="0.25">
      <c r="A947" s="1">
        <v>44632</v>
      </c>
      <c r="B947" t="s">
        <v>32</v>
      </c>
      <c r="C947" t="s">
        <v>19</v>
      </c>
      <c r="D947" t="s">
        <v>12</v>
      </c>
      <c r="E947" t="s">
        <v>319</v>
      </c>
      <c r="F947" t="s">
        <v>23</v>
      </c>
      <c r="G947" t="s">
        <v>24</v>
      </c>
      <c r="H947">
        <v>2</v>
      </c>
      <c r="I947">
        <v>1750</v>
      </c>
      <c r="J947">
        <v>103.99</v>
      </c>
    </row>
    <row r="948" spans="1:10" x14ac:dyDescent="0.25">
      <c r="A948" s="1">
        <v>44754</v>
      </c>
      <c r="B948" t="s">
        <v>40</v>
      </c>
      <c r="C948" t="s">
        <v>19</v>
      </c>
      <c r="D948" t="s">
        <v>12</v>
      </c>
      <c r="E948" t="s">
        <v>56</v>
      </c>
      <c r="F948" t="s">
        <v>57</v>
      </c>
      <c r="G948" t="s">
        <v>24</v>
      </c>
      <c r="H948">
        <v>7</v>
      </c>
      <c r="I948">
        <v>4417</v>
      </c>
      <c r="J948">
        <v>495.37</v>
      </c>
    </row>
    <row r="949" spans="1:10" x14ac:dyDescent="0.25">
      <c r="A949" s="1">
        <v>45478</v>
      </c>
      <c r="B949" t="s">
        <v>55</v>
      </c>
      <c r="C949" t="s">
        <v>19</v>
      </c>
      <c r="D949" t="s">
        <v>12</v>
      </c>
      <c r="E949" t="s">
        <v>199</v>
      </c>
      <c r="F949" t="s">
        <v>200</v>
      </c>
      <c r="G949" t="s">
        <v>28</v>
      </c>
      <c r="H949">
        <v>4</v>
      </c>
      <c r="I949">
        <v>3724</v>
      </c>
      <c r="J949">
        <v>276.85000000000002</v>
      </c>
    </row>
    <row r="950" spans="1:10" x14ac:dyDescent="0.25">
      <c r="A950" s="1">
        <v>45093</v>
      </c>
      <c r="B950" t="s">
        <v>25</v>
      </c>
      <c r="C950" t="s">
        <v>19</v>
      </c>
      <c r="D950" t="s">
        <v>12</v>
      </c>
      <c r="E950" t="s">
        <v>43</v>
      </c>
      <c r="F950" t="s">
        <v>44</v>
      </c>
      <c r="G950" t="s">
        <v>35</v>
      </c>
      <c r="H950">
        <v>3</v>
      </c>
      <c r="I950">
        <v>2220</v>
      </c>
      <c r="J950">
        <v>121.14</v>
      </c>
    </row>
    <row r="951" spans="1:10" x14ac:dyDescent="0.25">
      <c r="A951" s="1">
        <v>45097</v>
      </c>
      <c r="B951" t="s">
        <v>36</v>
      </c>
      <c r="C951" t="s">
        <v>17</v>
      </c>
      <c r="D951" t="s">
        <v>12</v>
      </c>
      <c r="E951" t="s">
        <v>43</v>
      </c>
      <c r="F951" t="s">
        <v>44</v>
      </c>
      <c r="G951" t="s">
        <v>35</v>
      </c>
      <c r="H951">
        <v>8</v>
      </c>
      <c r="I951">
        <v>9104</v>
      </c>
      <c r="J951">
        <v>2620.58</v>
      </c>
    </row>
    <row r="952" spans="1:10" x14ac:dyDescent="0.25">
      <c r="A952" s="1">
        <v>45512</v>
      </c>
      <c r="B952" t="s">
        <v>10</v>
      </c>
      <c r="C952" t="s">
        <v>11</v>
      </c>
      <c r="D952" t="s">
        <v>12</v>
      </c>
      <c r="E952" t="s">
        <v>22</v>
      </c>
      <c r="F952" t="s">
        <v>23</v>
      </c>
      <c r="G952" t="s">
        <v>24</v>
      </c>
      <c r="H952">
        <v>3</v>
      </c>
      <c r="I952">
        <v>3093</v>
      </c>
      <c r="J952">
        <v>584.23</v>
      </c>
    </row>
    <row r="953" spans="1:10" x14ac:dyDescent="0.25">
      <c r="A953" s="1">
        <v>44986</v>
      </c>
      <c r="B953" t="s">
        <v>29</v>
      </c>
      <c r="C953" t="s">
        <v>17</v>
      </c>
      <c r="D953" t="s">
        <v>12</v>
      </c>
      <c r="E953" t="s">
        <v>74</v>
      </c>
      <c r="F953" t="s">
        <v>23</v>
      </c>
      <c r="G953" t="s">
        <v>24</v>
      </c>
      <c r="H953">
        <v>6</v>
      </c>
      <c r="I953">
        <v>3048</v>
      </c>
      <c r="J953">
        <v>842.24</v>
      </c>
    </row>
    <row r="954" spans="1:10" x14ac:dyDescent="0.25">
      <c r="A954" s="1">
        <v>44683</v>
      </c>
      <c r="B954" t="s">
        <v>40</v>
      </c>
      <c r="C954" t="s">
        <v>19</v>
      </c>
      <c r="D954" t="s">
        <v>12</v>
      </c>
      <c r="E954" t="s">
        <v>66</v>
      </c>
      <c r="F954" t="s">
        <v>34</v>
      </c>
      <c r="G954" t="s">
        <v>35</v>
      </c>
      <c r="H954">
        <v>1</v>
      </c>
      <c r="I954">
        <v>161</v>
      </c>
      <c r="J954">
        <v>36.58</v>
      </c>
    </row>
    <row r="955" spans="1:10" x14ac:dyDescent="0.25">
      <c r="A955" s="1">
        <v>45130</v>
      </c>
      <c r="B955" t="s">
        <v>36</v>
      </c>
      <c r="C955" t="s">
        <v>17</v>
      </c>
      <c r="D955" t="s">
        <v>12</v>
      </c>
      <c r="E955" t="s">
        <v>22</v>
      </c>
      <c r="F955" t="s">
        <v>23</v>
      </c>
      <c r="G955" t="s">
        <v>24</v>
      </c>
      <c r="H955">
        <v>7</v>
      </c>
      <c r="I955">
        <v>7238</v>
      </c>
      <c r="J955">
        <v>1889.69</v>
      </c>
    </row>
    <row r="956" spans="1:10" x14ac:dyDescent="0.25">
      <c r="A956" s="1">
        <v>45381</v>
      </c>
      <c r="B956" t="s">
        <v>40</v>
      </c>
      <c r="C956" t="s">
        <v>19</v>
      </c>
      <c r="D956" t="s">
        <v>12</v>
      </c>
      <c r="E956" t="s">
        <v>302</v>
      </c>
      <c r="F956" t="s">
        <v>21</v>
      </c>
      <c r="G956" t="s">
        <v>15</v>
      </c>
      <c r="H956">
        <v>3</v>
      </c>
      <c r="I956">
        <v>3561</v>
      </c>
      <c r="J956">
        <v>347.31</v>
      </c>
    </row>
    <row r="957" spans="1:10" x14ac:dyDescent="0.25">
      <c r="A957" s="1">
        <v>44780</v>
      </c>
      <c r="B957" t="s">
        <v>36</v>
      </c>
      <c r="C957" t="s">
        <v>17</v>
      </c>
      <c r="D957" t="s">
        <v>12</v>
      </c>
      <c r="E957" t="s">
        <v>187</v>
      </c>
      <c r="F957" t="s">
        <v>23</v>
      </c>
      <c r="G957" t="s">
        <v>24</v>
      </c>
      <c r="H957">
        <v>5</v>
      </c>
      <c r="I957">
        <v>1850</v>
      </c>
      <c r="J957">
        <v>534.39</v>
      </c>
    </row>
    <row r="958" spans="1:10" x14ac:dyDescent="0.25">
      <c r="A958" s="1">
        <v>44626</v>
      </c>
      <c r="B958" t="s">
        <v>16</v>
      </c>
      <c r="C958" t="s">
        <v>17</v>
      </c>
      <c r="D958" t="s">
        <v>12</v>
      </c>
      <c r="E958" t="s">
        <v>87</v>
      </c>
      <c r="F958" t="s">
        <v>71</v>
      </c>
      <c r="G958" t="s">
        <v>35</v>
      </c>
      <c r="H958">
        <v>6</v>
      </c>
      <c r="I958">
        <v>3522</v>
      </c>
      <c r="J958">
        <v>626.72</v>
      </c>
    </row>
    <row r="959" spans="1:10" x14ac:dyDescent="0.25">
      <c r="A959" s="1">
        <v>45254</v>
      </c>
      <c r="B959" t="s">
        <v>32</v>
      </c>
      <c r="C959" t="s">
        <v>19</v>
      </c>
      <c r="D959" t="s">
        <v>12</v>
      </c>
      <c r="E959" t="s">
        <v>26</v>
      </c>
      <c r="F959" t="s">
        <v>27</v>
      </c>
      <c r="G959" t="s">
        <v>28</v>
      </c>
      <c r="H959">
        <v>1</v>
      </c>
      <c r="I959">
        <v>584</v>
      </c>
      <c r="J959">
        <v>172.4</v>
      </c>
    </row>
    <row r="960" spans="1:10" x14ac:dyDescent="0.25">
      <c r="A960" s="1">
        <v>45169</v>
      </c>
      <c r="B960" t="s">
        <v>40</v>
      </c>
      <c r="C960" t="s">
        <v>19</v>
      </c>
      <c r="D960" t="s">
        <v>12</v>
      </c>
      <c r="E960" t="s">
        <v>320</v>
      </c>
      <c r="F960" t="s">
        <v>23</v>
      </c>
      <c r="G960" t="s">
        <v>24</v>
      </c>
      <c r="H960">
        <v>4</v>
      </c>
      <c r="I960">
        <v>2556</v>
      </c>
      <c r="J960">
        <v>412.44</v>
      </c>
    </row>
    <row r="961" spans="1:10" x14ac:dyDescent="0.25">
      <c r="A961" s="1">
        <v>45213</v>
      </c>
      <c r="B961" t="s">
        <v>40</v>
      </c>
      <c r="C961" t="s">
        <v>19</v>
      </c>
      <c r="D961" t="s">
        <v>12</v>
      </c>
      <c r="E961" t="s">
        <v>22</v>
      </c>
      <c r="F961" t="s">
        <v>23</v>
      </c>
      <c r="G961" t="s">
        <v>24</v>
      </c>
      <c r="H961">
        <v>2</v>
      </c>
      <c r="I961">
        <v>348</v>
      </c>
      <c r="J961">
        <v>56.31</v>
      </c>
    </row>
    <row r="962" spans="1:10" x14ac:dyDescent="0.25">
      <c r="A962" s="1">
        <v>45062</v>
      </c>
      <c r="B962" t="s">
        <v>36</v>
      </c>
      <c r="C962" t="s">
        <v>17</v>
      </c>
      <c r="D962" t="s">
        <v>12</v>
      </c>
      <c r="E962" t="s">
        <v>22</v>
      </c>
      <c r="F962" t="s">
        <v>23</v>
      </c>
      <c r="G962" t="s">
        <v>24</v>
      </c>
      <c r="H962">
        <v>9</v>
      </c>
      <c r="I962">
        <v>1602</v>
      </c>
      <c r="J962">
        <v>142.49</v>
      </c>
    </row>
    <row r="963" spans="1:10" x14ac:dyDescent="0.25">
      <c r="A963" s="1">
        <v>45096</v>
      </c>
      <c r="B963" t="s">
        <v>36</v>
      </c>
      <c r="C963" t="s">
        <v>17</v>
      </c>
      <c r="D963" t="s">
        <v>12</v>
      </c>
      <c r="E963" t="s">
        <v>307</v>
      </c>
      <c r="F963" t="s">
        <v>156</v>
      </c>
      <c r="G963" t="s">
        <v>28</v>
      </c>
      <c r="H963">
        <v>3</v>
      </c>
      <c r="I963">
        <v>2853</v>
      </c>
      <c r="J963">
        <v>437.59</v>
      </c>
    </row>
    <row r="964" spans="1:10" x14ac:dyDescent="0.25">
      <c r="A964" s="1">
        <v>45128</v>
      </c>
      <c r="B964" t="s">
        <v>10</v>
      </c>
      <c r="C964" t="s">
        <v>11</v>
      </c>
      <c r="D964" t="s">
        <v>12</v>
      </c>
      <c r="E964" t="s">
        <v>118</v>
      </c>
      <c r="F964" t="s">
        <v>23</v>
      </c>
      <c r="G964" t="s">
        <v>24</v>
      </c>
      <c r="H964">
        <v>1</v>
      </c>
      <c r="I964">
        <v>1024</v>
      </c>
      <c r="J964">
        <v>230.3</v>
      </c>
    </row>
    <row r="965" spans="1:10" x14ac:dyDescent="0.25">
      <c r="A965" s="1">
        <v>44640</v>
      </c>
      <c r="B965" t="s">
        <v>25</v>
      </c>
      <c r="C965" t="s">
        <v>19</v>
      </c>
      <c r="D965" t="s">
        <v>12</v>
      </c>
      <c r="E965" t="s">
        <v>176</v>
      </c>
      <c r="F965" t="s">
        <v>84</v>
      </c>
      <c r="G965" t="s">
        <v>28</v>
      </c>
      <c r="H965">
        <v>5</v>
      </c>
      <c r="I965">
        <v>4485</v>
      </c>
      <c r="J965">
        <v>1324.49</v>
      </c>
    </row>
    <row r="966" spans="1:10" x14ac:dyDescent="0.25">
      <c r="A966" s="1">
        <v>45144</v>
      </c>
      <c r="B966" t="s">
        <v>10</v>
      </c>
      <c r="C966" t="s">
        <v>11</v>
      </c>
      <c r="D966" t="s">
        <v>12</v>
      </c>
      <c r="E966" t="s">
        <v>47</v>
      </c>
      <c r="F966" t="s">
        <v>46</v>
      </c>
      <c r="G966" t="s">
        <v>15</v>
      </c>
      <c r="H966">
        <v>2</v>
      </c>
      <c r="I966">
        <v>436</v>
      </c>
      <c r="J966">
        <v>79.69</v>
      </c>
    </row>
    <row r="967" spans="1:10" x14ac:dyDescent="0.25">
      <c r="A967" s="1">
        <v>45586</v>
      </c>
      <c r="B967" t="s">
        <v>32</v>
      </c>
      <c r="C967" t="s">
        <v>19</v>
      </c>
      <c r="D967" t="s">
        <v>12</v>
      </c>
      <c r="E967" t="s">
        <v>258</v>
      </c>
      <c r="F967" t="s">
        <v>71</v>
      </c>
      <c r="G967" t="s">
        <v>35</v>
      </c>
      <c r="H967">
        <v>2</v>
      </c>
      <c r="I967">
        <v>2232</v>
      </c>
      <c r="J967">
        <v>150.12</v>
      </c>
    </row>
    <row r="968" spans="1:10" x14ac:dyDescent="0.25">
      <c r="A968" s="1">
        <v>44787</v>
      </c>
      <c r="B968" t="s">
        <v>49</v>
      </c>
      <c r="C968" t="s">
        <v>17</v>
      </c>
      <c r="D968" t="s">
        <v>12</v>
      </c>
      <c r="E968" t="s">
        <v>74</v>
      </c>
      <c r="F968" t="s">
        <v>23</v>
      </c>
      <c r="G968" t="s">
        <v>24</v>
      </c>
      <c r="H968">
        <v>6</v>
      </c>
      <c r="I968">
        <v>7056</v>
      </c>
      <c r="J968">
        <v>1445.01</v>
      </c>
    </row>
    <row r="969" spans="1:10" x14ac:dyDescent="0.25">
      <c r="A969" s="1">
        <v>44635</v>
      </c>
      <c r="B969" t="s">
        <v>49</v>
      </c>
      <c r="C969" t="s">
        <v>17</v>
      </c>
      <c r="D969" t="s">
        <v>12</v>
      </c>
      <c r="E969" t="s">
        <v>74</v>
      </c>
      <c r="F969" t="s">
        <v>23</v>
      </c>
      <c r="G969" t="s">
        <v>24</v>
      </c>
      <c r="H969">
        <v>5</v>
      </c>
      <c r="I969">
        <v>875</v>
      </c>
      <c r="J969">
        <v>96.65</v>
      </c>
    </row>
    <row r="970" spans="1:10" x14ac:dyDescent="0.25">
      <c r="A970" s="1">
        <v>44593</v>
      </c>
      <c r="B970" t="s">
        <v>32</v>
      </c>
      <c r="C970" t="s">
        <v>19</v>
      </c>
      <c r="D970" t="s">
        <v>12</v>
      </c>
      <c r="E970" t="s">
        <v>270</v>
      </c>
      <c r="F970" t="s">
        <v>54</v>
      </c>
      <c r="G970" t="s">
        <v>24</v>
      </c>
      <c r="H970">
        <v>3</v>
      </c>
      <c r="I970">
        <v>315</v>
      </c>
      <c r="J970">
        <v>61.94</v>
      </c>
    </row>
    <row r="971" spans="1:10" x14ac:dyDescent="0.25">
      <c r="A971" s="1">
        <v>44675</v>
      </c>
      <c r="B971" t="s">
        <v>55</v>
      </c>
      <c r="C971" t="s">
        <v>19</v>
      </c>
      <c r="D971" t="s">
        <v>12</v>
      </c>
      <c r="E971" t="s">
        <v>52</v>
      </c>
      <c r="F971" t="s">
        <v>42</v>
      </c>
      <c r="G971" t="s">
        <v>28</v>
      </c>
      <c r="H971">
        <v>2</v>
      </c>
      <c r="I971">
        <v>358</v>
      </c>
      <c r="J971">
        <v>51.75</v>
      </c>
    </row>
    <row r="972" spans="1:10" x14ac:dyDescent="0.25">
      <c r="A972" s="1">
        <v>45008</v>
      </c>
      <c r="B972" t="s">
        <v>25</v>
      </c>
      <c r="C972" t="s">
        <v>19</v>
      </c>
      <c r="D972" t="s">
        <v>12</v>
      </c>
      <c r="E972" t="s">
        <v>52</v>
      </c>
      <c r="F972" t="s">
        <v>42</v>
      </c>
      <c r="G972" t="s">
        <v>28</v>
      </c>
      <c r="H972">
        <v>7</v>
      </c>
      <c r="I972">
        <v>3451</v>
      </c>
      <c r="J972">
        <v>194.42</v>
      </c>
    </row>
    <row r="973" spans="1:10" x14ac:dyDescent="0.25">
      <c r="A973" s="1">
        <v>44602</v>
      </c>
      <c r="B973" t="s">
        <v>55</v>
      </c>
      <c r="C973" t="s">
        <v>19</v>
      </c>
      <c r="D973" t="s">
        <v>12</v>
      </c>
      <c r="E973" t="s">
        <v>26</v>
      </c>
      <c r="F973" t="s">
        <v>27</v>
      </c>
      <c r="G973" t="s">
        <v>28</v>
      </c>
      <c r="H973">
        <v>9</v>
      </c>
      <c r="I973">
        <v>1350</v>
      </c>
      <c r="J973">
        <v>189.13</v>
      </c>
    </row>
    <row r="974" spans="1:10" x14ac:dyDescent="0.25">
      <c r="A974" s="1">
        <v>45218</v>
      </c>
      <c r="B974" t="s">
        <v>18</v>
      </c>
      <c r="C974" t="s">
        <v>19</v>
      </c>
      <c r="D974" t="s">
        <v>12</v>
      </c>
      <c r="E974" t="s">
        <v>56</v>
      </c>
      <c r="F974" t="s">
        <v>57</v>
      </c>
      <c r="G974" t="s">
        <v>24</v>
      </c>
      <c r="H974">
        <v>8</v>
      </c>
      <c r="I974">
        <v>3320</v>
      </c>
      <c r="J974">
        <v>413.32</v>
      </c>
    </row>
    <row r="975" spans="1:10" x14ac:dyDescent="0.25">
      <c r="A975" s="1">
        <v>45545</v>
      </c>
      <c r="B975" t="s">
        <v>16</v>
      </c>
      <c r="C975" t="s">
        <v>17</v>
      </c>
      <c r="D975" t="s">
        <v>12</v>
      </c>
      <c r="E975" t="s">
        <v>102</v>
      </c>
      <c r="F975" t="s">
        <v>34</v>
      </c>
      <c r="G975" t="s">
        <v>35</v>
      </c>
      <c r="H975">
        <v>9</v>
      </c>
      <c r="I975">
        <v>8442</v>
      </c>
      <c r="J975">
        <v>940.33</v>
      </c>
    </row>
    <row r="976" spans="1:10" x14ac:dyDescent="0.25">
      <c r="A976" s="1">
        <v>44729</v>
      </c>
      <c r="B976" t="s">
        <v>49</v>
      </c>
      <c r="C976" t="s">
        <v>17</v>
      </c>
      <c r="D976" t="s">
        <v>12</v>
      </c>
      <c r="E976" t="s">
        <v>70</v>
      </c>
      <c r="F976" t="s">
        <v>71</v>
      </c>
      <c r="G976" t="s">
        <v>35</v>
      </c>
      <c r="H976">
        <v>1</v>
      </c>
      <c r="I976">
        <v>166</v>
      </c>
      <c r="J976">
        <v>31.97</v>
      </c>
    </row>
    <row r="977" spans="1:10" x14ac:dyDescent="0.25">
      <c r="A977" s="1">
        <v>45147</v>
      </c>
      <c r="B977" t="s">
        <v>16</v>
      </c>
      <c r="C977" t="s">
        <v>17</v>
      </c>
      <c r="D977" t="s">
        <v>12</v>
      </c>
      <c r="E977" t="s">
        <v>26</v>
      </c>
      <c r="F977" t="s">
        <v>27</v>
      </c>
      <c r="G977" t="s">
        <v>28</v>
      </c>
      <c r="H977">
        <v>5</v>
      </c>
      <c r="I977">
        <v>3720</v>
      </c>
      <c r="J977">
        <v>448.6</v>
      </c>
    </row>
    <row r="978" spans="1:10" x14ac:dyDescent="0.25">
      <c r="A978" s="1">
        <v>45118</v>
      </c>
      <c r="B978" t="s">
        <v>55</v>
      </c>
      <c r="C978" t="s">
        <v>19</v>
      </c>
      <c r="D978" t="s">
        <v>12</v>
      </c>
      <c r="E978" t="s">
        <v>26</v>
      </c>
      <c r="F978" t="s">
        <v>27</v>
      </c>
      <c r="G978" t="s">
        <v>28</v>
      </c>
      <c r="H978">
        <v>2</v>
      </c>
      <c r="I978">
        <v>1090</v>
      </c>
      <c r="J978">
        <v>136.65</v>
      </c>
    </row>
    <row r="979" spans="1:10" x14ac:dyDescent="0.25">
      <c r="A979" s="1">
        <v>45296</v>
      </c>
      <c r="B979" t="s">
        <v>55</v>
      </c>
      <c r="C979" t="s">
        <v>19</v>
      </c>
      <c r="D979" t="s">
        <v>12</v>
      </c>
      <c r="E979" t="s">
        <v>26</v>
      </c>
      <c r="F979" t="s">
        <v>27</v>
      </c>
      <c r="G979" t="s">
        <v>28</v>
      </c>
      <c r="H979">
        <v>9</v>
      </c>
      <c r="I979">
        <v>9783</v>
      </c>
      <c r="J979">
        <v>2347.4899999999998</v>
      </c>
    </row>
    <row r="980" spans="1:10" x14ac:dyDescent="0.25">
      <c r="A980" s="1">
        <v>44826</v>
      </c>
      <c r="B980" t="s">
        <v>40</v>
      </c>
      <c r="C980" t="s">
        <v>19</v>
      </c>
      <c r="D980" t="s">
        <v>12</v>
      </c>
      <c r="E980" t="s">
        <v>164</v>
      </c>
      <c r="F980" t="s">
        <v>94</v>
      </c>
      <c r="G980" t="s">
        <v>24</v>
      </c>
      <c r="H980">
        <v>4</v>
      </c>
      <c r="I980">
        <v>2432</v>
      </c>
      <c r="J980">
        <v>657.18</v>
      </c>
    </row>
    <row r="981" spans="1:10" x14ac:dyDescent="0.25">
      <c r="A981" s="1">
        <v>45099</v>
      </c>
      <c r="B981" t="s">
        <v>16</v>
      </c>
      <c r="C981" t="s">
        <v>17</v>
      </c>
      <c r="D981" t="s">
        <v>12</v>
      </c>
      <c r="E981" t="s">
        <v>164</v>
      </c>
      <c r="F981" t="s">
        <v>94</v>
      </c>
      <c r="G981" t="s">
        <v>24</v>
      </c>
      <c r="H981">
        <v>7</v>
      </c>
      <c r="I981">
        <v>4060</v>
      </c>
      <c r="J981">
        <v>291.42</v>
      </c>
    </row>
    <row r="982" spans="1:10" x14ac:dyDescent="0.25">
      <c r="A982" s="1">
        <v>45011</v>
      </c>
      <c r="B982" t="s">
        <v>32</v>
      </c>
      <c r="C982" t="s">
        <v>19</v>
      </c>
      <c r="D982" t="s">
        <v>12</v>
      </c>
      <c r="E982" t="s">
        <v>70</v>
      </c>
      <c r="F982" t="s">
        <v>71</v>
      </c>
      <c r="G982" t="s">
        <v>35</v>
      </c>
      <c r="H982">
        <v>1</v>
      </c>
      <c r="I982">
        <v>387</v>
      </c>
      <c r="J982">
        <v>99.59</v>
      </c>
    </row>
    <row r="983" spans="1:10" x14ac:dyDescent="0.25">
      <c r="A983" s="1">
        <v>45149</v>
      </c>
      <c r="B983" t="s">
        <v>32</v>
      </c>
      <c r="C983" t="s">
        <v>19</v>
      </c>
      <c r="D983" t="s">
        <v>12</v>
      </c>
      <c r="E983" t="s">
        <v>70</v>
      </c>
      <c r="F983" t="s">
        <v>71</v>
      </c>
      <c r="G983" t="s">
        <v>35</v>
      </c>
      <c r="H983">
        <v>3</v>
      </c>
      <c r="I983">
        <v>966</v>
      </c>
      <c r="J983">
        <v>120.56</v>
      </c>
    </row>
    <row r="984" spans="1:10" x14ac:dyDescent="0.25">
      <c r="A984" s="1">
        <v>45429</v>
      </c>
      <c r="B984" t="s">
        <v>18</v>
      </c>
      <c r="C984" t="s">
        <v>19</v>
      </c>
      <c r="D984" t="s">
        <v>12</v>
      </c>
      <c r="E984" t="s">
        <v>70</v>
      </c>
      <c r="F984" t="s">
        <v>71</v>
      </c>
      <c r="G984" t="s">
        <v>35</v>
      </c>
      <c r="H984">
        <v>3</v>
      </c>
      <c r="I984">
        <v>3366</v>
      </c>
      <c r="J984">
        <v>882.29</v>
      </c>
    </row>
    <row r="985" spans="1:10" x14ac:dyDescent="0.25">
      <c r="A985" s="1">
        <v>45473</v>
      </c>
      <c r="B985" t="s">
        <v>36</v>
      </c>
      <c r="C985" t="s">
        <v>17</v>
      </c>
      <c r="D985" t="s">
        <v>12</v>
      </c>
      <c r="E985" t="s">
        <v>70</v>
      </c>
      <c r="F985" t="s">
        <v>71</v>
      </c>
      <c r="G985" t="s">
        <v>35</v>
      </c>
      <c r="H985">
        <v>7</v>
      </c>
      <c r="I985">
        <v>7833</v>
      </c>
      <c r="J985">
        <v>1843.94</v>
      </c>
    </row>
    <row r="986" spans="1:10" x14ac:dyDescent="0.25">
      <c r="A986" s="1">
        <v>45025</v>
      </c>
      <c r="B986" t="s">
        <v>36</v>
      </c>
      <c r="C986" t="s">
        <v>17</v>
      </c>
      <c r="D986" t="s">
        <v>12</v>
      </c>
      <c r="E986" t="s">
        <v>268</v>
      </c>
      <c r="F986" t="s">
        <v>34</v>
      </c>
      <c r="G986" t="s">
        <v>35</v>
      </c>
      <c r="H986">
        <v>1</v>
      </c>
      <c r="I986">
        <v>610</v>
      </c>
      <c r="J986">
        <v>33.549999999999997</v>
      </c>
    </row>
    <row r="987" spans="1:10" x14ac:dyDescent="0.25">
      <c r="A987" s="1">
        <v>44709</v>
      </c>
      <c r="B987" t="s">
        <v>32</v>
      </c>
      <c r="C987" t="s">
        <v>19</v>
      </c>
      <c r="D987" t="s">
        <v>12</v>
      </c>
      <c r="E987" t="s">
        <v>321</v>
      </c>
      <c r="F987" t="s">
        <v>83</v>
      </c>
      <c r="G987" t="s">
        <v>28</v>
      </c>
      <c r="H987">
        <v>8</v>
      </c>
      <c r="I987">
        <v>4288</v>
      </c>
      <c r="J987">
        <v>597.09</v>
      </c>
    </row>
    <row r="988" spans="1:10" x14ac:dyDescent="0.25">
      <c r="A988" s="1">
        <v>44760</v>
      </c>
      <c r="B988" t="s">
        <v>10</v>
      </c>
      <c r="C988" t="s">
        <v>11</v>
      </c>
      <c r="D988" t="s">
        <v>12</v>
      </c>
      <c r="E988" t="s">
        <v>224</v>
      </c>
      <c r="F988" t="s">
        <v>34</v>
      </c>
      <c r="G988" t="s">
        <v>35</v>
      </c>
      <c r="H988">
        <v>9</v>
      </c>
      <c r="I988">
        <v>7740</v>
      </c>
      <c r="J988">
        <v>605.35</v>
      </c>
    </row>
    <row r="989" spans="1:10" x14ac:dyDescent="0.25">
      <c r="A989" s="1">
        <v>45524</v>
      </c>
      <c r="B989" t="s">
        <v>32</v>
      </c>
      <c r="C989" t="s">
        <v>19</v>
      </c>
      <c r="D989" t="s">
        <v>12</v>
      </c>
      <c r="E989" t="s">
        <v>56</v>
      </c>
      <c r="F989" t="s">
        <v>57</v>
      </c>
      <c r="G989" t="s">
        <v>24</v>
      </c>
      <c r="H989">
        <v>9</v>
      </c>
      <c r="I989">
        <v>3150</v>
      </c>
      <c r="J989">
        <v>457.13</v>
      </c>
    </row>
    <row r="990" spans="1:10" x14ac:dyDescent="0.25">
      <c r="A990" s="1">
        <v>45291</v>
      </c>
      <c r="B990" t="s">
        <v>49</v>
      </c>
      <c r="C990" t="s">
        <v>17</v>
      </c>
      <c r="D990" t="s">
        <v>12</v>
      </c>
      <c r="E990" t="s">
        <v>53</v>
      </c>
      <c r="F990" t="s">
        <v>44</v>
      </c>
      <c r="G990" t="s">
        <v>35</v>
      </c>
      <c r="H990">
        <v>2</v>
      </c>
      <c r="I990">
        <v>894</v>
      </c>
      <c r="J990">
        <v>224.75</v>
      </c>
    </row>
    <row r="991" spans="1:10" x14ac:dyDescent="0.25">
      <c r="A991" s="1">
        <v>44843</v>
      </c>
      <c r="B991" t="s">
        <v>55</v>
      </c>
      <c r="C991" t="s">
        <v>19</v>
      </c>
      <c r="D991" t="s">
        <v>12</v>
      </c>
      <c r="E991" t="s">
        <v>52</v>
      </c>
      <c r="F991" t="s">
        <v>42</v>
      </c>
      <c r="G991" t="s">
        <v>28</v>
      </c>
      <c r="H991">
        <v>8</v>
      </c>
      <c r="I991">
        <v>7544</v>
      </c>
      <c r="J991">
        <v>1219.73</v>
      </c>
    </row>
    <row r="992" spans="1:10" x14ac:dyDescent="0.25">
      <c r="A992" s="1">
        <v>45352</v>
      </c>
      <c r="B992" t="s">
        <v>49</v>
      </c>
      <c r="C992" t="s">
        <v>17</v>
      </c>
      <c r="D992" t="s">
        <v>12</v>
      </c>
      <c r="E992" t="s">
        <v>105</v>
      </c>
      <c r="F992" t="s">
        <v>23</v>
      </c>
      <c r="G992" t="s">
        <v>24</v>
      </c>
      <c r="H992">
        <v>8</v>
      </c>
      <c r="I992">
        <v>6360</v>
      </c>
      <c r="J992">
        <v>1871.88</v>
      </c>
    </row>
    <row r="993" spans="1:10" x14ac:dyDescent="0.25">
      <c r="A993" s="1">
        <v>44639</v>
      </c>
      <c r="B993" t="s">
        <v>40</v>
      </c>
      <c r="C993" t="s">
        <v>19</v>
      </c>
      <c r="D993" t="s">
        <v>12</v>
      </c>
      <c r="E993" t="s">
        <v>52</v>
      </c>
      <c r="F993" t="s">
        <v>42</v>
      </c>
      <c r="G993" t="s">
        <v>28</v>
      </c>
      <c r="H993">
        <v>4</v>
      </c>
      <c r="I993">
        <v>2428</v>
      </c>
      <c r="J993">
        <v>485.75</v>
      </c>
    </row>
    <row r="994" spans="1:10" x14ac:dyDescent="0.25">
      <c r="A994" s="1">
        <v>44839</v>
      </c>
      <c r="B994" t="s">
        <v>29</v>
      </c>
      <c r="C994" t="s">
        <v>17</v>
      </c>
      <c r="D994" t="s">
        <v>12</v>
      </c>
      <c r="E994" t="s">
        <v>116</v>
      </c>
      <c r="F994" t="s">
        <v>23</v>
      </c>
      <c r="G994" t="s">
        <v>24</v>
      </c>
      <c r="H994">
        <v>2</v>
      </c>
      <c r="I994">
        <v>574</v>
      </c>
      <c r="J994">
        <v>38.520000000000003</v>
      </c>
    </row>
    <row r="995" spans="1:10" x14ac:dyDescent="0.25">
      <c r="A995" s="1">
        <v>45041</v>
      </c>
      <c r="B995" t="s">
        <v>49</v>
      </c>
      <c r="C995" t="s">
        <v>17</v>
      </c>
      <c r="D995" t="s">
        <v>12</v>
      </c>
      <c r="E995" t="s">
        <v>74</v>
      </c>
      <c r="F995" t="s">
        <v>23</v>
      </c>
      <c r="G995" t="s">
        <v>24</v>
      </c>
      <c r="H995">
        <v>6</v>
      </c>
      <c r="I995">
        <v>6744</v>
      </c>
      <c r="J995">
        <v>660.47</v>
      </c>
    </row>
    <row r="996" spans="1:10" x14ac:dyDescent="0.25">
      <c r="A996" s="1">
        <v>45180</v>
      </c>
      <c r="B996" t="s">
        <v>29</v>
      </c>
      <c r="C996" t="s">
        <v>17</v>
      </c>
      <c r="D996" t="s">
        <v>12</v>
      </c>
      <c r="E996" t="s">
        <v>87</v>
      </c>
      <c r="F996" t="s">
        <v>46</v>
      </c>
      <c r="G996" t="s">
        <v>15</v>
      </c>
      <c r="H996">
        <v>6</v>
      </c>
      <c r="I996">
        <v>798</v>
      </c>
      <c r="J996">
        <v>213.4</v>
      </c>
    </row>
    <row r="997" spans="1:10" x14ac:dyDescent="0.25">
      <c r="A997" s="1">
        <v>44939</v>
      </c>
      <c r="B997" t="s">
        <v>10</v>
      </c>
      <c r="C997" t="s">
        <v>11</v>
      </c>
      <c r="D997" t="s">
        <v>12</v>
      </c>
      <c r="E997" t="s">
        <v>43</v>
      </c>
      <c r="F997" t="s">
        <v>44</v>
      </c>
      <c r="G997" t="s">
        <v>35</v>
      </c>
      <c r="H997">
        <v>5</v>
      </c>
      <c r="I997">
        <v>2860</v>
      </c>
      <c r="J997">
        <v>339</v>
      </c>
    </row>
    <row r="998" spans="1:10" x14ac:dyDescent="0.25">
      <c r="A998" s="1">
        <v>44654</v>
      </c>
      <c r="B998" t="s">
        <v>10</v>
      </c>
      <c r="C998" t="s">
        <v>11</v>
      </c>
      <c r="D998" t="s">
        <v>12</v>
      </c>
      <c r="E998" t="s">
        <v>322</v>
      </c>
      <c r="F998" t="s">
        <v>42</v>
      </c>
      <c r="G998" t="s">
        <v>28</v>
      </c>
      <c r="H998">
        <v>5</v>
      </c>
      <c r="I998">
        <v>5410</v>
      </c>
      <c r="J998">
        <v>1129.77</v>
      </c>
    </row>
    <row r="999" spans="1:10" x14ac:dyDescent="0.25">
      <c r="A999" s="1">
        <v>44983</v>
      </c>
      <c r="B999" t="s">
        <v>55</v>
      </c>
      <c r="C999" t="s">
        <v>19</v>
      </c>
      <c r="D999" t="s">
        <v>12</v>
      </c>
      <c r="E999" t="s">
        <v>37</v>
      </c>
      <c r="F999" t="s">
        <v>34</v>
      </c>
      <c r="G999" t="s">
        <v>35</v>
      </c>
      <c r="H999">
        <v>5</v>
      </c>
      <c r="I999">
        <v>4445</v>
      </c>
      <c r="J999">
        <v>580.15</v>
      </c>
    </row>
    <row r="1000" spans="1:10" x14ac:dyDescent="0.25">
      <c r="A1000" s="1">
        <v>45599</v>
      </c>
      <c r="B1000" t="s">
        <v>32</v>
      </c>
      <c r="C1000" t="s">
        <v>19</v>
      </c>
      <c r="D1000" t="s">
        <v>12</v>
      </c>
      <c r="E1000" t="s">
        <v>76</v>
      </c>
      <c r="F1000" t="s">
        <v>54</v>
      </c>
      <c r="G1000" t="s">
        <v>24</v>
      </c>
      <c r="H1000">
        <v>8</v>
      </c>
      <c r="I1000">
        <v>7536</v>
      </c>
      <c r="J1000">
        <v>1197.0899999999999</v>
      </c>
    </row>
    <row r="1001" spans="1:10" x14ac:dyDescent="0.25">
      <c r="A1001" s="1">
        <v>45195</v>
      </c>
      <c r="B1001" t="s">
        <v>36</v>
      </c>
      <c r="C1001" t="s">
        <v>17</v>
      </c>
      <c r="D1001" t="s">
        <v>12</v>
      </c>
      <c r="E1001" t="s">
        <v>76</v>
      </c>
      <c r="F1001" t="s">
        <v>54</v>
      </c>
      <c r="G1001" t="s">
        <v>24</v>
      </c>
      <c r="H1001">
        <v>7</v>
      </c>
      <c r="I1001">
        <v>4165</v>
      </c>
      <c r="J1001">
        <v>263.26</v>
      </c>
    </row>
    <row r="1002" spans="1:10" x14ac:dyDescent="0.25">
      <c r="A1002" s="1">
        <v>45341</v>
      </c>
      <c r="B1002" t="s">
        <v>55</v>
      </c>
      <c r="C1002" t="s">
        <v>19</v>
      </c>
      <c r="D1002" t="s">
        <v>12</v>
      </c>
      <c r="E1002" t="s">
        <v>76</v>
      </c>
      <c r="F1002" t="s">
        <v>54</v>
      </c>
      <c r="G1002" t="s">
        <v>24</v>
      </c>
      <c r="H1002">
        <v>3</v>
      </c>
      <c r="I1002">
        <v>3021</v>
      </c>
      <c r="J1002">
        <v>763.99</v>
      </c>
    </row>
    <row r="1003" spans="1:10" x14ac:dyDescent="0.25">
      <c r="A1003" s="1">
        <v>45411</v>
      </c>
      <c r="B1003" t="s">
        <v>49</v>
      </c>
      <c r="C1003" t="s">
        <v>17</v>
      </c>
      <c r="D1003" t="s">
        <v>12</v>
      </c>
      <c r="E1003" t="s">
        <v>76</v>
      </c>
      <c r="F1003" t="s">
        <v>54</v>
      </c>
      <c r="G1003" t="s">
        <v>24</v>
      </c>
      <c r="H1003">
        <v>2</v>
      </c>
      <c r="I1003">
        <v>310</v>
      </c>
      <c r="J1003">
        <v>70.66</v>
      </c>
    </row>
    <row r="1004" spans="1:10" x14ac:dyDescent="0.25">
      <c r="A1004" s="1">
        <v>45427</v>
      </c>
      <c r="B1004" t="s">
        <v>29</v>
      </c>
      <c r="C1004" t="s">
        <v>17</v>
      </c>
      <c r="D1004" t="s">
        <v>12</v>
      </c>
      <c r="E1004" t="s">
        <v>22</v>
      </c>
      <c r="F1004" t="s">
        <v>23</v>
      </c>
      <c r="G1004" t="s">
        <v>24</v>
      </c>
      <c r="H1004">
        <v>2</v>
      </c>
      <c r="I1004">
        <v>2170</v>
      </c>
      <c r="J1004">
        <v>522</v>
      </c>
    </row>
    <row r="1005" spans="1:10" x14ac:dyDescent="0.25">
      <c r="A1005" s="1">
        <v>45587</v>
      </c>
      <c r="B1005" t="s">
        <v>18</v>
      </c>
      <c r="C1005" t="s">
        <v>19</v>
      </c>
      <c r="D1005" t="s">
        <v>12</v>
      </c>
      <c r="E1005" t="s">
        <v>103</v>
      </c>
      <c r="F1005" t="s">
        <v>21</v>
      </c>
      <c r="G1005" t="s">
        <v>15</v>
      </c>
      <c r="H1005">
        <v>3</v>
      </c>
      <c r="I1005">
        <v>2832</v>
      </c>
      <c r="J1005">
        <v>317.76</v>
      </c>
    </row>
    <row r="1006" spans="1:10" x14ac:dyDescent="0.25">
      <c r="A1006" s="1">
        <v>44773</v>
      </c>
      <c r="B1006" t="s">
        <v>32</v>
      </c>
      <c r="C1006" t="s">
        <v>19</v>
      </c>
      <c r="D1006" t="s">
        <v>12</v>
      </c>
      <c r="E1006" t="s">
        <v>26</v>
      </c>
      <c r="F1006" t="s">
        <v>27</v>
      </c>
      <c r="G1006" t="s">
        <v>28</v>
      </c>
      <c r="H1006">
        <v>5</v>
      </c>
      <c r="I1006">
        <v>3945</v>
      </c>
      <c r="J1006">
        <v>392.09</v>
      </c>
    </row>
    <row r="1007" spans="1:10" x14ac:dyDescent="0.25">
      <c r="A1007" s="1">
        <v>44814</v>
      </c>
      <c r="B1007" t="s">
        <v>18</v>
      </c>
      <c r="C1007" t="s">
        <v>19</v>
      </c>
      <c r="D1007" t="s">
        <v>12</v>
      </c>
      <c r="E1007" t="s">
        <v>26</v>
      </c>
      <c r="F1007" t="s">
        <v>27</v>
      </c>
      <c r="G1007" t="s">
        <v>28</v>
      </c>
      <c r="H1007">
        <v>4</v>
      </c>
      <c r="I1007">
        <v>2104</v>
      </c>
      <c r="J1007">
        <v>308</v>
      </c>
    </row>
    <row r="1008" spans="1:10" x14ac:dyDescent="0.25">
      <c r="A1008" s="1">
        <v>44797</v>
      </c>
      <c r="B1008" t="s">
        <v>36</v>
      </c>
      <c r="C1008" t="s">
        <v>17</v>
      </c>
      <c r="D1008" t="s">
        <v>12</v>
      </c>
      <c r="E1008" t="s">
        <v>26</v>
      </c>
      <c r="F1008" t="s">
        <v>27</v>
      </c>
      <c r="G1008" t="s">
        <v>28</v>
      </c>
      <c r="H1008">
        <v>2</v>
      </c>
      <c r="I1008">
        <v>2060</v>
      </c>
      <c r="J1008">
        <v>517.64</v>
      </c>
    </row>
    <row r="1009" spans="1:10" x14ac:dyDescent="0.25">
      <c r="A1009" s="1">
        <v>45466</v>
      </c>
      <c r="B1009" t="s">
        <v>10</v>
      </c>
      <c r="C1009" t="s">
        <v>11</v>
      </c>
      <c r="D1009" t="s">
        <v>12</v>
      </c>
      <c r="E1009" t="s">
        <v>75</v>
      </c>
      <c r="F1009" t="s">
        <v>63</v>
      </c>
      <c r="G1009" t="s">
        <v>28</v>
      </c>
      <c r="H1009">
        <v>4</v>
      </c>
      <c r="I1009">
        <v>1060</v>
      </c>
      <c r="J1009">
        <v>155.78</v>
      </c>
    </row>
    <row r="1010" spans="1:10" x14ac:dyDescent="0.25">
      <c r="A1010" s="1">
        <v>44939</v>
      </c>
      <c r="B1010" t="s">
        <v>32</v>
      </c>
      <c r="C1010" t="s">
        <v>19</v>
      </c>
      <c r="D1010" t="s">
        <v>12</v>
      </c>
      <c r="E1010" t="s">
        <v>75</v>
      </c>
      <c r="F1010" t="s">
        <v>63</v>
      </c>
      <c r="G1010" t="s">
        <v>28</v>
      </c>
      <c r="H1010">
        <v>6</v>
      </c>
      <c r="I1010">
        <v>810</v>
      </c>
      <c r="J1010">
        <v>108.61</v>
      </c>
    </row>
    <row r="1011" spans="1:10" x14ac:dyDescent="0.25">
      <c r="A1011" s="1">
        <v>44827</v>
      </c>
      <c r="B1011" t="s">
        <v>55</v>
      </c>
      <c r="C1011" t="s">
        <v>19</v>
      </c>
      <c r="D1011" t="s">
        <v>12</v>
      </c>
      <c r="E1011" t="s">
        <v>13</v>
      </c>
      <c r="F1011" t="s">
        <v>14</v>
      </c>
      <c r="G1011" t="s">
        <v>15</v>
      </c>
      <c r="H1011">
        <v>3</v>
      </c>
      <c r="I1011">
        <v>873</v>
      </c>
      <c r="J1011">
        <v>57.42</v>
      </c>
    </row>
    <row r="1012" spans="1:10" x14ac:dyDescent="0.25">
      <c r="A1012" s="1">
        <v>44600</v>
      </c>
      <c r="B1012" t="s">
        <v>18</v>
      </c>
      <c r="C1012" t="s">
        <v>19</v>
      </c>
      <c r="D1012" t="s">
        <v>12</v>
      </c>
      <c r="E1012" t="s">
        <v>323</v>
      </c>
      <c r="F1012" t="s">
        <v>57</v>
      </c>
      <c r="G1012" t="s">
        <v>24</v>
      </c>
      <c r="H1012">
        <v>5</v>
      </c>
      <c r="I1012">
        <v>595</v>
      </c>
      <c r="J1012">
        <v>121.11</v>
      </c>
    </row>
    <row r="1013" spans="1:10" x14ac:dyDescent="0.25">
      <c r="A1013" s="1">
        <v>44913</v>
      </c>
      <c r="B1013" t="s">
        <v>55</v>
      </c>
      <c r="C1013" t="s">
        <v>19</v>
      </c>
      <c r="D1013" t="s">
        <v>12</v>
      </c>
      <c r="E1013" t="s">
        <v>184</v>
      </c>
      <c r="F1013" t="s">
        <v>23</v>
      </c>
      <c r="G1013" t="s">
        <v>24</v>
      </c>
      <c r="H1013">
        <v>2</v>
      </c>
      <c r="I1013">
        <v>1562</v>
      </c>
      <c r="J1013">
        <v>119.56</v>
      </c>
    </row>
    <row r="1014" spans="1:10" x14ac:dyDescent="0.25">
      <c r="A1014" s="1">
        <v>44586</v>
      </c>
      <c r="B1014" t="s">
        <v>32</v>
      </c>
      <c r="C1014" t="s">
        <v>19</v>
      </c>
      <c r="D1014" t="s">
        <v>12</v>
      </c>
      <c r="E1014" t="s">
        <v>184</v>
      </c>
      <c r="F1014" t="s">
        <v>23</v>
      </c>
      <c r="G1014" t="s">
        <v>24</v>
      </c>
      <c r="H1014">
        <v>9</v>
      </c>
      <c r="I1014">
        <v>5337</v>
      </c>
      <c r="J1014">
        <v>1575.99</v>
      </c>
    </row>
    <row r="1015" spans="1:10" x14ac:dyDescent="0.25">
      <c r="A1015" s="1">
        <v>44904</v>
      </c>
      <c r="B1015" t="s">
        <v>10</v>
      </c>
      <c r="C1015" t="s">
        <v>11</v>
      </c>
      <c r="D1015" t="s">
        <v>12</v>
      </c>
      <c r="E1015" t="s">
        <v>22</v>
      </c>
      <c r="F1015" t="s">
        <v>23</v>
      </c>
      <c r="G1015" t="s">
        <v>24</v>
      </c>
      <c r="H1015">
        <v>2</v>
      </c>
      <c r="I1015">
        <v>212</v>
      </c>
      <c r="J1015">
        <v>13.4</v>
      </c>
    </row>
    <row r="1016" spans="1:10" x14ac:dyDescent="0.25">
      <c r="A1016" s="1">
        <v>45091</v>
      </c>
      <c r="B1016" t="s">
        <v>10</v>
      </c>
      <c r="C1016" t="s">
        <v>11</v>
      </c>
      <c r="D1016" t="s">
        <v>12</v>
      </c>
      <c r="E1016" t="s">
        <v>22</v>
      </c>
      <c r="F1016" t="s">
        <v>23</v>
      </c>
      <c r="G1016" t="s">
        <v>24</v>
      </c>
      <c r="H1016">
        <v>8</v>
      </c>
      <c r="I1016">
        <v>2704</v>
      </c>
      <c r="J1016">
        <v>705.74</v>
      </c>
    </row>
    <row r="1017" spans="1:10" x14ac:dyDescent="0.25">
      <c r="A1017" s="1">
        <v>45443</v>
      </c>
      <c r="B1017" t="s">
        <v>55</v>
      </c>
      <c r="C1017" t="s">
        <v>19</v>
      </c>
      <c r="D1017" t="s">
        <v>12</v>
      </c>
      <c r="E1017" t="s">
        <v>56</v>
      </c>
      <c r="F1017" t="s">
        <v>57</v>
      </c>
      <c r="G1017" t="s">
        <v>24</v>
      </c>
      <c r="H1017">
        <v>5</v>
      </c>
      <c r="I1017">
        <v>3225</v>
      </c>
      <c r="J1017">
        <v>523.32000000000005</v>
      </c>
    </row>
    <row r="1018" spans="1:10" x14ac:dyDescent="0.25">
      <c r="A1018" s="1">
        <v>45145</v>
      </c>
      <c r="B1018" t="s">
        <v>36</v>
      </c>
      <c r="C1018" t="s">
        <v>17</v>
      </c>
      <c r="D1018" t="s">
        <v>12</v>
      </c>
      <c r="E1018" t="s">
        <v>13</v>
      </c>
      <c r="F1018" t="s">
        <v>14</v>
      </c>
      <c r="G1018" t="s">
        <v>15</v>
      </c>
      <c r="H1018">
        <v>2</v>
      </c>
      <c r="I1018">
        <v>1342</v>
      </c>
      <c r="J1018">
        <v>184.59</v>
      </c>
    </row>
    <row r="1019" spans="1:10" x14ac:dyDescent="0.25">
      <c r="A1019" s="1">
        <v>44755</v>
      </c>
      <c r="B1019" t="s">
        <v>16</v>
      </c>
      <c r="C1019" t="s">
        <v>17</v>
      </c>
      <c r="D1019" t="s">
        <v>12</v>
      </c>
      <c r="E1019" t="s">
        <v>324</v>
      </c>
      <c r="F1019" t="s">
        <v>108</v>
      </c>
      <c r="G1019" t="s">
        <v>15</v>
      </c>
      <c r="H1019">
        <v>7</v>
      </c>
      <c r="I1019">
        <v>3395</v>
      </c>
      <c r="J1019">
        <v>1012.78</v>
      </c>
    </row>
    <row r="1020" spans="1:10" x14ac:dyDescent="0.25">
      <c r="A1020" s="1">
        <v>45627</v>
      </c>
      <c r="B1020" t="s">
        <v>32</v>
      </c>
      <c r="C1020" t="s">
        <v>19</v>
      </c>
      <c r="D1020" t="s">
        <v>12</v>
      </c>
      <c r="E1020" t="s">
        <v>325</v>
      </c>
      <c r="F1020" t="s">
        <v>63</v>
      </c>
      <c r="G1020" t="s">
        <v>28</v>
      </c>
      <c r="H1020">
        <v>4</v>
      </c>
      <c r="I1020">
        <v>3968</v>
      </c>
      <c r="J1020">
        <v>480.72</v>
      </c>
    </row>
    <row r="1021" spans="1:10" x14ac:dyDescent="0.25">
      <c r="A1021" s="1">
        <v>45394</v>
      </c>
      <c r="B1021" t="s">
        <v>40</v>
      </c>
      <c r="C1021" t="s">
        <v>19</v>
      </c>
      <c r="D1021" t="s">
        <v>12</v>
      </c>
      <c r="E1021" t="s">
        <v>37</v>
      </c>
      <c r="F1021" t="s">
        <v>34</v>
      </c>
      <c r="G1021" t="s">
        <v>35</v>
      </c>
      <c r="H1021">
        <v>5</v>
      </c>
      <c r="I1021">
        <v>4555</v>
      </c>
      <c r="J1021">
        <v>776.65</v>
      </c>
    </row>
    <row r="1022" spans="1:10" x14ac:dyDescent="0.25">
      <c r="A1022" s="1">
        <v>44618</v>
      </c>
      <c r="B1022" t="s">
        <v>18</v>
      </c>
      <c r="C1022" t="s">
        <v>19</v>
      </c>
      <c r="D1022" t="s">
        <v>12</v>
      </c>
      <c r="E1022" t="s">
        <v>326</v>
      </c>
      <c r="F1022" t="s">
        <v>34</v>
      </c>
      <c r="G1022" t="s">
        <v>35</v>
      </c>
      <c r="H1022">
        <v>2</v>
      </c>
      <c r="I1022">
        <v>2132</v>
      </c>
      <c r="J1022">
        <v>365.44</v>
      </c>
    </row>
    <row r="1023" spans="1:10" x14ac:dyDescent="0.25">
      <c r="A1023" s="1">
        <v>44651</v>
      </c>
      <c r="B1023" t="s">
        <v>16</v>
      </c>
      <c r="C1023" t="s">
        <v>17</v>
      </c>
      <c r="D1023" t="s">
        <v>12</v>
      </c>
      <c r="E1023" t="s">
        <v>327</v>
      </c>
      <c r="F1023" t="s">
        <v>156</v>
      </c>
      <c r="G1023" t="s">
        <v>28</v>
      </c>
      <c r="H1023">
        <v>6</v>
      </c>
      <c r="I1023">
        <v>6516</v>
      </c>
      <c r="J1023">
        <v>842.83</v>
      </c>
    </row>
    <row r="1024" spans="1:10" x14ac:dyDescent="0.25">
      <c r="A1024" s="1">
        <v>45155</v>
      </c>
      <c r="B1024" t="s">
        <v>32</v>
      </c>
      <c r="C1024" t="s">
        <v>19</v>
      </c>
      <c r="D1024" t="s">
        <v>12</v>
      </c>
      <c r="E1024" t="s">
        <v>43</v>
      </c>
      <c r="F1024" t="s">
        <v>44</v>
      </c>
      <c r="G1024" t="s">
        <v>35</v>
      </c>
      <c r="H1024">
        <v>2</v>
      </c>
      <c r="I1024">
        <v>2040</v>
      </c>
      <c r="J1024">
        <v>481.15</v>
      </c>
    </row>
    <row r="1025" spans="1:10" x14ac:dyDescent="0.25">
      <c r="A1025" s="1">
        <v>45558</v>
      </c>
      <c r="B1025" t="s">
        <v>16</v>
      </c>
      <c r="C1025" t="s">
        <v>17</v>
      </c>
      <c r="D1025" t="s">
        <v>12</v>
      </c>
      <c r="E1025" t="s">
        <v>195</v>
      </c>
      <c r="F1025" t="s">
        <v>83</v>
      </c>
      <c r="G1025" t="s">
        <v>28</v>
      </c>
      <c r="H1025">
        <v>6</v>
      </c>
      <c r="I1025">
        <v>6126</v>
      </c>
      <c r="J1025">
        <v>428.38</v>
      </c>
    </row>
    <row r="1026" spans="1:10" x14ac:dyDescent="0.25">
      <c r="A1026" s="1">
        <v>44815</v>
      </c>
      <c r="B1026" t="s">
        <v>32</v>
      </c>
      <c r="C1026" t="s">
        <v>19</v>
      </c>
      <c r="D1026" t="s">
        <v>12</v>
      </c>
      <c r="E1026" t="s">
        <v>74</v>
      </c>
      <c r="F1026" t="s">
        <v>23</v>
      </c>
      <c r="G1026" t="s">
        <v>24</v>
      </c>
      <c r="H1026">
        <v>8</v>
      </c>
      <c r="I1026">
        <v>520</v>
      </c>
      <c r="J1026">
        <v>30.58</v>
      </c>
    </row>
    <row r="1027" spans="1:10" x14ac:dyDescent="0.25">
      <c r="A1027" s="1">
        <v>44927</v>
      </c>
      <c r="B1027" t="s">
        <v>25</v>
      </c>
      <c r="C1027" t="s">
        <v>19</v>
      </c>
      <c r="D1027" t="s">
        <v>12</v>
      </c>
      <c r="E1027" t="s">
        <v>58</v>
      </c>
      <c r="F1027" t="s">
        <v>59</v>
      </c>
      <c r="G1027" t="s">
        <v>28</v>
      </c>
      <c r="H1027">
        <v>5</v>
      </c>
      <c r="I1027">
        <v>4470</v>
      </c>
      <c r="J1027">
        <v>526.96</v>
      </c>
    </row>
    <row r="1028" spans="1:10" x14ac:dyDescent="0.25">
      <c r="A1028" s="1">
        <v>45485</v>
      </c>
      <c r="B1028" t="s">
        <v>32</v>
      </c>
      <c r="C1028" t="s">
        <v>19</v>
      </c>
      <c r="D1028" t="s">
        <v>12</v>
      </c>
      <c r="E1028" t="s">
        <v>58</v>
      </c>
      <c r="F1028" t="s">
        <v>59</v>
      </c>
      <c r="G1028" t="s">
        <v>28</v>
      </c>
      <c r="H1028">
        <v>8</v>
      </c>
      <c r="I1028">
        <v>5504</v>
      </c>
      <c r="J1028">
        <v>1196.78</v>
      </c>
    </row>
    <row r="1029" spans="1:10" x14ac:dyDescent="0.25">
      <c r="A1029" s="1">
        <v>44572</v>
      </c>
      <c r="B1029" t="s">
        <v>29</v>
      </c>
      <c r="C1029" t="s">
        <v>17</v>
      </c>
      <c r="D1029" t="s">
        <v>12</v>
      </c>
      <c r="E1029" t="s">
        <v>22</v>
      </c>
      <c r="F1029" t="s">
        <v>23</v>
      </c>
      <c r="G1029" t="s">
        <v>24</v>
      </c>
      <c r="H1029">
        <v>4</v>
      </c>
      <c r="I1029">
        <v>3036</v>
      </c>
      <c r="J1029">
        <v>511.69</v>
      </c>
    </row>
    <row r="1030" spans="1:10" x14ac:dyDescent="0.25">
      <c r="A1030" s="1">
        <v>45570</v>
      </c>
      <c r="B1030" t="s">
        <v>32</v>
      </c>
      <c r="C1030" t="s">
        <v>19</v>
      </c>
      <c r="D1030" t="s">
        <v>12</v>
      </c>
      <c r="E1030" t="s">
        <v>172</v>
      </c>
      <c r="F1030" t="s">
        <v>173</v>
      </c>
      <c r="G1030" t="s">
        <v>24</v>
      </c>
      <c r="H1030">
        <v>5</v>
      </c>
      <c r="I1030">
        <v>2725</v>
      </c>
      <c r="J1030">
        <v>308.29000000000002</v>
      </c>
    </row>
    <row r="1031" spans="1:10" x14ac:dyDescent="0.25">
      <c r="A1031" s="1">
        <v>45551</v>
      </c>
      <c r="B1031" t="s">
        <v>10</v>
      </c>
      <c r="C1031" t="s">
        <v>11</v>
      </c>
      <c r="D1031" t="s">
        <v>12</v>
      </c>
      <c r="E1031" t="s">
        <v>56</v>
      </c>
      <c r="F1031" t="s">
        <v>57</v>
      </c>
      <c r="G1031" t="s">
        <v>24</v>
      </c>
      <c r="H1031">
        <v>8</v>
      </c>
      <c r="I1031">
        <v>4080</v>
      </c>
      <c r="J1031">
        <v>336.96</v>
      </c>
    </row>
    <row r="1032" spans="1:10" x14ac:dyDescent="0.25">
      <c r="A1032" s="1">
        <v>45435</v>
      </c>
      <c r="B1032" t="s">
        <v>49</v>
      </c>
      <c r="C1032" t="s">
        <v>17</v>
      </c>
      <c r="D1032" t="s">
        <v>12</v>
      </c>
      <c r="E1032" t="s">
        <v>199</v>
      </c>
      <c r="F1032" t="s">
        <v>200</v>
      </c>
      <c r="G1032" t="s">
        <v>28</v>
      </c>
      <c r="H1032">
        <v>8</v>
      </c>
      <c r="I1032">
        <v>3080</v>
      </c>
      <c r="J1032">
        <v>776.6</v>
      </c>
    </row>
    <row r="1033" spans="1:10" x14ac:dyDescent="0.25">
      <c r="A1033" s="1">
        <v>45085</v>
      </c>
      <c r="B1033" t="s">
        <v>32</v>
      </c>
      <c r="C1033" t="s">
        <v>19</v>
      </c>
      <c r="D1033" t="s">
        <v>12</v>
      </c>
      <c r="E1033" t="s">
        <v>103</v>
      </c>
      <c r="F1033" t="s">
        <v>21</v>
      </c>
      <c r="G1033" t="s">
        <v>15</v>
      </c>
      <c r="H1033">
        <v>5</v>
      </c>
      <c r="I1033">
        <v>1525</v>
      </c>
      <c r="J1033">
        <v>413.75</v>
      </c>
    </row>
    <row r="1034" spans="1:10" x14ac:dyDescent="0.25">
      <c r="A1034" s="1">
        <v>44758</v>
      </c>
      <c r="B1034" t="s">
        <v>36</v>
      </c>
      <c r="C1034" t="s">
        <v>17</v>
      </c>
      <c r="D1034" t="s">
        <v>12</v>
      </c>
      <c r="E1034" t="s">
        <v>103</v>
      </c>
      <c r="F1034" t="s">
        <v>21</v>
      </c>
      <c r="G1034" t="s">
        <v>15</v>
      </c>
      <c r="H1034">
        <v>4</v>
      </c>
      <c r="I1034">
        <v>1332</v>
      </c>
      <c r="J1034">
        <v>342.85</v>
      </c>
    </row>
    <row r="1035" spans="1:10" x14ac:dyDescent="0.25">
      <c r="A1035" s="1">
        <v>45131</v>
      </c>
      <c r="B1035" t="s">
        <v>40</v>
      </c>
      <c r="C1035" t="s">
        <v>19</v>
      </c>
      <c r="D1035" t="s">
        <v>12</v>
      </c>
      <c r="E1035" t="s">
        <v>76</v>
      </c>
      <c r="F1035" t="s">
        <v>54</v>
      </c>
      <c r="G1035" t="s">
        <v>24</v>
      </c>
      <c r="H1035">
        <v>7</v>
      </c>
      <c r="I1035">
        <v>4669</v>
      </c>
      <c r="J1035">
        <v>803.21</v>
      </c>
    </row>
    <row r="1036" spans="1:10" x14ac:dyDescent="0.25">
      <c r="A1036" s="1">
        <v>44632</v>
      </c>
      <c r="B1036" t="s">
        <v>32</v>
      </c>
      <c r="C1036" t="s">
        <v>19</v>
      </c>
      <c r="D1036" t="s">
        <v>12</v>
      </c>
      <c r="E1036" t="s">
        <v>45</v>
      </c>
      <c r="F1036" t="s">
        <v>46</v>
      </c>
      <c r="G1036" t="s">
        <v>15</v>
      </c>
      <c r="H1036">
        <v>6</v>
      </c>
      <c r="I1036">
        <v>5310</v>
      </c>
      <c r="J1036">
        <v>1099.8399999999999</v>
      </c>
    </row>
    <row r="1037" spans="1:10" x14ac:dyDescent="0.25">
      <c r="A1037" s="1">
        <v>44938</v>
      </c>
      <c r="B1037" t="s">
        <v>25</v>
      </c>
      <c r="C1037" t="s">
        <v>19</v>
      </c>
      <c r="D1037" t="s">
        <v>12</v>
      </c>
      <c r="E1037" t="s">
        <v>93</v>
      </c>
      <c r="F1037" t="s">
        <v>94</v>
      </c>
      <c r="G1037" t="s">
        <v>24</v>
      </c>
      <c r="H1037">
        <v>8</v>
      </c>
      <c r="I1037">
        <v>9392</v>
      </c>
      <c r="J1037">
        <v>2651.84</v>
      </c>
    </row>
    <row r="1038" spans="1:10" x14ac:dyDescent="0.25">
      <c r="A1038" s="1">
        <v>44868</v>
      </c>
      <c r="B1038" t="s">
        <v>36</v>
      </c>
      <c r="C1038" t="s">
        <v>17</v>
      </c>
      <c r="D1038" t="s">
        <v>12</v>
      </c>
      <c r="E1038" t="s">
        <v>289</v>
      </c>
      <c r="F1038" t="s">
        <v>63</v>
      </c>
      <c r="G1038" t="s">
        <v>28</v>
      </c>
      <c r="H1038">
        <v>5</v>
      </c>
      <c r="I1038">
        <v>1350</v>
      </c>
      <c r="J1038">
        <v>198.19</v>
      </c>
    </row>
    <row r="1039" spans="1:10" x14ac:dyDescent="0.25">
      <c r="A1039" s="1">
        <v>45365</v>
      </c>
      <c r="B1039" t="s">
        <v>36</v>
      </c>
      <c r="C1039" t="s">
        <v>17</v>
      </c>
      <c r="D1039" t="s">
        <v>12</v>
      </c>
      <c r="E1039" t="s">
        <v>22</v>
      </c>
      <c r="F1039" t="s">
        <v>23</v>
      </c>
      <c r="G1039" t="s">
        <v>24</v>
      </c>
      <c r="H1039">
        <v>4</v>
      </c>
      <c r="I1039">
        <v>3648</v>
      </c>
      <c r="J1039">
        <v>768.61</v>
      </c>
    </row>
    <row r="1040" spans="1:10" x14ac:dyDescent="0.25">
      <c r="A1040" s="1">
        <v>45134</v>
      </c>
      <c r="B1040" t="s">
        <v>10</v>
      </c>
      <c r="C1040" t="s">
        <v>11</v>
      </c>
      <c r="D1040" t="s">
        <v>12</v>
      </c>
      <c r="E1040" t="s">
        <v>105</v>
      </c>
      <c r="F1040" t="s">
        <v>23</v>
      </c>
      <c r="G1040" t="s">
        <v>24</v>
      </c>
      <c r="H1040">
        <v>2</v>
      </c>
      <c r="I1040">
        <v>300</v>
      </c>
      <c r="J1040">
        <v>47.59</v>
      </c>
    </row>
    <row r="1041" spans="1:10" x14ac:dyDescent="0.25">
      <c r="A1041" s="1">
        <v>44787</v>
      </c>
      <c r="B1041" t="s">
        <v>40</v>
      </c>
      <c r="C1041" t="s">
        <v>19</v>
      </c>
      <c r="D1041" t="s">
        <v>12</v>
      </c>
      <c r="E1041" t="s">
        <v>328</v>
      </c>
      <c r="F1041" t="s">
        <v>191</v>
      </c>
      <c r="G1041" t="s">
        <v>35</v>
      </c>
      <c r="H1041">
        <v>3</v>
      </c>
      <c r="I1041">
        <v>3408</v>
      </c>
      <c r="J1041">
        <v>727.26</v>
      </c>
    </row>
    <row r="1042" spans="1:10" x14ac:dyDescent="0.25">
      <c r="A1042" s="1">
        <v>45613</v>
      </c>
      <c r="B1042" t="s">
        <v>49</v>
      </c>
      <c r="C1042" t="s">
        <v>17</v>
      </c>
      <c r="D1042" t="s">
        <v>12</v>
      </c>
      <c r="E1042" t="s">
        <v>170</v>
      </c>
      <c r="F1042" t="s">
        <v>78</v>
      </c>
      <c r="G1042" t="s">
        <v>28</v>
      </c>
      <c r="H1042">
        <v>9</v>
      </c>
      <c r="I1042">
        <v>4302</v>
      </c>
      <c r="J1042">
        <v>475.96</v>
      </c>
    </row>
    <row r="1043" spans="1:10" x14ac:dyDescent="0.25">
      <c r="A1043" s="1">
        <v>45425</v>
      </c>
      <c r="B1043" t="s">
        <v>49</v>
      </c>
      <c r="C1043" t="s">
        <v>17</v>
      </c>
      <c r="D1043" t="s">
        <v>12</v>
      </c>
      <c r="E1043" t="s">
        <v>136</v>
      </c>
      <c r="F1043" t="s">
        <v>65</v>
      </c>
      <c r="G1043" t="s">
        <v>35</v>
      </c>
      <c r="H1043">
        <v>5</v>
      </c>
      <c r="I1043">
        <v>4575</v>
      </c>
      <c r="J1043">
        <v>771.24</v>
      </c>
    </row>
    <row r="1044" spans="1:10" x14ac:dyDescent="0.25">
      <c r="A1044" s="1">
        <v>44855</v>
      </c>
      <c r="B1044" t="s">
        <v>55</v>
      </c>
      <c r="C1044" t="s">
        <v>19</v>
      </c>
      <c r="D1044" t="s">
        <v>12</v>
      </c>
      <c r="E1044" t="s">
        <v>56</v>
      </c>
      <c r="F1044" t="s">
        <v>57</v>
      </c>
      <c r="G1044" t="s">
        <v>24</v>
      </c>
      <c r="H1044">
        <v>8</v>
      </c>
      <c r="I1044">
        <v>9304</v>
      </c>
      <c r="J1044">
        <v>1855.7</v>
      </c>
    </row>
    <row r="1045" spans="1:10" x14ac:dyDescent="0.25">
      <c r="A1045" s="1">
        <v>45397</v>
      </c>
      <c r="B1045" t="s">
        <v>36</v>
      </c>
      <c r="C1045" t="s">
        <v>17</v>
      </c>
      <c r="D1045" t="s">
        <v>12</v>
      </c>
      <c r="E1045" t="s">
        <v>58</v>
      </c>
      <c r="F1045" t="s">
        <v>59</v>
      </c>
      <c r="G1045" t="s">
        <v>28</v>
      </c>
      <c r="H1045">
        <v>4</v>
      </c>
      <c r="I1045">
        <v>1928</v>
      </c>
      <c r="J1045">
        <v>232.48</v>
      </c>
    </row>
    <row r="1046" spans="1:10" x14ac:dyDescent="0.25">
      <c r="A1046" s="1">
        <v>44943</v>
      </c>
      <c r="B1046" t="s">
        <v>10</v>
      </c>
      <c r="C1046" t="s">
        <v>11</v>
      </c>
      <c r="D1046" t="s">
        <v>12</v>
      </c>
      <c r="E1046" t="s">
        <v>22</v>
      </c>
      <c r="F1046" t="s">
        <v>23</v>
      </c>
      <c r="G1046" t="s">
        <v>24</v>
      </c>
      <c r="H1046">
        <v>2</v>
      </c>
      <c r="I1046">
        <v>1042</v>
      </c>
      <c r="J1046">
        <v>86.24</v>
      </c>
    </row>
    <row r="1047" spans="1:10" x14ac:dyDescent="0.25">
      <c r="A1047" s="1">
        <v>45258</v>
      </c>
      <c r="B1047" t="s">
        <v>18</v>
      </c>
      <c r="C1047" t="s">
        <v>19</v>
      </c>
      <c r="D1047" t="s">
        <v>12</v>
      </c>
      <c r="E1047" t="s">
        <v>210</v>
      </c>
      <c r="F1047" t="s">
        <v>34</v>
      </c>
      <c r="G1047" t="s">
        <v>35</v>
      </c>
      <c r="H1047">
        <v>3</v>
      </c>
      <c r="I1047">
        <v>2214</v>
      </c>
      <c r="J1047">
        <v>507.7</v>
      </c>
    </row>
    <row r="1048" spans="1:10" x14ac:dyDescent="0.25">
      <c r="A1048" s="1">
        <v>45415</v>
      </c>
      <c r="B1048" t="s">
        <v>49</v>
      </c>
      <c r="C1048" t="s">
        <v>17</v>
      </c>
      <c r="D1048" t="s">
        <v>12</v>
      </c>
      <c r="E1048" t="s">
        <v>50</v>
      </c>
      <c r="F1048" t="s">
        <v>51</v>
      </c>
      <c r="G1048" t="s">
        <v>35</v>
      </c>
      <c r="H1048">
        <v>4</v>
      </c>
      <c r="I1048">
        <v>3024</v>
      </c>
      <c r="J1048">
        <v>678.26</v>
      </c>
    </row>
    <row r="1049" spans="1:10" x14ac:dyDescent="0.25">
      <c r="A1049" s="1">
        <v>45149</v>
      </c>
      <c r="B1049" t="s">
        <v>25</v>
      </c>
      <c r="C1049" t="s">
        <v>19</v>
      </c>
      <c r="D1049" t="s">
        <v>12</v>
      </c>
      <c r="E1049" t="s">
        <v>329</v>
      </c>
      <c r="F1049" t="s">
        <v>149</v>
      </c>
      <c r="G1049" t="s">
        <v>15</v>
      </c>
      <c r="H1049">
        <v>2</v>
      </c>
      <c r="I1049">
        <v>1104</v>
      </c>
      <c r="J1049">
        <v>173.01</v>
      </c>
    </row>
    <row r="1050" spans="1:10" x14ac:dyDescent="0.25">
      <c r="A1050" s="1">
        <v>44768</v>
      </c>
      <c r="B1050" t="s">
        <v>16</v>
      </c>
      <c r="C1050" t="s">
        <v>17</v>
      </c>
      <c r="D1050" t="s">
        <v>12</v>
      </c>
      <c r="E1050" t="s">
        <v>119</v>
      </c>
      <c r="F1050" t="s">
        <v>71</v>
      </c>
      <c r="G1050" t="s">
        <v>35</v>
      </c>
      <c r="H1050">
        <v>8</v>
      </c>
      <c r="I1050">
        <v>6056</v>
      </c>
      <c r="J1050">
        <v>1631.71</v>
      </c>
    </row>
    <row r="1051" spans="1:10" x14ac:dyDescent="0.25">
      <c r="A1051" s="1">
        <v>44964</v>
      </c>
      <c r="B1051" t="s">
        <v>16</v>
      </c>
      <c r="C1051" t="s">
        <v>17</v>
      </c>
      <c r="D1051" t="s">
        <v>12</v>
      </c>
      <c r="E1051" t="s">
        <v>37</v>
      </c>
      <c r="F1051" t="s">
        <v>34</v>
      </c>
      <c r="G1051" t="s">
        <v>35</v>
      </c>
      <c r="H1051">
        <v>5</v>
      </c>
      <c r="I1051">
        <v>5295</v>
      </c>
      <c r="J1051">
        <v>1375.98</v>
      </c>
    </row>
    <row r="1052" spans="1:10" x14ac:dyDescent="0.25">
      <c r="A1052" s="1">
        <v>44580</v>
      </c>
      <c r="B1052" t="s">
        <v>40</v>
      </c>
      <c r="C1052" t="s">
        <v>19</v>
      </c>
      <c r="D1052" t="s">
        <v>12</v>
      </c>
      <c r="E1052" t="s">
        <v>37</v>
      </c>
      <c r="F1052" t="s">
        <v>34</v>
      </c>
      <c r="G1052" t="s">
        <v>35</v>
      </c>
      <c r="H1052">
        <v>4</v>
      </c>
      <c r="I1052">
        <v>3668</v>
      </c>
      <c r="J1052">
        <v>839.4</v>
      </c>
    </row>
    <row r="1053" spans="1:10" x14ac:dyDescent="0.25">
      <c r="A1053" s="1">
        <v>45107</v>
      </c>
      <c r="B1053" t="s">
        <v>10</v>
      </c>
      <c r="C1053" t="s">
        <v>11</v>
      </c>
      <c r="D1053" t="s">
        <v>12</v>
      </c>
      <c r="E1053" t="s">
        <v>74</v>
      </c>
      <c r="F1053" t="s">
        <v>23</v>
      </c>
      <c r="G1053" t="s">
        <v>24</v>
      </c>
      <c r="H1053">
        <v>9</v>
      </c>
      <c r="I1053">
        <v>4293</v>
      </c>
      <c r="J1053">
        <v>295.47000000000003</v>
      </c>
    </row>
    <row r="1054" spans="1:10" x14ac:dyDescent="0.25">
      <c r="A1054" s="1">
        <v>44792</v>
      </c>
      <c r="B1054" t="s">
        <v>16</v>
      </c>
      <c r="C1054" t="s">
        <v>17</v>
      </c>
      <c r="D1054" t="s">
        <v>12</v>
      </c>
      <c r="E1054" t="s">
        <v>43</v>
      </c>
      <c r="F1054" t="s">
        <v>44</v>
      </c>
      <c r="G1054" t="s">
        <v>35</v>
      </c>
      <c r="H1054">
        <v>7</v>
      </c>
      <c r="I1054">
        <v>5789</v>
      </c>
      <c r="J1054">
        <v>950.45</v>
      </c>
    </row>
    <row r="1055" spans="1:10" x14ac:dyDescent="0.25">
      <c r="A1055" s="1">
        <v>45165</v>
      </c>
      <c r="B1055" t="s">
        <v>32</v>
      </c>
      <c r="C1055" t="s">
        <v>19</v>
      </c>
      <c r="D1055" t="s">
        <v>12</v>
      </c>
      <c r="E1055" t="s">
        <v>43</v>
      </c>
      <c r="F1055" t="s">
        <v>44</v>
      </c>
      <c r="G1055" t="s">
        <v>35</v>
      </c>
      <c r="H1055">
        <v>6</v>
      </c>
      <c r="I1055">
        <v>4440</v>
      </c>
      <c r="J1055">
        <v>800.92</v>
      </c>
    </row>
    <row r="1056" spans="1:10" x14ac:dyDescent="0.25">
      <c r="A1056" s="1">
        <v>44630</v>
      </c>
      <c r="B1056" t="s">
        <v>10</v>
      </c>
      <c r="C1056" t="s">
        <v>11</v>
      </c>
      <c r="D1056" t="s">
        <v>12</v>
      </c>
      <c r="E1056" t="s">
        <v>330</v>
      </c>
      <c r="F1056" t="s">
        <v>21</v>
      </c>
      <c r="G1056" t="s">
        <v>15</v>
      </c>
      <c r="H1056">
        <v>5</v>
      </c>
      <c r="I1056">
        <v>5515</v>
      </c>
      <c r="J1056">
        <v>330.02</v>
      </c>
    </row>
    <row r="1057" spans="1:10" x14ac:dyDescent="0.25">
      <c r="A1057" s="1">
        <v>45577</v>
      </c>
      <c r="B1057" t="s">
        <v>25</v>
      </c>
      <c r="C1057" t="s">
        <v>19</v>
      </c>
      <c r="D1057" t="s">
        <v>12</v>
      </c>
      <c r="E1057" t="s">
        <v>43</v>
      </c>
      <c r="F1057" t="s">
        <v>44</v>
      </c>
      <c r="G1057" t="s">
        <v>35</v>
      </c>
      <c r="H1057">
        <v>4</v>
      </c>
      <c r="I1057">
        <v>784</v>
      </c>
      <c r="J1057">
        <v>192.77</v>
      </c>
    </row>
    <row r="1058" spans="1:10" x14ac:dyDescent="0.25">
      <c r="A1058" s="1">
        <v>45458</v>
      </c>
      <c r="B1058" t="s">
        <v>55</v>
      </c>
      <c r="C1058" t="s">
        <v>19</v>
      </c>
      <c r="D1058" t="s">
        <v>12</v>
      </c>
      <c r="E1058" t="s">
        <v>52</v>
      </c>
      <c r="F1058" t="s">
        <v>42</v>
      </c>
      <c r="G1058" t="s">
        <v>28</v>
      </c>
      <c r="H1058">
        <v>4</v>
      </c>
      <c r="I1058">
        <v>576</v>
      </c>
      <c r="J1058">
        <v>156.59</v>
      </c>
    </row>
    <row r="1059" spans="1:10" x14ac:dyDescent="0.25">
      <c r="A1059" s="1">
        <v>45544</v>
      </c>
      <c r="B1059" t="s">
        <v>32</v>
      </c>
      <c r="C1059" t="s">
        <v>19</v>
      </c>
      <c r="D1059" t="s">
        <v>12</v>
      </c>
      <c r="E1059" t="s">
        <v>331</v>
      </c>
      <c r="F1059" t="s">
        <v>23</v>
      </c>
      <c r="G1059" t="s">
        <v>24</v>
      </c>
      <c r="H1059">
        <v>5</v>
      </c>
      <c r="I1059">
        <v>705</v>
      </c>
      <c r="J1059">
        <v>198.62</v>
      </c>
    </row>
    <row r="1060" spans="1:10" x14ac:dyDescent="0.25">
      <c r="A1060" s="1">
        <v>45193</v>
      </c>
      <c r="B1060" t="s">
        <v>49</v>
      </c>
      <c r="C1060" t="s">
        <v>17</v>
      </c>
      <c r="D1060" t="s">
        <v>12</v>
      </c>
      <c r="E1060" t="s">
        <v>328</v>
      </c>
      <c r="F1060" t="s">
        <v>191</v>
      </c>
      <c r="G1060" t="s">
        <v>35</v>
      </c>
      <c r="H1060">
        <v>6</v>
      </c>
      <c r="I1060">
        <v>4458</v>
      </c>
      <c r="J1060">
        <v>1215.3</v>
      </c>
    </row>
    <row r="1061" spans="1:10" x14ac:dyDescent="0.25">
      <c r="A1061" s="1">
        <v>44798</v>
      </c>
      <c r="B1061" t="s">
        <v>40</v>
      </c>
      <c r="C1061" t="s">
        <v>19</v>
      </c>
      <c r="D1061" t="s">
        <v>12</v>
      </c>
      <c r="E1061" t="s">
        <v>52</v>
      </c>
      <c r="F1061" t="s">
        <v>42</v>
      </c>
      <c r="G1061" t="s">
        <v>28</v>
      </c>
      <c r="H1061">
        <v>6</v>
      </c>
      <c r="I1061">
        <v>6780</v>
      </c>
      <c r="J1061">
        <v>811.92</v>
      </c>
    </row>
    <row r="1062" spans="1:10" x14ac:dyDescent="0.25">
      <c r="A1062" s="1">
        <v>45200</v>
      </c>
      <c r="B1062" t="s">
        <v>32</v>
      </c>
      <c r="C1062" t="s">
        <v>19</v>
      </c>
      <c r="D1062" t="s">
        <v>12</v>
      </c>
      <c r="E1062" t="s">
        <v>22</v>
      </c>
      <c r="F1062" t="s">
        <v>23</v>
      </c>
      <c r="G1062" t="s">
        <v>24</v>
      </c>
      <c r="H1062">
        <v>5</v>
      </c>
      <c r="I1062">
        <v>3970</v>
      </c>
      <c r="J1062">
        <v>642.70000000000005</v>
      </c>
    </row>
    <row r="1063" spans="1:10" x14ac:dyDescent="0.25">
      <c r="A1063" s="1">
        <v>44934</v>
      </c>
      <c r="B1063" t="s">
        <v>36</v>
      </c>
      <c r="C1063" t="s">
        <v>17</v>
      </c>
      <c r="D1063" t="s">
        <v>12</v>
      </c>
      <c r="E1063" t="s">
        <v>332</v>
      </c>
      <c r="F1063" t="s">
        <v>94</v>
      </c>
      <c r="G1063" t="s">
        <v>24</v>
      </c>
      <c r="H1063">
        <v>7</v>
      </c>
      <c r="I1063">
        <v>5131</v>
      </c>
      <c r="J1063">
        <v>368.11</v>
      </c>
    </row>
    <row r="1064" spans="1:10" x14ac:dyDescent="0.25">
      <c r="A1064" s="1">
        <v>44836</v>
      </c>
      <c r="B1064" t="s">
        <v>55</v>
      </c>
      <c r="C1064" t="s">
        <v>19</v>
      </c>
      <c r="D1064" t="s">
        <v>12</v>
      </c>
      <c r="E1064" t="s">
        <v>332</v>
      </c>
      <c r="F1064" t="s">
        <v>94</v>
      </c>
      <c r="G1064" t="s">
        <v>24</v>
      </c>
      <c r="H1064">
        <v>7</v>
      </c>
      <c r="I1064">
        <v>1750</v>
      </c>
      <c r="J1064">
        <v>90.21</v>
      </c>
    </row>
    <row r="1065" spans="1:10" x14ac:dyDescent="0.25">
      <c r="A1065" s="1">
        <v>44603</v>
      </c>
      <c r="B1065" t="s">
        <v>18</v>
      </c>
      <c r="C1065" t="s">
        <v>19</v>
      </c>
      <c r="D1065" t="s">
        <v>12</v>
      </c>
      <c r="E1065" t="s">
        <v>333</v>
      </c>
      <c r="F1065" t="s">
        <v>100</v>
      </c>
      <c r="G1065" t="s">
        <v>35</v>
      </c>
      <c r="H1065">
        <v>7</v>
      </c>
      <c r="I1065">
        <v>8337</v>
      </c>
      <c r="J1065">
        <v>753.35</v>
      </c>
    </row>
    <row r="1066" spans="1:10" x14ac:dyDescent="0.25">
      <c r="A1066" s="1">
        <v>44819</v>
      </c>
      <c r="B1066" t="s">
        <v>49</v>
      </c>
      <c r="C1066" t="s">
        <v>17</v>
      </c>
      <c r="D1066" t="s">
        <v>12</v>
      </c>
      <c r="E1066" t="s">
        <v>43</v>
      </c>
      <c r="F1066" t="s">
        <v>44</v>
      </c>
      <c r="G1066" t="s">
        <v>35</v>
      </c>
      <c r="H1066">
        <v>9</v>
      </c>
      <c r="I1066">
        <v>9810</v>
      </c>
      <c r="J1066">
        <v>549.46</v>
      </c>
    </row>
    <row r="1067" spans="1:10" x14ac:dyDescent="0.25">
      <c r="A1067" s="1">
        <v>45319</v>
      </c>
      <c r="B1067" t="s">
        <v>49</v>
      </c>
      <c r="C1067" t="s">
        <v>17</v>
      </c>
      <c r="D1067" t="s">
        <v>12</v>
      </c>
      <c r="E1067" t="s">
        <v>43</v>
      </c>
      <c r="F1067" t="s">
        <v>44</v>
      </c>
      <c r="G1067" t="s">
        <v>35</v>
      </c>
      <c r="H1067">
        <v>3</v>
      </c>
      <c r="I1067">
        <v>2658</v>
      </c>
      <c r="J1067">
        <v>794.36</v>
      </c>
    </row>
    <row r="1068" spans="1:10" x14ac:dyDescent="0.25">
      <c r="A1068" s="1">
        <v>44765</v>
      </c>
      <c r="B1068" t="s">
        <v>10</v>
      </c>
      <c r="C1068" t="s">
        <v>11</v>
      </c>
      <c r="D1068" t="s">
        <v>12</v>
      </c>
      <c r="E1068" t="s">
        <v>56</v>
      </c>
      <c r="F1068" t="s">
        <v>57</v>
      </c>
      <c r="G1068" t="s">
        <v>24</v>
      </c>
      <c r="H1068">
        <v>1</v>
      </c>
      <c r="I1068">
        <v>473</v>
      </c>
      <c r="J1068">
        <v>43.65</v>
      </c>
    </row>
    <row r="1069" spans="1:10" x14ac:dyDescent="0.25">
      <c r="A1069" s="1">
        <v>44575</v>
      </c>
      <c r="B1069" t="s">
        <v>18</v>
      </c>
      <c r="C1069" t="s">
        <v>19</v>
      </c>
      <c r="D1069" t="s">
        <v>12</v>
      </c>
      <c r="E1069" t="s">
        <v>334</v>
      </c>
      <c r="F1069" t="s">
        <v>71</v>
      </c>
      <c r="G1069" t="s">
        <v>35</v>
      </c>
      <c r="H1069">
        <v>9</v>
      </c>
      <c r="I1069">
        <v>2205</v>
      </c>
      <c r="J1069">
        <v>410.01</v>
      </c>
    </row>
    <row r="1070" spans="1:10" x14ac:dyDescent="0.25">
      <c r="A1070" s="1">
        <v>45090</v>
      </c>
      <c r="B1070" t="s">
        <v>40</v>
      </c>
      <c r="C1070" t="s">
        <v>19</v>
      </c>
      <c r="D1070" t="s">
        <v>12</v>
      </c>
      <c r="E1070" t="s">
        <v>162</v>
      </c>
      <c r="F1070" t="s">
        <v>23</v>
      </c>
      <c r="G1070" t="s">
        <v>24</v>
      </c>
      <c r="H1070">
        <v>9</v>
      </c>
      <c r="I1070">
        <v>6948</v>
      </c>
      <c r="J1070">
        <v>1409.3</v>
      </c>
    </row>
    <row r="1071" spans="1:10" x14ac:dyDescent="0.25">
      <c r="A1071" s="1">
        <v>44813</v>
      </c>
      <c r="B1071" t="s">
        <v>18</v>
      </c>
      <c r="C1071" t="s">
        <v>19</v>
      </c>
      <c r="D1071" t="s">
        <v>12</v>
      </c>
      <c r="E1071" t="s">
        <v>335</v>
      </c>
      <c r="F1071" t="s">
        <v>71</v>
      </c>
      <c r="G1071" t="s">
        <v>35</v>
      </c>
      <c r="H1071">
        <v>3</v>
      </c>
      <c r="I1071">
        <v>774</v>
      </c>
      <c r="J1071">
        <v>212.02</v>
      </c>
    </row>
    <row r="1072" spans="1:10" x14ac:dyDescent="0.25">
      <c r="A1072" s="1">
        <v>45286</v>
      </c>
      <c r="B1072" t="s">
        <v>18</v>
      </c>
      <c r="C1072" t="s">
        <v>19</v>
      </c>
      <c r="D1072" t="s">
        <v>12</v>
      </c>
      <c r="E1072" t="s">
        <v>70</v>
      </c>
      <c r="F1072" t="s">
        <v>71</v>
      </c>
      <c r="G1072" t="s">
        <v>35</v>
      </c>
      <c r="H1072">
        <v>3</v>
      </c>
      <c r="I1072">
        <v>2532</v>
      </c>
      <c r="J1072">
        <v>343.13</v>
      </c>
    </row>
    <row r="1073" spans="1:10" x14ac:dyDescent="0.25">
      <c r="A1073" s="1">
        <v>45612</v>
      </c>
      <c r="B1073" t="s">
        <v>55</v>
      </c>
      <c r="C1073" t="s">
        <v>19</v>
      </c>
      <c r="D1073" t="s">
        <v>12</v>
      </c>
      <c r="E1073" t="s">
        <v>336</v>
      </c>
      <c r="F1073" t="s">
        <v>34</v>
      </c>
      <c r="G1073" t="s">
        <v>35</v>
      </c>
      <c r="H1073">
        <v>7</v>
      </c>
      <c r="I1073">
        <v>6587</v>
      </c>
      <c r="J1073">
        <v>1173.9100000000001</v>
      </c>
    </row>
    <row r="1074" spans="1:10" x14ac:dyDescent="0.25">
      <c r="A1074" s="1">
        <v>45383</v>
      </c>
      <c r="B1074" t="s">
        <v>40</v>
      </c>
      <c r="C1074" t="s">
        <v>19</v>
      </c>
      <c r="D1074" t="s">
        <v>12</v>
      </c>
      <c r="E1074" t="s">
        <v>22</v>
      </c>
      <c r="F1074" t="s">
        <v>23</v>
      </c>
      <c r="G1074" t="s">
        <v>24</v>
      </c>
      <c r="H1074">
        <v>7</v>
      </c>
      <c r="I1074">
        <v>7266</v>
      </c>
      <c r="J1074">
        <v>806.79</v>
      </c>
    </row>
    <row r="1075" spans="1:10" x14ac:dyDescent="0.25">
      <c r="A1075" s="1">
        <v>45623</v>
      </c>
      <c r="B1075" t="s">
        <v>40</v>
      </c>
      <c r="C1075" t="s">
        <v>19</v>
      </c>
      <c r="D1075" t="s">
        <v>12</v>
      </c>
      <c r="E1075" t="s">
        <v>75</v>
      </c>
      <c r="F1075" t="s">
        <v>39</v>
      </c>
      <c r="G1075" t="s">
        <v>35</v>
      </c>
      <c r="H1075">
        <v>7</v>
      </c>
      <c r="I1075">
        <v>6867</v>
      </c>
      <c r="J1075">
        <v>502.06</v>
      </c>
    </row>
    <row r="1076" spans="1:10" x14ac:dyDescent="0.25">
      <c r="A1076" s="1">
        <v>45108</v>
      </c>
      <c r="B1076" t="s">
        <v>25</v>
      </c>
      <c r="C1076" t="s">
        <v>19</v>
      </c>
      <c r="D1076" t="s">
        <v>12</v>
      </c>
      <c r="E1076" t="s">
        <v>47</v>
      </c>
      <c r="F1076" t="s">
        <v>48</v>
      </c>
      <c r="G1076" t="s">
        <v>15</v>
      </c>
      <c r="H1076">
        <v>9</v>
      </c>
      <c r="I1076">
        <v>4887</v>
      </c>
      <c r="J1076">
        <v>396.36</v>
      </c>
    </row>
    <row r="1077" spans="1:10" x14ac:dyDescent="0.25">
      <c r="A1077" s="1">
        <v>44970</v>
      </c>
      <c r="B1077" t="s">
        <v>16</v>
      </c>
      <c r="C1077" t="s">
        <v>17</v>
      </c>
      <c r="D1077" t="s">
        <v>12</v>
      </c>
      <c r="E1077" t="s">
        <v>184</v>
      </c>
      <c r="F1077" t="s">
        <v>23</v>
      </c>
      <c r="G1077" t="s">
        <v>24</v>
      </c>
      <c r="H1077">
        <v>4</v>
      </c>
      <c r="I1077">
        <v>864</v>
      </c>
      <c r="J1077">
        <v>251.99</v>
      </c>
    </row>
    <row r="1078" spans="1:10" x14ac:dyDescent="0.25">
      <c r="A1078" s="1">
        <v>45239</v>
      </c>
      <c r="B1078" t="s">
        <v>40</v>
      </c>
      <c r="C1078" t="s">
        <v>19</v>
      </c>
      <c r="D1078" t="s">
        <v>12</v>
      </c>
      <c r="E1078" t="s">
        <v>70</v>
      </c>
      <c r="F1078" t="s">
        <v>71</v>
      </c>
      <c r="G1078" t="s">
        <v>35</v>
      </c>
      <c r="H1078">
        <v>6</v>
      </c>
      <c r="I1078">
        <v>5190</v>
      </c>
      <c r="J1078">
        <v>1215.07</v>
      </c>
    </row>
    <row r="1079" spans="1:10" x14ac:dyDescent="0.25">
      <c r="A1079" s="1">
        <v>44701</v>
      </c>
      <c r="B1079" t="s">
        <v>49</v>
      </c>
      <c r="C1079" t="s">
        <v>17</v>
      </c>
      <c r="D1079" t="s">
        <v>12</v>
      </c>
      <c r="E1079" t="s">
        <v>70</v>
      </c>
      <c r="F1079" t="s">
        <v>71</v>
      </c>
      <c r="G1079" t="s">
        <v>35</v>
      </c>
      <c r="H1079">
        <v>8</v>
      </c>
      <c r="I1079">
        <v>2128</v>
      </c>
      <c r="J1079">
        <v>294.45</v>
      </c>
    </row>
    <row r="1080" spans="1:10" x14ac:dyDescent="0.25">
      <c r="A1080" s="1">
        <v>45469</v>
      </c>
      <c r="B1080" t="s">
        <v>16</v>
      </c>
      <c r="C1080" t="s">
        <v>17</v>
      </c>
      <c r="D1080" t="s">
        <v>12</v>
      </c>
      <c r="E1080" t="s">
        <v>52</v>
      </c>
      <c r="F1080" t="s">
        <v>42</v>
      </c>
      <c r="G1080" t="s">
        <v>28</v>
      </c>
      <c r="H1080">
        <v>2</v>
      </c>
      <c r="I1080">
        <v>1718</v>
      </c>
      <c r="J1080">
        <v>218.82</v>
      </c>
    </row>
    <row r="1081" spans="1:10" x14ac:dyDescent="0.25">
      <c r="A1081" s="1">
        <v>44683</v>
      </c>
      <c r="B1081" t="s">
        <v>40</v>
      </c>
      <c r="C1081" t="s">
        <v>19</v>
      </c>
      <c r="D1081" t="s">
        <v>12</v>
      </c>
      <c r="E1081" t="s">
        <v>159</v>
      </c>
      <c r="F1081" t="s">
        <v>23</v>
      </c>
      <c r="G1081" t="s">
        <v>24</v>
      </c>
      <c r="H1081">
        <v>2</v>
      </c>
      <c r="I1081">
        <v>1270</v>
      </c>
      <c r="J1081">
        <v>229.39</v>
      </c>
    </row>
    <row r="1082" spans="1:10" x14ac:dyDescent="0.25">
      <c r="A1082" s="1">
        <v>45064</v>
      </c>
      <c r="B1082" t="s">
        <v>49</v>
      </c>
      <c r="C1082" t="s">
        <v>17</v>
      </c>
      <c r="D1082" t="s">
        <v>12</v>
      </c>
      <c r="E1082" t="s">
        <v>159</v>
      </c>
      <c r="F1082" t="s">
        <v>23</v>
      </c>
      <c r="G1082" t="s">
        <v>24</v>
      </c>
      <c r="H1082">
        <v>7</v>
      </c>
      <c r="I1082">
        <v>2569</v>
      </c>
      <c r="J1082">
        <v>130.19</v>
      </c>
    </row>
    <row r="1083" spans="1:10" x14ac:dyDescent="0.25">
      <c r="A1083" s="1">
        <v>44606</v>
      </c>
      <c r="B1083" t="s">
        <v>10</v>
      </c>
      <c r="C1083" t="s">
        <v>11</v>
      </c>
      <c r="D1083" t="s">
        <v>12</v>
      </c>
      <c r="E1083" t="s">
        <v>337</v>
      </c>
      <c r="F1083" t="s">
        <v>152</v>
      </c>
      <c r="G1083" t="s">
        <v>15</v>
      </c>
      <c r="H1083">
        <v>2</v>
      </c>
      <c r="I1083">
        <v>1518</v>
      </c>
      <c r="J1083">
        <v>262.64999999999998</v>
      </c>
    </row>
    <row r="1084" spans="1:10" x14ac:dyDescent="0.25">
      <c r="A1084" s="1">
        <v>44887</v>
      </c>
      <c r="B1084" t="s">
        <v>29</v>
      </c>
      <c r="C1084" t="s">
        <v>17</v>
      </c>
      <c r="D1084" t="s">
        <v>12</v>
      </c>
      <c r="E1084" t="s">
        <v>74</v>
      </c>
      <c r="F1084" t="s">
        <v>23</v>
      </c>
      <c r="G1084" t="s">
        <v>24</v>
      </c>
      <c r="H1084">
        <v>2</v>
      </c>
      <c r="I1084">
        <v>1210</v>
      </c>
      <c r="J1084">
        <v>268.37</v>
      </c>
    </row>
    <row r="1085" spans="1:10" x14ac:dyDescent="0.25">
      <c r="A1085" s="1">
        <v>44635</v>
      </c>
      <c r="B1085" t="s">
        <v>16</v>
      </c>
      <c r="C1085" t="s">
        <v>17</v>
      </c>
      <c r="D1085" t="s">
        <v>12</v>
      </c>
      <c r="E1085" t="s">
        <v>47</v>
      </c>
      <c r="F1085" t="s">
        <v>156</v>
      </c>
      <c r="G1085" t="s">
        <v>28</v>
      </c>
      <c r="H1085">
        <v>2</v>
      </c>
      <c r="I1085">
        <v>1128</v>
      </c>
      <c r="J1085">
        <v>94.13</v>
      </c>
    </row>
    <row r="1086" spans="1:10" x14ac:dyDescent="0.25">
      <c r="A1086" s="1">
        <v>45161</v>
      </c>
      <c r="B1086" t="s">
        <v>29</v>
      </c>
      <c r="C1086" t="s">
        <v>17</v>
      </c>
      <c r="D1086" t="s">
        <v>12</v>
      </c>
      <c r="E1086" t="s">
        <v>47</v>
      </c>
      <c r="F1086" t="s">
        <v>156</v>
      </c>
      <c r="G1086" t="s">
        <v>28</v>
      </c>
      <c r="H1086">
        <v>1</v>
      </c>
      <c r="I1086">
        <v>1077</v>
      </c>
      <c r="J1086">
        <v>77.97</v>
      </c>
    </row>
    <row r="1087" spans="1:10" x14ac:dyDescent="0.25">
      <c r="A1087" s="1">
        <v>45278</v>
      </c>
      <c r="B1087" t="s">
        <v>49</v>
      </c>
      <c r="C1087" t="s">
        <v>17</v>
      </c>
      <c r="D1087" t="s">
        <v>12</v>
      </c>
      <c r="E1087" t="s">
        <v>22</v>
      </c>
      <c r="F1087" t="s">
        <v>23</v>
      </c>
      <c r="G1087" t="s">
        <v>24</v>
      </c>
      <c r="H1087">
        <v>6</v>
      </c>
      <c r="I1087">
        <v>2244</v>
      </c>
      <c r="J1087">
        <v>517.47</v>
      </c>
    </row>
    <row r="1088" spans="1:10" x14ac:dyDescent="0.25">
      <c r="A1088" s="1">
        <v>44820</v>
      </c>
      <c r="B1088" t="s">
        <v>16</v>
      </c>
      <c r="C1088" t="s">
        <v>17</v>
      </c>
      <c r="D1088" t="s">
        <v>12</v>
      </c>
      <c r="E1088" t="s">
        <v>338</v>
      </c>
      <c r="F1088" t="s">
        <v>27</v>
      </c>
      <c r="G1088" t="s">
        <v>28</v>
      </c>
      <c r="H1088">
        <v>8</v>
      </c>
      <c r="I1088">
        <v>1608</v>
      </c>
      <c r="J1088">
        <v>464.18</v>
      </c>
    </row>
    <row r="1089" spans="1:10" x14ac:dyDescent="0.25">
      <c r="A1089" s="1">
        <v>45641</v>
      </c>
      <c r="B1089" t="s">
        <v>25</v>
      </c>
      <c r="C1089" t="s">
        <v>19</v>
      </c>
      <c r="D1089" t="s">
        <v>12</v>
      </c>
      <c r="E1089" t="s">
        <v>338</v>
      </c>
      <c r="F1089" t="s">
        <v>27</v>
      </c>
      <c r="G1089" t="s">
        <v>28</v>
      </c>
      <c r="H1089">
        <v>5</v>
      </c>
      <c r="I1089">
        <v>3685</v>
      </c>
      <c r="J1089">
        <v>476.2</v>
      </c>
    </row>
    <row r="1090" spans="1:10" x14ac:dyDescent="0.25">
      <c r="A1090" s="1">
        <v>45407</v>
      </c>
      <c r="B1090" t="s">
        <v>25</v>
      </c>
      <c r="C1090" t="s">
        <v>19</v>
      </c>
      <c r="D1090" t="s">
        <v>12</v>
      </c>
      <c r="E1090" t="s">
        <v>37</v>
      </c>
      <c r="F1090" t="s">
        <v>34</v>
      </c>
      <c r="G1090" t="s">
        <v>35</v>
      </c>
      <c r="H1090">
        <v>8</v>
      </c>
      <c r="I1090">
        <v>4080</v>
      </c>
      <c r="J1090">
        <v>1079.49</v>
      </c>
    </row>
    <row r="1091" spans="1:10" x14ac:dyDescent="0.25">
      <c r="A1091" s="1">
        <v>45331</v>
      </c>
      <c r="B1091" t="s">
        <v>36</v>
      </c>
      <c r="C1091" t="s">
        <v>17</v>
      </c>
      <c r="D1091" t="s">
        <v>12</v>
      </c>
      <c r="E1091" t="s">
        <v>74</v>
      </c>
      <c r="F1091" t="s">
        <v>23</v>
      </c>
      <c r="G1091" t="s">
        <v>24</v>
      </c>
      <c r="H1091">
        <v>1</v>
      </c>
      <c r="I1091">
        <v>404</v>
      </c>
      <c r="J1091">
        <v>84.4</v>
      </c>
    </row>
    <row r="1092" spans="1:10" x14ac:dyDescent="0.25">
      <c r="A1092" s="1">
        <v>45035</v>
      </c>
      <c r="B1092" t="s">
        <v>49</v>
      </c>
      <c r="C1092" t="s">
        <v>17</v>
      </c>
      <c r="D1092" t="s">
        <v>12</v>
      </c>
      <c r="E1092" t="s">
        <v>22</v>
      </c>
      <c r="F1092" t="s">
        <v>23</v>
      </c>
      <c r="G1092" t="s">
        <v>24</v>
      </c>
      <c r="H1092">
        <v>2</v>
      </c>
      <c r="I1092">
        <v>1738</v>
      </c>
      <c r="J1092">
        <v>163.38</v>
      </c>
    </row>
    <row r="1093" spans="1:10" x14ac:dyDescent="0.25">
      <c r="A1093" s="1">
        <v>44957</v>
      </c>
      <c r="B1093" t="s">
        <v>10</v>
      </c>
      <c r="C1093" t="s">
        <v>11</v>
      </c>
      <c r="D1093" t="s">
        <v>12</v>
      </c>
      <c r="E1093" t="s">
        <v>22</v>
      </c>
      <c r="F1093" t="s">
        <v>23</v>
      </c>
      <c r="G1093" t="s">
        <v>24</v>
      </c>
      <c r="H1093">
        <v>3</v>
      </c>
      <c r="I1093">
        <v>828</v>
      </c>
      <c r="J1093">
        <v>210.33</v>
      </c>
    </row>
    <row r="1094" spans="1:10" x14ac:dyDescent="0.25">
      <c r="A1094" s="1">
        <v>45254</v>
      </c>
      <c r="B1094" t="s">
        <v>16</v>
      </c>
      <c r="C1094" t="s">
        <v>17</v>
      </c>
      <c r="D1094" t="s">
        <v>12</v>
      </c>
      <c r="E1094" t="s">
        <v>329</v>
      </c>
      <c r="F1094" t="s">
        <v>339</v>
      </c>
      <c r="G1094" t="s">
        <v>28</v>
      </c>
      <c r="H1094">
        <v>4</v>
      </c>
      <c r="I1094">
        <v>4344</v>
      </c>
      <c r="J1094">
        <v>461.72</v>
      </c>
    </row>
    <row r="1095" spans="1:10" x14ac:dyDescent="0.25">
      <c r="A1095" s="1">
        <v>45201</v>
      </c>
      <c r="B1095" t="s">
        <v>18</v>
      </c>
      <c r="C1095" t="s">
        <v>19</v>
      </c>
      <c r="D1095" t="s">
        <v>12</v>
      </c>
      <c r="E1095" t="s">
        <v>291</v>
      </c>
      <c r="F1095" t="s">
        <v>34</v>
      </c>
      <c r="G1095" t="s">
        <v>35</v>
      </c>
      <c r="H1095">
        <v>1</v>
      </c>
      <c r="I1095">
        <v>1130</v>
      </c>
      <c r="J1095">
        <v>268.88</v>
      </c>
    </row>
    <row r="1096" spans="1:10" x14ac:dyDescent="0.25">
      <c r="A1096" s="1">
        <v>45400</v>
      </c>
      <c r="B1096" t="s">
        <v>29</v>
      </c>
      <c r="C1096" t="s">
        <v>17</v>
      </c>
      <c r="D1096" t="s">
        <v>12</v>
      </c>
      <c r="E1096" t="s">
        <v>134</v>
      </c>
      <c r="F1096" t="s">
        <v>51</v>
      </c>
      <c r="G1096" t="s">
        <v>35</v>
      </c>
      <c r="H1096">
        <v>3</v>
      </c>
      <c r="I1096">
        <v>1698</v>
      </c>
      <c r="J1096">
        <v>304.91000000000003</v>
      </c>
    </row>
    <row r="1097" spans="1:10" x14ac:dyDescent="0.25">
      <c r="A1097" s="1">
        <v>45104</v>
      </c>
      <c r="B1097" t="s">
        <v>18</v>
      </c>
      <c r="C1097" t="s">
        <v>19</v>
      </c>
      <c r="D1097" t="s">
        <v>12</v>
      </c>
      <c r="E1097" t="s">
        <v>130</v>
      </c>
      <c r="F1097" t="s">
        <v>54</v>
      </c>
      <c r="G1097" t="s">
        <v>24</v>
      </c>
      <c r="H1097">
        <v>4</v>
      </c>
      <c r="I1097">
        <v>844</v>
      </c>
      <c r="J1097">
        <v>136.02000000000001</v>
      </c>
    </row>
    <row r="1098" spans="1:10" x14ac:dyDescent="0.25">
      <c r="A1098" s="1">
        <v>44977</v>
      </c>
      <c r="B1098" t="s">
        <v>10</v>
      </c>
      <c r="C1098" t="s">
        <v>11</v>
      </c>
      <c r="D1098" t="s">
        <v>12</v>
      </c>
      <c r="E1098" t="s">
        <v>37</v>
      </c>
      <c r="F1098" t="s">
        <v>34</v>
      </c>
      <c r="G1098" t="s">
        <v>35</v>
      </c>
      <c r="H1098">
        <v>2</v>
      </c>
      <c r="I1098">
        <v>2286</v>
      </c>
      <c r="J1098">
        <v>218.18</v>
      </c>
    </row>
    <row r="1099" spans="1:10" x14ac:dyDescent="0.25">
      <c r="A1099" s="1">
        <v>45272</v>
      </c>
      <c r="B1099" t="s">
        <v>25</v>
      </c>
      <c r="C1099" t="s">
        <v>19</v>
      </c>
      <c r="D1099" t="s">
        <v>12</v>
      </c>
      <c r="E1099" t="s">
        <v>68</v>
      </c>
      <c r="F1099" t="s">
        <v>63</v>
      </c>
      <c r="G1099" t="s">
        <v>28</v>
      </c>
      <c r="H1099">
        <v>2</v>
      </c>
      <c r="I1099">
        <v>1026</v>
      </c>
      <c r="J1099">
        <v>170.31</v>
      </c>
    </row>
    <row r="1100" spans="1:10" x14ac:dyDescent="0.25">
      <c r="A1100" s="1">
        <v>45203</v>
      </c>
      <c r="B1100" t="s">
        <v>55</v>
      </c>
      <c r="C1100" t="s">
        <v>19</v>
      </c>
      <c r="D1100" t="s">
        <v>12</v>
      </c>
      <c r="E1100" t="s">
        <v>147</v>
      </c>
      <c r="F1100" t="s">
        <v>42</v>
      </c>
      <c r="G1100" t="s">
        <v>28</v>
      </c>
      <c r="H1100">
        <v>6</v>
      </c>
      <c r="I1100">
        <v>6984</v>
      </c>
      <c r="J1100">
        <v>1433.65</v>
      </c>
    </row>
    <row r="1101" spans="1:10" x14ac:dyDescent="0.25">
      <c r="A1101" s="1">
        <v>44610</v>
      </c>
      <c r="B1101" t="s">
        <v>36</v>
      </c>
      <c r="C1101" t="s">
        <v>17</v>
      </c>
      <c r="D1101" t="s">
        <v>12</v>
      </c>
      <c r="E1101" t="s">
        <v>132</v>
      </c>
      <c r="F1101" t="s">
        <v>115</v>
      </c>
      <c r="G1101" t="s">
        <v>15</v>
      </c>
      <c r="H1101">
        <v>4</v>
      </c>
      <c r="I1101">
        <v>1672</v>
      </c>
      <c r="J1101">
        <v>432.35</v>
      </c>
    </row>
    <row r="1102" spans="1:10" x14ac:dyDescent="0.25">
      <c r="A1102" s="1">
        <v>44934</v>
      </c>
      <c r="B1102" t="s">
        <v>55</v>
      </c>
      <c r="C1102" t="s">
        <v>19</v>
      </c>
      <c r="D1102" t="s">
        <v>12</v>
      </c>
      <c r="E1102" t="s">
        <v>92</v>
      </c>
      <c r="F1102" t="s">
        <v>44</v>
      </c>
      <c r="G1102" t="s">
        <v>35</v>
      </c>
      <c r="H1102">
        <v>6</v>
      </c>
      <c r="I1102">
        <v>1092</v>
      </c>
      <c r="J1102">
        <v>63.98</v>
      </c>
    </row>
    <row r="1103" spans="1:10" x14ac:dyDescent="0.25">
      <c r="A1103" s="1">
        <v>45383</v>
      </c>
      <c r="B1103" t="s">
        <v>29</v>
      </c>
      <c r="C1103" t="s">
        <v>17</v>
      </c>
      <c r="D1103" t="s">
        <v>12</v>
      </c>
      <c r="E1103" t="s">
        <v>340</v>
      </c>
      <c r="F1103" t="s">
        <v>34</v>
      </c>
      <c r="G1103" t="s">
        <v>35</v>
      </c>
      <c r="H1103">
        <v>2</v>
      </c>
      <c r="I1103">
        <v>272</v>
      </c>
      <c r="J1103">
        <v>24.71</v>
      </c>
    </row>
    <row r="1104" spans="1:10" x14ac:dyDescent="0.25">
      <c r="A1104" s="1">
        <v>45242</v>
      </c>
      <c r="B1104" t="s">
        <v>29</v>
      </c>
      <c r="C1104" t="s">
        <v>17</v>
      </c>
      <c r="D1104" t="s">
        <v>12</v>
      </c>
      <c r="E1104" t="s">
        <v>118</v>
      </c>
      <c r="F1104" t="s">
        <v>42</v>
      </c>
      <c r="G1104" t="s">
        <v>28</v>
      </c>
      <c r="H1104">
        <v>2</v>
      </c>
      <c r="I1104">
        <v>1126</v>
      </c>
      <c r="J1104">
        <v>204.99</v>
      </c>
    </row>
    <row r="1105" spans="1:10" x14ac:dyDescent="0.25">
      <c r="A1105" s="1">
        <v>45221</v>
      </c>
      <c r="B1105" t="s">
        <v>16</v>
      </c>
      <c r="C1105" t="s">
        <v>17</v>
      </c>
      <c r="D1105" t="s">
        <v>12</v>
      </c>
      <c r="E1105" t="s">
        <v>37</v>
      </c>
      <c r="F1105" t="s">
        <v>34</v>
      </c>
      <c r="G1105" t="s">
        <v>35</v>
      </c>
      <c r="H1105">
        <v>7</v>
      </c>
      <c r="I1105">
        <v>8155</v>
      </c>
      <c r="J1105">
        <v>2177.38</v>
      </c>
    </row>
    <row r="1106" spans="1:10" x14ac:dyDescent="0.25">
      <c r="A1106" s="1">
        <v>45014</v>
      </c>
      <c r="B1106" t="s">
        <v>32</v>
      </c>
      <c r="C1106" t="s">
        <v>19</v>
      </c>
      <c r="D1106" t="s">
        <v>12</v>
      </c>
      <c r="E1106" t="s">
        <v>74</v>
      </c>
      <c r="F1106" t="s">
        <v>23</v>
      </c>
      <c r="G1106" t="s">
        <v>24</v>
      </c>
      <c r="H1106">
        <v>7</v>
      </c>
      <c r="I1106">
        <v>4298</v>
      </c>
      <c r="J1106">
        <v>358.38</v>
      </c>
    </row>
    <row r="1107" spans="1:10" x14ac:dyDescent="0.25">
      <c r="A1107" s="1">
        <v>44912</v>
      </c>
      <c r="B1107" t="s">
        <v>40</v>
      </c>
      <c r="C1107" t="s">
        <v>19</v>
      </c>
      <c r="D1107" t="s">
        <v>12</v>
      </c>
      <c r="E1107" t="s">
        <v>294</v>
      </c>
      <c r="F1107" t="s">
        <v>149</v>
      </c>
      <c r="G1107" t="s">
        <v>15</v>
      </c>
      <c r="H1107">
        <v>5</v>
      </c>
      <c r="I1107">
        <v>1365</v>
      </c>
      <c r="J1107">
        <v>310.66000000000003</v>
      </c>
    </row>
    <row r="1108" spans="1:10" x14ac:dyDescent="0.25">
      <c r="A1108" s="1">
        <v>45624</v>
      </c>
      <c r="B1108" t="s">
        <v>25</v>
      </c>
      <c r="C1108" t="s">
        <v>19</v>
      </c>
      <c r="D1108" t="s">
        <v>12</v>
      </c>
      <c r="E1108" t="s">
        <v>341</v>
      </c>
      <c r="F1108" t="s">
        <v>46</v>
      </c>
      <c r="G1108" t="s">
        <v>15</v>
      </c>
      <c r="H1108">
        <v>6</v>
      </c>
      <c r="I1108">
        <v>4116</v>
      </c>
      <c r="J1108">
        <v>381.35</v>
      </c>
    </row>
    <row r="1109" spans="1:10" x14ac:dyDescent="0.25">
      <c r="A1109" s="1">
        <v>44658</v>
      </c>
      <c r="B1109" t="s">
        <v>29</v>
      </c>
      <c r="C1109" t="s">
        <v>17</v>
      </c>
      <c r="D1109" t="s">
        <v>12</v>
      </c>
      <c r="E1109" t="s">
        <v>341</v>
      </c>
      <c r="F1109" t="s">
        <v>46</v>
      </c>
      <c r="G1109" t="s">
        <v>15</v>
      </c>
      <c r="H1109">
        <v>8</v>
      </c>
      <c r="I1109">
        <v>904</v>
      </c>
      <c r="J1109">
        <v>181.45</v>
      </c>
    </row>
    <row r="1110" spans="1:10" x14ac:dyDescent="0.25">
      <c r="A1110" s="1">
        <v>45631</v>
      </c>
      <c r="B1110" t="s">
        <v>32</v>
      </c>
      <c r="C1110" t="s">
        <v>19</v>
      </c>
      <c r="D1110" t="s">
        <v>12</v>
      </c>
      <c r="E1110" t="s">
        <v>341</v>
      </c>
      <c r="F1110" t="s">
        <v>46</v>
      </c>
      <c r="G1110" t="s">
        <v>15</v>
      </c>
      <c r="H1110">
        <v>1</v>
      </c>
      <c r="I1110">
        <v>70</v>
      </c>
      <c r="J1110">
        <v>10.64</v>
      </c>
    </row>
    <row r="1111" spans="1:10" x14ac:dyDescent="0.25">
      <c r="A1111" s="1">
        <v>45172</v>
      </c>
      <c r="B1111" t="s">
        <v>49</v>
      </c>
      <c r="C1111" t="s">
        <v>17</v>
      </c>
      <c r="D1111" t="s">
        <v>12</v>
      </c>
      <c r="E1111" t="s">
        <v>341</v>
      </c>
      <c r="F1111" t="s">
        <v>46</v>
      </c>
      <c r="G1111" t="s">
        <v>15</v>
      </c>
      <c r="H1111">
        <v>2</v>
      </c>
      <c r="I1111">
        <v>344</v>
      </c>
      <c r="J1111">
        <v>72.87</v>
      </c>
    </row>
    <row r="1112" spans="1:10" x14ac:dyDescent="0.25">
      <c r="A1112" s="1">
        <v>45157</v>
      </c>
      <c r="B1112" t="s">
        <v>10</v>
      </c>
      <c r="C1112" t="s">
        <v>11</v>
      </c>
      <c r="D1112" t="s">
        <v>12</v>
      </c>
      <c r="E1112" t="s">
        <v>243</v>
      </c>
      <c r="F1112" t="s">
        <v>23</v>
      </c>
      <c r="G1112" t="s">
        <v>24</v>
      </c>
      <c r="H1112">
        <v>1</v>
      </c>
      <c r="I1112">
        <v>330</v>
      </c>
      <c r="J1112">
        <v>78.52</v>
      </c>
    </row>
    <row r="1113" spans="1:10" x14ac:dyDescent="0.25">
      <c r="A1113" s="1">
        <v>45521</v>
      </c>
      <c r="B1113" t="s">
        <v>29</v>
      </c>
      <c r="C1113" t="s">
        <v>17</v>
      </c>
      <c r="D1113" t="s">
        <v>12</v>
      </c>
      <c r="E1113" t="s">
        <v>52</v>
      </c>
      <c r="F1113" t="s">
        <v>42</v>
      </c>
      <c r="G1113" t="s">
        <v>28</v>
      </c>
      <c r="H1113">
        <v>2</v>
      </c>
      <c r="I1113">
        <v>518</v>
      </c>
      <c r="J1113">
        <v>34.22</v>
      </c>
    </row>
    <row r="1114" spans="1:10" x14ac:dyDescent="0.25">
      <c r="A1114" s="1">
        <v>44791</v>
      </c>
      <c r="B1114" t="s">
        <v>16</v>
      </c>
      <c r="C1114" t="s">
        <v>17</v>
      </c>
      <c r="D1114" t="s">
        <v>12</v>
      </c>
      <c r="E1114" t="s">
        <v>62</v>
      </c>
      <c r="F1114" t="s">
        <v>59</v>
      </c>
      <c r="G1114" t="s">
        <v>28</v>
      </c>
      <c r="H1114">
        <v>9</v>
      </c>
      <c r="I1114">
        <v>2763</v>
      </c>
      <c r="J1114">
        <v>458.4</v>
      </c>
    </row>
    <row r="1115" spans="1:10" x14ac:dyDescent="0.25">
      <c r="A1115" s="1">
        <v>44646</v>
      </c>
      <c r="B1115" t="s">
        <v>32</v>
      </c>
      <c r="C1115" t="s">
        <v>19</v>
      </c>
      <c r="D1115" t="s">
        <v>12</v>
      </c>
      <c r="E1115" t="s">
        <v>22</v>
      </c>
      <c r="F1115" t="s">
        <v>23</v>
      </c>
      <c r="G1115" t="s">
        <v>24</v>
      </c>
      <c r="H1115">
        <v>2</v>
      </c>
      <c r="I1115">
        <v>2298</v>
      </c>
      <c r="J1115">
        <v>343.53</v>
      </c>
    </row>
    <row r="1116" spans="1:10" x14ac:dyDescent="0.25">
      <c r="A1116" s="1">
        <v>45567</v>
      </c>
      <c r="B1116" t="s">
        <v>36</v>
      </c>
      <c r="C1116" t="s">
        <v>17</v>
      </c>
      <c r="D1116" t="s">
        <v>12</v>
      </c>
      <c r="E1116" t="s">
        <v>229</v>
      </c>
      <c r="F1116" t="s">
        <v>149</v>
      </c>
      <c r="G1116" t="s">
        <v>15</v>
      </c>
      <c r="H1116">
        <v>1</v>
      </c>
      <c r="I1116">
        <v>436</v>
      </c>
      <c r="J1116">
        <v>73.89</v>
      </c>
    </row>
    <row r="1117" spans="1:10" x14ac:dyDescent="0.25">
      <c r="A1117" s="1">
        <v>44832</v>
      </c>
      <c r="B1117" t="s">
        <v>16</v>
      </c>
      <c r="C1117" t="s">
        <v>17</v>
      </c>
      <c r="D1117" t="s">
        <v>12</v>
      </c>
      <c r="E1117" t="s">
        <v>342</v>
      </c>
      <c r="F1117" t="s">
        <v>343</v>
      </c>
      <c r="G1117" t="s">
        <v>35</v>
      </c>
      <c r="H1117">
        <v>6</v>
      </c>
      <c r="I1117">
        <v>1824</v>
      </c>
      <c r="J1117">
        <v>213.47</v>
      </c>
    </row>
    <row r="1118" spans="1:10" x14ac:dyDescent="0.25">
      <c r="A1118" s="1">
        <v>45424</v>
      </c>
      <c r="B1118" t="s">
        <v>55</v>
      </c>
      <c r="C1118" t="s">
        <v>19</v>
      </c>
      <c r="D1118" t="s">
        <v>12</v>
      </c>
      <c r="E1118" t="s">
        <v>344</v>
      </c>
      <c r="F1118" t="s">
        <v>71</v>
      </c>
      <c r="G1118" t="s">
        <v>35</v>
      </c>
      <c r="H1118">
        <v>5</v>
      </c>
      <c r="I1118">
        <v>1540</v>
      </c>
      <c r="J1118">
        <v>411.83</v>
      </c>
    </row>
    <row r="1119" spans="1:10" x14ac:dyDescent="0.25">
      <c r="A1119" s="1">
        <v>44999</v>
      </c>
      <c r="B1119" t="s">
        <v>18</v>
      </c>
      <c r="C1119" t="s">
        <v>19</v>
      </c>
      <c r="D1119" t="s">
        <v>12</v>
      </c>
      <c r="E1119" t="s">
        <v>344</v>
      </c>
      <c r="F1119" t="s">
        <v>71</v>
      </c>
      <c r="G1119" t="s">
        <v>35</v>
      </c>
      <c r="H1119">
        <v>7</v>
      </c>
      <c r="I1119">
        <v>5572</v>
      </c>
      <c r="J1119">
        <v>385.82</v>
      </c>
    </row>
    <row r="1120" spans="1:10" x14ac:dyDescent="0.25">
      <c r="A1120" s="1">
        <v>45190</v>
      </c>
      <c r="B1120" t="s">
        <v>36</v>
      </c>
      <c r="C1120" t="s">
        <v>17</v>
      </c>
      <c r="D1120" t="s">
        <v>12</v>
      </c>
      <c r="E1120" t="s">
        <v>37</v>
      </c>
      <c r="F1120" t="s">
        <v>34</v>
      </c>
      <c r="G1120" t="s">
        <v>35</v>
      </c>
      <c r="H1120">
        <v>6</v>
      </c>
      <c r="I1120">
        <v>3030</v>
      </c>
      <c r="J1120">
        <v>335.71</v>
      </c>
    </row>
    <row r="1121" spans="1:10" x14ac:dyDescent="0.25">
      <c r="A1121" s="1">
        <v>45414</v>
      </c>
      <c r="B1121" t="s">
        <v>36</v>
      </c>
      <c r="C1121" t="s">
        <v>17</v>
      </c>
      <c r="D1121" t="s">
        <v>12</v>
      </c>
      <c r="E1121" t="s">
        <v>58</v>
      </c>
      <c r="F1121" t="s">
        <v>59</v>
      </c>
      <c r="G1121" t="s">
        <v>28</v>
      </c>
      <c r="H1121">
        <v>5</v>
      </c>
      <c r="I1121">
        <v>1245</v>
      </c>
      <c r="J1121">
        <v>345.84</v>
      </c>
    </row>
    <row r="1122" spans="1:10" x14ac:dyDescent="0.25">
      <c r="A1122" s="1">
        <v>44592</v>
      </c>
      <c r="B1122" t="s">
        <v>18</v>
      </c>
      <c r="C1122" t="s">
        <v>19</v>
      </c>
      <c r="D1122" t="s">
        <v>12</v>
      </c>
      <c r="E1122" t="s">
        <v>74</v>
      </c>
      <c r="F1122" t="s">
        <v>23</v>
      </c>
      <c r="G1122" t="s">
        <v>24</v>
      </c>
      <c r="H1122">
        <v>4</v>
      </c>
      <c r="I1122">
        <v>1252</v>
      </c>
      <c r="J1122">
        <v>326.69</v>
      </c>
    </row>
    <row r="1123" spans="1:10" x14ac:dyDescent="0.25">
      <c r="A1123" s="1">
        <v>45447</v>
      </c>
      <c r="B1123" t="s">
        <v>25</v>
      </c>
      <c r="C1123" t="s">
        <v>19</v>
      </c>
      <c r="D1123" t="s">
        <v>12</v>
      </c>
      <c r="E1123" t="s">
        <v>22</v>
      </c>
      <c r="F1123" t="s">
        <v>23</v>
      </c>
      <c r="G1123" t="s">
        <v>24</v>
      </c>
      <c r="H1123">
        <v>9</v>
      </c>
      <c r="I1123">
        <v>4959</v>
      </c>
      <c r="J1123">
        <v>479.28</v>
      </c>
    </row>
    <row r="1124" spans="1:10" x14ac:dyDescent="0.25">
      <c r="A1124" s="1">
        <v>44973</v>
      </c>
      <c r="B1124" t="s">
        <v>36</v>
      </c>
      <c r="C1124" t="s">
        <v>17</v>
      </c>
      <c r="D1124" t="s">
        <v>12</v>
      </c>
      <c r="E1124" t="s">
        <v>22</v>
      </c>
      <c r="F1124" t="s">
        <v>23</v>
      </c>
      <c r="G1124" t="s">
        <v>24</v>
      </c>
      <c r="H1124">
        <v>7</v>
      </c>
      <c r="I1124">
        <v>8162</v>
      </c>
      <c r="J1124">
        <v>443.81</v>
      </c>
    </row>
    <row r="1125" spans="1:10" x14ac:dyDescent="0.25">
      <c r="A1125" s="1">
        <v>45072</v>
      </c>
      <c r="B1125" t="s">
        <v>36</v>
      </c>
      <c r="C1125" t="s">
        <v>17</v>
      </c>
      <c r="D1125" t="s">
        <v>12</v>
      </c>
      <c r="E1125" t="s">
        <v>22</v>
      </c>
      <c r="F1125" t="s">
        <v>23</v>
      </c>
      <c r="G1125" t="s">
        <v>24</v>
      </c>
      <c r="H1125">
        <v>5</v>
      </c>
      <c r="I1125">
        <v>1370</v>
      </c>
      <c r="J1125">
        <v>253.92</v>
      </c>
    </row>
    <row r="1126" spans="1:10" x14ac:dyDescent="0.25">
      <c r="A1126" s="1">
        <v>45288</v>
      </c>
      <c r="B1126" t="s">
        <v>18</v>
      </c>
      <c r="C1126" t="s">
        <v>19</v>
      </c>
      <c r="D1126" t="s">
        <v>12</v>
      </c>
      <c r="E1126" t="s">
        <v>120</v>
      </c>
      <c r="F1126" t="s">
        <v>21</v>
      </c>
      <c r="G1126" t="s">
        <v>15</v>
      </c>
      <c r="H1126">
        <v>3</v>
      </c>
      <c r="I1126">
        <v>3111</v>
      </c>
      <c r="J1126">
        <v>607.23</v>
      </c>
    </row>
    <row r="1127" spans="1:10" x14ac:dyDescent="0.25">
      <c r="A1127" s="1">
        <v>44844</v>
      </c>
      <c r="B1127" t="s">
        <v>16</v>
      </c>
      <c r="C1127" t="s">
        <v>17</v>
      </c>
      <c r="D1127" t="s">
        <v>12</v>
      </c>
      <c r="E1127" t="s">
        <v>345</v>
      </c>
      <c r="F1127" t="s">
        <v>21</v>
      </c>
      <c r="G1127" t="s">
        <v>15</v>
      </c>
      <c r="H1127">
        <v>7</v>
      </c>
      <c r="I1127">
        <v>7805</v>
      </c>
      <c r="J1127">
        <v>1078.03</v>
      </c>
    </row>
    <row r="1128" spans="1:10" x14ac:dyDescent="0.25">
      <c r="A1128" s="1">
        <v>45403</v>
      </c>
      <c r="B1128" t="s">
        <v>40</v>
      </c>
      <c r="C1128" t="s">
        <v>19</v>
      </c>
      <c r="D1128" t="s">
        <v>12</v>
      </c>
      <c r="E1128" t="s">
        <v>345</v>
      </c>
      <c r="F1128" t="s">
        <v>21</v>
      </c>
      <c r="G1128" t="s">
        <v>15</v>
      </c>
      <c r="H1128">
        <v>9</v>
      </c>
      <c r="I1128">
        <v>10314</v>
      </c>
      <c r="J1128">
        <v>2729.6</v>
      </c>
    </row>
    <row r="1129" spans="1:10" x14ac:dyDescent="0.25">
      <c r="A1129" s="1">
        <v>45198</v>
      </c>
      <c r="B1129" t="s">
        <v>49</v>
      </c>
      <c r="C1129" t="s">
        <v>17</v>
      </c>
      <c r="D1129" t="s">
        <v>12</v>
      </c>
      <c r="E1129" t="s">
        <v>346</v>
      </c>
      <c r="F1129" t="s">
        <v>343</v>
      </c>
      <c r="G1129" t="s">
        <v>35</v>
      </c>
      <c r="H1129">
        <v>9</v>
      </c>
      <c r="I1129">
        <v>10782</v>
      </c>
      <c r="J1129">
        <v>2730.14</v>
      </c>
    </row>
    <row r="1130" spans="1:10" x14ac:dyDescent="0.25">
      <c r="A1130" s="1">
        <v>45587</v>
      </c>
      <c r="B1130" t="s">
        <v>36</v>
      </c>
      <c r="C1130" t="s">
        <v>17</v>
      </c>
      <c r="D1130" t="s">
        <v>12</v>
      </c>
      <c r="E1130" t="s">
        <v>127</v>
      </c>
      <c r="F1130" t="s">
        <v>57</v>
      </c>
      <c r="G1130" t="s">
        <v>24</v>
      </c>
      <c r="H1130">
        <v>5</v>
      </c>
      <c r="I1130">
        <v>4375</v>
      </c>
      <c r="J1130">
        <v>987.96</v>
      </c>
    </row>
    <row r="1131" spans="1:10" x14ac:dyDescent="0.25">
      <c r="A1131" s="1">
        <v>45138</v>
      </c>
      <c r="B1131" t="s">
        <v>36</v>
      </c>
      <c r="C1131" t="s">
        <v>17</v>
      </c>
      <c r="D1131" t="s">
        <v>12</v>
      </c>
      <c r="E1131" t="s">
        <v>74</v>
      </c>
      <c r="F1131" t="s">
        <v>23</v>
      </c>
      <c r="G1131" t="s">
        <v>24</v>
      </c>
      <c r="H1131">
        <v>5</v>
      </c>
      <c r="I1131">
        <v>2265</v>
      </c>
      <c r="J1131">
        <v>595.04999999999995</v>
      </c>
    </row>
    <row r="1132" spans="1:10" x14ac:dyDescent="0.25">
      <c r="A1132" s="1">
        <v>44666</v>
      </c>
      <c r="B1132" t="s">
        <v>55</v>
      </c>
      <c r="C1132" t="s">
        <v>19</v>
      </c>
      <c r="D1132" t="s">
        <v>12</v>
      </c>
      <c r="E1132" t="s">
        <v>22</v>
      </c>
      <c r="F1132" t="s">
        <v>23</v>
      </c>
      <c r="G1132" t="s">
        <v>24</v>
      </c>
      <c r="H1132">
        <v>1</v>
      </c>
      <c r="I1132">
        <v>166</v>
      </c>
      <c r="J1132">
        <v>9.69</v>
      </c>
    </row>
    <row r="1133" spans="1:10" x14ac:dyDescent="0.25">
      <c r="A1133" s="1">
        <v>45406</v>
      </c>
      <c r="B1133" t="s">
        <v>29</v>
      </c>
      <c r="C1133" t="s">
        <v>17</v>
      </c>
      <c r="D1133" t="s">
        <v>12</v>
      </c>
      <c r="E1133" t="s">
        <v>232</v>
      </c>
      <c r="F1133" t="s">
        <v>94</v>
      </c>
      <c r="G1133" t="s">
        <v>24</v>
      </c>
      <c r="H1133">
        <v>7</v>
      </c>
      <c r="I1133">
        <v>7217</v>
      </c>
      <c r="J1133">
        <v>1481.7</v>
      </c>
    </row>
    <row r="1134" spans="1:10" x14ac:dyDescent="0.25">
      <c r="A1134" s="1">
        <v>44577</v>
      </c>
      <c r="B1134" t="s">
        <v>18</v>
      </c>
      <c r="C1134" t="s">
        <v>19</v>
      </c>
      <c r="D1134" t="s">
        <v>12</v>
      </c>
      <c r="E1134" t="s">
        <v>74</v>
      </c>
      <c r="F1134" t="s">
        <v>23</v>
      </c>
      <c r="G1134" t="s">
        <v>24</v>
      </c>
      <c r="H1134">
        <v>3</v>
      </c>
      <c r="I1134">
        <v>1767</v>
      </c>
      <c r="J1134">
        <v>186.54</v>
      </c>
    </row>
    <row r="1135" spans="1:10" x14ac:dyDescent="0.25">
      <c r="A1135" s="1">
        <v>45266</v>
      </c>
      <c r="B1135" t="s">
        <v>55</v>
      </c>
      <c r="C1135" t="s">
        <v>19</v>
      </c>
      <c r="D1135" t="s">
        <v>12</v>
      </c>
      <c r="E1135" t="s">
        <v>105</v>
      </c>
      <c r="F1135" t="s">
        <v>23</v>
      </c>
      <c r="G1135" t="s">
        <v>24</v>
      </c>
      <c r="H1135">
        <v>3</v>
      </c>
      <c r="I1135">
        <v>2883</v>
      </c>
      <c r="J1135">
        <v>557.80999999999995</v>
      </c>
    </row>
    <row r="1136" spans="1:10" x14ac:dyDescent="0.25">
      <c r="A1136" s="1">
        <v>45539</v>
      </c>
      <c r="B1136" t="s">
        <v>32</v>
      </c>
      <c r="C1136" t="s">
        <v>19</v>
      </c>
      <c r="D1136" t="s">
        <v>12</v>
      </c>
      <c r="E1136" t="s">
        <v>98</v>
      </c>
      <c r="F1136" t="s">
        <v>54</v>
      </c>
      <c r="G1136" t="s">
        <v>24</v>
      </c>
      <c r="H1136">
        <v>3</v>
      </c>
      <c r="I1136">
        <v>1338</v>
      </c>
      <c r="J1136">
        <v>396.08</v>
      </c>
    </row>
    <row r="1137" spans="1:10" x14ac:dyDescent="0.25">
      <c r="A1137" s="1">
        <v>45528</v>
      </c>
      <c r="B1137" t="s">
        <v>10</v>
      </c>
      <c r="C1137" t="s">
        <v>11</v>
      </c>
      <c r="D1137" t="s">
        <v>12</v>
      </c>
      <c r="E1137" t="s">
        <v>98</v>
      </c>
      <c r="F1137" t="s">
        <v>54</v>
      </c>
      <c r="G1137" t="s">
        <v>24</v>
      </c>
      <c r="H1137">
        <v>9</v>
      </c>
      <c r="I1137">
        <v>9459</v>
      </c>
      <c r="J1137">
        <v>604.05999999999995</v>
      </c>
    </row>
    <row r="1138" spans="1:10" x14ac:dyDescent="0.25">
      <c r="A1138" s="1">
        <v>44722</v>
      </c>
      <c r="B1138" t="s">
        <v>10</v>
      </c>
      <c r="C1138" t="s">
        <v>11</v>
      </c>
      <c r="D1138" t="s">
        <v>12</v>
      </c>
      <c r="E1138" t="s">
        <v>146</v>
      </c>
      <c r="F1138" t="s">
        <v>21</v>
      </c>
      <c r="G1138" t="s">
        <v>15</v>
      </c>
      <c r="H1138">
        <v>3</v>
      </c>
      <c r="I1138">
        <v>168</v>
      </c>
      <c r="J1138">
        <v>45.31</v>
      </c>
    </row>
    <row r="1139" spans="1:10" x14ac:dyDescent="0.25">
      <c r="A1139" s="1">
        <v>44837</v>
      </c>
      <c r="B1139" t="s">
        <v>40</v>
      </c>
      <c r="C1139" t="s">
        <v>19</v>
      </c>
      <c r="D1139" t="s">
        <v>12</v>
      </c>
      <c r="E1139" t="s">
        <v>103</v>
      </c>
      <c r="F1139" t="s">
        <v>21</v>
      </c>
      <c r="G1139" t="s">
        <v>15</v>
      </c>
      <c r="H1139">
        <v>9</v>
      </c>
      <c r="I1139">
        <v>4536</v>
      </c>
      <c r="J1139">
        <v>479.78</v>
      </c>
    </row>
    <row r="1140" spans="1:10" x14ac:dyDescent="0.25">
      <c r="A1140" s="1">
        <v>44617</v>
      </c>
      <c r="B1140" t="s">
        <v>16</v>
      </c>
      <c r="C1140" t="s">
        <v>17</v>
      </c>
      <c r="D1140" t="s">
        <v>12</v>
      </c>
      <c r="E1140" t="s">
        <v>74</v>
      </c>
      <c r="F1140" t="s">
        <v>23</v>
      </c>
      <c r="G1140" t="s">
        <v>24</v>
      </c>
      <c r="H1140">
        <v>4</v>
      </c>
      <c r="I1140">
        <v>4404</v>
      </c>
      <c r="J1140">
        <v>793.7</v>
      </c>
    </row>
    <row r="1141" spans="1:10" x14ac:dyDescent="0.25">
      <c r="A1141" s="1">
        <v>45156</v>
      </c>
      <c r="B1141" t="s">
        <v>36</v>
      </c>
      <c r="C1141" t="s">
        <v>17</v>
      </c>
      <c r="D1141" t="s">
        <v>12</v>
      </c>
      <c r="E1141" t="s">
        <v>52</v>
      </c>
      <c r="F1141" t="s">
        <v>42</v>
      </c>
      <c r="G1141" t="s">
        <v>28</v>
      </c>
      <c r="H1141">
        <v>4</v>
      </c>
      <c r="I1141">
        <v>1952</v>
      </c>
      <c r="J1141">
        <v>148.66999999999999</v>
      </c>
    </row>
    <row r="1142" spans="1:10" x14ac:dyDescent="0.25">
      <c r="A1142" s="1">
        <v>44918</v>
      </c>
      <c r="B1142" t="s">
        <v>16</v>
      </c>
      <c r="C1142" t="s">
        <v>17</v>
      </c>
      <c r="D1142" t="s">
        <v>12</v>
      </c>
      <c r="E1142" t="s">
        <v>26</v>
      </c>
      <c r="F1142" t="s">
        <v>27</v>
      </c>
      <c r="G1142" t="s">
        <v>28</v>
      </c>
      <c r="H1142">
        <v>3</v>
      </c>
      <c r="I1142">
        <v>2004</v>
      </c>
      <c r="J1142">
        <v>467.76</v>
      </c>
    </row>
    <row r="1143" spans="1:10" x14ac:dyDescent="0.25">
      <c r="A1143" s="1">
        <v>44742</v>
      </c>
      <c r="B1143" t="s">
        <v>49</v>
      </c>
      <c r="C1143" t="s">
        <v>17</v>
      </c>
      <c r="D1143" t="s">
        <v>12</v>
      </c>
      <c r="E1143" t="s">
        <v>74</v>
      </c>
      <c r="F1143" t="s">
        <v>23</v>
      </c>
      <c r="G1143" t="s">
        <v>24</v>
      </c>
      <c r="H1143">
        <v>4</v>
      </c>
      <c r="I1143">
        <v>468</v>
      </c>
      <c r="J1143">
        <v>131.47999999999999</v>
      </c>
    </row>
    <row r="1144" spans="1:10" x14ac:dyDescent="0.25">
      <c r="A1144" s="1">
        <v>45606</v>
      </c>
      <c r="B1144" t="s">
        <v>40</v>
      </c>
      <c r="C1144" t="s">
        <v>19</v>
      </c>
      <c r="D1144" t="s">
        <v>12</v>
      </c>
      <c r="E1144" t="s">
        <v>26</v>
      </c>
      <c r="F1144" t="s">
        <v>27</v>
      </c>
      <c r="G1144" t="s">
        <v>28</v>
      </c>
      <c r="H1144">
        <v>9</v>
      </c>
      <c r="I1144">
        <v>8667</v>
      </c>
      <c r="J1144">
        <v>1597.49</v>
      </c>
    </row>
    <row r="1145" spans="1:10" x14ac:dyDescent="0.25">
      <c r="A1145" s="1">
        <v>45346</v>
      </c>
      <c r="B1145" t="s">
        <v>10</v>
      </c>
      <c r="C1145" t="s">
        <v>11</v>
      </c>
      <c r="D1145" t="s">
        <v>12</v>
      </c>
      <c r="E1145" t="s">
        <v>26</v>
      </c>
      <c r="F1145" t="s">
        <v>27</v>
      </c>
      <c r="G1145" t="s">
        <v>28</v>
      </c>
      <c r="H1145">
        <v>7</v>
      </c>
      <c r="I1145">
        <v>6097</v>
      </c>
      <c r="J1145">
        <v>567.32000000000005</v>
      </c>
    </row>
    <row r="1146" spans="1:10" x14ac:dyDescent="0.25">
      <c r="A1146" s="1">
        <v>44662</v>
      </c>
      <c r="B1146" t="s">
        <v>29</v>
      </c>
      <c r="C1146" t="s">
        <v>17</v>
      </c>
      <c r="D1146" t="s">
        <v>12</v>
      </c>
      <c r="E1146" t="s">
        <v>43</v>
      </c>
      <c r="F1146" t="s">
        <v>44</v>
      </c>
      <c r="G1146" t="s">
        <v>35</v>
      </c>
      <c r="H1146">
        <v>9</v>
      </c>
      <c r="I1146">
        <v>4752</v>
      </c>
      <c r="J1146">
        <v>1415.65</v>
      </c>
    </row>
    <row r="1147" spans="1:10" x14ac:dyDescent="0.25">
      <c r="A1147" s="1">
        <v>45056</v>
      </c>
      <c r="B1147" t="s">
        <v>49</v>
      </c>
      <c r="C1147" t="s">
        <v>17</v>
      </c>
      <c r="D1147" t="s">
        <v>12</v>
      </c>
      <c r="E1147" t="s">
        <v>164</v>
      </c>
      <c r="F1147" t="s">
        <v>94</v>
      </c>
      <c r="G1147" t="s">
        <v>24</v>
      </c>
      <c r="H1147">
        <v>1</v>
      </c>
      <c r="I1147">
        <v>1172</v>
      </c>
      <c r="J1147">
        <v>124.9</v>
      </c>
    </row>
    <row r="1148" spans="1:10" x14ac:dyDescent="0.25">
      <c r="A1148" s="1">
        <v>44701</v>
      </c>
      <c r="B1148" t="s">
        <v>49</v>
      </c>
      <c r="C1148" t="s">
        <v>17</v>
      </c>
      <c r="D1148" t="s">
        <v>12</v>
      </c>
      <c r="E1148" t="s">
        <v>347</v>
      </c>
      <c r="F1148" t="s">
        <v>31</v>
      </c>
      <c r="G1148" t="s">
        <v>24</v>
      </c>
      <c r="H1148">
        <v>2</v>
      </c>
      <c r="I1148">
        <v>1608</v>
      </c>
      <c r="J1148">
        <v>170.29</v>
      </c>
    </row>
    <row r="1149" spans="1:10" x14ac:dyDescent="0.25">
      <c r="A1149" s="1">
        <v>45067</v>
      </c>
      <c r="B1149" t="s">
        <v>10</v>
      </c>
      <c r="C1149" t="s">
        <v>11</v>
      </c>
      <c r="D1149" t="s">
        <v>12</v>
      </c>
      <c r="E1149" t="s">
        <v>37</v>
      </c>
      <c r="F1149" t="s">
        <v>34</v>
      </c>
      <c r="G1149" t="s">
        <v>35</v>
      </c>
      <c r="H1149">
        <v>7</v>
      </c>
      <c r="I1149">
        <v>7595</v>
      </c>
      <c r="J1149">
        <v>969.07</v>
      </c>
    </row>
    <row r="1150" spans="1:10" x14ac:dyDescent="0.25">
      <c r="A1150" s="1">
        <v>45490</v>
      </c>
      <c r="B1150" t="s">
        <v>32</v>
      </c>
      <c r="C1150" t="s">
        <v>19</v>
      </c>
      <c r="D1150" t="s">
        <v>12</v>
      </c>
      <c r="E1150" t="s">
        <v>197</v>
      </c>
      <c r="F1150" t="s">
        <v>168</v>
      </c>
      <c r="G1150" t="s">
        <v>15</v>
      </c>
      <c r="H1150">
        <v>1</v>
      </c>
      <c r="I1150">
        <v>1142</v>
      </c>
      <c r="J1150">
        <v>306.83999999999997</v>
      </c>
    </row>
    <row r="1151" spans="1:10" x14ac:dyDescent="0.25">
      <c r="A1151" s="1">
        <v>45614</v>
      </c>
      <c r="B1151" t="s">
        <v>49</v>
      </c>
      <c r="C1151" t="s">
        <v>17</v>
      </c>
      <c r="D1151" t="s">
        <v>12</v>
      </c>
      <c r="E1151" t="s">
        <v>87</v>
      </c>
      <c r="F1151" t="s">
        <v>88</v>
      </c>
      <c r="G1151" t="s">
        <v>15</v>
      </c>
      <c r="H1151">
        <v>2</v>
      </c>
      <c r="I1151">
        <v>116</v>
      </c>
      <c r="J1151">
        <v>13.67</v>
      </c>
    </row>
    <row r="1152" spans="1:10" x14ac:dyDescent="0.25">
      <c r="A1152" s="1">
        <v>44718</v>
      </c>
      <c r="B1152" t="s">
        <v>40</v>
      </c>
      <c r="C1152" t="s">
        <v>19</v>
      </c>
      <c r="D1152" t="s">
        <v>12</v>
      </c>
      <c r="E1152" t="s">
        <v>43</v>
      </c>
      <c r="F1152" t="s">
        <v>44</v>
      </c>
      <c r="G1152" t="s">
        <v>35</v>
      </c>
      <c r="H1152">
        <v>9</v>
      </c>
      <c r="I1152">
        <v>3951</v>
      </c>
      <c r="J1152">
        <v>908.13</v>
      </c>
    </row>
    <row r="1153" spans="1:10" x14ac:dyDescent="0.25">
      <c r="A1153" s="1">
        <v>45281</v>
      </c>
      <c r="B1153" t="s">
        <v>49</v>
      </c>
      <c r="C1153" t="s">
        <v>17</v>
      </c>
      <c r="D1153" t="s">
        <v>12</v>
      </c>
      <c r="E1153" t="s">
        <v>162</v>
      </c>
      <c r="F1153" t="s">
        <v>23</v>
      </c>
      <c r="G1153" t="s">
        <v>24</v>
      </c>
      <c r="H1153">
        <v>2</v>
      </c>
      <c r="I1153">
        <v>1606</v>
      </c>
      <c r="J1153">
        <v>138.96</v>
      </c>
    </row>
    <row r="1154" spans="1:10" x14ac:dyDescent="0.25">
      <c r="A1154" s="1">
        <v>44881</v>
      </c>
      <c r="B1154" t="s">
        <v>29</v>
      </c>
      <c r="C1154" t="s">
        <v>17</v>
      </c>
      <c r="D1154" t="s">
        <v>12</v>
      </c>
      <c r="E1154" t="s">
        <v>22</v>
      </c>
      <c r="F1154" t="s">
        <v>23</v>
      </c>
      <c r="G1154" t="s">
        <v>24</v>
      </c>
      <c r="H1154">
        <v>3</v>
      </c>
      <c r="I1154">
        <v>2025</v>
      </c>
      <c r="J1154">
        <v>403</v>
      </c>
    </row>
    <row r="1155" spans="1:10" x14ac:dyDescent="0.25">
      <c r="A1155" s="1">
        <v>45131</v>
      </c>
      <c r="B1155" t="s">
        <v>32</v>
      </c>
      <c r="C1155" t="s">
        <v>19</v>
      </c>
      <c r="D1155" t="s">
        <v>12</v>
      </c>
      <c r="E1155" t="s">
        <v>288</v>
      </c>
      <c r="F1155" t="s">
        <v>156</v>
      </c>
      <c r="G1155" t="s">
        <v>28</v>
      </c>
      <c r="H1155">
        <v>2</v>
      </c>
      <c r="I1155">
        <v>2006</v>
      </c>
      <c r="J1155">
        <v>235.52</v>
      </c>
    </row>
    <row r="1156" spans="1:10" x14ac:dyDescent="0.25">
      <c r="A1156" s="1">
        <v>45448</v>
      </c>
      <c r="B1156" t="s">
        <v>25</v>
      </c>
      <c r="C1156" t="s">
        <v>19</v>
      </c>
      <c r="D1156" t="s">
        <v>12</v>
      </c>
      <c r="E1156" t="s">
        <v>105</v>
      </c>
      <c r="F1156" t="s">
        <v>23</v>
      </c>
      <c r="G1156" t="s">
        <v>24</v>
      </c>
      <c r="H1156">
        <v>9</v>
      </c>
      <c r="I1156">
        <v>9423</v>
      </c>
      <c r="J1156">
        <v>652.05999999999995</v>
      </c>
    </row>
    <row r="1157" spans="1:10" x14ac:dyDescent="0.25">
      <c r="A1157" s="1">
        <v>44797</v>
      </c>
      <c r="B1157" t="s">
        <v>55</v>
      </c>
      <c r="C1157" t="s">
        <v>19</v>
      </c>
      <c r="D1157" t="s">
        <v>12</v>
      </c>
      <c r="E1157" t="s">
        <v>243</v>
      </c>
      <c r="F1157" t="s">
        <v>78</v>
      </c>
      <c r="G1157" t="s">
        <v>28</v>
      </c>
      <c r="H1157">
        <v>4</v>
      </c>
      <c r="I1157">
        <v>2276</v>
      </c>
      <c r="J1157">
        <v>399.94</v>
      </c>
    </row>
    <row r="1158" spans="1:10" x14ac:dyDescent="0.25">
      <c r="A1158" s="1">
        <v>44795</v>
      </c>
      <c r="B1158" t="s">
        <v>36</v>
      </c>
      <c r="C1158" t="s">
        <v>17</v>
      </c>
      <c r="D1158" t="s">
        <v>12</v>
      </c>
      <c r="E1158" t="s">
        <v>294</v>
      </c>
      <c r="F1158" t="s">
        <v>149</v>
      </c>
      <c r="G1158" t="s">
        <v>15</v>
      </c>
      <c r="H1158">
        <v>5</v>
      </c>
      <c r="I1158">
        <v>4880</v>
      </c>
      <c r="J1158">
        <v>664.06</v>
      </c>
    </row>
    <row r="1159" spans="1:10" x14ac:dyDescent="0.25">
      <c r="A1159" s="1">
        <v>45614</v>
      </c>
      <c r="B1159" t="s">
        <v>55</v>
      </c>
      <c r="C1159" t="s">
        <v>19</v>
      </c>
      <c r="D1159" t="s">
        <v>12</v>
      </c>
      <c r="E1159" t="s">
        <v>294</v>
      </c>
      <c r="F1159" t="s">
        <v>149</v>
      </c>
      <c r="G1159" t="s">
        <v>15</v>
      </c>
      <c r="H1159">
        <v>3</v>
      </c>
      <c r="I1159">
        <v>1773</v>
      </c>
      <c r="J1159">
        <v>183.15</v>
      </c>
    </row>
    <row r="1160" spans="1:10" x14ac:dyDescent="0.25">
      <c r="A1160" s="1">
        <v>44947</v>
      </c>
      <c r="B1160" t="s">
        <v>32</v>
      </c>
      <c r="C1160" t="s">
        <v>19</v>
      </c>
      <c r="D1160" t="s">
        <v>12</v>
      </c>
      <c r="E1160" t="s">
        <v>45</v>
      </c>
      <c r="F1160" t="s">
        <v>46</v>
      </c>
      <c r="G1160" t="s">
        <v>15</v>
      </c>
      <c r="H1160">
        <v>9</v>
      </c>
      <c r="I1160">
        <v>2718</v>
      </c>
      <c r="J1160">
        <v>195.97</v>
      </c>
    </row>
    <row r="1161" spans="1:10" x14ac:dyDescent="0.25">
      <c r="A1161" s="1">
        <v>44872</v>
      </c>
      <c r="B1161" t="s">
        <v>29</v>
      </c>
      <c r="C1161" t="s">
        <v>17</v>
      </c>
      <c r="D1161" t="s">
        <v>12</v>
      </c>
      <c r="E1161" t="s">
        <v>348</v>
      </c>
      <c r="F1161" t="s">
        <v>65</v>
      </c>
      <c r="G1161" t="s">
        <v>35</v>
      </c>
      <c r="H1161">
        <v>4</v>
      </c>
      <c r="I1161">
        <v>3168</v>
      </c>
      <c r="J1161">
        <v>939.45</v>
      </c>
    </row>
    <row r="1162" spans="1:10" x14ac:dyDescent="0.25">
      <c r="A1162" s="1">
        <v>44592</v>
      </c>
      <c r="B1162" t="s">
        <v>25</v>
      </c>
      <c r="C1162" t="s">
        <v>19</v>
      </c>
      <c r="D1162" t="s">
        <v>12</v>
      </c>
      <c r="E1162" t="s">
        <v>348</v>
      </c>
      <c r="F1162" t="s">
        <v>65</v>
      </c>
      <c r="G1162" t="s">
        <v>35</v>
      </c>
      <c r="H1162">
        <v>2</v>
      </c>
      <c r="I1162">
        <v>1716</v>
      </c>
      <c r="J1162">
        <v>368.06</v>
      </c>
    </row>
    <row r="1163" spans="1:10" x14ac:dyDescent="0.25">
      <c r="A1163" s="1">
        <v>45329</v>
      </c>
      <c r="B1163" t="s">
        <v>40</v>
      </c>
      <c r="C1163" t="s">
        <v>19</v>
      </c>
      <c r="D1163" t="s">
        <v>12</v>
      </c>
      <c r="E1163" t="s">
        <v>56</v>
      </c>
      <c r="F1163" t="s">
        <v>57</v>
      </c>
      <c r="G1163" t="s">
        <v>24</v>
      </c>
      <c r="H1163">
        <v>2</v>
      </c>
      <c r="I1163">
        <v>214</v>
      </c>
      <c r="J1163">
        <v>14.08</v>
      </c>
    </row>
    <row r="1164" spans="1:10" x14ac:dyDescent="0.25">
      <c r="A1164" s="1">
        <v>45447</v>
      </c>
      <c r="B1164" t="s">
        <v>25</v>
      </c>
      <c r="C1164" t="s">
        <v>19</v>
      </c>
      <c r="D1164" t="s">
        <v>12</v>
      </c>
      <c r="E1164" t="s">
        <v>56</v>
      </c>
      <c r="F1164" t="s">
        <v>57</v>
      </c>
      <c r="G1164" t="s">
        <v>24</v>
      </c>
      <c r="H1164">
        <v>2</v>
      </c>
      <c r="I1164">
        <v>2092</v>
      </c>
      <c r="J1164">
        <v>366.12</v>
      </c>
    </row>
    <row r="1165" spans="1:10" x14ac:dyDescent="0.25">
      <c r="A1165" s="1">
        <v>45372</v>
      </c>
      <c r="B1165" t="s">
        <v>29</v>
      </c>
      <c r="C1165" t="s">
        <v>17</v>
      </c>
      <c r="D1165" t="s">
        <v>12</v>
      </c>
      <c r="E1165" t="s">
        <v>146</v>
      </c>
      <c r="F1165" t="s">
        <v>21</v>
      </c>
      <c r="G1165" t="s">
        <v>15</v>
      </c>
      <c r="H1165">
        <v>3</v>
      </c>
      <c r="I1165">
        <v>225</v>
      </c>
      <c r="J1165">
        <v>46.96</v>
      </c>
    </row>
    <row r="1166" spans="1:10" x14ac:dyDescent="0.25">
      <c r="A1166" s="1">
        <v>45011</v>
      </c>
      <c r="B1166" t="s">
        <v>32</v>
      </c>
      <c r="C1166" t="s">
        <v>19</v>
      </c>
      <c r="D1166" t="s">
        <v>12</v>
      </c>
      <c r="E1166" t="s">
        <v>26</v>
      </c>
      <c r="F1166" t="s">
        <v>27</v>
      </c>
      <c r="G1166" t="s">
        <v>28</v>
      </c>
      <c r="H1166">
        <v>1</v>
      </c>
      <c r="I1166">
        <v>859</v>
      </c>
      <c r="J1166">
        <v>217.67</v>
      </c>
    </row>
    <row r="1167" spans="1:10" x14ac:dyDescent="0.25">
      <c r="A1167" s="1">
        <v>44661</v>
      </c>
      <c r="B1167" t="s">
        <v>10</v>
      </c>
      <c r="C1167" t="s">
        <v>11</v>
      </c>
      <c r="D1167" t="s">
        <v>12</v>
      </c>
      <c r="E1167" t="s">
        <v>249</v>
      </c>
      <c r="F1167" t="s">
        <v>115</v>
      </c>
      <c r="G1167" t="s">
        <v>15</v>
      </c>
      <c r="H1167">
        <v>2</v>
      </c>
      <c r="I1167">
        <v>2070</v>
      </c>
      <c r="J1167">
        <v>183.41</v>
      </c>
    </row>
    <row r="1168" spans="1:10" x14ac:dyDescent="0.25">
      <c r="A1168" s="1">
        <v>45453</v>
      </c>
      <c r="B1168" t="s">
        <v>49</v>
      </c>
      <c r="C1168" t="s">
        <v>17</v>
      </c>
      <c r="D1168" t="s">
        <v>12</v>
      </c>
      <c r="E1168" t="s">
        <v>106</v>
      </c>
      <c r="F1168" t="s">
        <v>71</v>
      </c>
      <c r="G1168" t="s">
        <v>35</v>
      </c>
      <c r="H1168">
        <v>6</v>
      </c>
      <c r="I1168">
        <v>3240</v>
      </c>
      <c r="J1168">
        <v>758.19</v>
      </c>
    </row>
    <row r="1169" spans="1:10" x14ac:dyDescent="0.25">
      <c r="A1169" s="1">
        <v>44842</v>
      </c>
      <c r="B1169" t="s">
        <v>18</v>
      </c>
      <c r="C1169" t="s">
        <v>19</v>
      </c>
      <c r="D1169" t="s">
        <v>12</v>
      </c>
      <c r="E1169" t="s">
        <v>105</v>
      </c>
      <c r="F1169" t="s">
        <v>23</v>
      </c>
      <c r="G1169" t="s">
        <v>24</v>
      </c>
      <c r="H1169">
        <v>2</v>
      </c>
      <c r="I1169">
        <v>1748</v>
      </c>
      <c r="J1169">
        <v>506.52</v>
      </c>
    </row>
    <row r="1170" spans="1:10" x14ac:dyDescent="0.25">
      <c r="A1170" s="1">
        <v>45113</v>
      </c>
      <c r="B1170" t="s">
        <v>16</v>
      </c>
      <c r="C1170" t="s">
        <v>17</v>
      </c>
      <c r="D1170" t="s">
        <v>12</v>
      </c>
      <c r="E1170" t="s">
        <v>105</v>
      </c>
      <c r="F1170" t="s">
        <v>23</v>
      </c>
      <c r="G1170" t="s">
        <v>24</v>
      </c>
      <c r="H1170">
        <v>8</v>
      </c>
      <c r="I1170">
        <v>2080</v>
      </c>
      <c r="J1170">
        <v>108.48</v>
      </c>
    </row>
    <row r="1171" spans="1:10" x14ac:dyDescent="0.25">
      <c r="A1171" s="1">
        <v>44730</v>
      </c>
      <c r="B1171" t="s">
        <v>32</v>
      </c>
      <c r="C1171" t="s">
        <v>19</v>
      </c>
      <c r="D1171" t="s">
        <v>12</v>
      </c>
      <c r="E1171" t="s">
        <v>75</v>
      </c>
      <c r="F1171" t="s">
        <v>108</v>
      </c>
      <c r="G1171" t="s">
        <v>15</v>
      </c>
      <c r="H1171">
        <v>3</v>
      </c>
      <c r="I1171">
        <v>2193</v>
      </c>
      <c r="J1171">
        <v>521.14</v>
      </c>
    </row>
    <row r="1172" spans="1:10" x14ac:dyDescent="0.25">
      <c r="A1172" s="1">
        <v>45085</v>
      </c>
      <c r="B1172" t="s">
        <v>29</v>
      </c>
      <c r="C1172" t="s">
        <v>17</v>
      </c>
      <c r="D1172" t="s">
        <v>12</v>
      </c>
      <c r="E1172" t="s">
        <v>349</v>
      </c>
      <c r="F1172" t="s">
        <v>78</v>
      </c>
      <c r="G1172" t="s">
        <v>28</v>
      </c>
      <c r="H1172">
        <v>5</v>
      </c>
      <c r="I1172">
        <v>2080</v>
      </c>
      <c r="J1172">
        <v>614.77</v>
      </c>
    </row>
    <row r="1173" spans="1:10" x14ac:dyDescent="0.25">
      <c r="A1173" s="1">
        <v>44694</v>
      </c>
      <c r="B1173" t="s">
        <v>16</v>
      </c>
      <c r="C1173" t="s">
        <v>17</v>
      </c>
      <c r="D1173" t="s">
        <v>12</v>
      </c>
      <c r="E1173" t="s">
        <v>235</v>
      </c>
      <c r="F1173" t="s">
        <v>115</v>
      </c>
      <c r="G1173" t="s">
        <v>15</v>
      </c>
      <c r="H1173">
        <v>5</v>
      </c>
      <c r="I1173">
        <v>5070</v>
      </c>
      <c r="J1173">
        <v>986.39</v>
      </c>
    </row>
    <row r="1174" spans="1:10" x14ac:dyDescent="0.25">
      <c r="A1174" s="1">
        <v>45359</v>
      </c>
      <c r="B1174" t="s">
        <v>55</v>
      </c>
      <c r="C1174" t="s">
        <v>19</v>
      </c>
      <c r="D1174" t="s">
        <v>12</v>
      </c>
      <c r="E1174" t="s">
        <v>350</v>
      </c>
      <c r="F1174" t="s">
        <v>23</v>
      </c>
      <c r="G1174" t="s">
        <v>24</v>
      </c>
      <c r="H1174">
        <v>7</v>
      </c>
      <c r="I1174">
        <v>469</v>
      </c>
      <c r="J1174">
        <v>47.4</v>
      </c>
    </row>
    <row r="1175" spans="1:10" x14ac:dyDescent="0.25">
      <c r="A1175" s="1">
        <v>45207</v>
      </c>
      <c r="B1175" t="s">
        <v>10</v>
      </c>
      <c r="C1175" t="s">
        <v>11</v>
      </c>
      <c r="D1175" t="s">
        <v>12</v>
      </c>
      <c r="E1175" t="s">
        <v>351</v>
      </c>
      <c r="F1175" t="s">
        <v>189</v>
      </c>
      <c r="G1175" t="s">
        <v>24</v>
      </c>
      <c r="H1175">
        <v>1</v>
      </c>
      <c r="I1175">
        <v>802</v>
      </c>
      <c r="J1175">
        <v>153.55000000000001</v>
      </c>
    </row>
    <row r="1176" spans="1:10" x14ac:dyDescent="0.25">
      <c r="A1176" s="1">
        <v>45657</v>
      </c>
      <c r="B1176" t="s">
        <v>40</v>
      </c>
      <c r="C1176" t="s">
        <v>19</v>
      </c>
      <c r="D1176" t="s">
        <v>12</v>
      </c>
      <c r="E1176" t="s">
        <v>53</v>
      </c>
      <c r="F1176" t="s">
        <v>54</v>
      </c>
      <c r="G1176" t="s">
        <v>24</v>
      </c>
      <c r="H1176">
        <v>6</v>
      </c>
      <c r="I1176">
        <v>930</v>
      </c>
      <c r="J1176">
        <v>213.6</v>
      </c>
    </row>
    <row r="1177" spans="1:10" x14ac:dyDescent="0.25">
      <c r="A1177" s="1">
        <v>44631</v>
      </c>
      <c r="B1177" t="s">
        <v>32</v>
      </c>
      <c r="C1177" t="s">
        <v>19</v>
      </c>
      <c r="D1177" t="s">
        <v>12</v>
      </c>
      <c r="E1177" t="s">
        <v>352</v>
      </c>
      <c r="F1177" t="s">
        <v>267</v>
      </c>
      <c r="G1177" t="s">
        <v>24</v>
      </c>
      <c r="H1177">
        <v>1</v>
      </c>
      <c r="I1177">
        <v>495</v>
      </c>
      <c r="J1177">
        <v>55.17</v>
      </c>
    </row>
    <row r="1178" spans="1:10" x14ac:dyDescent="0.25">
      <c r="A1178" s="1">
        <v>45505</v>
      </c>
      <c r="B1178" t="s">
        <v>36</v>
      </c>
      <c r="C1178" t="s">
        <v>17</v>
      </c>
      <c r="D1178" t="s">
        <v>12</v>
      </c>
      <c r="E1178" t="s">
        <v>43</v>
      </c>
      <c r="F1178" t="s">
        <v>44</v>
      </c>
      <c r="G1178" t="s">
        <v>35</v>
      </c>
      <c r="H1178">
        <v>6</v>
      </c>
      <c r="I1178">
        <v>4938</v>
      </c>
      <c r="J1178">
        <v>847.89</v>
      </c>
    </row>
    <row r="1179" spans="1:10" x14ac:dyDescent="0.25">
      <c r="A1179" s="1">
        <v>44794</v>
      </c>
      <c r="B1179" t="s">
        <v>18</v>
      </c>
      <c r="C1179" t="s">
        <v>19</v>
      </c>
      <c r="D1179" t="s">
        <v>12</v>
      </c>
      <c r="E1179" t="s">
        <v>353</v>
      </c>
      <c r="F1179" t="s">
        <v>21</v>
      </c>
      <c r="G1179" t="s">
        <v>15</v>
      </c>
      <c r="H1179">
        <v>2</v>
      </c>
      <c r="I1179">
        <v>1300</v>
      </c>
      <c r="J1179">
        <v>267.45999999999998</v>
      </c>
    </row>
    <row r="1180" spans="1:10" x14ac:dyDescent="0.25">
      <c r="A1180" s="1">
        <v>45637</v>
      </c>
      <c r="B1180" t="s">
        <v>16</v>
      </c>
      <c r="C1180" t="s">
        <v>17</v>
      </c>
      <c r="D1180" t="s">
        <v>12</v>
      </c>
      <c r="E1180" t="s">
        <v>37</v>
      </c>
      <c r="F1180" t="s">
        <v>34</v>
      </c>
      <c r="G1180" t="s">
        <v>35</v>
      </c>
      <c r="H1180">
        <v>7</v>
      </c>
      <c r="I1180">
        <v>2100</v>
      </c>
      <c r="J1180">
        <v>131.66999999999999</v>
      </c>
    </row>
    <row r="1181" spans="1:10" x14ac:dyDescent="0.25">
      <c r="A1181" s="1">
        <v>45364</v>
      </c>
      <c r="B1181" t="s">
        <v>25</v>
      </c>
      <c r="C1181" t="s">
        <v>19</v>
      </c>
      <c r="D1181" t="s">
        <v>12</v>
      </c>
      <c r="E1181" t="s">
        <v>307</v>
      </c>
      <c r="F1181" t="s">
        <v>156</v>
      </c>
      <c r="G1181" t="s">
        <v>28</v>
      </c>
      <c r="H1181">
        <v>2</v>
      </c>
      <c r="I1181">
        <v>2248</v>
      </c>
      <c r="J1181">
        <v>636.52</v>
      </c>
    </row>
    <row r="1182" spans="1:10" x14ac:dyDescent="0.25">
      <c r="A1182" s="1">
        <v>45265</v>
      </c>
      <c r="B1182" t="s">
        <v>29</v>
      </c>
      <c r="C1182" t="s">
        <v>17</v>
      </c>
      <c r="D1182" t="s">
        <v>12</v>
      </c>
      <c r="E1182" t="s">
        <v>74</v>
      </c>
      <c r="F1182" t="s">
        <v>23</v>
      </c>
      <c r="G1182" t="s">
        <v>24</v>
      </c>
      <c r="H1182">
        <v>8</v>
      </c>
      <c r="I1182">
        <v>7096</v>
      </c>
      <c r="J1182">
        <v>991.23</v>
      </c>
    </row>
    <row r="1183" spans="1:10" x14ac:dyDescent="0.25">
      <c r="A1183" s="1">
        <v>44694</v>
      </c>
      <c r="B1183" t="s">
        <v>29</v>
      </c>
      <c r="C1183" t="s">
        <v>17</v>
      </c>
      <c r="D1183" t="s">
        <v>12</v>
      </c>
      <c r="E1183" t="s">
        <v>215</v>
      </c>
      <c r="F1183" t="s">
        <v>63</v>
      </c>
      <c r="G1183" t="s">
        <v>28</v>
      </c>
      <c r="H1183">
        <v>3</v>
      </c>
      <c r="I1183">
        <v>1992</v>
      </c>
      <c r="J1183">
        <v>252.21</v>
      </c>
    </row>
    <row r="1184" spans="1:10" x14ac:dyDescent="0.25">
      <c r="A1184" s="1">
        <v>44590</v>
      </c>
      <c r="B1184" t="s">
        <v>25</v>
      </c>
      <c r="C1184" t="s">
        <v>19</v>
      </c>
      <c r="D1184" t="s">
        <v>12</v>
      </c>
      <c r="E1184" t="s">
        <v>52</v>
      </c>
      <c r="F1184" t="s">
        <v>42</v>
      </c>
      <c r="G1184" t="s">
        <v>28</v>
      </c>
      <c r="H1184">
        <v>4</v>
      </c>
      <c r="I1184">
        <v>4056</v>
      </c>
      <c r="J1184">
        <v>1189.26</v>
      </c>
    </row>
    <row r="1185" spans="1:10" x14ac:dyDescent="0.25">
      <c r="A1185" s="1">
        <v>44917</v>
      </c>
      <c r="B1185" t="s">
        <v>25</v>
      </c>
      <c r="C1185" t="s">
        <v>19</v>
      </c>
      <c r="D1185" t="s">
        <v>12</v>
      </c>
      <c r="E1185" t="s">
        <v>52</v>
      </c>
      <c r="F1185" t="s">
        <v>42</v>
      </c>
      <c r="G1185" t="s">
        <v>28</v>
      </c>
      <c r="H1185">
        <v>2</v>
      </c>
      <c r="I1185">
        <v>1986</v>
      </c>
      <c r="J1185">
        <v>208.88</v>
      </c>
    </row>
    <row r="1186" spans="1:10" x14ac:dyDescent="0.25">
      <c r="A1186" s="1">
        <v>45389</v>
      </c>
      <c r="B1186" t="s">
        <v>10</v>
      </c>
      <c r="C1186" t="s">
        <v>11</v>
      </c>
      <c r="D1186" t="s">
        <v>12</v>
      </c>
      <c r="E1186" t="s">
        <v>186</v>
      </c>
      <c r="F1186" t="s">
        <v>65</v>
      </c>
      <c r="G1186" t="s">
        <v>35</v>
      </c>
      <c r="H1186">
        <v>3</v>
      </c>
      <c r="I1186">
        <v>1635</v>
      </c>
      <c r="J1186">
        <v>196.73</v>
      </c>
    </row>
    <row r="1187" spans="1:10" x14ac:dyDescent="0.25">
      <c r="A1187" s="1">
        <v>44625</v>
      </c>
      <c r="B1187" t="s">
        <v>32</v>
      </c>
      <c r="C1187" t="s">
        <v>19</v>
      </c>
      <c r="D1187" t="s">
        <v>12</v>
      </c>
      <c r="E1187" t="s">
        <v>354</v>
      </c>
      <c r="F1187" t="s">
        <v>83</v>
      </c>
      <c r="G1187" t="s">
        <v>28</v>
      </c>
      <c r="H1187">
        <v>9</v>
      </c>
      <c r="I1187">
        <v>3132</v>
      </c>
      <c r="J1187">
        <v>443.27</v>
      </c>
    </row>
    <row r="1188" spans="1:10" x14ac:dyDescent="0.25">
      <c r="A1188" s="1">
        <v>45067</v>
      </c>
      <c r="B1188" t="s">
        <v>40</v>
      </c>
      <c r="C1188" t="s">
        <v>19</v>
      </c>
      <c r="D1188" t="s">
        <v>12</v>
      </c>
      <c r="E1188" t="s">
        <v>354</v>
      </c>
      <c r="F1188" t="s">
        <v>83</v>
      </c>
      <c r="G1188" t="s">
        <v>28</v>
      </c>
      <c r="H1188">
        <v>8</v>
      </c>
      <c r="I1188">
        <v>7064</v>
      </c>
      <c r="J1188">
        <v>1554.52</v>
      </c>
    </row>
    <row r="1189" spans="1:10" x14ac:dyDescent="0.25">
      <c r="A1189" s="1">
        <v>45367</v>
      </c>
      <c r="B1189" t="s">
        <v>25</v>
      </c>
      <c r="C1189" t="s">
        <v>19</v>
      </c>
      <c r="D1189" t="s">
        <v>12</v>
      </c>
      <c r="E1189" t="s">
        <v>22</v>
      </c>
      <c r="F1189" t="s">
        <v>23</v>
      </c>
      <c r="G1189" t="s">
        <v>24</v>
      </c>
      <c r="H1189">
        <v>1</v>
      </c>
      <c r="I1189">
        <v>907</v>
      </c>
      <c r="J1189">
        <v>249.2</v>
      </c>
    </row>
    <row r="1190" spans="1:10" x14ac:dyDescent="0.25">
      <c r="A1190" s="1">
        <v>44940</v>
      </c>
      <c r="B1190" t="s">
        <v>16</v>
      </c>
      <c r="C1190" t="s">
        <v>17</v>
      </c>
      <c r="D1190" t="s">
        <v>12</v>
      </c>
      <c r="E1190" t="s">
        <v>195</v>
      </c>
      <c r="F1190" t="s">
        <v>23</v>
      </c>
      <c r="G1190" t="s">
        <v>24</v>
      </c>
      <c r="H1190">
        <v>9</v>
      </c>
      <c r="I1190">
        <v>7938</v>
      </c>
      <c r="J1190">
        <v>1191.4100000000001</v>
      </c>
    </row>
    <row r="1191" spans="1:10" x14ac:dyDescent="0.25">
      <c r="A1191" s="1">
        <v>45241</v>
      </c>
      <c r="B1191" t="s">
        <v>10</v>
      </c>
      <c r="C1191" t="s">
        <v>11</v>
      </c>
      <c r="D1191" t="s">
        <v>12</v>
      </c>
      <c r="E1191" t="s">
        <v>195</v>
      </c>
      <c r="F1191" t="s">
        <v>23</v>
      </c>
      <c r="G1191" t="s">
        <v>24</v>
      </c>
      <c r="H1191">
        <v>4</v>
      </c>
      <c r="I1191">
        <v>4360</v>
      </c>
      <c r="J1191">
        <v>1207.46</v>
      </c>
    </row>
    <row r="1192" spans="1:10" x14ac:dyDescent="0.25">
      <c r="A1192" s="1">
        <v>45523</v>
      </c>
      <c r="B1192" t="s">
        <v>49</v>
      </c>
      <c r="C1192" t="s">
        <v>17</v>
      </c>
      <c r="D1192" t="s">
        <v>12</v>
      </c>
      <c r="E1192" t="s">
        <v>355</v>
      </c>
      <c r="F1192" t="s">
        <v>44</v>
      </c>
      <c r="G1192" t="s">
        <v>35</v>
      </c>
      <c r="H1192">
        <v>3</v>
      </c>
      <c r="I1192">
        <v>375</v>
      </c>
      <c r="J1192">
        <v>95.04</v>
      </c>
    </row>
    <row r="1193" spans="1:10" x14ac:dyDescent="0.25">
      <c r="A1193" s="1">
        <v>44828</v>
      </c>
      <c r="B1193" t="s">
        <v>36</v>
      </c>
      <c r="C1193" t="s">
        <v>17</v>
      </c>
      <c r="D1193" t="s">
        <v>12</v>
      </c>
      <c r="E1193" t="s">
        <v>104</v>
      </c>
      <c r="F1193" t="s">
        <v>14</v>
      </c>
      <c r="G1193" t="s">
        <v>15</v>
      </c>
      <c r="H1193">
        <v>7</v>
      </c>
      <c r="I1193">
        <v>826</v>
      </c>
      <c r="J1193">
        <v>101.01</v>
      </c>
    </row>
    <row r="1194" spans="1:10" x14ac:dyDescent="0.25">
      <c r="A1194" s="1">
        <v>45234</v>
      </c>
      <c r="B1194" t="s">
        <v>29</v>
      </c>
      <c r="C1194" t="s">
        <v>17</v>
      </c>
      <c r="D1194" t="s">
        <v>12</v>
      </c>
      <c r="E1194" t="s">
        <v>237</v>
      </c>
      <c r="F1194" t="s">
        <v>149</v>
      </c>
      <c r="G1194" t="s">
        <v>15</v>
      </c>
      <c r="H1194">
        <v>1</v>
      </c>
      <c r="I1194">
        <v>1011</v>
      </c>
      <c r="J1194">
        <v>186.42</v>
      </c>
    </row>
    <row r="1195" spans="1:10" x14ac:dyDescent="0.25">
      <c r="A1195" s="1">
        <v>45178</v>
      </c>
      <c r="B1195" t="s">
        <v>16</v>
      </c>
      <c r="C1195" t="s">
        <v>17</v>
      </c>
      <c r="D1195" t="s">
        <v>12</v>
      </c>
      <c r="E1195" t="s">
        <v>356</v>
      </c>
      <c r="F1195" t="s">
        <v>23</v>
      </c>
      <c r="G1195" t="s">
        <v>24</v>
      </c>
      <c r="H1195">
        <v>3</v>
      </c>
      <c r="I1195">
        <v>807</v>
      </c>
      <c r="J1195">
        <v>148.58000000000001</v>
      </c>
    </row>
    <row r="1196" spans="1:10" x14ac:dyDescent="0.25">
      <c r="A1196" s="1">
        <v>45643</v>
      </c>
      <c r="B1196" t="s">
        <v>29</v>
      </c>
      <c r="C1196" t="s">
        <v>17</v>
      </c>
      <c r="D1196" t="s">
        <v>12</v>
      </c>
      <c r="E1196" t="s">
        <v>116</v>
      </c>
      <c r="F1196" t="s">
        <v>42</v>
      </c>
      <c r="G1196" t="s">
        <v>28</v>
      </c>
      <c r="H1196">
        <v>2</v>
      </c>
      <c r="I1196">
        <v>1840</v>
      </c>
      <c r="J1196">
        <v>367.7</v>
      </c>
    </row>
    <row r="1197" spans="1:10" x14ac:dyDescent="0.25">
      <c r="A1197" s="1">
        <v>44599</v>
      </c>
      <c r="B1197" t="s">
        <v>49</v>
      </c>
      <c r="C1197" t="s">
        <v>17</v>
      </c>
      <c r="D1197" t="s">
        <v>12</v>
      </c>
      <c r="E1197" t="s">
        <v>22</v>
      </c>
      <c r="F1197" t="s">
        <v>23</v>
      </c>
      <c r="G1197" t="s">
        <v>24</v>
      </c>
      <c r="H1197">
        <v>5</v>
      </c>
      <c r="I1197">
        <v>4550</v>
      </c>
      <c r="J1197">
        <v>1039.3399999999999</v>
      </c>
    </row>
    <row r="1198" spans="1:10" x14ac:dyDescent="0.25">
      <c r="A1198" s="1">
        <v>45298</v>
      </c>
      <c r="B1198" t="s">
        <v>40</v>
      </c>
      <c r="C1198" t="s">
        <v>19</v>
      </c>
      <c r="D1198" t="s">
        <v>12</v>
      </c>
      <c r="E1198" t="s">
        <v>22</v>
      </c>
      <c r="F1198" t="s">
        <v>23</v>
      </c>
      <c r="G1198" t="s">
        <v>24</v>
      </c>
      <c r="H1198">
        <v>9</v>
      </c>
      <c r="I1198">
        <v>8793</v>
      </c>
      <c r="J1198">
        <v>901.7</v>
      </c>
    </row>
    <row r="1199" spans="1:10" x14ac:dyDescent="0.25">
      <c r="A1199" s="1">
        <v>45482</v>
      </c>
      <c r="B1199" t="s">
        <v>29</v>
      </c>
      <c r="C1199" t="s">
        <v>17</v>
      </c>
      <c r="D1199" t="s">
        <v>12</v>
      </c>
      <c r="E1199" t="s">
        <v>22</v>
      </c>
      <c r="F1199" t="s">
        <v>23</v>
      </c>
      <c r="G1199" t="s">
        <v>24</v>
      </c>
      <c r="H1199">
        <v>5</v>
      </c>
      <c r="I1199">
        <v>310</v>
      </c>
      <c r="J1199">
        <v>32.01</v>
      </c>
    </row>
    <row r="1200" spans="1:10" x14ac:dyDescent="0.25">
      <c r="A1200" s="1">
        <v>45258</v>
      </c>
      <c r="B1200" t="s">
        <v>29</v>
      </c>
      <c r="C1200" t="s">
        <v>17</v>
      </c>
      <c r="D1200" t="s">
        <v>12</v>
      </c>
      <c r="E1200" t="s">
        <v>132</v>
      </c>
      <c r="F1200" t="s">
        <v>189</v>
      </c>
      <c r="G1200" t="s">
        <v>24</v>
      </c>
      <c r="H1200">
        <v>3</v>
      </c>
      <c r="I1200">
        <v>1143</v>
      </c>
      <c r="J1200">
        <v>275.04000000000002</v>
      </c>
    </row>
    <row r="1201" spans="1:10" x14ac:dyDescent="0.25">
      <c r="A1201" s="1">
        <v>44630</v>
      </c>
      <c r="B1201" t="s">
        <v>36</v>
      </c>
      <c r="C1201" t="s">
        <v>17</v>
      </c>
      <c r="D1201" t="s">
        <v>12</v>
      </c>
      <c r="E1201" t="s">
        <v>103</v>
      </c>
      <c r="F1201" t="s">
        <v>21</v>
      </c>
      <c r="G1201" t="s">
        <v>15</v>
      </c>
      <c r="H1201">
        <v>3</v>
      </c>
      <c r="I1201">
        <v>2610</v>
      </c>
      <c r="J1201">
        <v>740.21</v>
      </c>
    </row>
    <row r="1202" spans="1:10" x14ac:dyDescent="0.25">
      <c r="A1202" s="1">
        <v>44773</v>
      </c>
      <c r="B1202" t="s">
        <v>18</v>
      </c>
      <c r="C1202" t="s">
        <v>19</v>
      </c>
      <c r="D1202" t="s">
        <v>12</v>
      </c>
      <c r="E1202" t="s">
        <v>244</v>
      </c>
      <c r="F1202" t="s">
        <v>23</v>
      </c>
      <c r="G1202" t="s">
        <v>24</v>
      </c>
      <c r="H1202">
        <v>6</v>
      </c>
      <c r="I1202">
        <v>1494</v>
      </c>
      <c r="J1202">
        <v>269.25</v>
      </c>
    </row>
    <row r="1203" spans="1:10" x14ac:dyDescent="0.25">
      <c r="A1203" s="1">
        <v>45112</v>
      </c>
      <c r="B1203" t="s">
        <v>40</v>
      </c>
      <c r="C1203" t="s">
        <v>19</v>
      </c>
      <c r="D1203" t="s">
        <v>12</v>
      </c>
      <c r="E1203" t="s">
        <v>244</v>
      </c>
      <c r="F1203" t="s">
        <v>23</v>
      </c>
      <c r="G1203" t="s">
        <v>24</v>
      </c>
      <c r="H1203">
        <v>4</v>
      </c>
      <c r="I1203">
        <v>1524</v>
      </c>
      <c r="J1203">
        <v>189.32</v>
      </c>
    </row>
    <row r="1204" spans="1:10" x14ac:dyDescent="0.25">
      <c r="A1204" s="1">
        <v>45251</v>
      </c>
      <c r="B1204" t="s">
        <v>18</v>
      </c>
      <c r="C1204" t="s">
        <v>19</v>
      </c>
      <c r="D1204" t="s">
        <v>12</v>
      </c>
      <c r="E1204" t="s">
        <v>52</v>
      </c>
      <c r="F1204" t="s">
        <v>42</v>
      </c>
      <c r="G1204" t="s">
        <v>28</v>
      </c>
      <c r="H1204">
        <v>9</v>
      </c>
      <c r="I1204">
        <v>9441</v>
      </c>
      <c r="J1204">
        <v>2171.42</v>
      </c>
    </row>
    <row r="1205" spans="1:10" x14ac:dyDescent="0.25">
      <c r="A1205" s="1">
        <v>44730</v>
      </c>
      <c r="B1205" t="s">
        <v>40</v>
      </c>
      <c r="C1205" t="s">
        <v>19</v>
      </c>
      <c r="D1205" t="s">
        <v>12</v>
      </c>
      <c r="E1205" t="s">
        <v>43</v>
      </c>
      <c r="F1205" t="s">
        <v>44</v>
      </c>
      <c r="G1205" t="s">
        <v>35</v>
      </c>
      <c r="H1205">
        <v>4</v>
      </c>
      <c r="I1205">
        <v>3520</v>
      </c>
      <c r="J1205">
        <v>417.26</v>
      </c>
    </row>
    <row r="1206" spans="1:10" x14ac:dyDescent="0.25">
      <c r="A1206" s="1">
        <v>45014</v>
      </c>
      <c r="B1206" t="s">
        <v>18</v>
      </c>
      <c r="C1206" t="s">
        <v>19</v>
      </c>
      <c r="D1206" t="s">
        <v>12</v>
      </c>
      <c r="E1206" t="s">
        <v>210</v>
      </c>
      <c r="F1206" t="s">
        <v>34</v>
      </c>
      <c r="G1206" t="s">
        <v>35</v>
      </c>
      <c r="H1206">
        <v>2</v>
      </c>
      <c r="I1206">
        <v>390</v>
      </c>
      <c r="J1206">
        <v>103.99</v>
      </c>
    </row>
    <row r="1207" spans="1:10" x14ac:dyDescent="0.25">
      <c r="A1207" s="1">
        <v>45318</v>
      </c>
      <c r="B1207" t="s">
        <v>10</v>
      </c>
      <c r="C1207" t="s">
        <v>11</v>
      </c>
      <c r="D1207" t="s">
        <v>12</v>
      </c>
      <c r="E1207" t="s">
        <v>265</v>
      </c>
      <c r="F1207" t="s">
        <v>46</v>
      </c>
      <c r="G1207" t="s">
        <v>15</v>
      </c>
      <c r="H1207">
        <v>3</v>
      </c>
      <c r="I1207">
        <v>3219</v>
      </c>
      <c r="J1207">
        <v>255.09</v>
      </c>
    </row>
    <row r="1208" spans="1:10" x14ac:dyDescent="0.25">
      <c r="A1208" s="1">
        <v>45564</v>
      </c>
      <c r="B1208" t="s">
        <v>55</v>
      </c>
      <c r="C1208" t="s">
        <v>19</v>
      </c>
      <c r="D1208" t="s">
        <v>12</v>
      </c>
      <c r="E1208" t="s">
        <v>105</v>
      </c>
      <c r="F1208" t="s">
        <v>23</v>
      </c>
      <c r="G1208" t="s">
        <v>24</v>
      </c>
      <c r="H1208">
        <v>1</v>
      </c>
      <c r="I1208">
        <v>450</v>
      </c>
      <c r="J1208">
        <v>75.89</v>
      </c>
    </row>
    <row r="1209" spans="1:10" x14ac:dyDescent="0.25">
      <c r="A1209" s="1">
        <v>45150</v>
      </c>
      <c r="B1209" t="s">
        <v>32</v>
      </c>
      <c r="C1209" t="s">
        <v>19</v>
      </c>
      <c r="D1209" t="s">
        <v>12</v>
      </c>
      <c r="E1209" t="s">
        <v>74</v>
      </c>
      <c r="F1209" t="s">
        <v>23</v>
      </c>
      <c r="G1209" t="s">
        <v>24</v>
      </c>
      <c r="H1209">
        <v>4</v>
      </c>
      <c r="I1209">
        <v>828</v>
      </c>
      <c r="J1209">
        <v>216.98</v>
      </c>
    </row>
    <row r="1210" spans="1:10" x14ac:dyDescent="0.25">
      <c r="A1210" s="1">
        <v>44578</v>
      </c>
      <c r="B1210" t="s">
        <v>10</v>
      </c>
      <c r="C1210" t="s">
        <v>11</v>
      </c>
      <c r="D1210" t="s">
        <v>12</v>
      </c>
      <c r="E1210" t="s">
        <v>52</v>
      </c>
      <c r="F1210" t="s">
        <v>42</v>
      </c>
      <c r="G1210" t="s">
        <v>28</v>
      </c>
      <c r="H1210">
        <v>1</v>
      </c>
      <c r="I1210">
        <v>1146</v>
      </c>
      <c r="J1210">
        <v>152.79</v>
      </c>
    </row>
    <row r="1211" spans="1:10" x14ac:dyDescent="0.25">
      <c r="A1211" s="1">
        <v>45482</v>
      </c>
      <c r="B1211" t="s">
        <v>36</v>
      </c>
      <c r="C1211" t="s">
        <v>17</v>
      </c>
      <c r="D1211" t="s">
        <v>12</v>
      </c>
      <c r="E1211" t="s">
        <v>52</v>
      </c>
      <c r="F1211" t="s">
        <v>42</v>
      </c>
      <c r="G1211" t="s">
        <v>28</v>
      </c>
      <c r="H1211">
        <v>3</v>
      </c>
      <c r="I1211">
        <v>1986</v>
      </c>
      <c r="J1211">
        <v>361.33</v>
      </c>
    </row>
    <row r="1212" spans="1:10" x14ac:dyDescent="0.25">
      <c r="A1212" s="1">
        <v>45006</v>
      </c>
      <c r="B1212" t="s">
        <v>32</v>
      </c>
      <c r="C1212" t="s">
        <v>19</v>
      </c>
      <c r="D1212" t="s">
        <v>12</v>
      </c>
      <c r="E1212" t="s">
        <v>104</v>
      </c>
      <c r="F1212" t="s">
        <v>39</v>
      </c>
      <c r="G1212" t="s">
        <v>35</v>
      </c>
      <c r="H1212">
        <v>8</v>
      </c>
      <c r="I1212">
        <v>7264</v>
      </c>
      <c r="J1212">
        <v>1776.83</v>
      </c>
    </row>
    <row r="1213" spans="1:10" x14ac:dyDescent="0.25">
      <c r="A1213" s="1">
        <v>45085</v>
      </c>
      <c r="B1213" t="s">
        <v>55</v>
      </c>
      <c r="C1213" t="s">
        <v>19</v>
      </c>
      <c r="D1213" t="s">
        <v>12</v>
      </c>
      <c r="E1213" t="s">
        <v>104</v>
      </c>
      <c r="F1213" t="s">
        <v>39</v>
      </c>
      <c r="G1213" t="s">
        <v>35</v>
      </c>
      <c r="H1213">
        <v>7</v>
      </c>
      <c r="I1213">
        <v>7469</v>
      </c>
      <c r="J1213">
        <v>915.63</v>
      </c>
    </row>
    <row r="1214" spans="1:10" x14ac:dyDescent="0.25">
      <c r="A1214" s="1">
        <v>45370</v>
      </c>
      <c r="B1214" t="s">
        <v>55</v>
      </c>
      <c r="C1214" t="s">
        <v>19</v>
      </c>
      <c r="D1214" t="s">
        <v>12</v>
      </c>
      <c r="E1214" t="s">
        <v>91</v>
      </c>
      <c r="F1214" t="s">
        <v>149</v>
      </c>
      <c r="G1214" t="s">
        <v>15</v>
      </c>
      <c r="H1214">
        <v>5</v>
      </c>
      <c r="I1214">
        <v>1385</v>
      </c>
      <c r="J1214">
        <v>165.55</v>
      </c>
    </row>
    <row r="1215" spans="1:10" x14ac:dyDescent="0.25">
      <c r="A1215" s="1">
        <v>44998</v>
      </c>
      <c r="B1215" t="s">
        <v>18</v>
      </c>
      <c r="C1215" t="s">
        <v>19</v>
      </c>
      <c r="D1215" t="s">
        <v>12</v>
      </c>
      <c r="E1215" t="s">
        <v>111</v>
      </c>
      <c r="F1215" t="s">
        <v>115</v>
      </c>
      <c r="G1215" t="s">
        <v>15</v>
      </c>
      <c r="H1215">
        <v>4</v>
      </c>
      <c r="I1215">
        <v>4556</v>
      </c>
      <c r="J1215">
        <v>315.07</v>
      </c>
    </row>
    <row r="1216" spans="1:10" x14ac:dyDescent="0.25">
      <c r="A1216" s="1">
        <v>45330</v>
      </c>
      <c r="B1216" t="s">
        <v>36</v>
      </c>
      <c r="C1216" t="s">
        <v>17</v>
      </c>
      <c r="D1216" t="s">
        <v>12</v>
      </c>
      <c r="E1216" t="s">
        <v>105</v>
      </c>
      <c r="F1216" t="s">
        <v>23</v>
      </c>
      <c r="G1216" t="s">
        <v>24</v>
      </c>
      <c r="H1216">
        <v>3</v>
      </c>
      <c r="I1216">
        <v>456</v>
      </c>
      <c r="J1216">
        <v>61.42</v>
      </c>
    </row>
    <row r="1217" spans="1:10" x14ac:dyDescent="0.25">
      <c r="A1217" s="1">
        <v>45611</v>
      </c>
      <c r="B1217" t="s">
        <v>36</v>
      </c>
      <c r="C1217" t="s">
        <v>17</v>
      </c>
      <c r="D1217" t="s">
        <v>12</v>
      </c>
      <c r="E1217" t="s">
        <v>105</v>
      </c>
      <c r="F1217" t="s">
        <v>23</v>
      </c>
      <c r="G1217" t="s">
        <v>24</v>
      </c>
      <c r="H1217">
        <v>2</v>
      </c>
      <c r="I1217">
        <v>1984</v>
      </c>
      <c r="J1217">
        <v>125.13</v>
      </c>
    </row>
    <row r="1218" spans="1:10" x14ac:dyDescent="0.25">
      <c r="A1218" s="1">
        <v>45552</v>
      </c>
      <c r="B1218" t="s">
        <v>32</v>
      </c>
      <c r="C1218" t="s">
        <v>19</v>
      </c>
      <c r="D1218" t="s">
        <v>12</v>
      </c>
      <c r="E1218" t="s">
        <v>105</v>
      </c>
      <c r="F1218" t="s">
        <v>23</v>
      </c>
      <c r="G1218" t="s">
        <v>24</v>
      </c>
      <c r="H1218">
        <v>6</v>
      </c>
      <c r="I1218">
        <v>5178</v>
      </c>
      <c r="J1218">
        <v>1321.58</v>
      </c>
    </row>
    <row r="1219" spans="1:10" x14ac:dyDescent="0.25">
      <c r="A1219" s="1">
        <v>45057</v>
      </c>
      <c r="B1219" t="s">
        <v>32</v>
      </c>
      <c r="C1219" t="s">
        <v>19</v>
      </c>
      <c r="D1219" t="s">
        <v>12</v>
      </c>
      <c r="E1219" t="s">
        <v>61</v>
      </c>
      <c r="F1219" t="s">
        <v>51</v>
      </c>
      <c r="G1219" t="s">
        <v>35</v>
      </c>
      <c r="H1219">
        <v>1</v>
      </c>
      <c r="I1219">
        <v>281</v>
      </c>
      <c r="J1219">
        <v>30.51</v>
      </c>
    </row>
    <row r="1220" spans="1:10" x14ac:dyDescent="0.25">
      <c r="A1220" s="1">
        <v>45622</v>
      </c>
      <c r="B1220" t="s">
        <v>36</v>
      </c>
      <c r="C1220" t="s">
        <v>17</v>
      </c>
      <c r="D1220" t="s">
        <v>12</v>
      </c>
      <c r="E1220" t="s">
        <v>210</v>
      </c>
      <c r="F1220" t="s">
        <v>34</v>
      </c>
      <c r="G1220" t="s">
        <v>35</v>
      </c>
      <c r="H1220">
        <v>9</v>
      </c>
      <c r="I1220">
        <v>3033</v>
      </c>
      <c r="J1220">
        <v>177.92</v>
      </c>
    </row>
    <row r="1221" spans="1:10" x14ac:dyDescent="0.25">
      <c r="A1221" s="1">
        <v>44647</v>
      </c>
      <c r="B1221" t="s">
        <v>25</v>
      </c>
      <c r="C1221" t="s">
        <v>19</v>
      </c>
      <c r="D1221" t="s">
        <v>12</v>
      </c>
      <c r="E1221" t="s">
        <v>91</v>
      </c>
      <c r="F1221" t="s">
        <v>23</v>
      </c>
      <c r="G1221" t="s">
        <v>24</v>
      </c>
      <c r="H1221">
        <v>3</v>
      </c>
      <c r="I1221">
        <v>1107</v>
      </c>
      <c r="J1221">
        <v>65.88</v>
      </c>
    </row>
    <row r="1222" spans="1:10" x14ac:dyDescent="0.25">
      <c r="A1222" s="1">
        <v>44661</v>
      </c>
      <c r="B1222" t="s">
        <v>16</v>
      </c>
      <c r="C1222" t="s">
        <v>17</v>
      </c>
      <c r="D1222" t="s">
        <v>12</v>
      </c>
      <c r="E1222" t="s">
        <v>357</v>
      </c>
      <c r="F1222" t="s">
        <v>152</v>
      </c>
      <c r="G1222" t="s">
        <v>15</v>
      </c>
      <c r="H1222">
        <v>3</v>
      </c>
      <c r="I1222">
        <v>1446</v>
      </c>
      <c r="J1222">
        <v>356.7</v>
      </c>
    </row>
    <row r="1223" spans="1:10" x14ac:dyDescent="0.25">
      <c r="A1223" s="1">
        <v>45500</v>
      </c>
      <c r="B1223" t="s">
        <v>10</v>
      </c>
      <c r="C1223" t="s">
        <v>11</v>
      </c>
      <c r="D1223" t="s">
        <v>12</v>
      </c>
      <c r="E1223" t="s">
        <v>358</v>
      </c>
      <c r="F1223" t="s">
        <v>83</v>
      </c>
      <c r="G1223" t="s">
        <v>28</v>
      </c>
      <c r="H1223">
        <v>3</v>
      </c>
      <c r="I1223">
        <v>1335</v>
      </c>
      <c r="J1223">
        <v>263.04000000000002</v>
      </c>
    </row>
    <row r="1224" spans="1:10" x14ac:dyDescent="0.25">
      <c r="A1224" s="1">
        <v>44949</v>
      </c>
      <c r="B1224" t="s">
        <v>16</v>
      </c>
      <c r="C1224" t="s">
        <v>17</v>
      </c>
      <c r="D1224" t="s">
        <v>12</v>
      </c>
      <c r="E1224" t="s">
        <v>359</v>
      </c>
      <c r="F1224" t="s">
        <v>360</v>
      </c>
      <c r="G1224" t="s">
        <v>24</v>
      </c>
      <c r="H1224">
        <v>2</v>
      </c>
      <c r="I1224">
        <v>266</v>
      </c>
      <c r="J1224">
        <v>20.11</v>
      </c>
    </row>
    <row r="1225" spans="1:10" x14ac:dyDescent="0.25">
      <c r="A1225" s="1">
        <v>45404</v>
      </c>
      <c r="B1225" t="s">
        <v>40</v>
      </c>
      <c r="C1225" t="s">
        <v>19</v>
      </c>
      <c r="D1225" t="s">
        <v>12</v>
      </c>
      <c r="E1225" t="s">
        <v>331</v>
      </c>
      <c r="F1225" t="s">
        <v>23</v>
      </c>
      <c r="G1225" t="s">
        <v>24</v>
      </c>
      <c r="H1225">
        <v>6</v>
      </c>
      <c r="I1225">
        <v>648</v>
      </c>
      <c r="J1225">
        <v>162.30000000000001</v>
      </c>
    </row>
    <row r="1226" spans="1:10" x14ac:dyDescent="0.25">
      <c r="A1226" s="1">
        <v>45000</v>
      </c>
      <c r="B1226" t="s">
        <v>18</v>
      </c>
      <c r="C1226" t="s">
        <v>19</v>
      </c>
      <c r="D1226" t="s">
        <v>12</v>
      </c>
      <c r="E1226" t="s">
        <v>60</v>
      </c>
      <c r="F1226" t="s">
        <v>39</v>
      </c>
      <c r="G1226" t="s">
        <v>35</v>
      </c>
      <c r="H1226">
        <v>2</v>
      </c>
      <c r="I1226">
        <v>344</v>
      </c>
      <c r="J1226">
        <v>80.87</v>
      </c>
    </row>
    <row r="1227" spans="1:10" x14ac:dyDescent="0.25">
      <c r="A1227" s="1">
        <v>45437</v>
      </c>
      <c r="B1227" t="s">
        <v>40</v>
      </c>
      <c r="C1227" t="s">
        <v>19</v>
      </c>
      <c r="D1227" t="s">
        <v>12</v>
      </c>
      <c r="E1227" t="s">
        <v>105</v>
      </c>
      <c r="F1227" t="s">
        <v>23</v>
      </c>
      <c r="G1227" t="s">
        <v>24</v>
      </c>
      <c r="H1227">
        <v>6</v>
      </c>
      <c r="I1227">
        <v>5724</v>
      </c>
      <c r="J1227">
        <v>1640.19</v>
      </c>
    </row>
    <row r="1228" spans="1:10" x14ac:dyDescent="0.25">
      <c r="A1228" s="1">
        <v>44636</v>
      </c>
      <c r="B1228" t="s">
        <v>29</v>
      </c>
      <c r="C1228" t="s">
        <v>17</v>
      </c>
      <c r="D1228" t="s">
        <v>12</v>
      </c>
      <c r="E1228" t="s">
        <v>105</v>
      </c>
      <c r="F1228" t="s">
        <v>23</v>
      </c>
      <c r="G1228" t="s">
        <v>24</v>
      </c>
      <c r="H1228">
        <v>5</v>
      </c>
      <c r="I1228">
        <v>4920</v>
      </c>
      <c r="J1228">
        <v>323.38</v>
      </c>
    </row>
    <row r="1229" spans="1:10" x14ac:dyDescent="0.25">
      <c r="A1229" s="1">
        <v>44933</v>
      </c>
      <c r="B1229" t="s">
        <v>25</v>
      </c>
      <c r="C1229" t="s">
        <v>19</v>
      </c>
      <c r="D1229" t="s">
        <v>12</v>
      </c>
      <c r="E1229" t="s">
        <v>74</v>
      </c>
      <c r="F1229" t="s">
        <v>23</v>
      </c>
      <c r="G1229" t="s">
        <v>24</v>
      </c>
      <c r="H1229">
        <v>5</v>
      </c>
      <c r="I1229">
        <v>5440</v>
      </c>
      <c r="J1229">
        <v>457.04</v>
      </c>
    </row>
    <row r="1230" spans="1:10" x14ac:dyDescent="0.25">
      <c r="A1230" s="1">
        <v>45407</v>
      </c>
      <c r="B1230" t="s">
        <v>40</v>
      </c>
      <c r="C1230" t="s">
        <v>19</v>
      </c>
      <c r="D1230" t="s">
        <v>12</v>
      </c>
      <c r="E1230" t="s">
        <v>104</v>
      </c>
      <c r="F1230" t="s">
        <v>39</v>
      </c>
      <c r="G1230" t="s">
        <v>35</v>
      </c>
      <c r="H1230">
        <v>7</v>
      </c>
      <c r="I1230">
        <v>7994</v>
      </c>
      <c r="J1230">
        <v>908.65</v>
      </c>
    </row>
    <row r="1231" spans="1:10" x14ac:dyDescent="0.25">
      <c r="A1231" s="1">
        <v>45222</v>
      </c>
      <c r="B1231" t="s">
        <v>25</v>
      </c>
      <c r="C1231" t="s">
        <v>19</v>
      </c>
      <c r="D1231" t="s">
        <v>12</v>
      </c>
      <c r="E1231" t="s">
        <v>231</v>
      </c>
      <c r="F1231" t="s">
        <v>78</v>
      </c>
      <c r="G1231" t="s">
        <v>28</v>
      </c>
      <c r="H1231">
        <v>9</v>
      </c>
      <c r="I1231">
        <v>3780</v>
      </c>
      <c r="J1231">
        <v>724.36</v>
      </c>
    </row>
    <row r="1232" spans="1:10" x14ac:dyDescent="0.25">
      <c r="A1232" s="1">
        <v>45073</v>
      </c>
      <c r="B1232" t="s">
        <v>40</v>
      </c>
      <c r="C1232" t="s">
        <v>19</v>
      </c>
      <c r="D1232" t="s">
        <v>12</v>
      </c>
      <c r="E1232" t="s">
        <v>187</v>
      </c>
      <c r="F1232" t="s">
        <v>23</v>
      </c>
      <c r="G1232" t="s">
        <v>24</v>
      </c>
      <c r="H1232">
        <v>1</v>
      </c>
      <c r="I1232">
        <v>1017</v>
      </c>
      <c r="J1232">
        <v>209.97</v>
      </c>
    </row>
    <row r="1233" spans="1:10" x14ac:dyDescent="0.25">
      <c r="A1233" s="1">
        <v>44957</v>
      </c>
      <c r="B1233" t="s">
        <v>40</v>
      </c>
      <c r="C1233" t="s">
        <v>19</v>
      </c>
      <c r="D1233" t="s">
        <v>12</v>
      </c>
      <c r="E1233" t="s">
        <v>52</v>
      </c>
      <c r="F1233" t="s">
        <v>42</v>
      </c>
      <c r="G1233" t="s">
        <v>28</v>
      </c>
      <c r="H1233">
        <v>6</v>
      </c>
      <c r="I1233">
        <v>1578</v>
      </c>
      <c r="J1233">
        <v>82.85</v>
      </c>
    </row>
    <row r="1234" spans="1:10" x14ac:dyDescent="0.25">
      <c r="A1234" s="1">
        <v>45208</v>
      </c>
      <c r="B1234" t="s">
        <v>40</v>
      </c>
      <c r="C1234" t="s">
        <v>19</v>
      </c>
      <c r="D1234" t="s">
        <v>12</v>
      </c>
      <c r="E1234" t="s">
        <v>52</v>
      </c>
      <c r="F1234" t="s">
        <v>42</v>
      </c>
      <c r="G1234" t="s">
        <v>28</v>
      </c>
      <c r="H1234">
        <v>2</v>
      </c>
      <c r="I1234">
        <v>912</v>
      </c>
      <c r="J1234">
        <v>161.37</v>
      </c>
    </row>
    <row r="1235" spans="1:10" x14ac:dyDescent="0.25">
      <c r="A1235" s="1">
        <v>45411</v>
      </c>
      <c r="B1235" t="s">
        <v>55</v>
      </c>
      <c r="C1235" t="s">
        <v>19</v>
      </c>
      <c r="D1235" t="s">
        <v>12</v>
      </c>
      <c r="E1235" t="s">
        <v>52</v>
      </c>
      <c r="F1235" t="s">
        <v>42</v>
      </c>
      <c r="G1235" t="s">
        <v>28</v>
      </c>
      <c r="H1235">
        <v>6</v>
      </c>
      <c r="I1235">
        <v>2520</v>
      </c>
      <c r="J1235">
        <v>182.59</v>
      </c>
    </row>
    <row r="1236" spans="1:10" x14ac:dyDescent="0.25">
      <c r="A1236" s="1">
        <v>45632</v>
      </c>
      <c r="B1236" t="s">
        <v>16</v>
      </c>
      <c r="C1236" t="s">
        <v>17</v>
      </c>
      <c r="D1236" t="s">
        <v>12</v>
      </c>
      <c r="E1236" t="s">
        <v>52</v>
      </c>
      <c r="F1236" t="s">
        <v>42</v>
      </c>
      <c r="G1236" t="s">
        <v>28</v>
      </c>
      <c r="H1236">
        <v>8</v>
      </c>
      <c r="I1236">
        <v>2632</v>
      </c>
      <c r="J1236">
        <v>262.55</v>
      </c>
    </row>
    <row r="1237" spans="1:10" x14ac:dyDescent="0.25">
      <c r="A1237" s="1">
        <v>45117</v>
      </c>
      <c r="B1237" t="s">
        <v>36</v>
      </c>
      <c r="C1237" t="s">
        <v>17</v>
      </c>
      <c r="D1237" t="s">
        <v>12</v>
      </c>
      <c r="E1237" t="s">
        <v>92</v>
      </c>
      <c r="F1237" t="s">
        <v>168</v>
      </c>
      <c r="G1237" t="s">
        <v>15</v>
      </c>
      <c r="H1237">
        <v>6</v>
      </c>
      <c r="I1237">
        <v>6582</v>
      </c>
      <c r="J1237">
        <v>729.68</v>
      </c>
    </row>
    <row r="1238" spans="1:10" x14ac:dyDescent="0.25">
      <c r="A1238" s="1">
        <v>45307</v>
      </c>
      <c r="B1238" t="s">
        <v>25</v>
      </c>
      <c r="C1238" t="s">
        <v>19</v>
      </c>
      <c r="D1238" t="s">
        <v>12</v>
      </c>
      <c r="E1238" t="s">
        <v>229</v>
      </c>
      <c r="F1238" t="s">
        <v>152</v>
      </c>
      <c r="G1238" t="s">
        <v>15</v>
      </c>
      <c r="H1238">
        <v>8</v>
      </c>
      <c r="I1238">
        <v>3432</v>
      </c>
      <c r="J1238">
        <v>172.69</v>
      </c>
    </row>
    <row r="1239" spans="1:10" x14ac:dyDescent="0.25">
      <c r="A1239" s="1">
        <v>45179</v>
      </c>
      <c r="B1239" t="s">
        <v>49</v>
      </c>
      <c r="C1239" t="s">
        <v>17</v>
      </c>
      <c r="D1239" t="s">
        <v>12</v>
      </c>
      <c r="E1239" t="s">
        <v>26</v>
      </c>
      <c r="F1239" t="s">
        <v>27</v>
      </c>
      <c r="G1239" t="s">
        <v>28</v>
      </c>
      <c r="H1239">
        <v>2</v>
      </c>
      <c r="I1239">
        <v>1030</v>
      </c>
      <c r="J1239">
        <v>254.65</v>
      </c>
    </row>
    <row r="1240" spans="1:10" x14ac:dyDescent="0.25">
      <c r="A1240" s="1">
        <v>44847</v>
      </c>
      <c r="B1240" t="s">
        <v>16</v>
      </c>
      <c r="C1240" t="s">
        <v>17</v>
      </c>
      <c r="D1240" t="s">
        <v>12</v>
      </c>
      <c r="E1240" t="s">
        <v>56</v>
      </c>
      <c r="F1240" t="s">
        <v>57</v>
      </c>
      <c r="G1240" t="s">
        <v>24</v>
      </c>
      <c r="H1240">
        <v>8</v>
      </c>
      <c r="I1240">
        <v>1192</v>
      </c>
      <c r="J1240">
        <v>289.91000000000003</v>
      </c>
    </row>
    <row r="1241" spans="1:10" x14ac:dyDescent="0.25">
      <c r="A1241" s="1">
        <v>45497</v>
      </c>
      <c r="B1241" t="s">
        <v>10</v>
      </c>
      <c r="C1241" t="s">
        <v>11</v>
      </c>
      <c r="D1241" t="s">
        <v>12</v>
      </c>
      <c r="E1241" t="s">
        <v>22</v>
      </c>
      <c r="F1241" t="s">
        <v>23</v>
      </c>
      <c r="G1241" t="s">
        <v>24</v>
      </c>
      <c r="H1241">
        <v>9</v>
      </c>
      <c r="I1241">
        <v>7083</v>
      </c>
      <c r="J1241">
        <v>994.47</v>
      </c>
    </row>
    <row r="1242" spans="1:10" x14ac:dyDescent="0.25">
      <c r="A1242" s="1">
        <v>44614</v>
      </c>
      <c r="B1242" t="s">
        <v>10</v>
      </c>
      <c r="C1242" t="s">
        <v>11</v>
      </c>
      <c r="D1242" t="s">
        <v>12</v>
      </c>
      <c r="E1242" t="s">
        <v>361</v>
      </c>
      <c r="F1242" t="s">
        <v>27</v>
      </c>
      <c r="G1242" t="s">
        <v>28</v>
      </c>
      <c r="H1242">
        <v>7</v>
      </c>
      <c r="I1242">
        <v>3675</v>
      </c>
      <c r="J1242">
        <v>227.14</v>
      </c>
    </row>
    <row r="1243" spans="1:10" x14ac:dyDescent="0.25">
      <c r="A1243" s="1">
        <v>45229</v>
      </c>
      <c r="B1243" t="s">
        <v>36</v>
      </c>
      <c r="C1243" t="s">
        <v>17</v>
      </c>
      <c r="D1243" t="s">
        <v>12</v>
      </c>
      <c r="E1243" t="s">
        <v>361</v>
      </c>
      <c r="F1243" t="s">
        <v>27</v>
      </c>
      <c r="G1243" t="s">
        <v>28</v>
      </c>
      <c r="H1243">
        <v>4</v>
      </c>
      <c r="I1243">
        <v>4740</v>
      </c>
      <c r="J1243">
        <v>833.27</v>
      </c>
    </row>
    <row r="1244" spans="1:10" x14ac:dyDescent="0.25">
      <c r="A1244" s="1">
        <v>45396</v>
      </c>
      <c r="B1244" t="s">
        <v>29</v>
      </c>
      <c r="C1244" t="s">
        <v>17</v>
      </c>
      <c r="D1244" t="s">
        <v>12</v>
      </c>
      <c r="E1244" t="s">
        <v>74</v>
      </c>
      <c r="F1244" t="s">
        <v>23</v>
      </c>
      <c r="G1244" t="s">
        <v>24</v>
      </c>
      <c r="H1244">
        <v>4</v>
      </c>
      <c r="I1244">
        <v>1716</v>
      </c>
      <c r="J1244">
        <v>364.96</v>
      </c>
    </row>
    <row r="1245" spans="1:10" x14ac:dyDescent="0.25">
      <c r="A1245" s="1">
        <v>44964</v>
      </c>
      <c r="B1245" t="s">
        <v>10</v>
      </c>
      <c r="C1245" t="s">
        <v>11</v>
      </c>
      <c r="D1245" t="s">
        <v>12</v>
      </c>
      <c r="E1245" t="s">
        <v>22</v>
      </c>
      <c r="F1245" t="s">
        <v>23</v>
      </c>
      <c r="G1245" t="s">
        <v>24</v>
      </c>
      <c r="H1245">
        <v>7</v>
      </c>
      <c r="I1245">
        <v>3528</v>
      </c>
      <c r="J1245">
        <v>260.06</v>
      </c>
    </row>
    <row r="1246" spans="1:10" x14ac:dyDescent="0.25">
      <c r="A1246" s="1">
        <v>44734</v>
      </c>
      <c r="B1246" t="s">
        <v>25</v>
      </c>
      <c r="C1246" t="s">
        <v>19</v>
      </c>
      <c r="D1246" t="s">
        <v>12</v>
      </c>
      <c r="E1246" t="s">
        <v>105</v>
      </c>
      <c r="F1246" t="s">
        <v>23</v>
      </c>
      <c r="G1246" t="s">
        <v>24</v>
      </c>
      <c r="H1246">
        <v>3</v>
      </c>
      <c r="I1246">
        <v>777</v>
      </c>
      <c r="J1246">
        <v>71.72</v>
      </c>
    </row>
    <row r="1247" spans="1:10" x14ac:dyDescent="0.25">
      <c r="A1247" s="1">
        <v>44680</v>
      </c>
      <c r="B1247" t="s">
        <v>25</v>
      </c>
      <c r="C1247" t="s">
        <v>19</v>
      </c>
      <c r="D1247" t="s">
        <v>12</v>
      </c>
      <c r="E1247" t="s">
        <v>52</v>
      </c>
      <c r="F1247" t="s">
        <v>42</v>
      </c>
      <c r="G1247" t="s">
        <v>28</v>
      </c>
      <c r="H1247">
        <v>4</v>
      </c>
      <c r="I1247">
        <v>3368</v>
      </c>
      <c r="J1247">
        <v>558.92999999999995</v>
      </c>
    </row>
    <row r="1248" spans="1:10" x14ac:dyDescent="0.25">
      <c r="A1248" s="1">
        <v>44845</v>
      </c>
      <c r="B1248" t="s">
        <v>18</v>
      </c>
      <c r="C1248" t="s">
        <v>19</v>
      </c>
      <c r="D1248" t="s">
        <v>12</v>
      </c>
      <c r="E1248" t="s">
        <v>238</v>
      </c>
      <c r="F1248" t="s">
        <v>191</v>
      </c>
      <c r="G1248" t="s">
        <v>35</v>
      </c>
      <c r="H1248">
        <v>4</v>
      </c>
      <c r="I1248">
        <v>4240</v>
      </c>
      <c r="J1248">
        <v>251.46</v>
      </c>
    </row>
    <row r="1249" spans="1:10" x14ac:dyDescent="0.25">
      <c r="A1249" s="1">
        <v>44666</v>
      </c>
      <c r="B1249" t="s">
        <v>55</v>
      </c>
      <c r="C1249" t="s">
        <v>19</v>
      </c>
      <c r="D1249" t="s">
        <v>12</v>
      </c>
      <c r="E1249" t="s">
        <v>238</v>
      </c>
      <c r="F1249" t="s">
        <v>191</v>
      </c>
      <c r="G1249" t="s">
        <v>35</v>
      </c>
      <c r="H1249">
        <v>3</v>
      </c>
      <c r="I1249">
        <v>3285</v>
      </c>
      <c r="J1249">
        <v>292.87</v>
      </c>
    </row>
    <row r="1250" spans="1:10" x14ac:dyDescent="0.25">
      <c r="A1250" s="1">
        <v>44940</v>
      </c>
      <c r="B1250" t="s">
        <v>40</v>
      </c>
      <c r="C1250" t="s">
        <v>19</v>
      </c>
      <c r="D1250" t="s">
        <v>12</v>
      </c>
      <c r="E1250" t="s">
        <v>362</v>
      </c>
      <c r="F1250" t="s">
        <v>88</v>
      </c>
      <c r="G1250" t="s">
        <v>15</v>
      </c>
      <c r="H1250">
        <v>6</v>
      </c>
      <c r="I1250">
        <v>4872</v>
      </c>
      <c r="J1250">
        <v>612.73</v>
      </c>
    </row>
    <row r="1251" spans="1:10" x14ac:dyDescent="0.25">
      <c r="A1251" s="1">
        <v>44797</v>
      </c>
      <c r="B1251" t="s">
        <v>40</v>
      </c>
      <c r="C1251" t="s">
        <v>19</v>
      </c>
      <c r="D1251" t="s">
        <v>12</v>
      </c>
      <c r="E1251" t="s">
        <v>362</v>
      </c>
      <c r="F1251" t="s">
        <v>88</v>
      </c>
      <c r="G1251" t="s">
        <v>15</v>
      </c>
      <c r="H1251">
        <v>9</v>
      </c>
      <c r="I1251">
        <v>2466</v>
      </c>
      <c r="J1251">
        <v>638.41</v>
      </c>
    </row>
    <row r="1252" spans="1:10" x14ac:dyDescent="0.25">
      <c r="A1252" s="1">
        <v>45591</v>
      </c>
      <c r="B1252" t="s">
        <v>18</v>
      </c>
      <c r="C1252" t="s">
        <v>19</v>
      </c>
      <c r="D1252" t="s">
        <v>12</v>
      </c>
      <c r="E1252" t="s">
        <v>22</v>
      </c>
      <c r="F1252" t="s">
        <v>23</v>
      </c>
      <c r="G1252" t="s">
        <v>24</v>
      </c>
      <c r="H1252">
        <v>5</v>
      </c>
      <c r="I1252">
        <v>2465</v>
      </c>
      <c r="J1252">
        <v>497.19</v>
      </c>
    </row>
    <row r="1253" spans="1:10" x14ac:dyDescent="0.25">
      <c r="A1253" s="1">
        <v>45061</v>
      </c>
      <c r="B1253" t="s">
        <v>18</v>
      </c>
      <c r="C1253" t="s">
        <v>19</v>
      </c>
      <c r="D1253" t="s">
        <v>12</v>
      </c>
      <c r="E1253" t="s">
        <v>75</v>
      </c>
      <c r="F1253" t="s">
        <v>63</v>
      </c>
      <c r="G1253" t="s">
        <v>28</v>
      </c>
      <c r="H1253">
        <v>3</v>
      </c>
      <c r="I1253">
        <v>612</v>
      </c>
      <c r="J1253">
        <v>40.15</v>
      </c>
    </row>
    <row r="1254" spans="1:10" x14ac:dyDescent="0.25">
      <c r="A1254" s="1">
        <v>44859</v>
      </c>
      <c r="B1254" t="s">
        <v>18</v>
      </c>
      <c r="C1254" t="s">
        <v>19</v>
      </c>
      <c r="D1254" t="s">
        <v>12</v>
      </c>
      <c r="E1254" t="s">
        <v>75</v>
      </c>
      <c r="F1254" t="s">
        <v>63</v>
      </c>
      <c r="G1254" t="s">
        <v>28</v>
      </c>
      <c r="H1254">
        <v>5</v>
      </c>
      <c r="I1254">
        <v>4170</v>
      </c>
      <c r="J1254">
        <v>658.98</v>
      </c>
    </row>
    <row r="1255" spans="1:10" x14ac:dyDescent="0.25">
      <c r="A1255" s="1">
        <v>44998</v>
      </c>
      <c r="B1255" t="s">
        <v>25</v>
      </c>
      <c r="C1255" t="s">
        <v>19</v>
      </c>
      <c r="D1255" t="s">
        <v>12</v>
      </c>
      <c r="E1255" t="s">
        <v>363</v>
      </c>
      <c r="F1255" t="s">
        <v>267</v>
      </c>
      <c r="G1255" t="s">
        <v>24</v>
      </c>
      <c r="H1255">
        <v>8</v>
      </c>
      <c r="I1255">
        <v>1088</v>
      </c>
      <c r="J1255">
        <v>160.33000000000001</v>
      </c>
    </row>
    <row r="1256" spans="1:10" x14ac:dyDescent="0.25">
      <c r="A1256" s="1">
        <v>45503</v>
      </c>
      <c r="B1256" t="s">
        <v>49</v>
      </c>
      <c r="C1256" t="s">
        <v>17</v>
      </c>
      <c r="D1256" t="s">
        <v>12</v>
      </c>
      <c r="E1256" t="s">
        <v>93</v>
      </c>
      <c r="F1256" t="s">
        <v>94</v>
      </c>
      <c r="G1256" t="s">
        <v>24</v>
      </c>
      <c r="H1256">
        <v>2</v>
      </c>
      <c r="I1256">
        <v>1626</v>
      </c>
      <c r="J1256">
        <v>354.49</v>
      </c>
    </row>
    <row r="1257" spans="1:10" x14ac:dyDescent="0.25">
      <c r="A1257" s="1">
        <v>45236</v>
      </c>
      <c r="B1257" t="s">
        <v>40</v>
      </c>
      <c r="C1257" t="s">
        <v>19</v>
      </c>
      <c r="D1257" t="s">
        <v>12</v>
      </c>
      <c r="E1257" t="s">
        <v>22</v>
      </c>
      <c r="F1257" t="s">
        <v>23</v>
      </c>
      <c r="G1257" t="s">
        <v>24</v>
      </c>
      <c r="H1257">
        <v>6</v>
      </c>
      <c r="I1257">
        <v>6486</v>
      </c>
      <c r="J1257">
        <v>359.49</v>
      </c>
    </row>
    <row r="1258" spans="1:10" x14ac:dyDescent="0.25">
      <c r="A1258" s="1">
        <v>44909</v>
      </c>
      <c r="B1258" t="s">
        <v>36</v>
      </c>
      <c r="C1258" t="s">
        <v>17</v>
      </c>
      <c r="D1258" t="s">
        <v>12</v>
      </c>
      <c r="E1258" t="s">
        <v>41</v>
      </c>
      <c r="F1258" t="s">
        <v>42</v>
      </c>
      <c r="G1258" t="s">
        <v>28</v>
      </c>
      <c r="H1258">
        <v>8</v>
      </c>
      <c r="I1258">
        <v>6968</v>
      </c>
      <c r="J1258">
        <v>1226.22</v>
      </c>
    </row>
    <row r="1259" spans="1:10" x14ac:dyDescent="0.25">
      <c r="A1259" s="1">
        <v>45294</v>
      </c>
      <c r="B1259" t="s">
        <v>40</v>
      </c>
      <c r="C1259" t="s">
        <v>19</v>
      </c>
      <c r="D1259" t="s">
        <v>12</v>
      </c>
      <c r="E1259" t="s">
        <v>129</v>
      </c>
      <c r="F1259" t="s">
        <v>48</v>
      </c>
      <c r="G1259" t="s">
        <v>15</v>
      </c>
      <c r="H1259">
        <v>1</v>
      </c>
      <c r="I1259">
        <v>357</v>
      </c>
      <c r="J1259">
        <v>82.86</v>
      </c>
    </row>
    <row r="1260" spans="1:10" x14ac:dyDescent="0.25">
      <c r="A1260" s="1">
        <v>45339</v>
      </c>
      <c r="B1260" t="s">
        <v>55</v>
      </c>
      <c r="C1260" t="s">
        <v>19</v>
      </c>
      <c r="D1260" t="s">
        <v>12</v>
      </c>
      <c r="E1260" t="s">
        <v>22</v>
      </c>
      <c r="F1260" t="s">
        <v>23</v>
      </c>
      <c r="G1260" t="s">
        <v>24</v>
      </c>
      <c r="H1260">
        <v>1</v>
      </c>
      <c r="I1260">
        <v>454</v>
      </c>
      <c r="J1260">
        <v>58.4</v>
      </c>
    </row>
    <row r="1261" spans="1:10" x14ac:dyDescent="0.25">
      <c r="A1261" s="1">
        <v>45386</v>
      </c>
      <c r="B1261" t="s">
        <v>18</v>
      </c>
      <c r="C1261" t="s">
        <v>19</v>
      </c>
      <c r="D1261" t="s">
        <v>12</v>
      </c>
      <c r="E1261" t="s">
        <v>22</v>
      </c>
      <c r="F1261" t="s">
        <v>23</v>
      </c>
      <c r="G1261" t="s">
        <v>24</v>
      </c>
      <c r="H1261">
        <v>3</v>
      </c>
      <c r="I1261">
        <v>3582</v>
      </c>
      <c r="J1261">
        <v>501.47</v>
      </c>
    </row>
    <row r="1262" spans="1:10" x14ac:dyDescent="0.25">
      <c r="A1262" s="1">
        <v>45468</v>
      </c>
      <c r="B1262" t="s">
        <v>18</v>
      </c>
      <c r="C1262" t="s">
        <v>19</v>
      </c>
      <c r="D1262" t="s">
        <v>12</v>
      </c>
      <c r="E1262" t="s">
        <v>146</v>
      </c>
      <c r="F1262" t="s">
        <v>21</v>
      </c>
      <c r="G1262" t="s">
        <v>15</v>
      </c>
      <c r="H1262">
        <v>9</v>
      </c>
      <c r="I1262">
        <v>3762</v>
      </c>
      <c r="J1262">
        <v>484.75</v>
      </c>
    </row>
    <row r="1263" spans="1:10" x14ac:dyDescent="0.25">
      <c r="A1263" s="1">
        <v>45596</v>
      </c>
      <c r="B1263" t="s">
        <v>32</v>
      </c>
      <c r="C1263" t="s">
        <v>19</v>
      </c>
      <c r="D1263" t="s">
        <v>12</v>
      </c>
      <c r="E1263" t="s">
        <v>364</v>
      </c>
      <c r="F1263" t="s">
        <v>133</v>
      </c>
      <c r="G1263" t="s">
        <v>28</v>
      </c>
      <c r="H1263">
        <v>9</v>
      </c>
      <c r="I1263">
        <v>6642</v>
      </c>
      <c r="J1263">
        <v>394.48</v>
      </c>
    </row>
    <row r="1264" spans="1:10" x14ac:dyDescent="0.25">
      <c r="A1264" s="1">
        <v>45560</v>
      </c>
      <c r="B1264" t="s">
        <v>36</v>
      </c>
      <c r="C1264" t="s">
        <v>17</v>
      </c>
      <c r="D1264" t="s">
        <v>12</v>
      </c>
      <c r="E1264" t="s">
        <v>22</v>
      </c>
      <c r="F1264" t="s">
        <v>23</v>
      </c>
      <c r="G1264" t="s">
        <v>24</v>
      </c>
      <c r="H1264">
        <v>4</v>
      </c>
      <c r="I1264">
        <v>408</v>
      </c>
      <c r="J1264">
        <v>45.2</v>
      </c>
    </row>
    <row r="1265" spans="1:10" x14ac:dyDescent="0.25">
      <c r="A1265" s="1">
        <v>45359</v>
      </c>
      <c r="B1265" t="s">
        <v>18</v>
      </c>
      <c r="C1265" t="s">
        <v>19</v>
      </c>
      <c r="D1265" t="s">
        <v>12</v>
      </c>
      <c r="E1265" t="s">
        <v>365</v>
      </c>
      <c r="F1265" t="s">
        <v>14</v>
      </c>
      <c r="G1265" t="s">
        <v>15</v>
      </c>
      <c r="H1265">
        <v>1</v>
      </c>
      <c r="I1265">
        <v>105</v>
      </c>
      <c r="J1265">
        <v>25.26</v>
      </c>
    </row>
    <row r="1266" spans="1:10" x14ac:dyDescent="0.25">
      <c r="A1266" s="1">
        <v>45416</v>
      </c>
      <c r="B1266" t="s">
        <v>18</v>
      </c>
      <c r="C1266" t="s">
        <v>19</v>
      </c>
      <c r="D1266" t="s">
        <v>12</v>
      </c>
      <c r="E1266" t="s">
        <v>366</v>
      </c>
      <c r="F1266" t="s">
        <v>94</v>
      </c>
      <c r="G1266" t="s">
        <v>24</v>
      </c>
      <c r="H1266">
        <v>3</v>
      </c>
      <c r="I1266">
        <v>2682</v>
      </c>
      <c r="J1266">
        <v>584.69000000000005</v>
      </c>
    </row>
    <row r="1267" spans="1:10" x14ac:dyDescent="0.25">
      <c r="A1267" s="1">
        <v>44753</v>
      </c>
      <c r="B1267" t="s">
        <v>49</v>
      </c>
      <c r="C1267" t="s">
        <v>17</v>
      </c>
      <c r="D1267" t="s">
        <v>12</v>
      </c>
      <c r="E1267" t="s">
        <v>341</v>
      </c>
      <c r="F1267" t="s">
        <v>46</v>
      </c>
      <c r="G1267" t="s">
        <v>15</v>
      </c>
      <c r="H1267">
        <v>7</v>
      </c>
      <c r="I1267">
        <v>497</v>
      </c>
      <c r="J1267">
        <v>76.31</v>
      </c>
    </row>
    <row r="1268" spans="1:10" x14ac:dyDescent="0.25">
      <c r="A1268" s="1">
        <v>44792</v>
      </c>
      <c r="B1268" t="s">
        <v>10</v>
      </c>
      <c r="C1268" t="s">
        <v>11</v>
      </c>
      <c r="D1268" t="s">
        <v>12</v>
      </c>
      <c r="E1268" t="s">
        <v>164</v>
      </c>
      <c r="F1268" t="s">
        <v>94</v>
      </c>
      <c r="G1268" t="s">
        <v>24</v>
      </c>
      <c r="H1268">
        <v>7</v>
      </c>
      <c r="I1268">
        <v>4823</v>
      </c>
      <c r="J1268">
        <v>420.58</v>
      </c>
    </row>
    <row r="1269" spans="1:10" x14ac:dyDescent="0.25">
      <c r="A1269" s="1">
        <v>45566</v>
      </c>
      <c r="B1269" t="s">
        <v>32</v>
      </c>
      <c r="C1269" t="s">
        <v>19</v>
      </c>
      <c r="D1269" t="s">
        <v>12</v>
      </c>
      <c r="E1269" t="s">
        <v>50</v>
      </c>
      <c r="F1269" t="s">
        <v>51</v>
      </c>
      <c r="G1269" t="s">
        <v>35</v>
      </c>
      <c r="H1269">
        <v>8</v>
      </c>
      <c r="I1269">
        <v>4048</v>
      </c>
      <c r="J1269">
        <v>666.1</v>
      </c>
    </row>
    <row r="1270" spans="1:10" x14ac:dyDescent="0.25">
      <c r="A1270" s="1">
        <v>45218</v>
      </c>
      <c r="B1270" t="s">
        <v>10</v>
      </c>
      <c r="C1270" t="s">
        <v>11</v>
      </c>
      <c r="D1270" t="s">
        <v>12</v>
      </c>
      <c r="E1270" t="s">
        <v>123</v>
      </c>
      <c r="F1270" t="s">
        <v>63</v>
      </c>
      <c r="G1270" t="s">
        <v>28</v>
      </c>
      <c r="H1270">
        <v>7</v>
      </c>
      <c r="I1270">
        <v>2758</v>
      </c>
      <c r="J1270">
        <v>459.02</v>
      </c>
    </row>
    <row r="1271" spans="1:10" x14ac:dyDescent="0.25">
      <c r="A1271" s="1">
        <v>44918</v>
      </c>
      <c r="B1271" t="s">
        <v>40</v>
      </c>
      <c r="C1271" t="s">
        <v>19</v>
      </c>
      <c r="D1271" t="s">
        <v>12</v>
      </c>
      <c r="E1271" t="s">
        <v>243</v>
      </c>
      <c r="F1271" t="s">
        <v>23</v>
      </c>
      <c r="G1271" t="s">
        <v>24</v>
      </c>
      <c r="H1271">
        <v>8</v>
      </c>
      <c r="I1271">
        <v>4096</v>
      </c>
      <c r="J1271">
        <v>266.35000000000002</v>
      </c>
    </row>
    <row r="1272" spans="1:10" x14ac:dyDescent="0.25">
      <c r="A1272" s="1">
        <v>45576</v>
      </c>
      <c r="B1272" t="s">
        <v>10</v>
      </c>
      <c r="C1272" t="s">
        <v>11</v>
      </c>
      <c r="D1272" t="s">
        <v>12</v>
      </c>
      <c r="E1272" t="s">
        <v>243</v>
      </c>
      <c r="F1272" t="s">
        <v>23</v>
      </c>
      <c r="G1272" t="s">
        <v>24</v>
      </c>
      <c r="H1272">
        <v>8</v>
      </c>
      <c r="I1272">
        <v>7264</v>
      </c>
      <c r="J1272">
        <v>1318</v>
      </c>
    </row>
    <row r="1273" spans="1:10" x14ac:dyDescent="0.25">
      <c r="A1273" s="1">
        <v>44660</v>
      </c>
      <c r="B1273" t="s">
        <v>16</v>
      </c>
      <c r="C1273" t="s">
        <v>17</v>
      </c>
      <c r="D1273" t="s">
        <v>12</v>
      </c>
      <c r="E1273" t="s">
        <v>52</v>
      </c>
      <c r="F1273" t="s">
        <v>42</v>
      </c>
      <c r="G1273" t="s">
        <v>28</v>
      </c>
      <c r="H1273">
        <v>6</v>
      </c>
      <c r="I1273">
        <v>4302</v>
      </c>
      <c r="J1273">
        <v>957.38</v>
      </c>
    </row>
    <row r="1274" spans="1:10" x14ac:dyDescent="0.25">
      <c r="A1274" s="1">
        <v>44623</v>
      </c>
      <c r="B1274" t="s">
        <v>10</v>
      </c>
      <c r="C1274" t="s">
        <v>11</v>
      </c>
      <c r="D1274" t="s">
        <v>12</v>
      </c>
      <c r="E1274" t="s">
        <v>367</v>
      </c>
      <c r="F1274" t="s">
        <v>34</v>
      </c>
      <c r="G1274" t="s">
        <v>35</v>
      </c>
      <c r="H1274">
        <v>7</v>
      </c>
      <c r="I1274">
        <v>3297</v>
      </c>
      <c r="J1274">
        <v>583.86</v>
      </c>
    </row>
    <row r="1275" spans="1:10" x14ac:dyDescent="0.25">
      <c r="A1275" s="1">
        <v>44953</v>
      </c>
      <c r="B1275" t="s">
        <v>10</v>
      </c>
      <c r="C1275" t="s">
        <v>11</v>
      </c>
      <c r="D1275" t="s">
        <v>12</v>
      </c>
      <c r="E1275" t="s">
        <v>97</v>
      </c>
      <c r="F1275" t="s">
        <v>23</v>
      </c>
      <c r="G1275" t="s">
        <v>24</v>
      </c>
      <c r="H1275">
        <v>5</v>
      </c>
      <c r="I1275">
        <v>5960</v>
      </c>
      <c r="J1275">
        <v>1139.78</v>
      </c>
    </row>
    <row r="1276" spans="1:10" x14ac:dyDescent="0.25">
      <c r="A1276" s="1">
        <v>45313</v>
      </c>
      <c r="B1276" t="s">
        <v>49</v>
      </c>
      <c r="C1276" t="s">
        <v>17</v>
      </c>
      <c r="D1276" t="s">
        <v>12</v>
      </c>
      <c r="E1276" t="s">
        <v>52</v>
      </c>
      <c r="F1276" t="s">
        <v>42</v>
      </c>
      <c r="G1276" t="s">
        <v>28</v>
      </c>
      <c r="H1276">
        <v>1</v>
      </c>
      <c r="I1276">
        <v>386</v>
      </c>
      <c r="J1276">
        <v>114.9</v>
      </c>
    </row>
    <row r="1277" spans="1:10" x14ac:dyDescent="0.25">
      <c r="A1277" s="1">
        <v>44581</v>
      </c>
      <c r="B1277" t="s">
        <v>10</v>
      </c>
      <c r="C1277" t="s">
        <v>11</v>
      </c>
      <c r="D1277" t="s">
        <v>12</v>
      </c>
      <c r="E1277" t="s">
        <v>52</v>
      </c>
      <c r="F1277" t="s">
        <v>42</v>
      </c>
      <c r="G1277" t="s">
        <v>28</v>
      </c>
      <c r="H1277">
        <v>1</v>
      </c>
      <c r="I1277">
        <v>684</v>
      </c>
      <c r="J1277">
        <v>170.36</v>
      </c>
    </row>
    <row r="1278" spans="1:10" x14ac:dyDescent="0.25">
      <c r="A1278" s="1">
        <v>44727</v>
      </c>
      <c r="B1278" t="s">
        <v>55</v>
      </c>
      <c r="C1278" t="s">
        <v>19</v>
      </c>
      <c r="D1278" t="s">
        <v>12</v>
      </c>
      <c r="E1278" t="s">
        <v>52</v>
      </c>
      <c r="F1278" t="s">
        <v>42</v>
      </c>
      <c r="G1278" t="s">
        <v>28</v>
      </c>
      <c r="H1278">
        <v>3</v>
      </c>
      <c r="I1278">
        <v>1275</v>
      </c>
      <c r="J1278">
        <v>168.64</v>
      </c>
    </row>
    <row r="1279" spans="1:10" x14ac:dyDescent="0.25">
      <c r="A1279" s="1">
        <v>45064</v>
      </c>
      <c r="B1279" t="s">
        <v>16</v>
      </c>
      <c r="C1279" t="s">
        <v>17</v>
      </c>
      <c r="D1279" t="s">
        <v>12</v>
      </c>
      <c r="E1279" t="s">
        <v>52</v>
      </c>
      <c r="F1279" t="s">
        <v>42</v>
      </c>
      <c r="G1279" t="s">
        <v>28</v>
      </c>
      <c r="H1279">
        <v>9</v>
      </c>
      <c r="I1279">
        <v>5949</v>
      </c>
      <c r="J1279">
        <v>368.51</v>
      </c>
    </row>
    <row r="1280" spans="1:10" x14ac:dyDescent="0.25">
      <c r="A1280" s="1">
        <v>44963</v>
      </c>
      <c r="B1280" t="s">
        <v>25</v>
      </c>
      <c r="C1280" t="s">
        <v>19</v>
      </c>
      <c r="D1280" t="s">
        <v>12</v>
      </c>
      <c r="E1280" t="s">
        <v>26</v>
      </c>
      <c r="F1280" t="s">
        <v>27</v>
      </c>
      <c r="G1280" t="s">
        <v>28</v>
      </c>
      <c r="H1280">
        <v>7</v>
      </c>
      <c r="I1280">
        <v>5159</v>
      </c>
      <c r="J1280">
        <v>755.22</v>
      </c>
    </row>
    <row r="1281" spans="1:10" x14ac:dyDescent="0.25">
      <c r="A1281" s="1">
        <v>44743</v>
      </c>
      <c r="B1281" t="s">
        <v>36</v>
      </c>
      <c r="C1281" t="s">
        <v>17</v>
      </c>
      <c r="D1281" t="s">
        <v>12</v>
      </c>
      <c r="E1281" t="s">
        <v>325</v>
      </c>
      <c r="F1281" t="s">
        <v>63</v>
      </c>
      <c r="G1281" t="s">
        <v>28</v>
      </c>
      <c r="H1281">
        <v>4</v>
      </c>
      <c r="I1281">
        <v>1100</v>
      </c>
      <c r="J1281">
        <v>127.13</v>
      </c>
    </row>
    <row r="1282" spans="1:10" x14ac:dyDescent="0.25">
      <c r="A1282" s="1">
        <v>45317</v>
      </c>
      <c r="B1282" t="s">
        <v>16</v>
      </c>
      <c r="C1282" t="s">
        <v>17</v>
      </c>
      <c r="D1282" t="s">
        <v>12</v>
      </c>
      <c r="E1282" t="s">
        <v>325</v>
      </c>
      <c r="F1282" t="s">
        <v>63</v>
      </c>
      <c r="G1282" t="s">
        <v>28</v>
      </c>
      <c r="H1282">
        <v>2</v>
      </c>
      <c r="I1282">
        <v>290</v>
      </c>
      <c r="J1282">
        <v>50.23</v>
      </c>
    </row>
    <row r="1283" spans="1:10" x14ac:dyDescent="0.25">
      <c r="A1283" s="1">
        <v>45143</v>
      </c>
      <c r="B1283" t="s">
        <v>32</v>
      </c>
      <c r="C1283" t="s">
        <v>19</v>
      </c>
      <c r="D1283" t="s">
        <v>12</v>
      </c>
      <c r="E1283" t="s">
        <v>325</v>
      </c>
      <c r="F1283" t="s">
        <v>63</v>
      </c>
      <c r="G1283" t="s">
        <v>28</v>
      </c>
      <c r="H1283">
        <v>8</v>
      </c>
      <c r="I1283">
        <v>7144</v>
      </c>
      <c r="J1283">
        <v>492.1</v>
      </c>
    </row>
    <row r="1284" spans="1:10" x14ac:dyDescent="0.25">
      <c r="A1284" s="1">
        <v>44782</v>
      </c>
      <c r="B1284" t="s">
        <v>49</v>
      </c>
      <c r="C1284" t="s">
        <v>17</v>
      </c>
      <c r="D1284" t="s">
        <v>12</v>
      </c>
      <c r="E1284" t="s">
        <v>132</v>
      </c>
      <c r="F1284" t="s">
        <v>189</v>
      </c>
      <c r="G1284" t="s">
        <v>24</v>
      </c>
      <c r="H1284">
        <v>5</v>
      </c>
      <c r="I1284">
        <v>4200</v>
      </c>
      <c r="J1284">
        <v>330.48</v>
      </c>
    </row>
    <row r="1285" spans="1:10" x14ac:dyDescent="0.25">
      <c r="A1285" s="1">
        <v>44600</v>
      </c>
      <c r="B1285" t="s">
        <v>36</v>
      </c>
      <c r="C1285" t="s">
        <v>17</v>
      </c>
      <c r="D1285" t="s">
        <v>12</v>
      </c>
      <c r="E1285" t="s">
        <v>132</v>
      </c>
      <c r="F1285" t="s">
        <v>189</v>
      </c>
      <c r="G1285" t="s">
        <v>24</v>
      </c>
      <c r="H1285">
        <v>6</v>
      </c>
      <c r="I1285">
        <v>5022</v>
      </c>
      <c r="J1285">
        <v>291.89</v>
      </c>
    </row>
    <row r="1286" spans="1:10" x14ac:dyDescent="0.25">
      <c r="A1286" s="1">
        <v>45639</v>
      </c>
      <c r="B1286" t="s">
        <v>40</v>
      </c>
      <c r="C1286" t="s">
        <v>19</v>
      </c>
      <c r="D1286" t="s">
        <v>12</v>
      </c>
      <c r="E1286" t="s">
        <v>52</v>
      </c>
      <c r="F1286" t="s">
        <v>42</v>
      </c>
      <c r="G1286" t="s">
        <v>28</v>
      </c>
      <c r="H1286">
        <v>2</v>
      </c>
      <c r="I1286">
        <v>2354</v>
      </c>
      <c r="J1286">
        <v>371.34</v>
      </c>
    </row>
    <row r="1287" spans="1:10" x14ac:dyDescent="0.25">
      <c r="A1287" s="1">
        <v>45575</v>
      </c>
      <c r="B1287" t="s">
        <v>40</v>
      </c>
      <c r="C1287" t="s">
        <v>19</v>
      </c>
      <c r="D1287" t="s">
        <v>12</v>
      </c>
      <c r="E1287" t="s">
        <v>52</v>
      </c>
      <c r="F1287" t="s">
        <v>42</v>
      </c>
      <c r="G1287" t="s">
        <v>28</v>
      </c>
      <c r="H1287">
        <v>2</v>
      </c>
      <c r="I1287">
        <v>2032</v>
      </c>
      <c r="J1287">
        <v>149.69999999999999</v>
      </c>
    </row>
    <row r="1288" spans="1:10" x14ac:dyDescent="0.25">
      <c r="A1288" s="1">
        <v>45580</v>
      </c>
      <c r="B1288" t="s">
        <v>10</v>
      </c>
      <c r="C1288" t="s">
        <v>11</v>
      </c>
      <c r="D1288" t="s">
        <v>12</v>
      </c>
      <c r="E1288" t="s">
        <v>22</v>
      </c>
      <c r="F1288" t="s">
        <v>23</v>
      </c>
      <c r="G1288" t="s">
        <v>24</v>
      </c>
      <c r="H1288">
        <v>8</v>
      </c>
      <c r="I1288">
        <v>9528</v>
      </c>
      <c r="J1288">
        <v>1942.35</v>
      </c>
    </row>
    <row r="1289" spans="1:10" x14ac:dyDescent="0.25">
      <c r="A1289" s="1">
        <v>45437</v>
      </c>
      <c r="B1289" t="s">
        <v>49</v>
      </c>
      <c r="C1289" t="s">
        <v>17</v>
      </c>
      <c r="D1289" t="s">
        <v>12</v>
      </c>
      <c r="E1289" t="s">
        <v>74</v>
      </c>
      <c r="F1289" t="s">
        <v>23</v>
      </c>
      <c r="G1289" t="s">
        <v>24</v>
      </c>
      <c r="H1289">
        <v>2</v>
      </c>
      <c r="I1289">
        <v>2372</v>
      </c>
      <c r="J1289">
        <v>275.88</v>
      </c>
    </row>
    <row r="1290" spans="1:10" x14ac:dyDescent="0.25">
      <c r="A1290" s="1">
        <v>44606</v>
      </c>
      <c r="B1290" t="s">
        <v>55</v>
      </c>
      <c r="C1290" t="s">
        <v>19</v>
      </c>
      <c r="D1290" t="s">
        <v>12</v>
      </c>
      <c r="E1290" t="s">
        <v>116</v>
      </c>
      <c r="F1290" t="s">
        <v>23</v>
      </c>
      <c r="G1290" t="s">
        <v>24</v>
      </c>
      <c r="H1290">
        <v>3</v>
      </c>
      <c r="I1290">
        <v>2703</v>
      </c>
      <c r="J1290">
        <v>609.75</v>
      </c>
    </row>
    <row r="1291" spans="1:10" x14ac:dyDescent="0.25">
      <c r="A1291" s="1">
        <v>45050</v>
      </c>
      <c r="B1291" t="s">
        <v>55</v>
      </c>
      <c r="C1291" t="s">
        <v>19</v>
      </c>
      <c r="D1291" t="s">
        <v>12</v>
      </c>
      <c r="E1291" t="s">
        <v>75</v>
      </c>
      <c r="F1291" t="s">
        <v>108</v>
      </c>
      <c r="G1291" t="s">
        <v>15</v>
      </c>
      <c r="H1291">
        <v>4</v>
      </c>
      <c r="I1291">
        <v>1264</v>
      </c>
      <c r="J1291">
        <v>267.82</v>
      </c>
    </row>
    <row r="1292" spans="1:10" x14ac:dyDescent="0.25">
      <c r="A1292" s="1">
        <v>45433</v>
      </c>
      <c r="B1292" t="s">
        <v>40</v>
      </c>
      <c r="C1292" t="s">
        <v>19</v>
      </c>
      <c r="D1292" t="s">
        <v>12</v>
      </c>
      <c r="E1292" t="s">
        <v>74</v>
      </c>
      <c r="F1292" t="s">
        <v>23</v>
      </c>
      <c r="G1292" t="s">
        <v>24</v>
      </c>
      <c r="H1292">
        <v>4</v>
      </c>
      <c r="I1292">
        <v>1624</v>
      </c>
      <c r="J1292">
        <v>333.74</v>
      </c>
    </row>
    <row r="1293" spans="1:10" x14ac:dyDescent="0.25">
      <c r="A1293" s="1">
        <v>45060</v>
      </c>
      <c r="B1293" t="s">
        <v>16</v>
      </c>
      <c r="C1293" t="s">
        <v>17</v>
      </c>
      <c r="D1293" t="s">
        <v>12</v>
      </c>
      <c r="E1293" t="s">
        <v>26</v>
      </c>
      <c r="F1293" t="s">
        <v>27</v>
      </c>
      <c r="G1293" t="s">
        <v>28</v>
      </c>
      <c r="H1293">
        <v>8</v>
      </c>
      <c r="I1293">
        <v>2976</v>
      </c>
      <c r="J1293">
        <v>507.77</v>
      </c>
    </row>
    <row r="1294" spans="1:10" x14ac:dyDescent="0.25">
      <c r="A1294" s="1">
        <v>45475</v>
      </c>
      <c r="B1294" t="s">
        <v>29</v>
      </c>
      <c r="C1294" t="s">
        <v>17</v>
      </c>
      <c r="D1294" t="s">
        <v>12</v>
      </c>
      <c r="E1294" t="s">
        <v>26</v>
      </c>
      <c r="F1294" t="s">
        <v>27</v>
      </c>
      <c r="G1294" t="s">
        <v>28</v>
      </c>
      <c r="H1294">
        <v>6</v>
      </c>
      <c r="I1294">
        <v>4998</v>
      </c>
      <c r="J1294">
        <v>863.82</v>
      </c>
    </row>
    <row r="1295" spans="1:10" x14ac:dyDescent="0.25">
      <c r="A1295" s="1">
        <v>45400</v>
      </c>
      <c r="B1295" t="s">
        <v>10</v>
      </c>
      <c r="C1295" t="s">
        <v>11</v>
      </c>
      <c r="D1295" t="s">
        <v>12</v>
      </c>
      <c r="E1295" t="s">
        <v>101</v>
      </c>
      <c r="F1295" t="s">
        <v>21</v>
      </c>
      <c r="G1295" t="s">
        <v>15</v>
      </c>
      <c r="H1295">
        <v>1</v>
      </c>
      <c r="I1295">
        <v>445</v>
      </c>
      <c r="J1295">
        <v>29.57</v>
      </c>
    </row>
    <row r="1296" spans="1:10" x14ac:dyDescent="0.25">
      <c r="A1296" s="1">
        <v>44854</v>
      </c>
      <c r="B1296" t="s">
        <v>10</v>
      </c>
      <c r="C1296" t="s">
        <v>11</v>
      </c>
      <c r="D1296" t="s">
        <v>12</v>
      </c>
      <c r="E1296" t="s">
        <v>101</v>
      </c>
      <c r="F1296" t="s">
        <v>21</v>
      </c>
      <c r="G1296" t="s">
        <v>15</v>
      </c>
      <c r="H1296">
        <v>1</v>
      </c>
      <c r="I1296">
        <v>98</v>
      </c>
      <c r="J1296">
        <v>28.57</v>
      </c>
    </row>
    <row r="1297" spans="1:10" x14ac:dyDescent="0.25">
      <c r="A1297" s="1">
        <v>44795</v>
      </c>
      <c r="B1297" t="s">
        <v>18</v>
      </c>
      <c r="C1297" t="s">
        <v>19</v>
      </c>
      <c r="D1297" t="s">
        <v>12</v>
      </c>
      <c r="E1297" t="s">
        <v>47</v>
      </c>
      <c r="F1297" t="s">
        <v>48</v>
      </c>
      <c r="G1297" t="s">
        <v>15</v>
      </c>
      <c r="H1297">
        <v>7</v>
      </c>
      <c r="I1297">
        <v>4102</v>
      </c>
      <c r="J1297">
        <v>354.03</v>
      </c>
    </row>
    <row r="1298" spans="1:10" x14ac:dyDescent="0.25">
      <c r="A1298" s="1">
        <v>44572</v>
      </c>
      <c r="B1298" t="s">
        <v>10</v>
      </c>
      <c r="C1298" t="s">
        <v>11</v>
      </c>
      <c r="D1298" t="s">
        <v>12</v>
      </c>
      <c r="E1298" t="s">
        <v>368</v>
      </c>
      <c r="F1298" t="s">
        <v>189</v>
      </c>
      <c r="G1298" t="s">
        <v>24</v>
      </c>
      <c r="H1298">
        <v>1</v>
      </c>
      <c r="I1298">
        <v>1016</v>
      </c>
      <c r="J1298">
        <v>171.31</v>
      </c>
    </row>
    <row r="1299" spans="1:10" x14ac:dyDescent="0.25">
      <c r="A1299" s="1">
        <v>45156</v>
      </c>
      <c r="B1299" t="s">
        <v>29</v>
      </c>
      <c r="C1299" t="s">
        <v>17</v>
      </c>
      <c r="D1299" t="s">
        <v>12</v>
      </c>
      <c r="E1299" t="s">
        <v>52</v>
      </c>
      <c r="F1299" t="s">
        <v>42</v>
      </c>
      <c r="G1299" t="s">
        <v>28</v>
      </c>
      <c r="H1299">
        <v>4</v>
      </c>
      <c r="I1299">
        <v>1960</v>
      </c>
      <c r="J1299">
        <v>234.88</v>
      </c>
    </row>
    <row r="1300" spans="1:10" x14ac:dyDescent="0.25">
      <c r="A1300" s="1">
        <v>45550</v>
      </c>
      <c r="B1300" t="s">
        <v>16</v>
      </c>
      <c r="C1300" t="s">
        <v>17</v>
      </c>
      <c r="D1300" t="s">
        <v>12</v>
      </c>
      <c r="E1300" t="s">
        <v>350</v>
      </c>
      <c r="F1300" t="s">
        <v>23</v>
      </c>
      <c r="G1300" t="s">
        <v>24</v>
      </c>
      <c r="H1300">
        <v>7</v>
      </c>
      <c r="I1300">
        <v>2751</v>
      </c>
      <c r="J1300">
        <v>675.95</v>
      </c>
    </row>
    <row r="1301" spans="1:10" x14ac:dyDescent="0.25">
      <c r="A1301" s="1">
        <v>44757</v>
      </c>
      <c r="B1301" t="s">
        <v>40</v>
      </c>
      <c r="C1301" t="s">
        <v>19</v>
      </c>
      <c r="D1301" t="s">
        <v>12</v>
      </c>
      <c r="E1301" t="s">
        <v>215</v>
      </c>
      <c r="F1301" t="s">
        <v>63</v>
      </c>
      <c r="G1301" t="s">
        <v>28</v>
      </c>
      <c r="H1301">
        <v>7</v>
      </c>
      <c r="I1301">
        <v>4032</v>
      </c>
      <c r="J1301">
        <v>742.98</v>
      </c>
    </row>
    <row r="1302" spans="1:10" x14ac:dyDescent="0.25">
      <c r="A1302" s="1">
        <v>45501</v>
      </c>
      <c r="B1302" t="s">
        <v>40</v>
      </c>
      <c r="C1302" t="s">
        <v>19</v>
      </c>
      <c r="D1302" t="s">
        <v>12</v>
      </c>
      <c r="E1302" t="s">
        <v>37</v>
      </c>
      <c r="F1302" t="s">
        <v>34</v>
      </c>
      <c r="G1302" t="s">
        <v>35</v>
      </c>
      <c r="H1302">
        <v>7</v>
      </c>
      <c r="I1302">
        <v>5978</v>
      </c>
      <c r="J1302">
        <v>1791.25</v>
      </c>
    </row>
    <row r="1303" spans="1:10" x14ac:dyDescent="0.25">
      <c r="A1303" s="1">
        <v>45276</v>
      </c>
      <c r="B1303" t="s">
        <v>29</v>
      </c>
      <c r="C1303" t="s">
        <v>17</v>
      </c>
      <c r="D1303" t="s">
        <v>12</v>
      </c>
      <c r="E1303" t="s">
        <v>56</v>
      </c>
      <c r="F1303" t="s">
        <v>57</v>
      </c>
      <c r="G1303" t="s">
        <v>24</v>
      </c>
      <c r="H1303">
        <v>7</v>
      </c>
      <c r="I1303">
        <v>8050</v>
      </c>
      <c r="J1303">
        <v>2129.9699999999998</v>
      </c>
    </row>
    <row r="1304" spans="1:10" x14ac:dyDescent="0.25">
      <c r="A1304" s="1">
        <v>45436</v>
      </c>
      <c r="B1304" t="s">
        <v>36</v>
      </c>
      <c r="C1304" t="s">
        <v>17</v>
      </c>
      <c r="D1304" t="s">
        <v>12</v>
      </c>
      <c r="E1304" t="s">
        <v>52</v>
      </c>
      <c r="F1304" t="s">
        <v>42</v>
      </c>
      <c r="G1304" t="s">
        <v>28</v>
      </c>
      <c r="H1304">
        <v>7</v>
      </c>
      <c r="I1304">
        <v>4648</v>
      </c>
      <c r="J1304">
        <v>1240.98</v>
      </c>
    </row>
    <row r="1305" spans="1:10" x14ac:dyDescent="0.25">
      <c r="A1305" s="1">
        <v>44726</v>
      </c>
      <c r="B1305" t="s">
        <v>40</v>
      </c>
      <c r="C1305" t="s">
        <v>19</v>
      </c>
      <c r="D1305" t="s">
        <v>12</v>
      </c>
      <c r="E1305" t="s">
        <v>369</v>
      </c>
      <c r="F1305" t="s">
        <v>46</v>
      </c>
      <c r="G1305" t="s">
        <v>15</v>
      </c>
      <c r="H1305">
        <v>3</v>
      </c>
      <c r="I1305">
        <v>1119</v>
      </c>
      <c r="J1305">
        <v>108.68</v>
      </c>
    </row>
    <row r="1306" spans="1:10" x14ac:dyDescent="0.25">
      <c r="A1306" s="1">
        <v>45091</v>
      </c>
      <c r="B1306" t="s">
        <v>10</v>
      </c>
      <c r="C1306" t="s">
        <v>11</v>
      </c>
      <c r="D1306" t="s">
        <v>12</v>
      </c>
      <c r="E1306" t="s">
        <v>368</v>
      </c>
      <c r="F1306" t="s">
        <v>189</v>
      </c>
      <c r="G1306" t="s">
        <v>24</v>
      </c>
      <c r="H1306">
        <v>9</v>
      </c>
      <c r="I1306">
        <v>2178</v>
      </c>
      <c r="J1306">
        <v>382.67</v>
      </c>
    </row>
    <row r="1307" spans="1:10" x14ac:dyDescent="0.25">
      <c r="A1307" s="1">
        <v>45637</v>
      </c>
      <c r="B1307" t="s">
        <v>55</v>
      </c>
      <c r="C1307" t="s">
        <v>19</v>
      </c>
      <c r="D1307" t="s">
        <v>12</v>
      </c>
      <c r="E1307" t="s">
        <v>368</v>
      </c>
      <c r="F1307" t="s">
        <v>189</v>
      </c>
      <c r="G1307" t="s">
        <v>24</v>
      </c>
      <c r="H1307">
        <v>1</v>
      </c>
      <c r="I1307">
        <v>918</v>
      </c>
      <c r="J1307">
        <v>180.31</v>
      </c>
    </row>
    <row r="1308" spans="1:10" x14ac:dyDescent="0.25">
      <c r="A1308" s="1">
        <v>44962</v>
      </c>
      <c r="B1308" t="s">
        <v>40</v>
      </c>
      <c r="C1308" t="s">
        <v>19</v>
      </c>
      <c r="D1308" t="s">
        <v>12</v>
      </c>
      <c r="E1308" t="s">
        <v>56</v>
      </c>
      <c r="F1308" t="s">
        <v>57</v>
      </c>
      <c r="G1308" t="s">
        <v>24</v>
      </c>
      <c r="H1308">
        <v>9</v>
      </c>
      <c r="I1308">
        <v>6903</v>
      </c>
      <c r="J1308">
        <v>837.35</v>
      </c>
    </row>
    <row r="1309" spans="1:10" x14ac:dyDescent="0.25">
      <c r="A1309" s="1">
        <v>45159</v>
      </c>
      <c r="B1309" t="s">
        <v>49</v>
      </c>
      <c r="C1309" t="s">
        <v>17</v>
      </c>
      <c r="D1309" t="s">
        <v>12</v>
      </c>
      <c r="E1309" t="s">
        <v>187</v>
      </c>
      <c r="F1309" t="s">
        <v>23</v>
      </c>
      <c r="G1309" t="s">
        <v>24</v>
      </c>
      <c r="H1309">
        <v>5</v>
      </c>
      <c r="I1309">
        <v>4855</v>
      </c>
      <c r="J1309">
        <v>534.23</v>
      </c>
    </row>
    <row r="1310" spans="1:10" x14ac:dyDescent="0.25">
      <c r="A1310" s="1">
        <v>45278</v>
      </c>
      <c r="B1310" t="s">
        <v>25</v>
      </c>
      <c r="C1310" t="s">
        <v>19</v>
      </c>
      <c r="D1310" t="s">
        <v>12</v>
      </c>
      <c r="E1310" t="s">
        <v>91</v>
      </c>
      <c r="F1310" t="s">
        <v>133</v>
      </c>
      <c r="G1310" t="s">
        <v>28</v>
      </c>
      <c r="H1310">
        <v>2</v>
      </c>
      <c r="I1310">
        <v>2158</v>
      </c>
      <c r="J1310">
        <v>483.94</v>
      </c>
    </row>
    <row r="1311" spans="1:10" x14ac:dyDescent="0.25">
      <c r="A1311" s="1">
        <v>45029</v>
      </c>
      <c r="B1311" t="s">
        <v>16</v>
      </c>
      <c r="C1311" t="s">
        <v>17</v>
      </c>
      <c r="D1311" t="s">
        <v>12</v>
      </c>
      <c r="E1311" t="s">
        <v>56</v>
      </c>
      <c r="F1311" t="s">
        <v>57</v>
      </c>
      <c r="G1311" t="s">
        <v>24</v>
      </c>
      <c r="H1311">
        <v>7</v>
      </c>
      <c r="I1311">
        <v>4550</v>
      </c>
      <c r="J1311">
        <v>1077.8</v>
      </c>
    </row>
    <row r="1312" spans="1:10" x14ac:dyDescent="0.25">
      <c r="A1312" s="1">
        <v>45193</v>
      </c>
      <c r="B1312" t="s">
        <v>18</v>
      </c>
      <c r="C1312" t="s">
        <v>19</v>
      </c>
      <c r="D1312" t="s">
        <v>12</v>
      </c>
      <c r="E1312" t="s">
        <v>75</v>
      </c>
      <c r="F1312" t="s">
        <v>39</v>
      </c>
      <c r="G1312" t="s">
        <v>35</v>
      </c>
      <c r="H1312">
        <v>4</v>
      </c>
      <c r="I1312">
        <v>3592</v>
      </c>
      <c r="J1312">
        <v>249.54</v>
      </c>
    </row>
    <row r="1313" spans="1:10" x14ac:dyDescent="0.25">
      <c r="A1313" s="1">
        <v>44914</v>
      </c>
      <c r="B1313" t="s">
        <v>18</v>
      </c>
      <c r="C1313" t="s">
        <v>19</v>
      </c>
      <c r="D1313" t="s">
        <v>12</v>
      </c>
      <c r="E1313" t="s">
        <v>197</v>
      </c>
      <c r="F1313" t="s">
        <v>168</v>
      </c>
      <c r="G1313" t="s">
        <v>15</v>
      </c>
      <c r="H1313">
        <v>8</v>
      </c>
      <c r="I1313">
        <v>3488</v>
      </c>
      <c r="J1313">
        <v>943.25</v>
      </c>
    </row>
    <row r="1314" spans="1:10" x14ac:dyDescent="0.25">
      <c r="A1314" s="1">
        <v>44702</v>
      </c>
      <c r="B1314" t="s">
        <v>36</v>
      </c>
      <c r="C1314" t="s">
        <v>17</v>
      </c>
      <c r="D1314" t="s">
        <v>12</v>
      </c>
      <c r="E1314" t="s">
        <v>184</v>
      </c>
      <c r="F1314" t="s">
        <v>23</v>
      </c>
      <c r="G1314" t="s">
        <v>24</v>
      </c>
      <c r="H1314">
        <v>2</v>
      </c>
      <c r="I1314">
        <v>1214</v>
      </c>
      <c r="J1314">
        <v>163.80000000000001</v>
      </c>
    </row>
    <row r="1315" spans="1:10" x14ac:dyDescent="0.25">
      <c r="A1315" s="1">
        <v>45556</v>
      </c>
      <c r="B1315" t="s">
        <v>16</v>
      </c>
      <c r="C1315" t="s">
        <v>17</v>
      </c>
      <c r="D1315" t="s">
        <v>12</v>
      </c>
      <c r="E1315" t="s">
        <v>56</v>
      </c>
      <c r="F1315" t="s">
        <v>57</v>
      </c>
      <c r="G1315" t="s">
        <v>24</v>
      </c>
      <c r="H1315">
        <v>9</v>
      </c>
      <c r="I1315">
        <v>7200</v>
      </c>
      <c r="J1315">
        <v>1469.23</v>
      </c>
    </row>
    <row r="1316" spans="1:10" x14ac:dyDescent="0.25">
      <c r="A1316" s="1">
        <v>45009</v>
      </c>
      <c r="B1316" t="s">
        <v>55</v>
      </c>
      <c r="C1316" t="s">
        <v>19</v>
      </c>
      <c r="D1316" t="s">
        <v>12</v>
      </c>
      <c r="E1316" t="s">
        <v>56</v>
      </c>
      <c r="F1316" t="s">
        <v>57</v>
      </c>
      <c r="G1316" t="s">
        <v>24</v>
      </c>
      <c r="H1316">
        <v>8</v>
      </c>
      <c r="I1316">
        <v>1808</v>
      </c>
      <c r="J1316">
        <v>339.31</v>
      </c>
    </row>
    <row r="1317" spans="1:10" x14ac:dyDescent="0.25">
      <c r="A1317" s="1">
        <v>44924</v>
      </c>
      <c r="B1317" t="s">
        <v>25</v>
      </c>
      <c r="C1317" t="s">
        <v>19</v>
      </c>
      <c r="D1317" t="s">
        <v>12</v>
      </c>
      <c r="E1317" t="s">
        <v>215</v>
      </c>
      <c r="F1317" t="s">
        <v>63</v>
      </c>
      <c r="G1317" t="s">
        <v>28</v>
      </c>
      <c r="H1317">
        <v>9</v>
      </c>
      <c r="I1317">
        <v>7083</v>
      </c>
      <c r="J1317">
        <v>560.88</v>
      </c>
    </row>
    <row r="1318" spans="1:10" x14ac:dyDescent="0.25">
      <c r="A1318" s="1">
        <v>45448</v>
      </c>
      <c r="B1318" t="s">
        <v>36</v>
      </c>
      <c r="C1318" t="s">
        <v>17</v>
      </c>
      <c r="D1318" t="s">
        <v>12</v>
      </c>
      <c r="E1318" t="s">
        <v>22</v>
      </c>
      <c r="F1318" t="s">
        <v>23</v>
      </c>
      <c r="G1318" t="s">
        <v>24</v>
      </c>
      <c r="H1318">
        <v>4</v>
      </c>
      <c r="I1318">
        <v>1060</v>
      </c>
      <c r="J1318">
        <v>260.20999999999998</v>
      </c>
    </row>
    <row r="1319" spans="1:10" x14ac:dyDescent="0.25">
      <c r="A1319" s="1">
        <v>44882</v>
      </c>
      <c r="B1319" t="s">
        <v>32</v>
      </c>
      <c r="C1319" t="s">
        <v>19</v>
      </c>
      <c r="D1319" t="s">
        <v>12</v>
      </c>
      <c r="E1319" t="s">
        <v>243</v>
      </c>
      <c r="F1319" t="s">
        <v>63</v>
      </c>
      <c r="G1319" t="s">
        <v>28</v>
      </c>
      <c r="H1319">
        <v>9</v>
      </c>
      <c r="I1319">
        <v>7182</v>
      </c>
      <c r="J1319">
        <v>461.61</v>
      </c>
    </row>
    <row r="1320" spans="1:10" x14ac:dyDescent="0.25">
      <c r="A1320" s="1">
        <v>45419</v>
      </c>
      <c r="B1320" t="s">
        <v>40</v>
      </c>
      <c r="C1320" t="s">
        <v>19</v>
      </c>
      <c r="D1320" t="s">
        <v>12</v>
      </c>
      <c r="E1320" t="s">
        <v>74</v>
      </c>
      <c r="F1320" t="s">
        <v>23</v>
      </c>
      <c r="G1320" t="s">
        <v>24</v>
      </c>
      <c r="H1320">
        <v>6</v>
      </c>
      <c r="I1320">
        <v>5532</v>
      </c>
      <c r="J1320">
        <v>552.74</v>
      </c>
    </row>
    <row r="1321" spans="1:10" x14ac:dyDescent="0.25">
      <c r="A1321" s="1">
        <v>45527</v>
      </c>
      <c r="B1321" t="s">
        <v>29</v>
      </c>
      <c r="C1321" t="s">
        <v>17</v>
      </c>
      <c r="D1321" t="s">
        <v>12</v>
      </c>
      <c r="E1321" t="s">
        <v>370</v>
      </c>
      <c r="F1321" t="s">
        <v>23</v>
      </c>
      <c r="G1321" t="s">
        <v>24</v>
      </c>
      <c r="H1321">
        <v>8</v>
      </c>
      <c r="I1321">
        <v>1800</v>
      </c>
      <c r="J1321">
        <v>326.02999999999997</v>
      </c>
    </row>
    <row r="1322" spans="1:10" x14ac:dyDescent="0.25">
      <c r="A1322" s="1">
        <v>45277</v>
      </c>
      <c r="B1322" t="s">
        <v>29</v>
      </c>
      <c r="C1322" t="s">
        <v>17</v>
      </c>
      <c r="D1322" t="s">
        <v>12</v>
      </c>
      <c r="E1322" t="s">
        <v>370</v>
      </c>
      <c r="F1322" t="s">
        <v>23</v>
      </c>
      <c r="G1322" t="s">
        <v>24</v>
      </c>
      <c r="H1322">
        <v>1</v>
      </c>
      <c r="I1322">
        <v>351</v>
      </c>
      <c r="J1322">
        <v>32.61</v>
      </c>
    </row>
    <row r="1323" spans="1:10" x14ac:dyDescent="0.25">
      <c r="A1323" s="1">
        <v>44875</v>
      </c>
      <c r="B1323" t="s">
        <v>32</v>
      </c>
      <c r="C1323" t="s">
        <v>19</v>
      </c>
      <c r="D1323" t="s">
        <v>12</v>
      </c>
      <c r="E1323" t="s">
        <v>351</v>
      </c>
      <c r="F1323" t="s">
        <v>115</v>
      </c>
      <c r="G1323" t="s">
        <v>15</v>
      </c>
      <c r="H1323">
        <v>2</v>
      </c>
      <c r="I1323">
        <v>1200</v>
      </c>
      <c r="J1323">
        <v>191.43</v>
      </c>
    </row>
    <row r="1324" spans="1:10" x14ac:dyDescent="0.25">
      <c r="A1324" s="1">
        <v>45261</v>
      </c>
      <c r="B1324" t="s">
        <v>18</v>
      </c>
      <c r="C1324" t="s">
        <v>19</v>
      </c>
      <c r="D1324" t="s">
        <v>12</v>
      </c>
      <c r="E1324" t="s">
        <v>74</v>
      </c>
      <c r="F1324" t="s">
        <v>23</v>
      </c>
      <c r="G1324" t="s">
        <v>24</v>
      </c>
      <c r="H1324">
        <v>9</v>
      </c>
      <c r="I1324">
        <v>1593</v>
      </c>
      <c r="J1324">
        <v>322.45999999999998</v>
      </c>
    </row>
    <row r="1325" spans="1:10" x14ac:dyDescent="0.25">
      <c r="A1325" s="1">
        <v>45641</v>
      </c>
      <c r="B1325" t="s">
        <v>36</v>
      </c>
      <c r="C1325" t="s">
        <v>17</v>
      </c>
      <c r="D1325" t="s">
        <v>12</v>
      </c>
      <c r="E1325" t="s">
        <v>371</v>
      </c>
      <c r="F1325" t="s">
        <v>189</v>
      </c>
      <c r="G1325" t="s">
        <v>24</v>
      </c>
      <c r="H1325">
        <v>3</v>
      </c>
      <c r="I1325">
        <v>2580</v>
      </c>
      <c r="J1325">
        <v>448.02</v>
      </c>
    </row>
    <row r="1326" spans="1:10" x14ac:dyDescent="0.25">
      <c r="A1326" s="1">
        <v>44632</v>
      </c>
      <c r="B1326" t="s">
        <v>49</v>
      </c>
      <c r="C1326" t="s">
        <v>17</v>
      </c>
      <c r="D1326" t="s">
        <v>12</v>
      </c>
      <c r="E1326" t="s">
        <v>371</v>
      </c>
      <c r="F1326" t="s">
        <v>189</v>
      </c>
      <c r="G1326" t="s">
        <v>24</v>
      </c>
      <c r="H1326">
        <v>6</v>
      </c>
      <c r="I1326">
        <v>6780</v>
      </c>
      <c r="J1326">
        <v>1794.97</v>
      </c>
    </row>
    <row r="1327" spans="1:10" x14ac:dyDescent="0.25">
      <c r="A1327" s="1">
        <v>44645</v>
      </c>
      <c r="B1327" t="s">
        <v>40</v>
      </c>
      <c r="C1327" t="s">
        <v>19</v>
      </c>
      <c r="D1327" t="s">
        <v>12</v>
      </c>
      <c r="E1327" t="s">
        <v>372</v>
      </c>
      <c r="F1327" t="s">
        <v>23</v>
      </c>
      <c r="G1327" t="s">
        <v>24</v>
      </c>
      <c r="H1327">
        <v>2</v>
      </c>
      <c r="I1327">
        <v>1298</v>
      </c>
      <c r="J1327">
        <v>204.08</v>
      </c>
    </row>
    <row r="1328" spans="1:10" x14ac:dyDescent="0.25">
      <c r="A1328" s="1">
        <v>45650</v>
      </c>
      <c r="B1328" t="s">
        <v>32</v>
      </c>
      <c r="C1328" t="s">
        <v>19</v>
      </c>
      <c r="D1328" t="s">
        <v>12</v>
      </c>
      <c r="E1328" t="s">
        <v>373</v>
      </c>
      <c r="F1328" t="s">
        <v>71</v>
      </c>
      <c r="G1328" t="s">
        <v>35</v>
      </c>
      <c r="H1328">
        <v>7</v>
      </c>
      <c r="I1328">
        <v>4585</v>
      </c>
      <c r="J1328">
        <v>383.97</v>
      </c>
    </row>
    <row r="1329" spans="1:10" x14ac:dyDescent="0.25">
      <c r="A1329" s="1">
        <v>45032</v>
      </c>
      <c r="B1329" t="s">
        <v>18</v>
      </c>
      <c r="C1329" t="s">
        <v>19</v>
      </c>
      <c r="D1329" t="s">
        <v>12</v>
      </c>
      <c r="E1329" t="s">
        <v>373</v>
      </c>
      <c r="F1329" t="s">
        <v>71</v>
      </c>
      <c r="G1329" t="s">
        <v>35</v>
      </c>
      <c r="H1329">
        <v>1</v>
      </c>
      <c r="I1329">
        <v>516</v>
      </c>
      <c r="J1329">
        <v>70.53</v>
      </c>
    </row>
    <row r="1330" spans="1:10" x14ac:dyDescent="0.25">
      <c r="A1330" s="1">
        <v>45426</v>
      </c>
      <c r="B1330" t="s">
        <v>18</v>
      </c>
      <c r="C1330" t="s">
        <v>19</v>
      </c>
      <c r="D1330" t="s">
        <v>12</v>
      </c>
      <c r="E1330" t="s">
        <v>22</v>
      </c>
      <c r="F1330" t="s">
        <v>23</v>
      </c>
      <c r="G1330" t="s">
        <v>24</v>
      </c>
      <c r="H1330">
        <v>4</v>
      </c>
      <c r="I1330">
        <v>1780</v>
      </c>
      <c r="J1330">
        <v>420.28</v>
      </c>
    </row>
    <row r="1331" spans="1:10" x14ac:dyDescent="0.25">
      <c r="A1331" s="1">
        <v>44872</v>
      </c>
      <c r="B1331" t="s">
        <v>49</v>
      </c>
      <c r="C1331" t="s">
        <v>17</v>
      </c>
      <c r="D1331" t="s">
        <v>12</v>
      </c>
      <c r="E1331" t="s">
        <v>52</v>
      </c>
      <c r="F1331" t="s">
        <v>42</v>
      </c>
      <c r="G1331" t="s">
        <v>28</v>
      </c>
      <c r="H1331">
        <v>5</v>
      </c>
      <c r="I1331">
        <v>365</v>
      </c>
      <c r="J1331">
        <v>94.05</v>
      </c>
    </row>
    <row r="1332" spans="1:10" x14ac:dyDescent="0.25">
      <c r="A1332" s="1">
        <v>44983</v>
      </c>
      <c r="B1332" t="s">
        <v>18</v>
      </c>
      <c r="C1332" t="s">
        <v>19</v>
      </c>
      <c r="D1332" t="s">
        <v>12</v>
      </c>
      <c r="E1332" t="s">
        <v>210</v>
      </c>
      <c r="F1332" t="s">
        <v>34</v>
      </c>
      <c r="G1332" t="s">
        <v>35</v>
      </c>
      <c r="H1332">
        <v>8</v>
      </c>
      <c r="I1332">
        <v>3896</v>
      </c>
      <c r="J1332">
        <v>735.66</v>
      </c>
    </row>
    <row r="1333" spans="1:10" x14ac:dyDescent="0.25">
      <c r="A1333" s="1">
        <v>45410</v>
      </c>
      <c r="B1333" t="s">
        <v>55</v>
      </c>
      <c r="C1333" t="s">
        <v>19</v>
      </c>
      <c r="D1333" t="s">
        <v>12</v>
      </c>
      <c r="E1333" t="s">
        <v>207</v>
      </c>
      <c r="F1333" t="s">
        <v>34</v>
      </c>
      <c r="G1333" t="s">
        <v>35</v>
      </c>
      <c r="H1333">
        <v>1</v>
      </c>
      <c r="I1333">
        <v>636</v>
      </c>
      <c r="J1333">
        <v>169.24</v>
      </c>
    </row>
    <row r="1334" spans="1:10" x14ac:dyDescent="0.25">
      <c r="A1334" s="1">
        <v>45500</v>
      </c>
      <c r="B1334" t="s">
        <v>36</v>
      </c>
      <c r="C1334" t="s">
        <v>17</v>
      </c>
      <c r="D1334" t="s">
        <v>12</v>
      </c>
      <c r="E1334" t="s">
        <v>52</v>
      </c>
      <c r="F1334" t="s">
        <v>42</v>
      </c>
      <c r="G1334" t="s">
        <v>28</v>
      </c>
      <c r="H1334">
        <v>7</v>
      </c>
      <c r="I1334">
        <v>637</v>
      </c>
      <c r="J1334">
        <v>87.86</v>
      </c>
    </row>
    <row r="1335" spans="1:10" x14ac:dyDescent="0.25">
      <c r="A1335" s="1">
        <v>45195</v>
      </c>
      <c r="B1335" t="s">
        <v>49</v>
      </c>
      <c r="C1335" t="s">
        <v>17</v>
      </c>
      <c r="D1335" t="s">
        <v>12</v>
      </c>
      <c r="E1335" t="s">
        <v>52</v>
      </c>
      <c r="F1335" t="s">
        <v>42</v>
      </c>
      <c r="G1335" t="s">
        <v>28</v>
      </c>
      <c r="H1335">
        <v>3</v>
      </c>
      <c r="I1335">
        <v>1302</v>
      </c>
      <c r="J1335">
        <v>180.82</v>
      </c>
    </row>
    <row r="1336" spans="1:10" x14ac:dyDescent="0.25">
      <c r="A1336" s="1">
        <v>45528</v>
      </c>
      <c r="B1336" t="s">
        <v>40</v>
      </c>
      <c r="C1336" t="s">
        <v>19</v>
      </c>
      <c r="D1336" t="s">
        <v>12</v>
      </c>
      <c r="E1336" t="s">
        <v>45</v>
      </c>
      <c r="F1336" t="s">
        <v>46</v>
      </c>
      <c r="G1336" t="s">
        <v>15</v>
      </c>
      <c r="H1336">
        <v>1</v>
      </c>
      <c r="I1336">
        <v>719</v>
      </c>
      <c r="J1336">
        <v>40.42</v>
      </c>
    </row>
    <row r="1337" spans="1:10" x14ac:dyDescent="0.25">
      <c r="A1337" s="1">
        <v>45146</v>
      </c>
      <c r="B1337" t="s">
        <v>25</v>
      </c>
      <c r="C1337" t="s">
        <v>19</v>
      </c>
      <c r="D1337" t="s">
        <v>12</v>
      </c>
      <c r="E1337" t="s">
        <v>22</v>
      </c>
      <c r="F1337" t="s">
        <v>23</v>
      </c>
      <c r="G1337" t="s">
        <v>24</v>
      </c>
      <c r="H1337">
        <v>6</v>
      </c>
      <c r="I1337">
        <v>5106</v>
      </c>
      <c r="J1337">
        <v>1341.93</v>
      </c>
    </row>
    <row r="1338" spans="1:10" x14ac:dyDescent="0.25">
      <c r="A1338" s="1">
        <v>45118</v>
      </c>
      <c r="B1338" t="s">
        <v>16</v>
      </c>
      <c r="C1338" t="s">
        <v>17</v>
      </c>
      <c r="D1338" t="s">
        <v>12</v>
      </c>
      <c r="E1338" t="s">
        <v>132</v>
      </c>
      <c r="F1338" t="s">
        <v>63</v>
      </c>
      <c r="G1338" t="s">
        <v>28</v>
      </c>
      <c r="H1338">
        <v>3</v>
      </c>
      <c r="I1338">
        <v>1215</v>
      </c>
      <c r="J1338">
        <v>129.80000000000001</v>
      </c>
    </row>
    <row r="1339" spans="1:10" x14ac:dyDescent="0.25">
      <c r="A1339" s="1">
        <v>45435</v>
      </c>
      <c r="B1339" t="s">
        <v>25</v>
      </c>
      <c r="C1339" t="s">
        <v>19</v>
      </c>
      <c r="D1339" t="s">
        <v>12</v>
      </c>
      <c r="E1339" t="s">
        <v>52</v>
      </c>
      <c r="F1339" t="s">
        <v>42</v>
      </c>
      <c r="G1339" t="s">
        <v>28</v>
      </c>
      <c r="H1339">
        <v>9</v>
      </c>
      <c r="I1339">
        <v>1791</v>
      </c>
      <c r="J1339">
        <v>187.28</v>
      </c>
    </row>
    <row r="1340" spans="1:10" x14ac:dyDescent="0.25">
      <c r="A1340" s="1">
        <v>45199</v>
      </c>
      <c r="B1340" t="s">
        <v>10</v>
      </c>
      <c r="C1340" t="s">
        <v>11</v>
      </c>
      <c r="D1340" t="s">
        <v>12</v>
      </c>
      <c r="E1340" t="s">
        <v>182</v>
      </c>
      <c r="F1340" t="s">
        <v>183</v>
      </c>
      <c r="G1340" t="s">
        <v>15</v>
      </c>
      <c r="H1340">
        <v>9</v>
      </c>
      <c r="I1340">
        <v>6255</v>
      </c>
      <c r="J1340">
        <v>452.46</v>
      </c>
    </row>
    <row r="1341" spans="1:10" x14ac:dyDescent="0.25">
      <c r="A1341" s="1">
        <v>45048</v>
      </c>
      <c r="B1341" t="s">
        <v>10</v>
      </c>
      <c r="C1341" t="s">
        <v>11</v>
      </c>
      <c r="D1341" t="s">
        <v>12</v>
      </c>
      <c r="E1341" t="s">
        <v>182</v>
      </c>
      <c r="F1341" t="s">
        <v>183</v>
      </c>
      <c r="G1341" t="s">
        <v>15</v>
      </c>
      <c r="H1341">
        <v>5</v>
      </c>
      <c r="I1341">
        <v>4165</v>
      </c>
      <c r="J1341">
        <v>1012.37</v>
      </c>
    </row>
    <row r="1342" spans="1:10" x14ac:dyDescent="0.25">
      <c r="A1342" s="1">
        <v>45291</v>
      </c>
      <c r="B1342" t="s">
        <v>36</v>
      </c>
      <c r="C1342" t="s">
        <v>17</v>
      </c>
      <c r="D1342" t="s">
        <v>12</v>
      </c>
      <c r="E1342" t="s">
        <v>194</v>
      </c>
      <c r="F1342" t="s">
        <v>57</v>
      </c>
      <c r="G1342" t="s">
        <v>24</v>
      </c>
      <c r="H1342">
        <v>5</v>
      </c>
      <c r="I1342">
        <v>5990</v>
      </c>
      <c r="J1342">
        <v>1192.1099999999999</v>
      </c>
    </row>
    <row r="1343" spans="1:10" x14ac:dyDescent="0.25">
      <c r="A1343" s="1">
        <v>45261</v>
      </c>
      <c r="B1343" t="s">
        <v>18</v>
      </c>
      <c r="C1343" t="s">
        <v>19</v>
      </c>
      <c r="D1343" t="s">
        <v>12</v>
      </c>
      <c r="E1343" t="s">
        <v>37</v>
      </c>
      <c r="F1343" t="s">
        <v>34</v>
      </c>
      <c r="G1343" t="s">
        <v>35</v>
      </c>
      <c r="H1343">
        <v>1</v>
      </c>
      <c r="I1343">
        <v>847</v>
      </c>
      <c r="J1343">
        <v>142.74</v>
      </c>
    </row>
    <row r="1344" spans="1:10" x14ac:dyDescent="0.25">
      <c r="A1344" s="1">
        <v>45326</v>
      </c>
      <c r="B1344" t="s">
        <v>25</v>
      </c>
      <c r="C1344" t="s">
        <v>19</v>
      </c>
      <c r="D1344" t="s">
        <v>12</v>
      </c>
      <c r="E1344" t="s">
        <v>238</v>
      </c>
      <c r="F1344" t="s">
        <v>191</v>
      </c>
      <c r="G1344" t="s">
        <v>35</v>
      </c>
      <c r="H1344">
        <v>8</v>
      </c>
      <c r="I1344">
        <v>688</v>
      </c>
      <c r="J1344">
        <v>131.26</v>
      </c>
    </row>
    <row r="1345" spans="1:10" x14ac:dyDescent="0.25">
      <c r="A1345" s="1">
        <v>45101</v>
      </c>
      <c r="B1345" t="s">
        <v>18</v>
      </c>
      <c r="C1345" t="s">
        <v>19</v>
      </c>
      <c r="D1345" t="s">
        <v>12</v>
      </c>
      <c r="E1345" t="s">
        <v>184</v>
      </c>
      <c r="F1345" t="s">
        <v>23</v>
      </c>
      <c r="G1345" t="s">
        <v>24</v>
      </c>
      <c r="H1345">
        <v>2</v>
      </c>
      <c r="I1345">
        <v>1188</v>
      </c>
      <c r="J1345">
        <v>286.38</v>
      </c>
    </row>
    <row r="1346" spans="1:10" x14ac:dyDescent="0.25">
      <c r="A1346" s="1">
        <v>45158</v>
      </c>
      <c r="B1346" t="s">
        <v>25</v>
      </c>
      <c r="C1346" t="s">
        <v>19</v>
      </c>
      <c r="D1346" t="s">
        <v>12</v>
      </c>
      <c r="E1346" t="s">
        <v>103</v>
      </c>
      <c r="F1346" t="s">
        <v>149</v>
      </c>
      <c r="G1346" t="s">
        <v>15</v>
      </c>
      <c r="H1346">
        <v>7</v>
      </c>
      <c r="I1346">
        <v>3101</v>
      </c>
      <c r="J1346">
        <v>926.09</v>
      </c>
    </row>
    <row r="1347" spans="1:10" x14ac:dyDescent="0.25">
      <c r="A1347" s="1">
        <v>45656</v>
      </c>
      <c r="B1347" t="s">
        <v>29</v>
      </c>
      <c r="C1347" t="s">
        <v>17</v>
      </c>
      <c r="D1347" t="s">
        <v>12</v>
      </c>
      <c r="E1347" t="s">
        <v>103</v>
      </c>
      <c r="F1347" t="s">
        <v>149</v>
      </c>
      <c r="G1347" t="s">
        <v>15</v>
      </c>
      <c r="H1347">
        <v>9</v>
      </c>
      <c r="I1347">
        <v>8703</v>
      </c>
      <c r="J1347">
        <v>1562.88</v>
      </c>
    </row>
    <row r="1348" spans="1:10" x14ac:dyDescent="0.25">
      <c r="A1348" s="1">
        <v>45594</v>
      </c>
      <c r="B1348" t="s">
        <v>10</v>
      </c>
      <c r="C1348" t="s">
        <v>11</v>
      </c>
      <c r="D1348" t="s">
        <v>12</v>
      </c>
      <c r="E1348" t="s">
        <v>352</v>
      </c>
      <c r="F1348" t="s">
        <v>267</v>
      </c>
      <c r="G1348" t="s">
        <v>24</v>
      </c>
      <c r="H1348">
        <v>9</v>
      </c>
      <c r="I1348">
        <v>9324</v>
      </c>
      <c r="J1348">
        <v>2416.9299999999998</v>
      </c>
    </row>
    <row r="1349" spans="1:10" x14ac:dyDescent="0.25">
      <c r="A1349" s="1">
        <v>45555</v>
      </c>
      <c r="B1349" t="s">
        <v>55</v>
      </c>
      <c r="C1349" t="s">
        <v>19</v>
      </c>
      <c r="D1349" t="s">
        <v>12</v>
      </c>
      <c r="E1349" t="s">
        <v>285</v>
      </c>
      <c r="F1349" t="s">
        <v>34</v>
      </c>
      <c r="G1349" t="s">
        <v>35</v>
      </c>
      <c r="H1349">
        <v>1</v>
      </c>
      <c r="I1349">
        <v>749</v>
      </c>
      <c r="J1349">
        <v>68.17</v>
      </c>
    </row>
    <row r="1350" spans="1:10" x14ac:dyDescent="0.25">
      <c r="A1350" s="1">
        <v>45613</v>
      </c>
      <c r="B1350" t="s">
        <v>32</v>
      </c>
      <c r="C1350" t="s">
        <v>19</v>
      </c>
      <c r="D1350" t="s">
        <v>12</v>
      </c>
      <c r="E1350" t="s">
        <v>52</v>
      </c>
      <c r="F1350" t="s">
        <v>42</v>
      </c>
      <c r="G1350" t="s">
        <v>28</v>
      </c>
      <c r="H1350">
        <v>4</v>
      </c>
      <c r="I1350">
        <v>3224</v>
      </c>
      <c r="J1350">
        <v>871.53</v>
      </c>
    </row>
    <row r="1351" spans="1:10" x14ac:dyDescent="0.25">
      <c r="A1351" s="1">
        <v>45200</v>
      </c>
      <c r="B1351" t="s">
        <v>36</v>
      </c>
      <c r="C1351" t="s">
        <v>17</v>
      </c>
      <c r="D1351" t="s">
        <v>12</v>
      </c>
      <c r="E1351" t="s">
        <v>52</v>
      </c>
      <c r="F1351" t="s">
        <v>42</v>
      </c>
      <c r="G1351" t="s">
        <v>28</v>
      </c>
      <c r="H1351">
        <v>3</v>
      </c>
      <c r="I1351">
        <v>459</v>
      </c>
      <c r="J1351">
        <v>40.96</v>
      </c>
    </row>
    <row r="1352" spans="1:10" x14ac:dyDescent="0.25">
      <c r="A1352" s="1">
        <v>45650</v>
      </c>
      <c r="B1352" t="s">
        <v>32</v>
      </c>
      <c r="C1352" t="s">
        <v>19</v>
      </c>
      <c r="D1352" t="s">
        <v>12</v>
      </c>
      <c r="E1352" t="s">
        <v>37</v>
      </c>
      <c r="F1352" t="s">
        <v>34</v>
      </c>
      <c r="G1352" t="s">
        <v>35</v>
      </c>
      <c r="H1352">
        <v>7</v>
      </c>
      <c r="I1352">
        <v>5726</v>
      </c>
      <c r="J1352">
        <v>976.14</v>
      </c>
    </row>
    <row r="1353" spans="1:10" x14ac:dyDescent="0.25">
      <c r="A1353" s="1">
        <v>44671</v>
      </c>
      <c r="B1353" t="s">
        <v>49</v>
      </c>
      <c r="C1353" t="s">
        <v>17</v>
      </c>
      <c r="D1353" t="s">
        <v>12</v>
      </c>
      <c r="E1353" t="s">
        <v>74</v>
      </c>
      <c r="F1353" t="s">
        <v>23</v>
      </c>
      <c r="G1353" t="s">
        <v>24</v>
      </c>
      <c r="H1353">
        <v>4</v>
      </c>
      <c r="I1353">
        <v>616</v>
      </c>
      <c r="J1353">
        <v>175.75</v>
      </c>
    </row>
    <row r="1354" spans="1:10" x14ac:dyDescent="0.25">
      <c r="A1354" s="1">
        <v>45650</v>
      </c>
      <c r="B1354" t="s">
        <v>55</v>
      </c>
      <c r="C1354" t="s">
        <v>19</v>
      </c>
      <c r="D1354" t="s">
        <v>12</v>
      </c>
      <c r="E1354" t="s">
        <v>307</v>
      </c>
      <c r="F1354" t="s">
        <v>156</v>
      </c>
      <c r="G1354" t="s">
        <v>28</v>
      </c>
      <c r="H1354">
        <v>2</v>
      </c>
      <c r="I1354">
        <v>1584</v>
      </c>
      <c r="J1354">
        <v>406.25</v>
      </c>
    </row>
    <row r="1355" spans="1:10" x14ac:dyDescent="0.25">
      <c r="A1355" s="1">
        <v>45101</v>
      </c>
      <c r="B1355" t="s">
        <v>55</v>
      </c>
      <c r="C1355" t="s">
        <v>19</v>
      </c>
      <c r="D1355" t="s">
        <v>12</v>
      </c>
      <c r="E1355" t="s">
        <v>130</v>
      </c>
      <c r="F1355" t="s">
        <v>14</v>
      </c>
      <c r="G1355" t="s">
        <v>15</v>
      </c>
      <c r="H1355">
        <v>5</v>
      </c>
      <c r="I1355">
        <v>3205</v>
      </c>
      <c r="J1355">
        <v>368.41</v>
      </c>
    </row>
    <row r="1356" spans="1:10" x14ac:dyDescent="0.25">
      <c r="A1356" s="1">
        <v>45553</v>
      </c>
      <c r="B1356" t="s">
        <v>10</v>
      </c>
      <c r="C1356" t="s">
        <v>11</v>
      </c>
      <c r="D1356" t="s">
        <v>12</v>
      </c>
      <c r="E1356" t="s">
        <v>199</v>
      </c>
      <c r="F1356" t="s">
        <v>200</v>
      </c>
      <c r="G1356" t="s">
        <v>28</v>
      </c>
      <c r="H1356">
        <v>1</v>
      </c>
      <c r="I1356">
        <v>958</v>
      </c>
      <c r="J1356">
        <v>186.76</v>
      </c>
    </row>
    <row r="1357" spans="1:10" x14ac:dyDescent="0.25">
      <c r="A1357" s="1">
        <v>45278</v>
      </c>
      <c r="B1357" t="s">
        <v>55</v>
      </c>
      <c r="C1357" t="s">
        <v>19</v>
      </c>
      <c r="D1357" t="s">
        <v>12</v>
      </c>
      <c r="E1357" t="s">
        <v>26</v>
      </c>
      <c r="F1357" t="s">
        <v>27</v>
      </c>
      <c r="G1357" t="s">
        <v>28</v>
      </c>
      <c r="H1357">
        <v>9</v>
      </c>
      <c r="I1357">
        <v>5139</v>
      </c>
      <c r="J1357">
        <v>1315.93</v>
      </c>
    </row>
    <row r="1358" spans="1:10" x14ac:dyDescent="0.25">
      <c r="A1358" s="1">
        <v>45605</v>
      </c>
      <c r="B1358" t="s">
        <v>40</v>
      </c>
      <c r="C1358" t="s">
        <v>19</v>
      </c>
      <c r="D1358" t="s">
        <v>12</v>
      </c>
      <c r="E1358" t="s">
        <v>85</v>
      </c>
      <c r="F1358" t="s">
        <v>21</v>
      </c>
      <c r="G1358" t="s">
        <v>15</v>
      </c>
      <c r="H1358">
        <v>5</v>
      </c>
      <c r="I1358">
        <v>3795</v>
      </c>
      <c r="J1358">
        <v>239.15</v>
      </c>
    </row>
    <row r="1359" spans="1:10" x14ac:dyDescent="0.25">
      <c r="A1359" s="1">
        <v>45354</v>
      </c>
      <c r="B1359" t="s">
        <v>25</v>
      </c>
      <c r="C1359" t="s">
        <v>19</v>
      </c>
      <c r="D1359" t="s">
        <v>12</v>
      </c>
      <c r="E1359" t="s">
        <v>52</v>
      </c>
      <c r="F1359" t="s">
        <v>42</v>
      </c>
      <c r="G1359" t="s">
        <v>28</v>
      </c>
      <c r="H1359">
        <v>2</v>
      </c>
      <c r="I1359">
        <v>810</v>
      </c>
      <c r="J1359">
        <v>229.33</v>
      </c>
    </row>
    <row r="1360" spans="1:10" x14ac:dyDescent="0.25">
      <c r="A1360" s="1">
        <v>45423</v>
      </c>
      <c r="B1360" t="s">
        <v>25</v>
      </c>
      <c r="C1360" t="s">
        <v>19</v>
      </c>
      <c r="D1360" t="s">
        <v>12</v>
      </c>
      <c r="E1360" t="s">
        <v>26</v>
      </c>
      <c r="F1360" t="s">
        <v>27</v>
      </c>
      <c r="G1360" t="s">
        <v>28</v>
      </c>
      <c r="H1360">
        <v>6</v>
      </c>
      <c r="I1360">
        <v>5106</v>
      </c>
      <c r="J1360">
        <v>1500.2</v>
      </c>
    </row>
    <row r="1361" spans="1:10" x14ac:dyDescent="0.25">
      <c r="A1361" s="1">
        <v>45473</v>
      </c>
      <c r="B1361" t="s">
        <v>36</v>
      </c>
      <c r="C1361" t="s">
        <v>17</v>
      </c>
      <c r="D1361" t="s">
        <v>12</v>
      </c>
      <c r="E1361" t="s">
        <v>374</v>
      </c>
      <c r="F1361" t="s">
        <v>21</v>
      </c>
      <c r="G1361" t="s">
        <v>15</v>
      </c>
      <c r="H1361">
        <v>2</v>
      </c>
      <c r="I1361">
        <v>798</v>
      </c>
      <c r="J1361">
        <v>79.25</v>
      </c>
    </row>
    <row r="1362" spans="1:10" x14ac:dyDescent="0.25">
      <c r="A1362" s="1">
        <v>44614</v>
      </c>
      <c r="B1362" t="s">
        <v>55</v>
      </c>
      <c r="C1362" t="s">
        <v>19</v>
      </c>
      <c r="D1362" t="s">
        <v>12</v>
      </c>
      <c r="E1362" t="s">
        <v>130</v>
      </c>
      <c r="F1362" t="s">
        <v>14</v>
      </c>
      <c r="G1362" t="s">
        <v>15</v>
      </c>
      <c r="H1362">
        <v>5</v>
      </c>
      <c r="I1362">
        <v>3165</v>
      </c>
      <c r="J1362">
        <v>895.33</v>
      </c>
    </row>
    <row r="1363" spans="1:10" x14ac:dyDescent="0.25">
      <c r="A1363" s="1">
        <v>45190</v>
      </c>
      <c r="B1363" t="s">
        <v>18</v>
      </c>
      <c r="C1363" t="s">
        <v>19</v>
      </c>
      <c r="D1363" t="s">
        <v>12</v>
      </c>
      <c r="E1363" t="s">
        <v>26</v>
      </c>
      <c r="F1363" t="s">
        <v>27</v>
      </c>
      <c r="G1363" t="s">
        <v>28</v>
      </c>
      <c r="H1363">
        <v>5</v>
      </c>
      <c r="I1363">
        <v>5935</v>
      </c>
      <c r="J1363">
        <v>875.84</v>
      </c>
    </row>
    <row r="1364" spans="1:10" x14ac:dyDescent="0.25">
      <c r="A1364" s="1">
        <v>44739</v>
      </c>
      <c r="B1364" t="s">
        <v>49</v>
      </c>
      <c r="C1364" t="s">
        <v>17</v>
      </c>
      <c r="D1364" t="s">
        <v>12</v>
      </c>
      <c r="E1364" t="s">
        <v>74</v>
      </c>
      <c r="F1364" t="s">
        <v>23</v>
      </c>
      <c r="G1364" t="s">
        <v>24</v>
      </c>
      <c r="H1364">
        <v>4</v>
      </c>
      <c r="I1364">
        <v>3352</v>
      </c>
      <c r="J1364">
        <v>663.15</v>
      </c>
    </row>
    <row r="1365" spans="1:10" x14ac:dyDescent="0.25">
      <c r="A1365" s="1">
        <v>45320</v>
      </c>
      <c r="B1365" t="s">
        <v>40</v>
      </c>
      <c r="C1365" t="s">
        <v>19</v>
      </c>
      <c r="D1365" t="s">
        <v>12</v>
      </c>
      <c r="E1365" t="s">
        <v>74</v>
      </c>
      <c r="F1365" t="s">
        <v>23</v>
      </c>
      <c r="G1365" t="s">
        <v>24</v>
      </c>
      <c r="H1365">
        <v>9</v>
      </c>
      <c r="I1365">
        <v>8343</v>
      </c>
      <c r="J1365">
        <v>821</v>
      </c>
    </row>
    <row r="1366" spans="1:10" x14ac:dyDescent="0.25">
      <c r="A1366" s="1">
        <v>44706</v>
      </c>
      <c r="B1366" t="s">
        <v>36</v>
      </c>
      <c r="C1366" t="s">
        <v>17</v>
      </c>
      <c r="D1366" t="s">
        <v>12</v>
      </c>
      <c r="E1366" t="s">
        <v>87</v>
      </c>
      <c r="F1366" t="s">
        <v>71</v>
      </c>
      <c r="G1366" t="s">
        <v>35</v>
      </c>
      <c r="H1366">
        <v>4</v>
      </c>
      <c r="I1366">
        <v>2604</v>
      </c>
      <c r="J1366">
        <v>411.38</v>
      </c>
    </row>
    <row r="1367" spans="1:10" x14ac:dyDescent="0.25">
      <c r="A1367" s="1">
        <v>45227</v>
      </c>
      <c r="B1367" t="s">
        <v>29</v>
      </c>
      <c r="C1367" t="s">
        <v>17</v>
      </c>
      <c r="D1367" t="s">
        <v>12</v>
      </c>
      <c r="E1367" t="s">
        <v>322</v>
      </c>
      <c r="F1367" t="s">
        <v>42</v>
      </c>
      <c r="G1367" t="s">
        <v>28</v>
      </c>
      <c r="H1367">
        <v>1</v>
      </c>
      <c r="I1367">
        <v>526</v>
      </c>
      <c r="J1367">
        <v>108.88</v>
      </c>
    </row>
    <row r="1368" spans="1:10" x14ac:dyDescent="0.25">
      <c r="A1368" s="1">
        <v>45242</v>
      </c>
      <c r="B1368" t="s">
        <v>36</v>
      </c>
      <c r="C1368" t="s">
        <v>17</v>
      </c>
      <c r="D1368" t="s">
        <v>12</v>
      </c>
      <c r="E1368" t="s">
        <v>341</v>
      </c>
      <c r="F1368" t="s">
        <v>46</v>
      </c>
      <c r="G1368" t="s">
        <v>15</v>
      </c>
      <c r="H1368">
        <v>9</v>
      </c>
      <c r="I1368">
        <v>5220</v>
      </c>
      <c r="J1368">
        <v>1324.01</v>
      </c>
    </row>
    <row r="1369" spans="1:10" x14ac:dyDescent="0.25">
      <c r="A1369" s="1">
        <v>45242</v>
      </c>
      <c r="B1369" t="s">
        <v>10</v>
      </c>
      <c r="C1369" t="s">
        <v>11</v>
      </c>
      <c r="D1369" t="s">
        <v>12</v>
      </c>
      <c r="E1369" t="s">
        <v>62</v>
      </c>
      <c r="F1369" t="s">
        <v>59</v>
      </c>
      <c r="G1369" t="s">
        <v>28</v>
      </c>
      <c r="H1369">
        <v>9</v>
      </c>
      <c r="I1369">
        <v>1737</v>
      </c>
      <c r="J1369">
        <v>152.97999999999999</v>
      </c>
    </row>
    <row r="1370" spans="1:10" x14ac:dyDescent="0.25">
      <c r="A1370" s="1">
        <v>44858</v>
      </c>
      <c r="B1370" t="s">
        <v>16</v>
      </c>
      <c r="C1370" t="s">
        <v>17</v>
      </c>
      <c r="D1370" t="s">
        <v>12</v>
      </c>
      <c r="E1370" t="s">
        <v>56</v>
      </c>
      <c r="F1370" t="s">
        <v>57</v>
      </c>
      <c r="G1370" t="s">
        <v>24</v>
      </c>
      <c r="H1370">
        <v>6</v>
      </c>
      <c r="I1370">
        <v>3186</v>
      </c>
      <c r="J1370">
        <v>841.04</v>
      </c>
    </row>
    <row r="1371" spans="1:10" x14ac:dyDescent="0.25">
      <c r="A1371" s="1">
        <v>44939</v>
      </c>
      <c r="B1371" t="s">
        <v>40</v>
      </c>
      <c r="C1371" t="s">
        <v>19</v>
      </c>
      <c r="D1371" t="s">
        <v>12</v>
      </c>
      <c r="E1371" t="s">
        <v>375</v>
      </c>
      <c r="F1371" t="s">
        <v>44</v>
      </c>
      <c r="G1371" t="s">
        <v>35</v>
      </c>
      <c r="H1371">
        <v>6</v>
      </c>
      <c r="I1371">
        <v>7014</v>
      </c>
      <c r="J1371">
        <v>1202.25</v>
      </c>
    </row>
    <row r="1372" spans="1:10" x14ac:dyDescent="0.25">
      <c r="A1372" s="1">
        <v>44943</v>
      </c>
      <c r="B1372" t="s">
        <v>16</v>
      </c>
      <c r="C1372" t="s">
        <v>17</v>
      </c>
      <c r="D1372" t="s">
        <v>12</v>
      </c>
      <c r="E1372" t="s">
        <v>73</v>
      </c>
      <c r="F1372" t="s">
        <v>51</v>
      </c>
      <c r="G1372" t="s">
        <v>35</v>
      </c>
      <c r="H1372">
        <v>9</v>
      </c>
      <c r="I1372">
        <v>3411</v>
      </c>
      <c r="J1372">
        <v>444.87</v>
      </c>
    </row>
    <row r="1373" spans="1:10" x14ac:dyDescent="0.25">
      <c r="A1373" s="1">
        <v>44581</v>
      </c>
      <c r="B1373" t="s">
        <v>36</v>
      </c>
      <c r="C1373" t="s">
        <v>17</v>
      </c>
      <c r="D1373" t="s">
        <v>12</v>
      </c>
      <c r="E1373" t="s">
        <v>52</v>
      </c>
      <c r="F1373" t="s">
        <v>42</v>
      </c>
      <c r="G1373" t="s">
        <v>28</v>
      </c>
      <c r="H1373">
        <v>1</v>
      </c>
      <c r="I1373">
        <v>513</v>
      </c>
      <c r="J1373">
        <v>87.58</v>
      </c>
    </row>
    <row r="1374" spans="1:10" x14ac:dyDescent="0.25">
      <c r="A1374" s="1">
        <v>44747</v>
      </c>
      <c r="B1374" t="s">
        <v>40</v>
      </c>
      <c r="C1374" t="s">
        <v>19</v>
      </c>
      <c r="D1374" t="s">
        <v>12</v>
      </c>
      <c r="E1374" t="s">
        <v>322</v>
      </c>
      <c r="F1374" t="s">
        <v>42</v>
      </c>
      <c r="G1374" t="s">
        <v>28</v>
      </c>
      <c r="H1374">
        <v>1</v>
      </c>
      <c r="I1374">
        <v>1104</v>
      </c>
      <c r="J1374">
        <v>277.85000000000002</v>
      </c>
    </row>
    <row r="1375" spans="1:10" x14ac:dyDescent="0.25">
      <c r="A1375" s="1">
        <v>44784</v>
      </c>
      <c r="B1375" t="s">
        <v>40</v>
      </c>
      <c r="C1375" t="s">
        <v>19</v>
      </c>
      <c r="D1375" t="s">
        <v>12</v>
      </c>
      <c r="E1375" t="s">
        <v>86</v>
      </c>
      <c r="F1375" t="s">
        <v>84</v>
      </c>
      <c r="G1375" t="s">
        <v>28</v>
      </c>
      <c r="H1375">
        <v>9</v>
      </c>
      <c r="I1375">
        <v>2718</v>
      </c>
      <c r="J1375">
        <v>271.51</v>
      </c>
    </row>
    <row r="1376" spans="1:10" x14ac:dyDescent="0.25">
      <c r="A1376" s="1">
        <v>45060</v>
      </c>
      <c r="B1376" t="s">
        <v>29</v>
      </c>
      <c r="C1376" t="s">
        <v>17</v>
      </c>
      <c r="D1376" t="s">
        <v>12</v>
      </c>
      <c r="E1376" t="s">
        <v>86</v>
      </c>
      <c r="F1376" t="s">
        <v>84</v>
      </c>
      <c r="G1376" t="s">
        <v>28</v>
      </c>
      <c r="H1376">
        <v>6</v>
      </c>
      <c r="I1376">
        <v>1662</v>
      </c>
      <c r="J1376">
        <v>416.3</v>
      </c>
    </row>
    <row r="1377" spans="1:10" x14ac:dyDescent="0.25">
      <c r="A1377" s="1">
        <v>45276</v>
      </c>
      <c r="B1377" t="s">
        <v>16</v>
      </c>
      <c r="C1377" t="s">
        <v>17</v>
      </c>
      <c r="D1377" t="s">
        <v>12</v>
      </c>
      <c r="E1377" t="s">
        <v>37</v>
      </c>
      <c r="F1377" t="s">
        <v>34</v>
      </c>
      <c r="G1377" t="s">
        <v>35</v>
      </c>
      <c r="H1377">
        <v>5</v>
      </c>
      <c r="I1377">
        <v>1700</v>
      </c>
      <c r="J1377">
        <v>360.59</v>
      </c>
    </row>
    <row r="1378" spans="1:10" x14ac:dyDescent="0.25">
      <c r="A1378" s="1">
        <v>45632</v>
      </c>
      <c r="B1378" t="s">
        <v>18</v>
      </c>
      <c r="C1378" t="s">
        <v>19</v>
      </c>
      <c r="D1378" t="s">
        <v>12</v>
      </c>
      <c r="E1378" t="s">
        <v>22</v>
      </c>
      <c r="F1378" t="s">
        <v>23</v>
      </c>
      <c r="G1378" t="s">
        <v>24</v>
      </c>
      <c r="H1378">
        <v>4</v>
      </c>
      <c r="I1378">
        <v>2932</v>
      </c>
      <c r="J1378">
        <v>597.65</v>
      </c>
    </row>
    <row r="1379" spans="1:10" x14ac:dyDescent="0.25">
      <c r="A1379" s="1">
        <v>45212</v>
      </c>
      <c r="B1379" t="s">
        <v>16</v>
      </c>
      <c r="C1379" t="s">
        <v>17</v>
      </c>
      <c r="D1379" t="s">
        <v>12</v>
      </c>
      <c r="E1379" t="s">
        <v>56</v>
      </c>
      <c r="F1379" t="s">
        <v>57</v>
      </c>
      <c r="G1379" t="s">
        <v>24</v>
      </c>
      <c r="H1379">
        <v>4</v>
      </c>
      <c r="I1379">
        <v>3604</v>
      </c>
      <c r="J1379">
        <v>971.14</v>
      </c>
    </row>
    <row r="1380" spans="1:10" x14ac:dyDescent="0.25">
      <c r="A1380" s="1">
        <v>45377</v>
      </c>
      <c r="B1380" t="s">
        <v>25</v>
      </c>
      <c r="C1380" t="s">
        <v>19</v>
      </c>
      <c r="D1380" t="s">
        <v>12</v>
      </c>
      <c r="E1380" t="s">
        <v>351</v>
      </c>
      <c r="F1380" t="s">
        <v>115</v>
      </c>
      <c r="G1380" t="s">
        <v>15</v>
      </c>
      <c r="H1380">
        <v>4</v>
      </c>
      <c r="I1380">
        <v>4596</v>
      </c>
      <c r="J1380">
        <v>553.58000000000004</v>
      </c>
    </row>
    <row r="1381" spans="1:10" x14ac:dyDescent="0.25">
      <c r="A1381" s="1">
        <v>45387</v>
      </c>
      <c r="B1381" t="s">
        <v>32</v>
      </c>
      <c r="C1381" t="s">
        <v>19</v>
      </c>
      <c r="D1381" t="s">
        <v>12</v>
      </c>
      <c r="E1381" t="s">
        <v>351</v>
      </c>
      <c r="F1381" t="s">
        <v>115</v>
      </c>
      <c r="G1381" t="s">
        <v>15</v>
      </c>
      <c r="H1381">
        <v>6</v>
      </c>
      <c r="I1381">
        <v>930</v>
      </c>
      <c r="J1381">
        <v>68.239999999999995</v>
      </c>
    </row>
    <row r="1382" spans="1:10" x14ac:dyDescent="0.25">
      <c r="A1382" s="1">
        <v>45101</v>
      </c>
      <c r="B1382" t="s">
        <v>18</v>
      </c>
      <c r="C1382" t="s">
        <v>19</v>
      </c>
      <c r="D1382" t="s">
        <v>12</v>
      </c>
      <c r="E1382" t="s">
        <v>288</v>
      </c>
      <c r="F1382" t="s">
        <v>156</v>
      </c>
      <c r="G1382" t="s">
        <v>28</v>
      </c>
      <c r="H1382">
        <v>3</v>
      </c>
      <c r="I1382">
        <v>2790</v>
      </c>
      <c r="J1382">
        <v>470.93</v>
      </c>
    </row>
    <row r="1383" spans="1:10" x14ac:dyDescent="0.25">
      <c r="A1383" s="1">
        <v>44703</v>
      </c>
      <c r="B1383" t="s">
        <v>40</v>
      </c>
      <c r="C1383" t="s">
        <v>19</v>
      </c>
      <c r="D1383" t="s">
        <v>12</v>
      </c>
      <c r="E1383" t="s">
        <v>288</v>
      </c>
      <c r="F1383" t="s">
        <v>156</v>
      </c>
      <c r="G1383" t="s">
        <v>28</v>
      </c>
      <c r="H1383">
        <v>6</v>
      </c>
      <c r="I1383">
        <v>4596</v>
      </c>
      <c r="J1383">
        <v>1162.75</v>
      </c>
    </row>
    <row r="1384" spans="1:10" x14ac:dyDescent="0.25">
      <c r="A1384" s="1">
        <v>45214</v>
      </c>
      <c r="B1384" t="s">
        <v>49</v>
      </c>
      <c r="C1384" t="s">
        <v>17</v>
      </c>
      <c r="D1384" t="s">
        <v>12</v>
      </c>
      <c r="E1384" t="s">
        <v>128</v>
      </c>
      <c r="F1384" t="s">
        <v>23</v>
      </c>
      <c r="G1384" t="s">
        <v>24</v>
      </c>
      <c r="H1384">
        <v>1</v>
      </c>
      <c r="I1384">
        <v>962</v>
      </c>
      <c r="J1384">
        <v>260.27999999999997</v>
      </c>
    </row>
    <row r="1385" spans="1:10" x14ac:dyDescent="0.25">
      <c r="A1385" s="1">
        <v>45588</v>
      </c>
      <c r="B1385" t="s">
        <v>40</v>
      </c>
      <c r="C1385" t="s">
        <v>19</v>
      </c>
      <c r="D1385" t="s">
        <v>12</v>
      </c>
      <c r="E1385" t="s">
        <v>130</v>
      </c>
      <c r="F1385" t="s">
        <v>14</v>
      </c>
      <c r="G1385" t="s">
        <v>15</v>
      </c>
      <c r="H1385">
        <v>1</v>
      </c>
      <c r="I1385">
        <v>92</v>
      </c>
      <c r="J1385">
        <v>14.88</v>
      </c>
    </row>
    <row r="1386" spans="1:10" x14ac:dyDescent="0.25">
      <c r="A1386" s="1">
        <v>45564</v>
      </c>
      <c r="B1386" t="s">
        <v>49</v>
      </c>
      <c r="C1386" t="s">
        <v>17</v>
      </c>
      <c r="D1386" t="s">
        <v>12</v>
      </c>
      <c r="E1386" t="s">
        <v>130</v>
      </c>
      <c r="F1386" t="s">
        <v>14</v>
      </c>
      <c r="G1386" t="s">
        <v>15</v>
      </c>
      <c r="H1386">
        <v>5</v>
      </c>
      <c r="I1386">
        <v>1130</v>
      </c>
      <c r="J1386">
        <v>254.99</v>
      </c>
    </row>
    <row r="1387" spans="1:10" x14ac:dyDescent="0.25">
      <c r="A1387" s="1">
        <v>45411</v>
      </c>
      <c r="B1387" t="s">
        <v>29</v>
      </c>
      <c r="C1387" t="s">
        <v>17</v>
      </c>
      <c r="D1387" t="s">
        <v>12</v>
      </c>
      <c r="E1387" t="s">
        <v>22</v>
      </c>
      <c r="F1387" t="s">
        <v>23</v>
      </c>
      <c r="G1387" t="s">
        <v>24</v>
      </c>
      <c r="H1387">
        <v>6</v>
      </c>
      <c r="I1387">
        <v>6024</v>
      </c>
      <c r="J1387">
        <v>1706.41</v>
      </c>
    </row>
    <row r="1388" spans="1:10" x14ac:dyDescent="0.25">
      <c r="A1388" s="1">
        <v>45307</v>
      </c>
      <c r="B1388" t="s">
        <v>10</v>
      </c>
      <c r="C1388" t="s">
        <v>11</v>
      </c>
      <c r="D1388" t="s">
        <v>12</v>
      </c>
      <c r="E1388" t="s">
        <v>132</v>
      </c>
      <c r="F1388" t="s">
        <v>100</v>
      </c>
      <c r="G1388" t="s">
        <v>35</v>
      </c>
      <c r="H1388">
        <v>1</v>
      </c>
      <c r="I1388">
        <v>879</v>
      </c>
      <c r="J1388">
        <v>135</v>
      </c>
    </row>
    <row r="1389" spans="1:10" x14ac:dyDescent="0.25">
      <c r="A1389" s="1">
        <v>44718</v>
      </c>
      <c r="B1389" t="s">
        <v>36</v>
      </c>
      <c r="C1389" t="s">
        <v>17</v>
      </c>
      <c r="D1389" t="s">
        <v>12</v>
      </c>
      <c r="E1389" t="s">
        <v>74</v>
      </c>
      <c r="F1389" t="s">
        <v>23</v>
      </c>
      <c r="G1389" t="s">
        <v>24</v>
      </c>
      <c r="H1389">
        <v>8</v>
      </c>
      <c r="I1389">
        <v>2384</v>
      </c>
      <c r="J1389">
        <v>444.98</v>
      </c>
    </row>
    <row r="1390" spans="1:10" x14ac:dyDescent="0.25">
      <c r="A1390" s="1">
        <v>45651</v>
      </c>
      <c r="B1390" t="s">
        <v>25</v>
      </c>
      <c r="C1390" t="s">
        <v>19</v>
      </c>
      <c r="D1390" t="s">
        <v>12</v>
      </c>
      <c r="E1390" t="s">
        <v>376</v>
      </c>
      <c r="F1390" t="s">
        <v>34</v>
      </c>
      <c r="G1390" t="s">
        <v>35</v>
      </c>
      <c r="H1390">
        <v>4</v>
      </c>
      <c r="I1390">
        <v>4644</v>
      </c>
      <c r="J1390">
        <v>277.26</v>
      </c>
    </row>
    <row r="1391" spans="1:10" x14ac:dyDescent="0.25">
      <c r="A1391" s="1">
        <v>45386</v>
      </c>
      <c r="B1391" t="s">
        <v>49</v>
      </c>
      <c r="C1391" t="s">
        <v>17</v>
      </c>
      <c r="D1391" t="s">
        <v>12</v>
      </c>
      <c r="E1391" t="s">
        <v>376</v>
      </c>
      <c r="F1391" t="s">
        <v>34</v>
      </c>
      <c r="G1391" t="s">
        <v>35</v>
      </c>
      <c r="H1391">
        <v>1</v>
      </c>
      <c r="I1391">
        <v>607</v>
      </c>
      <c r="J1391">
        <v>79.78</v>
      </c>
    </row>
    <row r="1392" spans="1:10" x14ac:dyDescent="0.25">
      <c r="A1392" s="1">
        <v>44833</v>
      </c>
      <c r="B1392" t="s">
        <v>16</v>
      </c>
      <c r="C1392" t="s">
        <v>17</v>
      </c>
      <c r="D1392" t="s">
        <v>12</v>
      </c>
      <c r="E1392" t="s">
        <v>56</v>
      </c>
      <c r="F1392" t="s">
        <v>57</v>
      </c>
      <c r="G1392" t="s">
        <v>24</v>
      </c>
      <c r="H1392">
        <v>7</v>
      </c>
      <c r="I1392">
        <v>770</v>
      </c>
      <c r="J1392">
        <v>129.11000000000001</v>
      </c>
    </row>
    <row r="1393" spans="1:10" x14ac:dyDescent="0.25">
      <c r="A1393" s="1">
        <v>44871</v>
      </c>
      <c r="B1393" t="s">
        <v>49</v>
      </c>
      <c r="C1393" t="s">
        <v>17</v>
      </c>
      <c r="D1393" t="s">
        <v>12</v>
      </c>
      <c r="E1393" t="s">
        <v>56</v>
      </c>
      <c r="F1393" t="s">
        <v>57</v>
      </c>
      <c r="G1393" t="s">
        <v>24</v>
      </c>
      <c r="H1393">
        <v>1</v>
      </c>
      <c r="I1393">
        <v>711</v>
      </c>
      <c r="J1393">
        <v>158.88999999999999</v>
      </c>
    </row>
    <row r="1394" spans="1:10" x14ac:dyDescent="0.25">
      <c r="A1394" s="1">
        <v>45140</v>
      </c>
      <c r="B1394" t="s">
        <v>49</v>
      </c>
      <c r="C1394" t="s">
        <v>17</v>
      </c>
      <c r="D1394" t="s">
        <v>12</v>
      </c>
      <c r="E1394" t="s">
        <v>131</v>
      </c>
      <c r="F1394" t="s">
        <v>63</v>
      </c>
      <c r="G1394" t="s">
        <v>28</v>
      </c>
      <c r="H1394">
        <v>2</v>
      </c>
      <c r="I1394">
        <v>1088</v>
      </c>
      <c r="J1394">
        <v>235.83</v>
      </c>
    </row>
    <row r="1395" spans="1:10" x14ac:dyDescent="0.25">
      <c r="A1395" s="1">
        <v>45356</v>
      </c>
      <c r="B1395" t="s">
        <v>55</v>
      </c>
      <c r="C1395" t="s">
        <v>19</v>
      </c>
      <c r="D1395" t="s">
        <v>12</v>
      </c>
      <c r="E1395" t="s">
        <v>132</v>
      </c>
      <c r="F1395" t="s">
        <v>189</v>
      </c>
      <c r="G1395" t="s">
        <v>24</v>
      </c>
      <c r="H1395">
        <v>7</v>
      </c>
      <c r="I1395">
        <v>4704</v>
      </c>
      <c r="J1395">
        <v>513.14</v>
      </c>
    </row>
    <row r="1396" spans="1:10" x14ac:dyDescent="0.25">
      <c r="A1396" s="1">
        <v>44910</v>
      </c>
      <c r="B1396" t="s">
        <v>55</v>
      </c>
      <c r="C1396" t="s">
        <v>19</v>
      </c>
      <c r="D1396" t="s">
        <v>12</v>
      </c>
      <c r="E1396" t="s">
        <v>111</v>
      </c>
      <c r="F1396" t="s">
        <v>34</v>
      </c>
      <c r="G1396" t="s">
        <v>35</v>
      </c>
      <c r="H1396">
        <v>5</v>
      </c>
      <c r="I1396">
        <v>660</v>
      </c>
      <c r="J1396">
        <v>90.86</v>
      </c>
    </row>
    <row r="1397" spans="1:10" x14ac:dyDescent="0.25">
      <c r="A1397" s="1">
        <v>44890</v>
      </c>
      <c r="B1397" t="s">
        <v>29</v>
      </c>
      <c r="C1397" t="s">
        <v>17</v>
      </c>
      <c r="D1397" t="s">
        <v>12</v>
      </c>
      <c r="E1397" t="s">
        <v>111</v>
      </c>
      <c r="F1397" t="s">
        <v>34</v>
      </c>
      <c r="G1397" t="s">
        <v>35</v>
      </c>
      <c r="H1397">
        <v>5</v>
      </c>
      <c r="I1397">
        <v>4680</v>
      </c>
      <c r="J1397">
        <v>516.26</v>
      </c>
    </row>
    <row r="1398" spans="1:10" x14ac:dyDescent="0.25">
      <c r="A1398" s="1">
        <v>44840</v>
      </c>
      <c r="B1398" t="s">
        <v>25</v>
      </c>
      <c r="C1398" t="s">
        <v>19</v>
      </c>
      <c r="D1398" t="s">
        <v>12</v>
      </c>
      <c r="E1398" t="s">
        <v>240</v>
      </c>
      <c r="F1398" t="s">
        <v>94</v>
      </c>
      <c r="G1398" t="s">
        <v>24</v>
      </c>
      <c r="H1398">
        <v>7</v>
      </c>
      <c r="I1398">
        <v>6797</v>
      </c>
      <c r="J1398">
        <v>665.29</v>
      </c>
    </row>
    <row r="1399" spans="1:10" x14ac:dyDescent="0.25">
      <c r="A1399" s="1">
        <v>45637</v>
      </c>
      <c r="B1399" t="s">
        <v>16</v>
      </c>
      <c r="C1399" t="s">
        <v>17</v>
      </c>
      <c r="D1399" t="s">
        <v>12</v>
      </c>
      <c r="E1399" t="s">
        <v>240</v>
      </c>
      <c r="F1399" t="s">
        <v>94</v>
      </c>
      <c r="G1399" t="s">
        <v>24</v>
      </c>
      <c r="H1399">
        <v>9</v>
      </c>
      <c r="I1399">
        <v>558</v>
      </c>
      <c r="J1399">
        <v>38.86</v>
      </c>
    </row>
    <row r="1400" spans="1:10" x14ac:dyDescent="0.25">
      <c r="A1400" s="1">
        <v>45182</v>
      </c>
      <c r="B1400" t="s">
        <v>36</v>
      </c>
      <c r="C1400" t="s">
        <v>17</v>
      </c>
      <c r="D1400" t="s">
        <v>12</v>
      </c>
      <c r="E1400" t="s">
        <v>377</v>
      </c>
      <c r="F1400" t="s">
        <v>115</v>
      </c>
      <c r="G1400" t="s">
        <v>15</v>
      </c>
      <c r="H1400">
        <v>4</v>
      </c>
      <c r="I1400">
        <v>4496</v>
      </c>
      <c r="J1400">
        <v>1115.75</v>
      </c>
    </row>
    <row r="1401" spans="1:10" x14ac:dyDescent="0.25">
      <c r="A1401" s="1">
        <v>44709</v>
      </c>
      <c r="B1401" t="s">
        <v>49</v>
      </c>
      <c r="C1401" t="s">
        <v>17</v>
      </c>
      <c r="D1401" t="s">
        <v>12</v>
      </c>
      <c r="E1401" t="s">
        <v>170</v>
      </c>
      <c r="F1401" t="s">
        <v>78</v>
      </c>
      <c r="G1401" t="s">
        <v>28</v>
      </c>
      <c r="H1401">
        <v>1</v>
      </c>
      <c r="I1401">
        <v>713</v>
      </c>
      <c r="J1401">
        <v>62.78</v>
      </c>
    </row>
    <row r="1402" spans="1:10" x14ac:dyDescent="0.25">
      <c r="A1402" s="1">
        <v>44790</v>
      </c>
      <c r="B1402" t="s">
        <v>25</v>
      </c>
      <c r="C1402" t="s">
        <v>19</v>
      </c>
      <c r="D1402" t="s">
        <v>12</v>
      </c>
      <c r="E1402" t="s">
        <v>378</v>
      </c>
      <c r="F1402" t="s">
        <v>115</v>
      </c>
      <c r="G1402" t="s">
        <v>15</v>
      </c>
      <c r="H1402">
        <v>2</v>
      </c>
      <c r="I1402">
        <v>1310</v>
      </c>
      <c r="J1402">
        <v>212.43</v>
      </c>
    </row>
    <row r="1403" spans="1:10" x14ac:dyDescent="0.25">
      <c r="A1403" s="1">
        <v>45596</v>
      </c>
      <c r="B1403" t="s">
        <v>49</v>
      </c>
      <c r="C1403" t="s">
        <v>17</v>
      </c>
      <c r="D1403" t="s">
        <v>12</v>
      </c>
      <c r="E1403" t="s">
        <v>93</v>
      </c>
      <c r="F1403" t="s">
        <v>94</v>
      </c>
      <c r="G1403" t="s">
        <v>24</v>
      </c>
      <c r="H1403">
        <v>9</v>
      </c>
      <c r="I1403">
        <v>2853</v>
      </c>
      <c r="J1403">
        <v>564.04999999999995</v>
      </c>
    </row>
    <row r="1404" spans="1:10" x14ac:dyDescent="0.25">
      <c r="A1404" s="1">
        <v>45250</v>
      </c>
      <c r="B1404" t="s">
        <v>25</v>
      </c>
      <c r="C1404" t="s">
        <v>19</v>
      </c>
      <c r="D1404" t="s">
        <v>12</v>
      </c>
      <c r="E1404" t="s">
        <v>22</v>
      </c>
      <c r="F1404" t="s">
        <v>23</v>
      </c>
      <c r="G1404" t="s">
        <v>24</v>
      </c>
      <c r="H1404">
        <v>2</v>
      </c>
      <c r="I1404">
        <v>2324</v>
      </c>
      <c r="J1404">
        <v>516.05999999999995</v>
      </c>
    </row>
    <row r="1405" spans="1:10" x14ac:dyDescent="0.25">
      <c r="A1405" s="1">
        <v>45398</v>
      </c>
      <c r="B1405" t="s">
        <v>55</v>
      </c>
      <c r="C1405" t="s">
        <v>19</v>
      </c>
      <c r="D1405" t="s">
        <v>12</v>
      </c>
      <c r="E1405" t="s">
        <v>60</v>
      </c>
      <c r="F1405" t="s">
        <v>44</v>
      </c>
      <c r="G1405" t="s">
        <v>35</v>
      </c>
      <c r="H1405">
        <v>1</v>
      </c>
      <c r="I1405">
        <v>330</v>
      </c>
      <c r="J1405">
        <v>53.42</v>
      </c>
    </row>
    <row r="1406" spans="1:10" x14ac:dyDescent="0.25">
      <c r="A1406" s="1">
        <v>45191</v>
      </c>
      <c r="B1406" t="s">
        <v>25</v>
      </c>
      <c r="C1406" t="s">
        <v>19</v>
      </c>
      <c r="D1406" t="s">
        <v>12</v>
      </c>
      <c r="E1406" t="s">
        <v>105</v>
      </c>
      <c r="F1406" t="s">
        <v>23</v>
      </c>
      <c r="G1406" t="s">
        <v>24</v>
      </c>
      <c r="H1406">
        <v>3</v>
      </c>
      <c r="I1406">
        <v>588</v>
      </c>
      <c r="J1406">
        <v>100.52</v>
      </c>
    </row>
    <row r="1407" spans="1:10" x14ac:dyDescent="0.25">
      <c r="A1407" s="1">
        <v>45419</v>
      </c>
      <c r="B1407" t="s">
        <v>40</v>
      </c>
      <c r="C1407" t="s">
        <v>19</v>
      </c>
      <c r="D1407" t="s">
        <v>12</v>
      </c>
      <c r="E1407" t="s">
        <v>379</v>
      </c>
      <c r="F1407" t="s">
        <v>149</v>
      </c>
      <c r="G1407" t="s">
        <v>15</v>
      </c>
      <c r="H1407">
        <v>1</v>
      </c>
      <c r="I1407">
        <v>63</v>
      </c>
      <c r="J1407">
        <v>11.91</v>
      </c>
    </row>
    <row r="1408" spans="1:10" x14ac:dyDescent="0.25">
      <c r="A1408" s="1">
        <v>44635</v>
      </c>
      <c r="B1408" t="s">
        <v>18</v>
      </c>
      <c r="C1408" t="s">
        <v>19</v>
      </c>
      <c r="D1408" t="s">
        <v>12</v>
      </c>
      <c r="E1408" t="s">
        <v>380</v>
      </c>
      <c r="F1408" t="s">
        <v>227</v>
      </c>
      <c r="G1408" t="s">
        <v>24</v>
      </c>
      <c r="H1408">
        <v>7</v>
      </c>
      <c r="I1408">
        <v>847</v>
      </c>
      <c r="J1408">
        <v>147.71</v>
      </c>
    </row>
    <row r="1409" spans="1:10" x14ac:dyDescent="0.25">
      <c r="A1409" s="1">
        <v>45471</v>
      </c>
      <c r="B1409" t="s">
        <v>10</v>
      </c>
      <c r="C1409" t="s">
        <v>11</v>
      </c>
      <c r="D1409" t="s">
        <v>12</v>
      </c>
      <c r="E1409" t="s">
        <v>380</v>
      </c>
      <c r="F1409" t="s">
        <v>227</v>
      </c>
      <c r="G1409" t="s">
        <v>24</v>
      </c>
      <c r="H1409">
        <v>1</v>
      </c>
      <c r="I1409">
        <v>1037</v>
      </c>
      <c r="J1409">
        <v>56.89</v>
      </c>
    </row>
    <row r="1410" spans="1:10" x14ac:dyDescent="0.25">
      <c r="A1410" s="1">
        <v>45297</v>
      </c>
      <c r="B1410" t="s">
        <v>16</v>
      </c>
      <c r="C1410" t="s">
        <v>17</v>
      </c>
      <c r="D1410" t="s">
        <v>12</v>
      </c>
      <c r="E1410" t="s">
        <v>256</v>
      </c>
      <c r="F1410" t="s">
        <v>44</v>
      </c>
      <c r="G1410" t="s">
        <v>35</v>
      </c>
      <c r="H1410">
        <v>1</v>
      </c>
      <c r="I1410">
        <v>373</v>
      </c>
      <c r="J1410">
        <v>72.17</v>
      </c>
    </row>
    <row r="1411" spans="1:10" x14ac:dyDescent="0.25">
      <c r="A1411" s="1">
        <v>45280</v>
      </c>
      <c r="B1411" t="s">
        <v>55</v>
      </c>
      <c r="C1411" t="s">
        <v>19</v>
      </c>
      <c r="D1411" t="s">
        <v>12</v>
      </c>
      <c r="E1411" t="s">
        <v>256</v>
      </c>
      <c r="F1411" t="s">
        <v>44</v>
      </c>
      <c r="G1411" t="s">
        <v>35</v>
      </c>
      <c r="H1411">
        <v>1</v>
      </c>
      <c r="I1411">
        <v>1176</v>
      </c>
      <c r="J1411">
        <v>157.47</v>
      </c>
    </row>
    <row r="1412" spans="1:10" x14ac:dyDescent="0.25">
      <c r="A1412" s="1">
        <v>44572</v>
      </c>
      <c r="B1412" t="s">
        <v>40</v>
      </c>
      <c r="C1412" t="s">
        <v>19</v>
      </c>
      <c r="D1412" t="s">
        <v>12</v>
      </c>
      <c r="E1412" t="s">
        <v>381</v>
      </c>
      <c r="F1412" t="s">
        <v>152</v>
      </c>
      <c r="G1412" t="s">
        <v>15</v>
      </c>
      <c r="H1412">
        <v>3</v>
      </c>
      <c r="I1412">
        <v>2139</v>
      </c>
      <c r="J1412">
        <v>422.52</v>
      </c>
    </row>
    <row r="1413" spans="1:10" x14ac:dyDescent="0.25">
      <c r="A1413" s="1">
        <v>45637</v>
      </c>
      <c r="B1413" t="s">
        <v>36</v>
      </c>
      <c r="C1413" t="s">
        <v>17</v>
      </c>
      <c r="D1413" t="s">
        <v>12</v>
      </c>
      <c r="E1413" t="s">
        <v>146</v>
      </c>
      <c r="F1413" t="s">
        <v>21</v>
      </c>
      <c r="G1413" t="s">
        <v>15</v>
      </c>
      <c r="H1413">
        <v>9</v>
      </c>
      <c r="I1413">
        <v>4140</v>
      </c>
      <c r="J1413">
        <v>301.12</v>
      </c>
    </row>
    <row r="1414" spans="1:10" x14ac:dyDescent="0.25">
      <c r="A1414" s="1">
        <v>45304</v>
      </c>
      <c r="B1414" t="s">
        <v>55</v>
      </c>
      <c r="C1414" t="s">
        <v>19</v>
      </c>
      <c r="D1414" t="s">
        <v>12</v>
      </c>
      <c r="E1414" t="s">
        <v>167</v>
      </c>
      <c r="F1414" t="s">
        <v>46</v>
      </c>
      <c r="G1414" t="s">
        <v>15</v>
      </c>
      <c r="H1414">
        <v>1</v>
      </c>
      <c r="I1414">
        <v>1038</v>
      </c>
      <c r="J1414">
        <v>63.23</v>
      </c>
    </row>
    <row r="1415" spans="1:10" x14ac:dyDescent="0.25">
      <c r="A1415" s="1">
        <v>45501</v>
      </c>
      <c r="B1415" t="s">
        <v>36</v>
      </c>
      <c r="C1415" t="s">
        <v>17</v>
      </c>
      <c r="D1415" t="s">
        <v>12</v>
      </c>
      <c r="E1415" t="s">
        <v>43</v>
      </c>
      <c r="F1415" t="s">
        <v>44</v>
      </c>
      <c r="G1415" t="s">
        <v>35</v>
      </c>
      <c r="H1415">
        <v>8</v>
      </c>
      <c r="I1415">
        <v>2024</v>
      </c>
      <c r="J1415">
        <v>203.11</v>
      </c>
    </row>
    <row r="1416" spans="1:10" x14ac:dyDescent="0.25">
      <c r="A1416" s="1">
        <v>44666</v>
      </c>
      <c r="B1416" t="s">
        <v>32</v>
      </c>
      <c r="C1416" t="s">
        <v>19</v>
      </c>
      <c r="D1416" t="s">
        <v>12</v>
      </c>
      <c r="E1416" t="s">
        <v>22</v>
      </c>
      <c r="F1416" t="s">
        <v>23</v>
      </c>
      <c r="G1416" t="s">
        <v>24</v>
      </c>
      <c r="H1416">
        <v>6</v>
      </c>
      <c r="I1416">
        <v>6624</v>
      </c>
      <c r="J1416">
        <v>1136.0899999999999</v>
      </c>
    </row>
    <row r="1417" spans="1:10" x14ac:dyDescent="0.25">
      <c r="A1417" s="1">
        <v>45192</v>
      </c>
      <c r="B1417" t="s">
        <v>32</v>
      </c>
      <c r="C1417" t="s">
        <v>19</v>
      </c>
      <c r="D1417" t="s">
        <v>12</v>
      </c>
      <c r="E1417" t="s">
        <v>382</v>
      </c>
      <c r="F1417" t="s">
        <v>78</v>
      </c>
      <c r="G1417" t="s">
        <v>28</v>
      </c>
      <c r="H1417">
        <v>7</v>
      </c>
      <c r="I1417">
        <v>5019</v>
      </c>
      <c r="J1417">
        <v>1154.79</v>
      </c>
    </row>
    <row r="1418" spans="1:10" x14ac:dyDescent="0.25">
      <c r="A1418" s="1">
        <v>45397</v>
      </c>
      <c r="B1418" t="s">
        <v>40</v>
      </c>
      <c r="C1418" t="s">
        <v>19</v>
      </c>
      <c r="D1418" t="s">
        <v>12</v>
      </c>
      <c r="E1418" t="s">
        <v>243</v>
      </c>
      <c r="F1418" t="s">
        <v>78</v>
      </c>
      <c r="G1418" t="s">
        <v>28</v>
      </c>
      <c r="H1418">
        <v>5</v>
      </c>
      <c r="I1418">
        <v>750</v>
      </c>
      <c r="J1418">
        <v>207.77</v>
      </c>
    </row>
    <row r="1419" spans="1:10" x14ac:dyDescent="0.25">
      <c r="A1419" s="1">
        <v>45008</v>
      </c>
      <c r="B1419" t="s">
        <v>25</v>
      </c>
      <c r="C1419" t="s">
        <v>19</v>
      </c>
      <c r="D1419" t="s">
        <v>12</v>
      </c>
      <c r="E1419" t="s">
        <v>243</v>
      </c>
      <c r="F1419" t="s">
        <v>78</v>
      </c>
      <c r="G1419" t="s">
        <v>28</v>
      </c>
      <c r="H1419">
        <v>7</v>
      </c>
      <c r="I1419">
        <v>6461</v>
      </c>
      <c r="J1419">
        <v>1455.36</v>
      </c>
    </row>
    <row r="1420" spans="1:10" x14ac:dyDescent="0.25">
      <c r="A1420" s="1">
        <v>45234</v>
      </c>
      <c r="B1420" t="s">
        <v>18</v>
      </c>
      <c r="C1420" t="s">
        <v>19</v>
      </c>
      <c r="D1420" t="s">
        <v>12</v>
      </c>
      <c r="E1420" t="s">
        <v>52</v>
      </c>
      <c r="F1420" t="s">
        <v>42</v>
      </c>
      <c r="G1420" t="s">
        <v>28</v>
      </c>
      <c r="H1420">
        <v>6</v>
      </c>
      <c r="I1420">
        <v>2946</v>
      </c>
      <c r="J1420">
        <v>208.01</v>
      </c>
    </row>
    <row r="1421" spans="1:10" x14ac:dyDescent="0.25">
      <c r="A1421" s="1">
        <v>45436</v>
      </c>
      <c r="B1421" t="s">
        <v>36</v>
      </c>
      <c r="C1421" t="s">
        <v>17</v>
      </c>
      <c r="D1421" t="s">
        <v>12</v>
      </c>
      <c r="E1421" t="s">
        <v>43</v>
      </c>
      <c r="F1421" t="s">
        <v>44</v>
      </c>
      <c r="G1421" t="s">
        <v>35</v>
      </c>
      <c r="H1421">
        <v>1</v>
      </c>
      <c r="I1421">
        <v>618</v>
      </c>
      <c r="J1421">
        <v>81.040000000000006</v>
      </c>
    </row>
    <row r="1422" spans="1:10" x14ac:dyDescent="0.25">
      <c r="A1422" s="1">
        <v>44647</v>
      </c>
      <c r="B1422" t="s">
        <v>10</v>
      </c>
      <c r="C1422" t="s">
        <v>11</v>
      </c>
      <c r="D1422" t="s">
        <v>12</v>
      </c>
      <c r="E1422" t="s">
        <v>43</v>
      </c>
      <c r="F1422" t="s">
        <v>44</v>
      </c>
      <c r="G1422" t="s">
        <v>35</v>
      </c>
      <c r="H1422">
        <v>2</v>
      </c>
      <c r="I1422">
        <v>1774</v>
      </c>
      <c r="J1422">
        <v>322.49</v>
      </c>
    </row>
    <row r="1423" spans="1:10" x14ac:dyDescent="0.25">
      <c r="A1423" s="1">
        <v>44692</v>
      </c>
      <c r="B1423" t="s">
        <v>25</v>
      </c>
      <c r="C1423" t="s">
        <v>19</v>
      </c>
      <c r="D1423" t="s">
        <v>12</v>
      </c>
      <c r="E1423" t="s">
        <v>307</v>
      </c>
      <c r="F1423" t="s">
        <v>156</v>
      </c>
      <c r="G1423" t="s">
        <v>28</v>
      </c>
      <c r="H1423">
        <v>9</v>
      </c>
      <c r="I1423">
        <v>8586</v>
      </c>
      <c r="J1423">
        <v>700.37</v>
      </c>
    </row>
    <row r="1424" spans="1:10" x14ac:dyDescent="0.25">
      <c r="A1424" s="1">
        <v>45335</v>
      </c>
      <c r="B1424" t="s">
        <v>55</v>
      </c>
      <c r="C1424" t="s">
        <v>19</v>
      </c>
      <c r="D1424" t="s">
        <v>12</v>
      </c>
      <c r="E1424" t="s">
        <v>307</v>
      </c>
      <c r="F1424" t="s">
        <v>156</v>
      </c>
      <c r="G1424" t="s">
        <v>28</v>
      </c>
      <c r="H1424">
        <v>5</v>
      </c>
      <c r="I1424">
        <v>2000</v>
      </c>
      <c r="J1424">
        <v>232.41</v>
      </c>
    </row>
    <row r="1425" spans="1:10" x14ac:dyDescent="0.25">
      <c r="A1425" s="1">
        <v>44973</v>
      </c>
      <c r="B1425" t="s">
        <v>16</v>
      </c>
      <c r="C1425" t="s">
        <v>17</v>
      </c>
      <c r="D1425" t="s">
        <v>12</v>
      </c>
      <c r="E1425" t="s">
        <v>26</v>
      </c>
      <c r="F1425" t="s">
        <v>27</v>
      </c>
      <c r="G1425" t="s">
        <v>28</v>
      </c>
      <c r="H1425">
        <v>1</v>
      </c>
      <c r="I1425">
        <v>849</v>
      </c>
      <c r="J1425">
        <v>205.88</v>
      </c>
    </row>
    <row r="1426" spans="1:10" x14ac:dyDescent="0.25">
      <c r="A1426" s="1">
        <v>45151</v>
      </c>
      <c r="B1426" t="s">
        <v>16</v>
      </c>
      <c r="C1426" t="s">
        <v>17</v>
      </c>
      <c r="D1426" t="s">
        <v>12</v>
      </c>
      <c r="E1426" t="s">
        <v>26</v>
      </c>
      <c r="F1426" t="s">
        <v>27</v>
      </c>
      <c r="G1426" t="s">
        <v>28</v>
      </c>
      <c r="H1426">
        <v>6</v>
      </c>
      <c r="I1426">
        <v>3186</v>
      </c>
      <c r="J1426">
        <v>374.63</v>
      </c>
    </row>
    <row r="1427" spans="1:10" x14ac:dyDescent="0.25">
      <c r="A1427" s="1">
        <v>45427</v>
      </c>
      <c r="B1427" t="s">
        <v>36</v>
      </c>
      <c r="C1427" t="s">
        <v>17</v>
      </c>
      <c r="D1427" t="s">
        <v>12</v>
      </c>
      <c r="E1427" t="s">
        <v>251</v>
      </c>
      <c r="F1427" t="s">
        <v>108</v>
      </c>
      <c r="G1427" t="s">
        <v>15</v>
      </c>
      <c r="H1427">
        <v>4</v>
      </c>
      <c r="I1427">
        <v>2536</v>
      </c>
      <c r="J1427">
        <v>495.13</v>
      </c>
    </row>
    <row r="1428" spans="1:10" x14ac:dyDescent="0.25">
      <c r="A1428" s="1">
        <v>45421</v>
      </c>
      <c r="B1428" t="s">
        <v>32</v>
      </c>
      <c r="C1428" t="s">
        <v>19</v>
      </c>
      <c r="D1428" t="s">
        <v>12</v>
      </c>
      <c r="E1428" t="s">
        <v>223</v>
      </c>
      <c r="F1428" t="s">
        <v>23</v>
      </c>
      <c r="G1428" t="s">
        <v>24</v>
      </c>
      <c r="H1428">
        <v>2</v>
      </c>
      <c r="I1428">
        <v>1306</v>
      </c>
      <c r="J1428">
        <v>228.41</v>
      </c>
    </row>
    <row r="1429" spans="1:10" x14ac:dyDescent="0.25">
      <c r="A1429" s="1">
        <v>44683</v>
      </c>
      <c r="B1429" t="s">
        <v>18</v>
      </c>
      <c r="C1429" t="s">
        <v>19</v>
      </c>
      <c r="D1429" t="s">
        <v>12</v>
      </c>
      <c r="E1429" t="s">
        <v>43</v>
      </c>
      <c r="F1429" t="s">
        <v>44</v>
      </c>
      <c r="G1429" t="s">
        <v>35</v>
      </c>
      <c r="H1429">
        <v>3</v>
      </c>
      <c r="I1429">
        <v>2508</v>
      </c>
      <c r="J1429">
        <v>631.85</v>
      </c>
    </row>
    <row r="1430" spans="1:10" x14ac:dyDescent="0.25">
      <c r="A1430" s="1">
        <v>45486</v>
      </c>
      <c r="B1430" t="s">
        <v>18</v>
      </c>
      <c r="C1430" t="s">
        <v>19</v>
      </c>
      <c r="D1430" t="s">
        <v>12</v>
      </c>
      <c r="E1430" t="s">
        <v>37</v>
      </c>
      <c r="F1430" t="s">
        <v>34</v>
      </c>
      <c r="G1430" t="s">
        <v>35</v>
      </c>
      <c r="H1430">
        <v>8</v>
      </c>
      <c r="I1430">
        <v>1048</v>
      </c>
      <c r="J1430">
        <v>107.56</v>
      </c>
    </row>
    <row r="1431" spans="1:10" x14ac:dyDescent="0.25">
      <c r="A1431" s="1">
        <v>44884</v>
      </c>
      <c r="B1431" t="s">
        <v>49</v>
      </c>
      <c r="C1431" t="s">
        <v>17</v>
      </c>
      <c r="D1431" t="s">
        <v>12</v>
      </c>
      <c r="E1431" t="s">
        <v>37</v>
      </c>
      <c r="F1431" t="s">
        <v>34</v>
      </c>
      <c r="G1431" t="s">
        <v>35</v>
      </c>
      <c r="H1431">
        <v>4</v>
      </c>
      <c r="I1431">
        <v>1516</v>
      </c>
      <c r="J1431">
        <v>256.95999999999998</v>
      </c>
    </row>
    <row r="1432" spans="1:10" x14ac:dyDescent="0.25">
      <c r="A1432" s="1">
        <v>45355</v>
      </c>
      <c r="B1432" t="s">
        <v>40</v>
      </c>
      <c r="C1432" t="s">
        <v>19</v>
      </c>
      <c r="D1432" t="s">
        <v>12</v>
      </c>
      <c r="E1432" t="s">
        <v>93</v>
      </c>
      <c r="F1432" t="s">
        <v>94</v>
      </c>
      <c r="G1432" t="s">
        <v>24</v>
      </c>
      <c r="H1432">
        <v>9</v>
      </c>
      <c r="I1432">
        <v>10458</v>
      </c>
      <c r="J1432">
        <v>1835.21</v>
      </c>
    </row>
    <row r="1433" spans="1:10" x14ac:dyDescent="0.25">
      <c r="A1433" s="1">
        <v>45432</v>
      </c>
      <c r="B1433" t="s">
        <v>29</v>
      </c>
      <c r="C1433" t="s">
        <v>17</v>
      </c>
      <c r="D1433" t="s">
        <v>12</v>
      </c>
      <c r="E1433" t="s">
        <v>93</v>
      </c>
      <c r="F1433" t="s">
        <v>94</v>
      </c>
      <c r="G1433" t="s">
        <v>24</v>
      </c>
      <c r="H1433">
        <v>9</v>
      </c>
      <c r="I1433">
        <v>2754</v>
      </c>
      <c r="J1433">
        <v>259.16000000000003</v>
      </c>
    </row>
    <row r="1434" spans="1:10" x14ac:dyDescent="0.25">
      <c r="A1434" s="1">
        <v>44832</v>
      </c>
      <c r="B1434" t="s">
        <v>10</v>
      </c>
      <c r="C1434" t="s">
        <v>11</v>
      </c>
      <c r="D1434" t="s">
        <v>12</v>
      </c>
      <c r="E1434" t="s">
        <v>37</v>
      </c>
      <c r="F1434" t="s">
        <v>34</v>
      </c>
      <c r="G1434" t="s">
        <v>35</v>
      </c>
      <c r="H1434">
        <v>4</v>
      </c>
      <c r="I1434">
        <v>3432</v>
      </c>
      <c r="J1434">
        <v>364.27</v>
      </c>
    </row>
    <row r="1435" spans="1:10" x14ac:dyDescent="0.25">
      <c r="A1435" s="1">
        <v>44920</v>
      </c>
      <c r="B1435" t="s">
        <v>36</v>
      </c>
      <c r="C1435" t="s">
        <v>17</v>
      </c>
      <c r="D1435" t="s">
        <v>12</v>
      </c>
      <c r="E1435" t="s">
        <v>26</v>
      </c>
      <c r="F1435" t="s">
        <v>27</v>
      </c>
      <c r="G1435" t="s">
        <v>28</v>
      </c>
      <c r="H1435">
        <v>2</v>
      </c>
      <c r="I1435">
        <v>1234</v>
      </c>
      <c r="J1435">
        <v>257.89</v>
      </c>
    </row>
    <row r="1436" spans="1:10" x14ac:dyDescent="0.25">
      <c r="A1436" s="1">
        <v>44772</v>
      </c>
      <c r="B1436" t="s">
        <v>36</v>
      </c>
      <c r="C1436" t="s">
        <v>17</v>
      </c>
      <c r="D1436" t="s">
        <v>12</v>
      </c>
      <c r="E1436" t="s">
        <v>26</v>
      </c>
      <c r="F1436" t="s">
        <v>27</v>
      </c>
      <c r="G1436" t="s">
        <v>28</v>
      </c>
      <c r="H1436">
        <v>1</v>
      </c>
      <c r="I1436">
        <v>847</v>
      </c>
      <c r="J1436">
        <v>146.25</v>
      </c>
    </row>
    <row r="1437" spans="1:10" x14ac:dyDescent="0.25">
      <c r="A1437" s="1">
        <v>44857</v>
      </c>
      <c r="B1437" t="s">
        <v>49</v>
      </c>
      <c r="C1437" t="s">
        <v>17</v>
      </c>
      <c r="D1437" t="s">
        <v>12</v>
      </c>
      <c r="E1437" t="s">
        <v>56</v>
      </c>
      <c r="F1437" t="s">
        <v>57</v>
      </c>
      <c r="G1437" t="s">
        <v>24</v>
      </c>
      <c r="H1437">
        <v>7</v>
      </c>
      <c r="I1437">
        <v>7672</v>
      </c>
      <c r="J1437">
        <v>896.11</v>
      </c>
    </row>
    <row r="1438" spans="1:10" x14ac:dyDescent="0.25">
      <c r="A1438" s="1">
        <v>45386</v>
      </c>
      <c r="B1438" t="s">
        <v>36</v>
      </c>
      <c r="C1438" t="s">
        <v>17</v>
      </c>
      <c r="D1438" t="s">
        <v>12</v>
      </c>
      <c r="E1438" t="s">
        <v>179</v>
      </c>
      <c r="F1438" t="s">
        <v>44</v>
      </c>
      <c r="G1438" t="s">
        <v>35</v>
      </c>
      <c r="H1438">
        <v>9</v>
      </c>
      <c r="I1438">
        <v>7596</v>
      </c>
      <c r="J1438">
        <v>1454.15</v>
      </c>
    </row>
    <row r="1439" spans="1:10" x14ac:dyDescent="0.25">
      <c r="A1439" s="1">
        <v>45598</v>
      </c>
      <c r="B1439" t="s">
        <v>49</v>
      </c>
      <c r="C1439" t="s">
        <v>17</v>
      </c>
      <c r="D1439" t="s">
        <v>12</v>
      </c>
      <c r="E1439" t="s">
        <v>179</v>
      </c>
      <c r="F1439" t="s">
        <v>44</v>
      </c>
      <c r="G1439" t="s">
        <v>35</v>
      </c>
      <c r="H1439">
        <v>7</v>
      </c>
      <c r="I1439">
        <v>7252</v>
      </c>
      <c r="J1439">
        <v>1357.27</v>
      </c>
    </row>
    <row r="1440" spans="1:10" x14ac:dyDescent="0.25">
      <c r="A1440" s="1">
        <v>45631</v>
      </c>
      <c r="B1440" t="s">
        <v>32</v>
      </c>
      <c r="C1440" t="s">
        <v>19</v>
      </c>
      <c r="D1440" t="s">
        <v>12</v>
      </c>
      <c r="E1440" t="s">
        <v>179</v>
      </c>
      <c r="F1440" t="s">
        <v>44</v>
      </c>
      <c r="G1440" t="s">
        <v>35</v>
      </c>
      <c r="H1440">
        <v>6</v>
      </c>
      <c r="I1440">
        <v>732</v>
      </c>
      <c r="J1440">
        <v>136.59</v>
      </c>
    </row>
    <row r="1441" spans="1:10" x14ac:dyDescent="0.25">
      <c r="A1441" s="1">
        <v>45104</v>
      </c>
      <c r="B1441" t="s">
        <v>40</v>
      </c>
      <c r="C1441" t="s">
        <v>19</v>
      </c>
      <c r="D1441" t="s">
        <v>12</v>
      </c>
      <c r="E1441" t="s">
        <v>197</v>
      </c>
      <c r="F1441" t="s">
        <v>168</v>
      </c>
      <c r="G1441" t="s">
        <v>15</v>
      </c>
      <c r="H1441">
        <v>1</v>
      </c>
      <c r="I1441">
        <v>173</v>
      </c>
      <c r="J1441">
        <v>20.96</v>
      </c>
    </row>
    <row r="1442" spans="1:10" x14ac:dyDescent="0.25">
      <c r="A1442" s="1">
        <v>45003</v>
      </c>
      <c r="B1442" t="s">
        <v>25</v>
      </c>
      <c r="C1442" t="s">
        <v>19</v>
      </c>
      <c r="D1442" t="s">
        <v>12</v>
      </c>
      <c r="E1442" t="s">
        <v>128</v>
      </c>
      <c r="F1442" t="s">
        <v>23</v>
      </c>
      <c r="G1442" t="s">
        <v>24</v>
      </c>
      <c r="H1442">
        <v>3</v>
      </c>
      <c r="I1442">
        <v>2805</v>
      </c>
      <c r="J1442">
        <v>749.5</v>
      </c>
    </row>
    <row r="1443" spans="1:10" x14ac:dyDescent="0.25">
      <c r="A1443" s="1">
        <v>45187</v>
      </c>
      <c r="B1443" t="s">
        <v>40</v>
      </c>
      <c r="C1443" t="s">
        <v>19</v>
      </c>
      <c r="D1443" t="s">
        <v>12</v>
      </c>
      <c r="E1443" t="s">
        <v>383</v>
      </c>
      <c r="F1443" t="s">
        <v>23</v>
      </c>
      <c r="G1443" t="s">
        <v>24</v>
      </c>
      <c r="H1443">
        <v>8</v>
      </c>
      <c r="I1443">
        <v>7048</v>
      </c>
      <c r="J1443">
        <v>391.96</v>
      </c>
    </row>
    <row r="1444" spans="1:10" x14ac:dyDescent="0.25">
      <c r="A1444" s="1">
        <v>45520</v>
      </c>
      <c r="B1444" t="s">
        <v>16</v>
      </c>
      <c r="C1444" t="s">
        <v>17</v>
      </c>
      <c r="D1444" t="s">
        <v>12</v>
      </c>
      <c r="E1444" t="s">
        <v>132</v>
      </c>
      <c r="F1444" t="s">
        <v>115</v>
      </c>
      <c r="G1444" t="s">
        <v>15</v>
      </c>
      <c r="H1444">
        <v>6</v>
      </c>
      <c r="I1444">
        <v>4698</v>
      </c>
      <c r="J1444">
        <v>1020.11</v>
      </c>
    </row>
    <row r="1445" spans="1:10" x14ac:dyDescent="0.25">
      <c r="A1445" s="1">
        <v>45308</v>
      </c>
      <c r="B1445" t="s">
        <v>32</v>
      </c>
      <c r="C1445" t="s">
        <v>19</v>
      </c>
      <c r="D1445" t="s">
        <v>12</v>
      </c>
      <c r="E1445" t="s">
        <v>384</v>
      </c>
      <c r="F1445" t="s">
        <v>23</v>
      </c>
      <c r="G1445" t="s">
        <v>24</v>
      </c>
      <c r="H1445">
        <v>1</v>
      </c>
      <c r="I1445">
        <v>565</v>
      </c>
      <c r="J1445">
        <v>148.79</v>
      </c>
    </row>
    <row r="1446" spans="1:10" x14ac:dyDescent="0.25">
      <c r="A1446" s="1">
        <v>45094</v>
      </c>
      <c r="B1446" t="s">
        <v>36</v>
      </c>
      <c r="C1446" t="s">
        <v>17</v>
      </c>
      <c r="D1446" t="s">
        <v>12</v>
      </c>
      <c r="E1446" t="s">
        <v>22</v>
      </c>
      <c r="F1446" t="s">
        <v>23</v>
      </c>
      <c r="G1446" t="s">
        <v>24</v>
      </c>
      <c r="H1446">
        <v>1</v>
      </c>
      <c r="I1446">
        <v>672</v>
      </c>
      <c r="J1446">
        <v>198.75</v>
      </c>
    </row>
    <row r="1447" spans="1:10" x14ac:dyDescent="0.25">
      <c r="A1447" s="1">
        <v>44766</v>
      </c>
      <c r="B1447" t="s">
        <v>25</v>
      </c>
      <c r="C1447" t="s">
        <v>19</v>
      </c>
      <c r="D1447" t="s">
        <v>12</v>
      </c>
      <c r="E1447" t="s">
        <v>64</v>
      </c>
      <c r="F1447" t="s">
        <v>65</v>
      </c>
      <c r="G1447" t="s">
        <v>35</v>
      </c>
      <c r="H1447">
        <v>6</v>
      </c>
      <c r="I1447">
        <v>2604</v>
      </c>
      <c r="J1447">
        <v>566.34</v>
      </c>
    </row>
    <row r="1448" spans="1:10" x14ac:dyDescent="0.25">
      <c r="A1448" s="1">
        <v>45443</v>
      </c>
      <c r="B1448" t="s">
        <v>18</v>
      </c>
      <c r="C1448" t="s">
        <v>19</v>
      </c>
      <c r="D1448" t="s">
        <v>12</v>
      </c>
      <c r="E1448" t="s">
        <v>22</v>
      </c>
      <c r="F1448" t="s">
        <v>23</v>
      </c>
      <c r="G1448" t="s">
        <v>24</v>
      </c>
      <c r="H1448">
        <v>6</v>
      </c>
      <c r="I1448">
        <v>5124</v>
      </c>
      <c r="J1448">
        <v>501.5</v>
      </c>
    </row>
    <row r="1449" spans="1:10" x14ac:dyDescent="0.25">
      <c r="A1449" s="1">
        <v>44787</v>
      </c>
      <c r="B1449" t="s">
        <v>32</v>
      </c>
      <c r="C1449" t="s">
        <v>19</v>
      </c>
      <c r="D1449" t="s">
        <v>12</v>
      </c>
      <c r="E1449" t="s">
        <v>22</v>
      </c>
      <c r="F1449" t="s">
        <v>23</v>
      </c>
      <c r="G1449" t="s">
        <v>24</v>
      </c>
      <c r="H1449">
        <v>5</v>
      </c>
      <c r="I1449">
        <v>2455</v>
      </c>
      <c r="J1449">
        <v>714.35</v>
      </c>
    </row>
    <row r="1450" spans="1:10" x14ac:dyDescent="0.25">
      <c r="A1450" s="1">
        <v>44621</v>
      </c>
      <c r="B1450" t="s">
        <v>10</v>
      </c>
      <c r="C1450" t="s">
        <v>11</v>
      </c>
      <c r="D1450" t="s">
        <v>12</v>
      </c>
      <c r="E1450" t="s">
        <v>249</v>
      </c>
      <c r="F1450" t="s">
        <v>115</v>
      </c>
      <c r="G1450" t="s">
        <v>15</v>
      </c>
      <c r="H1450">
        <v>2</v>
      </c>
      <c r="I1450">
        <v>1796</v>
      </c>
      <c r="J1450">
        <v>225.15</v>
      </c>
    </row>
    <row r="1451" spans="1:10" x14ac:dyDescent="0.25">
      <c r="A1451" s="1">
        <v>44586</v>
      </c>
      <c r="B1451" t="s">
        <v>55</v>
      </c>
      <c r="C1451" t="s">
        <v>19</v>
      </c>
      <c r="D1451" t="s">
        <v>12</v>
      </c>
      <c r="E1451" t="s">
        <v>210</v>
      </c>
      <c r="F1451" t="s">
        <v>34</v>
      </c>
      <c r="G1451" t="s">
        <v>35</v>
      </c>
      <c r="H1451">
        <v>1</v>
      </c>
      <c r="I1451">
        <v>288</v>
      </c>
      <c r="J1451">
        <v>61.85</v>
      </c>
    </row>
    <row r="1452" spans="1:10" x14ac:dyDescent="0.25">
      <c r="A1452" s="1">
        <v>45130</v>
      </c>
      <c r="B1452" t="s">
        <v>55</v>
      </c>
      <c r="C1452" t="s">
        <v>19</v>
      </c>
      <c r="D1452" t="s">
        <v>12</v>
      </c>
      <c r="E1452" t="s">
        <v>56</v>
      </c>
      <c r="F1452" t="s">
        <v>57</v>
      </c>
      <c r="G1452" t="s">
        <v>24</v>
      </c>
      <c r="H1452">
        <v>5</v>
      </c>
      <c r="I1452">
        <v>2160</v>
      </c>
      <c r="J1452">
        <v>553.41</v>
      </c>
    </row>
    <row r="1453" spans="1:10" x14ac:dyDescent="0.25">
      <c r="A1453" s="1">
        <v>44630</v>
      </c>
      <c r="B1453" t="s">
        <v>18</v>
      </c>
      <c r="C1453" t="s">
        <v>19</v>
      </c>
      <c r="D1453" t="s">
        <v>12</v>
      </c>
      <c r="E1453" t="s">
        <v>56</v>
      </c>
      <c r="F1453" t="s">
        <v>57</v>
      </c>
      <c r="G1453" t="s">
        <v>24</v>
      </c>
      <c r="H1453">
        <v>1</v>
      </c>
      <c r="I1453">
        <v>105</v>
      </c>
      <c r="J1453">
        <v>27.36</v>
      </c>
    </row>
    <row r="1454" spans="1:10" x14ac:dyDescent="0.25">
      <c r="A1454" s="1">
        <v>45051</v>
      </c>
      <c r="B1454" t="s">
        <v>36</v>
      </c>
      <c r="C1454" t="s">
        <v>17</v>
      </c>
      <c r="D1454" t="s">
        <v>12</v>
      </c>
      <c r="E1454" t="s">
        <v>50</v>
      </c>
      <c r="F1454" t="s">
        <v>51</v>
      </c>
      <c r="G1454" t="s">
        <v>35</v>
      </c>
      <c r="H1454">
        <v>9</v>
      </c>
      <c r="I1454">
        <v>7578</v>
      </c>
      <c r="J1454">
        <v>1596.64</v>
      </c>
    </row>
    <row r="1455" spans="1:10" x14ac:dyDescent="0.25">
      <c r="A1455" s="1">
        <v>44995</v>
      </c>
      <c r="B1455" t="s">
        <v>29</v>
      </c>
      <c r="C1455" t="s">
        <v>17</v>
      </c>
      <c r="D1455" t="s">
        <v>12</v>
      </c>
      <c r="E1455" t="s">
        <v>75</v>
      </c>
      <c r="F1455" t="s">
        <v>108</v>
      </c>
      <c r="G1455" t="s">
        <v>15</v>
      </c>
      <c r="H1455">
        <v>1</v>
      </c>
      <c r="I1455">
        <v>365</v>
      </c>
      <c r="J1455">
        <v>50.1</v>
      </c>
    </row>
    <row r="1456" spans="1:10" x14ac:dyDescent="0.25">
      <c r="A1456" s="1">
        <v>45405</v>
      </c>
      <c r="B1456" t="s">
        <v>25</v>
      </c>
      <c r="C1456" t="s">
        <v>19</v>
      </c>
      <c r="D1456" t="s">
        <v>12</v>
      </c>
      <c r="E1456" t="s">
        <v>385</v>
      </c>
      <c r="F1456" t="s">
        <v>44</v>
      </c>
      <c r="G1456" t="s">
        <v>35</v>
      </c>
      <c r="H1456">
        <v>8</v>
      </c>
      <c r="I1456">
        <v>3752</v>
      </c>
      <c r="J1456">
        <v>537.98</v>
      </c>
    </row>
    <row r="1457" spans="1:10" x14ac:dyDescent="0.25">
      <c r="A1457" s="1">
        <v>45525</v>
      </c>
      <c r="B1457" t="s">
        <v>49</v>
      </c>
      <c r="C1457" t="s">
        <v>17</v>
      </c>
      <c r="D1457" t="s">
        <v>12</v>
      </c>
      <c r="E1457" t="s">
        <v>386</v>
      </c>
      <c r="F1457" t="s">
        <v>48</v>
      </c>
      <c r="G1457" t="s">
        <v>15</v>
      </c>
      <c r="H1457">
        <v>2</v>
      </c>
      <c r="I1457">
        <v>1384</v>
      </c>
      <c r="J1457">
        <v>316.20999999999998</v>
      </c>
    </row>
    <row r="1458" spans="1:10" x14ac:dyDescent="0.25">
      <c r="A1458" s="1">
        <v>44978</v>
      </c>
      <c r="B1458" t="s">
        <v>40</v>
      </c>
      <c r="C1458" t="s">
        <v>19</v>
      </c>
      <c r="D1458" t="s">
        <v>12</v>
      </c>
      <c r="E1458" t="s">
        <v>56</v>
      </c>
      <c r="F1458" t="s">
        <v>57</v>
      </c>
      <c r="G1458" t="s">
        <v>24</v>
      </c>
      <c r="H1458">
        <v>5</v>
      </c>
      <c r="I1458">
        <v>475</v>
      </c>
      <c r="J1458">
        <v>76.22</v>
      </c>
    </row>
    <row r="1459" spans="1:10" x14ac:dyDescent="0.25">
      <c r="A1459" s="1">
        <v>44935</v>
      </c>
      <c r="B1459" t="s">
        <v>10</v>
      </c>
      <c r="C1459" t="s">
        <v>11</v>
      </c>
      <c r="D1459" t="s">
        <v>12</v>
      </c>
      <c r="E1459" t="s">
        <v>223</v>
      </c>
      <c r="F1459" t="s">
        <v>23</v>
      </c>
      <c r="G1459" t="s">
        <v>24</v>
      </c>
      <c r="H1459">
        <v>4</v>
      </c>
      <c r="I1459">
        <v>1116</v>
      </c>
      <c r="J1459">
        <v>242.31</v>
      </c>
    </row>
    <row r="1460" spans="1:10" x14ac:dyDescent="0.25">
      <c r="A1460" s="1">
        <v>45162</v>
      </c>
      <c r="B1460" t="s">
        <v>40</v>
      </c>
      <c r="C1460" t="s">
        <v>19</v>
      </c>
      <c r="D1460" t="s">
        <v>12</v>
      </c>
      <c r="E1460" t="s">
        <v>52</v>
      </c>
      <c r="F1460" t="s">
        <v>42</v>
      </c>
      <c r="G1460" t="s">
        <v>28</v>
      </c>
      <c r="H1460">
        <v>1</v>
      </c>
      <c r="I1460">
        <v>137</v>
      </c>
      <c r="J1460">
        <v>39.35</v>
      </c>
    </row>
    <row r="1461" spans="1:10" x14ac:dyDescent="0.25">
      <c r="A1461" s="1">
        <v>44573</v>
      </c>
      <c r="B1461" t="s">
        <v>29</v>
      </c>
      <c r="C1461" t="s">
        <v>17</v>
      </c>
      <c r="D1461" t="s">
        <v>12</v>
      </c>
      <c r="E1461" t="s">
        <v>26</v>
      </c>
      <c r="F1461" t="s">
        <v>27</v>
      </c>
      <c r="G1461" t="s">
        <v>28</v>
      </c>
      <c r="H1461">
        <v>6</v>
      </c>
      <c r="I1461">
        <v>738</v>
      </c>
      <c r="J1461">
        <v>158.96</v>
      </c>
    </row>
    <row r="1462" spans="1:10" x14ac:dyDescent="0.25">
      <c r="A1462" s="1">
        <v>45208</v>
      </c>
      <c r="B1462" t="s">
        <v>25</v>
      </c>
      <c r="C1462" t="s">
        <v>19</v>
      </c>
      <c r="D1462" t="s">
        <v>12</v>
      </c>
      <c r="E1462" t="s">
        <v>43</v>
      </c>
      <c r="F1462" t="s">
        <v>44</v>
      </c>
      <c r="G1462" t="s">
        <v>35</v>
      </c>
      <c r="H1462">
        <v>3</v>
      </c>
      <c r="I1462">
        <v>1821</v>
      </c>
      <c r="J1462">
        <v>543.01</v>
      </c>
    </row>
    <row r="1463" spans="1:10" x14ac:dyDescent="0.25">
      <c r="A1463" s="1">
        <v>44673</v>
      </c>
      <c r="B1463" t="s">
        <v>49</v>
      </c>
      <c r="C1463" t="s">
        <v>17</v>
      </c>
      <c r="D1463" t="s">
        <v>12</v>
      </c>
      <c r="E1463" t="s">
        <v>52</v>
      </c>
      <c r="F1463" t="s">
        <v>42</v>
      </c>
      <c r="G1463" t="s">
        <v>28</v>
      </c>
      <c r="H1463">
        <v>7</v>
      </c>
      <c r="I1463">
        <v>3654</v>
      </c>
      <c r="J1463">
        <v>670.16</v>
      </c>
    </row>
    <row r="1464" spans="1:10" x14ac:dyDescent="0.25">
      <c r="A1464" s="1">
        <v>45487</v>
      </c>
      <c r="B1464" t="s">
        <v>49</v>
      </c>
      <c r="C1464" t="s">
        <v>17</v>
      </c>
      <c r="D1464" t="s">
        <v>12</v>
      </c>
      <c r="E1464" t="s">
        <v>53</v>
      </c>
      <c r="F1464" t="s">
        <v>44</v>
      </c>
      <c r="G1464" t="s">
        <v>35</v>
      </c>
      <c r="H1464">
        <v>6</v>
      </c>
      <c r="I1464">
        <v>2592</v>
      </c>
      <c r="J1464">
        <v>404.89</v>
      </c>
    </row>
    <row r="1465" spans="1:10" x14ac:dyDescent="0.25">
      <c r="A1465" s="1">
        <v>44676</v>
      </c>
      <c r="B1465" t="s">
        <v>25</v>
      </c>
      <c r="C1465" t="s">
        <v>19</v>
      </c>
      <c r="D1465" t="s">
        <v>12</v>
      </c>
      <c r="E1465" t="s">
        <v>52</v>
      </c>
      <c r="F1465" t="s">
        <v>42</v>
      </c>
      <c r="G1465" t="s">
        <v>28</v>
      </c>
      <c r="H1465">
        <v>6</v>
      </c>
      <c r="I1465">
        <v>996</v>
      </c>
      <c r="J1465">
        <v>225.75</v>
      </c>
    </row>
    <row r="1466" spans="1:10" x14ac:dyDescent="0.25">
      <c r="A1466" s="1">
        <v>45483</v>
      </c>
      <c r="B1466" t="s">
        <v>16</v>
      </c>
      <c r="C1466" t="s">
        <v>17</v>
      </c>
      <c r="D1466" t="s">
        <v>12</v>
      </c>
      <c r="E1466" t="s">
        <v>75</v>
      </c>
      <c r="F1466" t="s">
        <v>108</v>
      </c>
      <c r="G1466" t="s">
        <v>15</v>
      </c>
      <c r="H1466">
        <v>1</v>
      </c>
      <c r="I1466">
        <v>693</v>
      </c>
      <c r="J1466">
        <v>62.75</v>
      </c>
    </row>
    <row r="1467" spans="1:10" x14ac:dyDescent="0.25">
      <c r="A1467" s="1">
        <v>45223</v>
      </c>
      <c r="B1467" t="s">
        <v>49</v>
      </c>
      <c r="C1467" t="s">
        <v>17</v>
      </c>
      <c r="D1467" t="s">
        <v>12</v>
      </c>
      <c r="E1467" t="s">
        <v>387</v>
      </c>
      <c r="F1467" t="s">
        <v>57</v>
      </c>
      <c r="G1467" t="s">
        <v>24</v>
      </c>
      <c r="H1467">
        <v>3</v>
      </c>
      <c r="I1467">
        <v>513</v>
      </c>
      <c r="J1467">
        <v>48.23</v>
      </c>
    </row>
    <row r="1468" spans="1:10" x14ac:dyDescent="0.25">
      <c r="A1468" s="1">
        <v>45429</v>
      </c>
      <c r="B1468" t="s">
        <v>32</v>
      </c>
      <c r="C1468" t="s">
        <v>19</v>
      </c>
      <c r="D1468" t="s">
        <v>12</v>
      </c>
      <c r="E1468" t="s">
        <v>240</v>
      </c>
      <c r="F1468" t="s">
        <v>94</v>
      </c>
      <c r="G1468" t="s">
        <v>24</v>
      </c>
      <c r="H1468">
        <v>8</v>
      </c>
      <c r="I1468">
        <v>5736</v>
      </c>
      <c r="J1468">
        <v>937.62</v>
      </c>
    </row>
    <row r="1469" spans="1:10" x14ac:dyDescent="0.25">
      <c r="A1469" s="1">
        <v>45022</v>
      </c>
      <c r="B1469" t="s">
        <v>16</v>
      </c>
      <c r="C1469" t="s">
        <v>17</v>
      </c>
      <c r="D1469" t="s">
        <v>12</v>
      </c>
      <c r="E1469" t="s">
        <v>317</v>
      </c>
      <c r="F1469" t="s">
        <v>115</v>
      </c>
      <c r="G1469" t="s">
        <v>15</v>
      </c>
      <c r="H1469">
        <v>2</v>
      </c>
      <c r="I1469">
        <v>1458</v>
      </c>
      <c r="J1469">
        <v>208.93</v>
      </c>
    </row>
    <row r="1470" spans="1:10" x14ac:dyDescent="0.25">
      <c r="A1470" s="1">
        <v>44898</v>
      </c>
      <c r="B1470" t="s">
        <v>40</v>
      </c>
      <c r="C1470" t="s">
        <v>19</v>
      </c>
      <c r="D1470" t="s">
        <v>12</v>
      </c>
      <c r="E1470" t="s">
        <v>388</v>
      </c>
      <c r="F1470" t="s">
        <v>44</v>
      </c>
      <c r="G1470" t="s">
        <v>35</v>
      </c>
      <c r="H1470">
        <v>8</v>
      </c>
      <c r="I1470">
        <v>5496</v>
      </c>
      <c r="J1470">
        <v>1104.93</v>
      </c>
    </row>
    <row r="1471" spans="1:10" x14ac:dyDescent="0.25">
      <c r="A1471" s="1">
        <v>44568</v>
      </c>
      <c r="B1471" t="s">
        <v>18</v>
      </c>
      <c r="C1471" t="s">
        <v>19</v>
      </c>
      <c r="D1471" t="s">
        <v>12</v>
      </c>
      <c r="E1471" t="s">
        <v>22</v>
      </c>
      <c r="F1471" t="s">
        <v>23</v>
      </c>
      <c r="G1471" t="s">
        <v>24</v>
      </c>
      <c r="H1471">
        <v>3</v>
      </c>
      <c r="I1471">
        <v>3183</v>
      </c>
      <c r="J1471">
        <v>358.87</v>
      </c>
    </row>
    <row r="1472" spans="1:10" x14ac:dyDescent="0.25">
      <c r="A1472" s="1">
        <v>45134</v>
      </c>
      <c r="B1472" t="s">
        <v>29</v>
      </c>
      <c r="C1472" t="s">
        <v>17</v>
      </c>
      <c r="D1472" t="s">
        <v>12</v>
      </c>
      <c r="E1472" t="s">
        <v>52</v>
      </c>
      <c r="F1472" t="s">
        <v>42</v>
      </c>
      <c r="G1472" t="s">
        <v>28</v>
      </c>
      <c r="H1472">
        <v>6</v>
      </c>
      <c r="I1472">
        <v>3990</v>
      </c>
      <c r="J1472">
        <v>975.5</v>
      </c>
    </row>
    <row r="1473" spans="1:10" x14ac:dyDescent="0.25">
      <c r="A1473" s="1">
        <v>45327</v>
      </c>
      <c r="B1473" t="s">
        <v>40</v>
      </c>
      <c r="C1473" t="s">
        <v>19</v>
      </c>
      <c r="D1473" t="s">
        <v>12</v>
      </c>
      <c r="E1473" t="s">
        <v>43</v>
      </c>
      <c r="F1473" t="s">
        <v>44</v>
      </c>
      <c r="G1473" t="s">
        <v>35</v>
      </c>
      <c r="H1473">
        <v>2</v>
      </c>
      <c r="I1473">
        <v>582</v>
      </c>
      <c r="J1473">
        <v>76.45</v>
      </c>
    </row>
    <row r="1474" spans="1:10" x14ac:dyDescent="0.25">
      <c r="A1474" s="1">
        <v>44684</v>
      </c>
      <c r="B1474" t="s">
        <v>10</v>
      </c>
      <c r="C1474" t="s">
        <v>11</v>
      </c>
      <c r="D1474" t="s">
        <v>12</v>
      </c>
      <c r="E1474" t="s">
        <v>132</v>
      </c>
      <c r="F1474" t="s">
        <v>63</v>
      </c>
      <c r="G1474" t="s">
        <v>28</v>
      </c>
      <c r="H1474">
        <v>5</v>
      </c>
      <c r="I1474">
        <v>3340</v>
      </c>
      <c r="J1474">
        <v>845.53</v>
      </c>
    </row>
    <row r="1475" spans="1:10" x14ac:dyDescent="0.25">
      <c r="A1475" s="1">
        <v>45168</v>
      </c>
      <c r="B1475" t="s">
        <v>36</v>
      </c>
      <c r="C1475" t="s">
        <v>17</v>
      </c>
      <c r="D1475" t="s">
        <v>12</v>
      </c>
      <c r="E1475" t="s">
        <v>132</v>
      </c>
      <c r="F1475" t="s">
        <v>63</v>
      </c>
      <c r="G1475" t="s">
        <v>28</v>
      </c>
      <c r="H1475">
        <v>1</v>
      </c>
      <c r="I1475">
        <v>890</v>
      </c>
      <c r="J1475">
        <v>59.1</v>
      </c>
    </row>
    <row r="1476" spans="1:10" x14ac:dyDescent="0.25">
      <c r="A1476" s="1">
        <v>45557</v>
      </c>
      <c r="B1476" t="s">
        <v>10</v>
      </c>
      <c r="C1476" t="s">
        <v>11</v>
      </c>
      <c r="D1476" t="s">
        <v>12</v>
      </c>
      <c r="E1476" t="s">
        <v>389</v>
      </c>
      <c r="F1476" t="s">
        <v>23</v>
      </c>
      <c r="G1476" t="s">
        <v>24</v>
      </c>
      <c r="H1476">
        <v>6</v>
      </c>
      <c r="I1476">
        <v>4890</v>
      </c>
      <c r="J1476">
        <v>689.01</v>
      </c>
    </row>
    <row r="1477" spans="1:10" x14ac:dyDescent="0.25">
      <c r="A1477" s="1">
        <v>45218</v>
      </c>
      <c r="B1477" t="s">
        <v>49</v>
      </c>
      <c r="C1477" t="s">
        <v>17</v>
      </c>
      <c r="D1477" t="s">
        <v>12</v>
      </c>
      <c r="E1477" t="s">
        <v>67</v>
      </c>
      <c r="F1477" t="s">
        <v>54</v>
      </c>
      <c r="G1477" t="s">
        <v>24</v>
      </c>
      <c r="H1477">
        <v>3</v>
      </c>
      <c r="I1477">
        <v>2625</v>
      </c>
      <c r="J1477">
        <v>349.61</v>
      </c>
    </row>
    <row r="1478" spans="1:10" x14ac:dyDescent="0.25">
      <c r="A1478" s="1">
        <v>44818</v>
      </c>
      <c r="B1478" t="s">
        <v>32</v>
      </c>
      <c r="C1478" t="s">
        <v>19</v>
      </c>
      <c r="D1478" t="s">
        <v>12</v>
      </c>
      <c r="E1478" t="s">
        <v>52</v>
      </c>
      <c r="F1478" t="s">
        <v>42</v>
      </c>
      <c r="G1478" t="s">
        <v>28</v>
      </c>
      <c r="H1478">
        <v>4</v>
      </c>
      <c r="I1478">
        <v>1440</v>
      </c>
      <c r="J1478">
        <v>200.09</v>
      </c>
    </row>
    <row r="1479" spans="1:10" x14ac:dyDescent="0.25">
      <c r="A1479" s="1">
        <v>45652</v>
      </c>
      <c r="B1479" t="s">
        <v>29</v>
      </c>
      <c r="C1479" t="s">
        <v>17</v>
      </c>
      <c r="D1479" t="s">
        <v>12</v>
      </c>
      <c r="E1479" t="s">
        <v>105</v>
      </c>
      <c r="F1479" t="s">
        <v>23</v>
      </c>
      <c r="G1479" t="s">
        <v>24</v>
      </c>
      <c r="H1479">
        <v>5</v>
      </c>
      <c r="I1479">
        <v>505</v>
      </c>
      <c r="J1479">
        <v>93.85</v>
      </c>
    </row>
    <row r="1480" spans="1:10" x14ac:dyDescent="0.25">
      <c r="A1480" s="1">
        <v>44589</v>
      </c>
      <c r="B1480" t="s">
        <v>55</v>
      </c>
      <c r="C1480" t="s">
        <v>19</v>
      </c>
      <c r="D1480" t="s">
        <v>12</v>
      </c>
      <c r="E1480" t="s">
        <v>52</v>
      </c>
      <c r="F1480" t="s">
        <v>42</v>
      </c>
      <c r="G1480" t="s">
        <v>28</v>
      </c>
      <c r="H1480">
        <v>8</v>
      </c>
      <c r="I1480">
        <v>8192</v>
      </c>
      <c r="J1480">
        <v>1822.87</v>
      </c>
    </row>
    <row r="1481" spans="1:10" x14ac:dyDescent="0.25">
      <c r="A1481" s="1">
        <v>45147</v>
      </c>
      <c r="B1481" t="s">
        <v>49</v>
      </c>
      <c r="C1481" t="s">
        <v>17</v>
      </c>
      <c r="D1481" t="s">
        <v>12</v>
      </c>
      <c r="E1481" t="s">
        <v>26</v>
      </c>
      <c r="F1481" t="s">
        <v>27</v>
      </c>
      <c r="G1481" t="s">
        <v>28</v>
      </c>
      <c r="H1481">
        <v>3</v>
      </c>
      <c r="I1481">
        <v>1920</v>
      </c>
      <c r="J1481">
        <v>144.30000000000001</v>
      </c>
    </row>
    <row r="1482" spans="1:10" x14ac:dyDescent="0.25">
      <c r="A1482" s="1">
        <v>44852</v>
      </c>
      <c r="B1482" t="s">
        <v>32</v>
      </c>
      <c r="C1482" t="s">
        <v>19</v>
      </c>
      <c r="D1482" t="s">
        <v>12</v>
      </c>
      <c r="E1482" t="s">
        <v>91</v>
      </c>
      <c r="F1482" t="s">
        <v>23</v>
      </c>
      <c r="G1482" t="s">
        <v>24</v>
      </c>
      <c r="H1482">
        <v>8</v>
      </c>
      <c r="I1482">
        <v>8768</v>
      </c>
      <c r="J1482">
        <v>1065.8</v>
      </c>
    </row>
    <row r="1483" spans="1:10" x14ac:dyDescent="0.25">
      <c r="A1483" s="1">
        <v>44846</v>
      </c>
      <c r="B1483" t="s">
        <v>16</v>
      </c>
      <c r="C1483" t="s">
        <v>17</v>
      </c>
      <c r="D1483" t="s">
        <v>12</v>
      </c>
      <c r="E1483" t="s">
        <v>331</v>
      </c>
      <c r="F1483" t="s">
        <v>23</v>
      </c>
      <c r="G1483" t="s">
        <v>24</v>
      </c>
      <c r="H1483">
        <v>1</v>
      </c>
      <c r="I1483">
        <v>1140</v>
      </c>
      <c r="J1483">
        <v>117.05</v>
      </c>
    </row>
    <row r="1484" spans="1:10" x14ac:dyDescent="0.25">
      <c r="A1484" s="1">
        <v>44949</v>
      </c>
      <c r="B1484" t="s">
        <v>55</v>
      </c>
      <c r="C1484" t="s">
        <v>19</v>
      </c>
      <c r="D1484" t="s">
        <v>12</v>
      </c>
      <c r="E1484" t="s">
        <v>331</v>
      </c>
      <c r="F1484" t="s">
        <v>23</v>
      </c>
      <c r="G1484" t="s">
        <v>24</v>
      </c>
      <c r="H1484">
        <v>4</v>
      </c>
      <c r="I1484">
        <v>952</v>
      </c>
      <c r="J1484">
        <v>264.61</v>
      </c>
    </row>
    <row r="1485" spans="1:10" x14ac:dyDescent="0.25">
      <c r="A1485" s="1">
        <v>45414</v>
      </c>
      <c r="B1485" t="s">
        <v>40</v>
      </c>
      <c r="C1485" t="s">
        <v>19</v>
      </c>
      <c r="D1485" t="s">
        <v>12</v>
      </c>
      <c r="E1485" t="s">
        <v>192</v>
      </c>
      <c r="F1485" t="s">
        <v>149</v>
      </c>
      <c r="G1485" t="s">
        <v>15</v>
      </c>
      <c r="H1485">
        <v>1</v>
      </c>
      <c r="I1485">
        <v>225</v>
      </c>
      <c r="J1485">
        <v>51.07</v>
      </c>
    </row>
    <row r="1486" spans="1:10" x14ac:dyDescent="0.25">
      <c r="A1486" s="1">
        <v>44774</v>
      </c>
      <c r="B1486" t="s">
        <v>10</v>
      </c>
      <c r="C1486" t="s">
        <v>11</v>
      </c>
      <c r="D1486" t="s">
        <v>12</v>
      </c>
      <c r="E1486" t="s">
        <v>62</v>
      </c>
      <c r="F1486" t="s">
        <v>63</v>
      </c>
      <c r="G1486" t="s">
        <v>28</v>
      </c>
      <c r="H1486">
        <v>4</v>
      </c>
      <c r="I1486">
        <v>1304</v>
      </c>
      <c r="J1486">
        <v>336.95</v>
      </c>
    </row>
    <row r="1487" spans="1:10" x14ac:dyDescent="0.25">
      <c r="A1487" s="1">
        <v>45102</v>
      </c>
      <c r="B1487" t="s">
        <v>25</v>
      </c>
      <c r="C1487" t="s">
        <v>19</v>
      </c>
      <c r="D1487" t="s">
        <v>12</v>
      </c>
      <c r="E1487" t="s">
        <v>62</v>
      </c>
      <c r="F1487" t="s">
        <v>63</v>
      </c>
      <c r="G1487" t="s">
        <v>28</v>
      </c>
      <c r="H1487">
        <v>3</v>
      </c>
      <c r="I1487">
        <v>1029</v>
      </c>
      <c r="J1487">
        <v>206.83</v>
      </c>
    </row>
    <row r="1488" spans="1:10" x14ac:dyDescent="0.25">
      <c r="A1488" s="1">
        <v>45351</v>
      </c>
      <c r="B1488" t="s">
        <v>10</v>
      </c>
      <c r="C1488" t="s">
        <v>11</v>
      </c>
      <c r="D1488" t="s">
        <v>12</v>
      </c>
      <c r="E1488" t="s">
        <v>13</v>
      </c>
      <c r="F1488" t="s">
        <v>173</v>
      </c>
      <c r="G1488" t="s">
        <v>24</v>
      </c>
      <c r="H1488">
        <v>3</v>
      </c>
      <c r="I1488">
        <v>3402</v>
      </c>
      <c r="J1488">
        <v>442.67</v>
      </c>
    </row>
    <row r="1489" spans="1:10" x14ac:dyDescent="0.25">
      <c r="A1489" s="1">
        <v>44705</v>
      </c>
      <c r="B1489" t="s">
        <v>55</v>
      </c>
      <c r="C1489" t="s">
        <v>19</v>
      </c>
      <c r="D1489" t="s">
        <v>12</v>
      </c>
      <c r="E1489" t="s">
        <v>56</v>
      </c>
      <c r="F1489" t="s">
        <v>57</v>
      </c>
      <c r="G1489" t="s">
        <v>24</v>
      </c>
      <c r="H1489">
        <v>9</v>
      </c>
      <c r="I1489">
        <v>8460</v>
      </c>
      <c r="J1489">
        <v>1201.94</v>
      </c>
    </row>
    <row r="1490" spans="1:10" x14ac:dyDescent="0.25">
      <c r="A1490" s="1">
        <v>45358</v>
      </c>
      <c r="B1490" t="s">
        <v>36</v>
      </c>
      <c r="C1490" t="s">
        <v>17</v>
      </c>
      <c r="D1490" t="s">
        <v>12</v>
      </c>
      <c r="E1490" t="s">
        <v>52</v>
      </c>
      <c r="F1490" t="s">
        <v>42</v>
      </c>
      <c r="G1490" t="s">
        <v>28</v>
      </c>
      <c r="H1490">
        <v>1</v>
      </c>
      <c r="I1490">
        <v>104</v>
      </c>
      <c r="J1490">
        <v>26.86</v>
      </c>
    </row>
    <row r="1491" spans="1:10" x14ac:dyDescent="0.25">
      <c r="A1491" s="1">
        <v>45278</v>
      </c>
      <c r="B1491" t="s">
        <v>36</v>
      </c>
      <c r="C1491" t="s">
        <v>17</v>
      </c>
      <c r="D1491" t="s">
        <v>12</v>
      </c>
      <c r="E1491" t="s">
        <v>62</v>
      </c>
      <c r="F1491" t="s">
        <v>59</v>
      </c>
      <c r="G1491" t="s">
        <v>28</v>
      </c>
      <c r="H1491">
        <v>9</v>
      </c>
      <c r="I1491">
        <v>10665</v>
      </c>
      <c r="J1491">
        <v>1595.08</v>
      </c>
    </row>
    <row r="1492" spans="1:10" x14ac:dyDescent="0.25">
      <c r="A1492" s="1">
        <v>45150</v>
      </c>
      <c r="B1492" t="s">
        <v>32</v>
      </c>
      <c r="C1492" t="s">
        <v>19</v>
      </c>
      <c r="D1492" t="s">
        <v>12</v>
      </c>
      <c r="E1492" t="s">
        <v>104</v>
      </c>
      <c r="F1492" t="s">
        <v>39</v>
      </c>
      <c r="G1492" t="s">
        <v>35</v>
      </c>
      <c r="H1492">
        <v>8</v>
      </c>
      <c r="I1492">
        <v>984</v>
      </c>
      <c r="J1492">
        <v>183.07</v>
      </c>
    </row>
    <row r="1493" spans="1:10" x14ac:dyDescent="0.25">
      <c r="A1493" s="1">
        <v>45553</v>
      </c>
      <c r="B1493" t="s">
        <v>40</v>
      </c>
      <c r="C1493" t="s">
        <v>19</v>
      </c>
      <c r="D1493" t="s">
        <v>12</v>
      </c>
      <c r="E1493" t="s">
        <v>104</v>
      </c>
      <c r="F1493" t="s">
        <v>39</v>
      </c>
      <c r="G1493" t="s">
        <v>35</v>
      </c>
      <c r="H1493">
        <v>4</v>
      </c>
      <c r="I1493">
        <v>2064</v>
      </c>
      <c r="J1493">
        <v>359.3</v>
      </c>
    </row>
    <row r="1494" spans="1:10" x14ac:dyDescent="0.25">
      <c r="A1494" s="1">
        <v>44628</v>
      </c>
      <c r="B1494" t="s">
        <v>55</v>
      </c>
      <c r="C1494" t="s">
        <v>19</v>
      </c>
      <c r="D1494" t="s">
        <v>12</v>
      </c>
      <c r="E1494" t="s">
        <v>104</v>
      </c>
      <c r="F1494" t="s">
        <v>39</v>
      </c>
      <c r="G1494" t="s">
        <v>35</v>
      </c>
      <c r="H1494">
        <v>2</v>
      </c>
      <c r="I1494">
        <v>594</v>
      </c>
      <c r="J1494">
        <v>172.47</v>
      </c>
    </row>
    <row r="1495" spans="1:10" x14ac:dyDescent="0.25">
      <c r="A1495" s="1">
        <v>45224</v>
      </c>
      <c r="B1495" t="s">
        <v>10</v>
      </c>
      <c r="C1495" t="s">
        <v>11</v>
      </c>
      <c r="D1495" t="s">
        <v>12</v>
      </c>
      <c r="E1495" t="s">
        <v>146</v>
      </c>
      <c r="F1495" t="s">
        <v>21</v>
      </c>
      <c r="G1495" t="s">
        <v>15</v>
      </c>
      <c r="H1495">
        <v>8</v>
      </c>
      <c r="I1495">
        <v>6016</v>
      </c>
      <c r="J1495">
        <v>898.33</v>
      </c>
    </row>
    <row r="1496" spans="1:10" x14ac:dyDescent="0.25">
      <c r="A1496" s="1">
        <v>45526</v>
      </c>
      <c r="B1496" t="s">
        <v>40</v>
      </c>
      <c r="C1496" t="s">
        <v>19</v>
      </c>
      <c r="D1496" t="s">
        <v>12</v>
      </c>
      <c r="E1496" t="s">
        <v>390</v>
      </c>
      <c r="F1496" t="s">
        <v>100</v>
      </c>
      <c r="G1496" t="s">
        <v>35</v>
      </c>
      <c r="H1496">
        <v>8</v>
      </c>
      <c r="I1496">
        <v>2864</v>
      </c>
      <c r="J1496">
        <v>195.16</v>
      </c>
    </row>
    <row r="1497" spans="1:10" x14ac:dyDescent="0.25">
      <c r="A1497" s="1">
        <v>45490</v>
      </c>
      <c r="B1497" t="s">
        <v>18</v>
      </c>
      <c r="C1497" t="s">
        <v>19</v>
      </c>
      <c r="D1497" t="s">
        <v>12</v>
      </c>
      <c r="E1497" t="s">
        <v>377</v>
      </c>
      <c r="F1497" t="s">
        <v>115</v>
      </c>
      <c r="G1497" t="s">
        <v>15</v>
      </c>
      <c r="H1497">
        <v>4</v>
      </c>
      <c r="I1497">
        <v>724</v>
      </c>
      <c r="J1497">
        <v>186.95</v>
      </c>
    </row>
    <row r="1498" spans="1:10" x14ac:dyDescent="0.25">
      <c r="A1498" s="1">
        <v>45333</v>
      </c>
      <c r="B1498" t="s">
        <v>16</v>
      </c>
      <c r="C1498" t="s">
        <v>17</v>
      </c>
      <c r="D1498" t="s">
        <v>12</v>
      </c>
      <c r="E1498" t="s">
        <v>26</v>
      </c>
      <c r="F1498" t="s">
        <v>27</v>
      </c>
      <c r="G1498" t="s">
        <v>28</v>
      </c>
      <c r="H1498">
        <v>6</v>
      </c>
      <c r="I1498">
        <v>4098</v>
      </c>
      <c r="J1498">
        <v>1174.46</v>
      </c>
    </row>
    <row r="1499" spans="1:10" x14ac:dyDescent="0.25">
      <c r="A1499" s="1">
        <v>45089</v>
      </c>
      <c r="B1499" t="s">
        <v>36</v>
      </c>
      <c r="C1499" t="s">
        <v>17</v>
      </c>
      <c r="D1499" t="s">
        <v>12</v>
      </c>
      <c r="E1499" t="s">
        <v>391</v>
      </c>
      <c r="F1499" t="s">
        <v>168</v>
      </c>
      <c r="G1499" t="s">
        <v>15</v>
      </c>
      <c r="H1499">
        <v>1</v>
      </c>
      <c r="I1499">
        <v>338</v>
      </c>
      <c r="J1499">
        <v>32.61</v>
      </c>
    </row>
    <row r="1500" spans="1:10" x14ac:dyDescent="0.25">
      <c r="A1500" s="1">
        <v>45360</v>
      </c>
      <c r="B1500" t="s">
        <v>10</v>
      </c>
      <c r="C1500" t="s">
        <v>11</v>
      </c>
      <c r="D1500" t="s">
        <v>12</v>
      </c>
      <c r="E1500" t="s">
        <v>138</v>
      </c>
      <c r="F1500" t="s">
        <v>94</v>
      </c>
      <c r="G1500" t="s">
        <v>24</v>
      </c>
      <c r="H1500">
        <v>8</v>
      </c>
      <c r="I1500">
        <v>9280</v>
      </c>
      <c r="J1500">
        <v>1596.88</v>
      </c>
    </row>
    <row r="1501" spans="1:10" x14ac:dyDescent="0.25">
      <c r="A1501" s="1">
        <v>44667</v>
      </c>
      <c r="B1501" t="s">
        <v>32</v>
      </c>
      <c r="C1501" t="s">
        <v>19</v>
      </c>
      <c r="D1501" t="s">
        <v>12</v>
      </c>
      <c r="E1501" t="s">
        <v>75</v>
      </c>
      <c r="F1501" t="s">
        <v>108</v>
      </c>
      <c r="G1501" t="s">
        <v>15</v>
      </c>
      <c r="H1501">
        <v>1</v>
      </c>
      <c r="I1501">
        <v>890</v>
      </c>
      <c r="J1501">
        <v>57.04</v>
      </c>
    </row>
    <row r="1502" spans="1:10" x14ac:dyDescent="0.25">
      <c r="A1502" s="1">
        <v>45042</v>
      </c>
      <c r="B1502" t="s">
        <v>18</v>
      </c>
      <c r="C1502" t="s">
        <v>19</v>
      </c>
      <c r="D1502" t="s">
        <v>12</v>
      </c>
      <c r="E1502" t="s">
        <v>74</v>
      </c>
      <c r="F1502" t="s">
        <v>23</v>
      </c>
      <c r="G1502" t="s">
        <v>24</v>
      </c>
      <c r="H1502">
        <v>2</v>
      </c>
      <c r="I1502">
        <v>1790</v>
      </c>
      <c r="J1502">
        <v>442.75</v>
      </c>
    </row>
    <row r="1503" spans="1:10" x14ac:dyDescent="0.25">
      <c r="A1503" s="1">
        <v>45200</v>
      </c>
      <c r="B1503" t="s">
        <v>18</v>
      </c>
      <c r="C1503" t="s">
        <v>19</v>
      </c>
      <c r="D1503" t="s">
        <v>12</v>
      </c>
      <c r="E1503" t="s">
        <v>74</v>
      </c>
      <c r="F1503" t="s">
        <v>23</v>
      </c>
      <c r="G1503" t="s">
        <v>24</v>
      </c>
      <c r="H1503">
        <v>9</v>
      </c>
      <c r="I1503">
        <v>8523</v>
      </c>
      <c r="J1503">
        <v>978.97</v>
      </c>
    </row>
    <row r="1504" spans="1:10" x14ac:dyDescent="0.25">
      <c r="A1504" s="1">
        <v>44978</v>
      </c>
      <c r="B1504" t="s">
        <v>29</v>
      </c>
      <c r="C1504" t="s">
        <v>17</v>
      </c>
      <c r="D1504" t="s">
        <v>12</v>
      </c>
      <c r="E1504" t="s">
        <v>52</v>
      </c>
      <c r="F1504" t="s">
        <v>42</v>
      </c>
      <c r="G1504" t="s">
        <v>28</v>
      </c>
      <c r="H1504">
        <v>9</v>
      </c>
      <c r="I1504">
        <v>7776</v>
      </c>
      <c r="J1504">
        <v>677.74</v>
      </c>
    </row>
    <row r="1505" spans="1:10" x14ac:dyDescent="0.25">
      <c r="A1505" s="1">
        <v>45371</v>
      </c>
      <c r="B1505" t="s">
        <v>16</v>
      </c>
      <c r="C1505" t="s">
        <v>17</v>
      </c>
      <c r="D1505" t="s">
        <v>12</v>
      </c>
      <c r="E1505" t="s">
        <v>307</v>
      </c>
      <c r="F1505" t="s">
        <v>156</v>
      </c>
      <c r="G1505" t="s">
        <v>28</v>
      </c>
      <c r="H1505">
        <v>7</v>
      </c>
      <c r="I1505">
        <v>3031</v>
      </c>
      <c r="J1505">
        <v>417.5</v>
      </c>
    </row>
    <row r="1506" spans="1:10" x14ac:dyDescent="0.25">
      <c r="A1506" s="1">
        <v>44836</v>
      </c>
      <c r="B1506" t="s">
        <v>25</v>
      </c>
      <c r="C1506" t="s">
        <v>19</v>
      </c>
      <c r="D1506" t="s">
        <v>12</v>
      </c>
      <c r="E1506" t="s">
        <v>37</v>
      </c>
      <c r="F1506" t="s">
        <v>34</v>
      </c>
      <c r="G1506" t="s">
        <v>35</v>
      </c>
      <c r="H1506">
        <v>9</v>
      </c>
      <c r="I1506">
        <v>4698</v>
      </c>
      <c r="J1506">
        <v>1262.47</v>
      </c>
    </row>
    <row r="1507" spans="1:10" x14ac:dyDescent="0.25">
      <c r="A1507" s="1">
        <v>45090</v>
      </c>
      <c r="B1507" t="s">
        <v>49</v>
      </c>
      <c r="C1507" t="s">
        <v>17</v>
      </c>
      <c r="D1507" t="s">
        <v>12</v>
      </c>
      <c r="E1507" t="s">
        <v>37</v>
      </c>
      <c r="F1507" t="s">
        <v>34</v>
      </c>
      <c r="G1507" t="s">
        <v>35</v>
      </c>
      <c r="H1507">
        <v>9</v>
      </c>
      <c r="I1507">
        <v>4851</v>
      </c>
      <c r="J1507">
        <v>1408.41</v>
      </c>
    </row>
    <row r="1508" spans="1:10" x14ac:dyDescent="0.25">
      <c r="A1508" s="1">
        <v>44948</v>
      </c>
      <c r="B1508" t="s">
        <v>25</v>
      </c>
      <c r="C1508" t="s">
        <v>19</v>
      </c>
      <c r="D1508" t="s">
        <v>12</v>
      </c>
      <c r="E1508" t="s">
        <v>105</v>
      </c>
      <c r="F1508" t="s">
        <v>23</v>
      </c>
      <c r="G1508" t="s">
        <v>24</v>
      </c>
      <c r="H1508">
        <v>6</v>
      </c>
      <c r="I1508">
        <v>4542</v>
      </c>
      <c r="J1508">
        <v>1169.1600000000001</v>
      </c>
    </row>
    <row r="1509" spans="1:10" x14ac:dyDescent="0.25">
      <c r="A1509" s="1">
        <v>44825</v>
      </c>
      <c r="B1509" t="s">
        <v>29</v>
      </c>
      <c r="C1509" t="s">
        <v>17</v>
      </c>
      <c r="D1509" t="s">
        <v>12</v>
      </c>
      <c r="E1509" t="s">
        <v>56</v>
      </c>
      <c r="F1509" t="s">
        <v>57</v>
      </c>
      <c r="G1509" t="s">
        <v>24</v>
      </c>
      <c r="H1509">
        <v>2</v>
      </c>
      <c r="I1509">
        <v>978</v>
      </c>
      <c r="J1509">
        <v>210.75</v>
      </c>
    </row>
    <row r="1510" spans="1:10" x14ac:dyDescent="0.25">
      <c r="A1510" s="1">
        <v>44565</v>
      </c>
      <c r="B1510" t="s">
        <v>16</v>
      </c>
      <c r="C1510" t="s">
        <v>17</v>
      </c>
      <c r="D1510" t="s">
        <v>12</v>
      </c>
      <c r="E1510" t="s">
        <v>20</v>
      </c>
      <c r="F1510" t="s">
        <v>21</v>
      </c>
      <c r="G1510" t="s">
        <v>15</v>
      </c>
      <c r="H1510">
        <v>9</v>
      </c>
      <c r="I1510">
        <v>9378</v>
      </c>
      <c r="J1510">
        <v>1740.97</v>
      </c>
    </row>
    <row r="1511" spans="1:10" x14ac:dyDescent="0.25">
      <c r="A1511" s="1">
        <v>45144</v>
      </c>
      <c r="B1511" t="s">
        <v>32</v>
      </c>
      <c r="C1511" t="s">
        <v>19</v>
      </c>
      <c r="D1511" t="s">
        <v>12</v>
      </c>
      <c r="E1511" t="s">
        <v>134</v>
      </c>
      <c r="F1511" t="s">
        <v>42</v>
      </c>
      <c r="G1511" t="s">
        <v>28</v>
      </c>
      <c r="H1511">
        <v>8</v>
      </c>
      <c r="I1511">
        <v>9464</v>
      </c>
      <c r="J1511">
        <v>2043.73</v>
      </c>
    </row>
    <row r="1512" spans="1:10" x14ac:dyDescent="0.25">
      <c r="A1512" s="1">
        <v>45604</v>
      </c>
      <c r="B1512" t="s">
        <v>10</v>
      </c>
      <c r="C1512" t="s">
        <v>11</v>
      </c>
      <c r="D1512" t="s">
        <v>12</v>
      </c>
      <c r="E1512" t="s">
        <v>390</v>
      </c>
      <c r="F1512" t="s">
        <v>44</v>
      </c>
      <c r="G1512" t="s">
        <v>35</v>
      </c>
      <c r="H1512">
        <v>8</v>
      </c>
      <c r="I1512">
        <v>1720</v>
      </c>
      <c r="J1512">
        <v>401.26</v>
      </c>
    </row>
    <row r="1513" spans="1:10" x14ac:dyDescent="0.25">
      <c r="A1513" s="1">
        <v>44753</v>
      </c>
      <c r="B1513" t="s">
        <v>49</v>
      </c>
      <c r="C1513" t="s">
        <v>17</v>
      </c>
      <c r="D1513" t="s">
        <v>12</v>
      </c>
      <c r="E1513" t="s">
        <v>74</v>
      </c>
      <c r="F1513" t="s">
        <v>23</v>
      </c>
      <c r="G1513" t="s">
        <v>24</v>
      </c>
      <c r="H1513">
        <v>8</v>
      </c>
      <c r="I1513">
        <v>4752</v>
      </c>
      <c r="J1513">
        <v>1124.22</v>
      </c>
    </row>
    <row r="1514" spans="1:10" x14ac:dyDescent="0.25">
      <c r="A1514" s="1">
        <v>45222</v>
      </c>
      <c r="B1514" t="s">
        <v>49</v>
      </c>
      <c r="C1514" t="s">
        <v>17</v>
      </c>
      <c r="D1514" t="s">
        <v>12</v>
      </c>
      <c r="E1514" t="s">
        <v>74</v>
      </c>
      <c r="F1514" t="s">
        <v>23</v>
      </c>
      <c r="G1514" t="s">
        <v>24</v>
      </c>
      <c r="H1514">
        <v>4</v>
      </c>
      <c r="I1514">
        <v>584</v>
      </c>
      <c r="J1514">
        <v>127.28</v>
      </c>
    </row>
    <row r="1515" spans="1:10" x14ac:dyDescent="0.25">
      <c r="A1515" s="1">
        <v>45501</v>
      </c>
      <c r="B1515" t="s">
        <v>25</v>
      </c>
      <c r="C1515" t="s">
        <v>19</v>
      </c>
      <c r="D1515" t="s">
        <v>12</v>
      </c>
      <c r="E1515" t="s">
        <v>52</v>
      </c>
      <c r="F1515" t="s">
        <v>42</v>
      </c>
      <c r="G1515" t="s">
        <v>28</v>
      </c>
      <c r="H1515">
        <v>9</v>
      </c>
      <c r="I1515">
        <v>4554</v>
      </c>
      <c r="J1515">
        <v>1031.0899999999999</v>
      </c>
    </row>
    <row r="1516" spans="1:10" x14ac:dyDescent="0.25">
      <c r="A1516" s="1">
        <v>44765</v>
      </c>
      <c r="B1516" t="s">
        <v>18</v>
      </c>
      <c r="C1516" t="s">
        <v>19</v>
      </c>
      <c r="D1516" t="s">
        <v>12</v>
      </c>
      <c r="E1516" t="s">
        <v>187</v>
      </c>
      <c r="F1516" t="s">
        <v>23</v>
      </c>
      <c r="G1516" t="s">
        <v>24</v>
      </c>
      <c r="H1516">
        <v>2</v>
      </c>
      <c r="I1516">
        <v>2392</v>
      </c>
      <c r="J1516">
        <v>483.39</v>
      </c>
    </row>
    <row r="1517" spans="1:10" x14ac:dyDescent="0.25">
      <c r="A1517" s="1">
        <v>45250</v>
      </c>
      <c r="B1517" t="s">
        <v>25</v>
      </c>
      <c r="C1517" t="s">
        <v>19</v>
      </c>
      <c r="D1517" t="s">
        <v>12</v>
      </c>
      <c r="E1517" t="s">
        <v>162</v>
      </c>
      <c r="F1517" t="s">
        <v>23</v>
      </c>
      <c r="G1517" t="s">
        <v>24</v>
      </c>
      <c r="H1517">
        <v>7</v>
      </c>
      <c r="I1517">
        <v>3962</v>
      </c>
      <c r="J1517">
        <v>916.13</v>
      </c>
    </row>
    <row r="1518" spans="1:10" x14ac:dyDescent="0.25">
      <c r="A1518" s="1">
        <v>45067</v>
      </c>
      <c r="B1518" t="s">
        <v>55</v>
      </c>
      <c r="C1518" t="s">
        <v>19</v>
      </c>
      <c r="D1518" t="s">
        <v>12</v>
      </c>
      <c r="E1518" t="s">
        <v>162</v>
      </c>
      <c r="F1518" t="s">
        <v>23</v>
      </c>
      <c r="G1518" t="s">
        <v>24</v>
      </c>
      <c r="H1518">
        <v>3</v>
      </c>
      <c r="I1518">
        <v>1308</v>
      </c>
      <c r="J1518">
        <v>141.04</v>
      </c>
    </row>
    <row r="1519" spans="1:10" x14ac:dyDescent="0.25">
      <c r="A1519" s="1">
        <v>45184</v>
      </c>
      <c r="B1519" t="s">
        <v>10</v>
      </c>
      <c r="C1519" t="s">
        <v>11</v>
      </c>
      <c r="D1519" t="s">
        <v>12</v>
      </c>
      <c r="E1519" t="s">
        <v>26</v>
      </c>
      <c r="F1519" t="s">
        <v>27</v>
      </c>
      <c r="G1519" t="s">
        <v>28</v>
      </c>
      <c r="H1519">
        <v>8</v>
      </c>
      <c r="I1519">
        <v>5912</v>
      </c>
      <c r="J1519">
        <v>1153.18</v>
      </c>
    </row>
    <row r="1520" spans="1:10" x14ac:dyDescent="0.25">
      <c r="A1520" s="1">
        <v>45056</v>
      </c>
      <c r="B1520" t="s">
        <v>25</v>
      </c>
      <c r="C1520" t="s">
        <v>19</v>
      </c>
      <c r="D1520" t="s">
        <v>12</v>
      </c>
      <c r="E1520" t="s">
        <v>75</v>
      </c>
      <c r="F1520" t="s">
        <v>63</v>
      </c>
      <c r="G1520" t="s">
        <v>28</v>
      </c>
      <c r="H1520">
        <v>7</v>
      </c>
      <c r="I1520">
        <v>5831</v>
      </c>
      <c r="J1520">
        <v>1416.31</v>
      </c>
    </row>
    <row r="1521" spans="1:10" x14ac:dyDescent="0.25">
      <c r="A1521" s="1">
        <v>44906</v>
      </c>
      <c r="B1521" t="s">
        <v>25</v>
      </c>
      <c r="C1521" t="s">
        <v>19</v>
      </c>
      <c r="D1521" t="s">
        <v>12</v>
      </c>
      <c r="E1521" t="s">
        <v>392</v>
      </c>
      <c r="F1521" t="s">
        <v>65</v>
      </c>
      <c r="G1521" t="s">
        <v>35</v>
      </c>
      <c r="H1521">
        <v>7</v>
      </c>
      <c r="I1521">
        <v>5572</v>
      </c>
      <c r="J1521">
        <v>690.68</v>
      </c>
    </row>
    <row r="1522" spans="1:10" x14ac:dyDescent="0.25">
      <c r="A1522" s="1">
        <v>45149</v>
      </c>
      <c r="B1522" t="s">
        <v>36</v>
      </c>
      <c r="C1522" t="s">
        <v>17</v>
      </c>
      <c r="D1522" t="s">
        <v>12</v>
      </c>
      <c r="E1522" t="s">
        <v>37</v>
      </c>
      <c r="F1522" t="s">
        <v>34</v>
      </c>
      <c r="G1522" t="s">
        <v>35</v>
      </c>
      <c r="H1522">
        <v>6</v>
      </c>
      <c r="I1522">
        <v>5214</v>
      </c>
      <c r="J1522">
        <v>1093.04</v>
      </c>
    </row>
    <row r="1523" spans="1:10" x14ac:dyDescent="0.25">
      <c r="A1523" s="1">
        <v>44730</v>
      </c>
      <c r="B1523" t="s">
        <v>16</v>
      </c>
      <c r="C1523" t="s">
        <v>17</v>
      </c>
      <c r="D1523" t="s">
        <v>12</v>
      </c>
      <c r="E1523" t="s">
        <v>91</v>
      </c>
      <c r="F1523" t="s">
        <v>149</v>
      </c>
      <c r="G1523" t="s">
        <v>15</v>
      </c>
      <c r="H1523">
        <v>9</v>
      </c>
      <c r="I1523">
        <v>6705</v>
      </c>
      <c r="J1523">
        <v>1283.78</v>
      </c>
    </row>
    <row r="1524" spans="1:10" x14ac:dyDescent="0.25">
      <c r="A1524" s="1">
        <v>44954</v>
      </c>
      <c r="B1524" t="s">
        <v>29</v>
      </c>
      <c r="C1524" t="s">
        <v>17</v>
      </c>
      <c r="D1524" t="s">
        <v>12</v>
      </c>
      <c r="E1524" t="s">
        <v>187</v>
      </c>
      <c r="F1524" t="s">
        <v>23</v>
      </c>
      <c r="G1524" t="s">
        <v>24</v>
      </c>
      <c r="H1524">
        <v>1</v>
      </c>
      <c r="I1524">
        <v>426</v>
      </c>
      <c r="J1524">
        <v>93.83</v>
      </c>
    </row>
    <row r="1525" spans="1:10" x14ac:dyDescent="0.25">
      <c r="A1525" s="1">
        <v>45602</v>
      </c>
      <c r="B1525" t="s">
        <v>40</v>
      </c>
      <c r="C1525" t="s">
        <v>19</v>
      </c>
      <c r="D1525" t="s">
        <v>12</v>
      </c>
      <c r="E1525" t="s">
        <v>393</v>
      </c>
      <c r="F1525" t="s">
        <v>394</v>
      </c>
      <c r="G1525" t="s">
        <v>24</v>
      </c>
      <c r="H1525">
        <v>2</v>
      </c>
      <c r="I1525">
        <v>2204</v>
      </c>
      <c r="J1525">
        <v>523.82000000000005</v>
      </c>
    </row>
    <row r="1526" spans="1:10" x14ac:dyDescent="0.25">
      <c r="A1526" s="1">
        <v>44798</v>
      </c>
      <c r="B1526" t="s">
        <v>40</v>
      </c>
      <c r="C1526" t="s">
        <v>19</v>
      </c>
      <c r="D1526" t="s">
        <v>12</v>
      </c>
      <c r="E1526" t="s">
        <v>112</v>
      </c>
      <c r="F1526" t="s">
        <v>63</v>
      </c>
      <c r="G1526" t="s">
        <v>28</v>
      </c>
      <c r="H1526">
        <v>3</v>
      </c>
      <c r="I1526">
        <v>2652</v>
      </c>
      <c r="J1526">
        <v>161.66999999999999</v>
      </c>
    </row>
    <row r="1527" spans="1:10" x14ac:dyDescent="0.25">
      <c r="A1527" s="1">
        <v>45114</v>
      </c>
      <c r="B1527" t="s">
        <v>10</v>
      </c>
      <c r="C1527" t="s">
        <v>11</v>
      </c>
      <c r="D1527" t="s">
        <v>12</v>
      </c>
      <c r="E1527" t="s">
        <v>328</v>
      </c>
      <c r="F1527" t="s">
        <v>191</v>
      </c>
      <c r="G1527" t="s">
        <v>35</v>
      </c>
      <c r="H1527">
        <v>6</v>
      </c>
      <c r="I1527">
        <v>3132</v>
      </c>
      <c r="J1527">
        <v>919.52</v>
      </c>
    </row>
    <row r="1528" spans="1:10" x14ac:dyDescent="0.25">
      <c r="A1528" s="1">
        <v>45447</v>
      </c>
      <c r="B1528" t="s">
        <v>10</v>
      </c>
      <c r="C1528" t="s">
        <v>11</v>
      </c>
      <c r="D1528" t="s">
        <v>12</v>
      </c>
      <c r="E1528" t="s">
        <v>22</v>
      </c>
      <c r="F1528" t="s">
        <v>23</v>
      </c>
      <c r="G1528" t="s">
        <v>24</v>
      </c>
      <c r="H1528">
        <v>5</v>
      </c>
      <c r="I1528">
        <v>1830</v>
      </c>
      <c r="J1528">
        <v>437.35</v>
      </c>
    </row>
    <row r="1529" spans="1:10" x14ac:dyDescent="0.25">
      <c r="A1529" s="1">
        <v>45318</v>
      </c>
      <c r="B1529" t="s">
        <v>55</v>
      </c>
      <c r="C1529" t="s">
        <v>19</v>
      </c>
      <c r="D1529" t="s">
        <v>12</v>
      </c>
      <c r="E1529" t="s">
        <v>395</v>
      </c>
      <c r="F1529" t="s">
        <v>57</v>
      </c>
      <c r="G1529" t="s">
        <v>24</v>
      </c>
      <c r="H1529">
        <v>9</v>
      </c>
      <c r="I1529">
        <v>2763</v>
      </c>
      <c r="J1529">
        <v>676.25</v>
      </c>
    </row>
    <row r="1530" spans="1:10" x14ac:dyDescent="0.25">
      <c r="A1530" s="1">
        <v>44821</v>
      </c>
      <c r="B1530" t="s">
        <v>36</v>
      </c>
      <c r="C1530" t="s">
        <v>17</v>
      </c>
      <c r="D1530" t="s">
        <v>12</v>
      </c>
      <c r="E1530" t="s">
        <v>396</v>
      </c>
      <c r="F1530" t="s">
        <v>44</v>
      </c>
      <c r="G1530" t="s">
        <v>35</v>
      </c>
      <c r="H1530">
        <v>8</v>
      </c>
      <c r="I1530">
        <v>9056</v>
      </c>
      <c r="J1530">
        <v>2281.9699999999998</v>
      </c>
    </row>
    <row r="1531" spans="1:10" x14ac:dyDescent="0.25">
      <c r="A1531" s="1">
        <v>44630</v>
      </c>
      <c r="B1531" t="s">
        <v>25</v>
      </c>
      <c r="C1531" t="s">
        <v>19</v>
      </c>
      <c r="D1531" t="s">
        <v>12</v>
      </c>
      <c r="E1531" t="s">
        <v>396</v>
      </c>
      <c r="F1531" t="s">
        <v>44</v>
      </c>
      <c r="G1531" t="s">
        <v>35</v>
      </c>
      <c r="H1531">
        <v>7</v>
      </c>
      <c r="I1531">
        <v>5439</v>
      </c>
      <c r="J1531">
        <v>1416.62</v>
      </c>
    </row>
    <row r="1532" spans="1:10" x14ac:dyDescent="0.25">
      <c r="A1532" s="1">
        <v>44774</v>
      </c>
      <c r="B1532" t="s">
        <v>25</v>
      </c>
      <c r="C1532" t="s">
        <v>19</v>
      </c>
      <c r="D1532" t="s">
        <v>12</v>
      </c>
      <c r="E1532" t="s">
        <v>396</v>
      </c>
      <c r="F1532" t="s">
        <v>44</v>
      </c>
      <c r="G1532" t="s">
        <v>35</v>
      </c>
      <c r="H1532">
        <v>6</v>
      </c>
      <c r="I1532">
        <v>828</v>
      </c>
      <c r="J1532">
        <v>47.91</v>
      </c>
    </row>
    <row r="1533" spans="1:10" x14ac:dyDescent="0.25">
      <c r="A1533" s="1">
        <v>45566</v>
      </c>
      <c r="B1533" t="s">
        <v>32</v>
      </c>
      <c r="C1533" t="s">
        <v>19</v>
      </c>
      <c r="D1533" t="s">
        <v>12</v>
      </c>
      <c r="E1533" t="s">
        <v>158</v>
      </c>
      <c r="F1533" t="s">
        <v>21</v>
      </c>
      <c r="G1533" t="s">
        <v>15</v>
      </c>
      <c r="H1533">
        <v>5</v>
      </c>
      <c r="I1533">
        <v>1910</v>
      </c>
      <c r="J1533">
        <v>463.07</v>
      </c>
    </row>
    <row r="1534" spans="1:10" x14ac:dyDescent="0.25">
      <c r="A1534" s="1">
        <v>44976</v>
      </c>
      <c r="B1534" t="s">
        <v>18</v>
      </c>
      <c r="C1534" t="s">
        <v>19</v>
      </c>
      <c r="D1534" t="s">
        <v>12</v>
      </c>
      <c r="E1534" t="s">
        <v>285</v>
      </c>
      <c r="F1534" t="s">
        <v>34</v>
      </c>
      <c r="G1534" t="s">
        <v>35</v>
      </c>
      <c r="H1534">
        <v>2</v>
      </c>
      <c r="I1534">
        <v>1874</v>
      </c>
      <c r="J1534">
        <v>333.86</v>
      </c>
    </row>
    <row r="1535" spans="1:10" x14ac:dyDescent="0.25">
      <c r="A1535" s="1">
        <v>45140</v>
      </c>
      <c r="B1535" t="s">
        <v>16</v>
      </c>
      <c r="C1535" t="s">
        <v>17</v>
      </c>
      <c r="D1535" t="s">
        <v>12</v>
      </c>
      <c r="E1535" t="s">
        <v>187</v>
      </c>
      <c r="F1535" t="s">
        <v>23</v>
      </c>
      <c r="G1535" t="s">
        <v>24</v>
      </c>
      <c r="H1535">
        <v>1</v>
      </c>
      <c r="I1535">
        <v>1032</v>
      </c>
      <c r="J1535">
        <v>291.41000000000003</v>
      </c>
    </row>
    <row r="1536" spans="1:10" x14ac:dyDescent="0.25">
      <c r="A1536" s="1">
        <v>45103</v>
      </c>
      <c r="B1536" t="s">
        <v>49</v>
      </c>
      <c r="C1536" t="s">
        <v>17</v>
      </c>
      <c r="D1536" t="s">
        <v>12</v>
      </c>
      <c r="E1536" t="s">
        <v>52</v>
      </c>
      <c r="F1536" t="s">
        <v>42</v>
      </c>
      <c r="G1536" t="s">
        <v>28</v>
      </c>
      <c r="H1536">
        <v>3</v>
      </c>
      <c r="I1536">
        <v>3264</v>
      </c>
      <c r="J1536">
        <v>556.86</v>
      </c>
    </row>
    <row r="1537" spans="1:10" x14ac:dyDescent="0.25">
      <c r="A1537" s="1">
        <v>44891</v>
      </c>
      <c r="B1537" t="s">
        <v>40</v>
      </c>
      <c r="C1537" t="s">
        <v>19</v>
      </c>
      <c r="D1537" t="s">
        <v>12</v>
      </c>
      <c r="E1537" t="s">
        <v>52</v>
      </c>
      <c r="F1537" t="s">
        <v>42</v>
      </c>
      <c r="G1537" t="s">
        <v>28</v>
      </c>
      <c r="H1537">
        <v>1</v>
      </c>
      <c r="I1537">
        <v>877</v>
      </c>
      <c r="J1537">
        <v>110.99</v>
      </c>
    </row>
    <row r="1538" spans="1:10" x14ac:dyDescent="0.25">
      <c r="A1538" s="1">
        <v>44704</v>
      </c>
      <c r="B1538" t="s">
        <v>25</v>
      </c>
      <c r="C1538" t="s">
        <v>19</v>
      </c>
      <c r="D1538" t="s">
        <v>12</v>
      </c>
      <c r="E1538" t="s">
        <v>52</v>
      </c>
      <c r="F1538" t="s">
        <v>42</v>
      </c>
      <c r="G1538" t="s">
        <v>28</v>
      </c>
      <c r="H1538">
        <v>3</v>
      </c>
      <c r="I1538">
        <v>924</v>
      </c>
      <c r="J1538">
        <v>183.18</v>
      </c>
    </row>
    <row r="1539" spans="1:10" x14ac:dyDescent="0.25">
      <c r="A1539" s="1">
        <v>45042</v>
      </c>
      <c r="B1539" t="s">
        <v>25</v>
      </c>
      <c r="C1539" t="s">
        <v>19</v>
      </c>
      <c r="D1539" t="s">
        <v>12</v>
      </c>
      <c r="E1539" t="s">
        <v>397</v>
      </c>
      <c r="F1539" t="s">
        <v>23</v>
      </c>
      <c r="G1539" t="s">
        <v>24</v>
      </c>
      <c r="H1539">
        <v>3</v>
      </c>
      <c r="I1539">
        <v>417</v>
      </c>
      <c r="J1539">
        <v>114.42</v>
      </c>
    </row>
    <row r="1540" spans="1:10" x14ac:dyDescent="0.25">
      <c r="A1540" s="1">
        <v>45343</v>
      </c>
      <c r="B1540" t="s">
        <v>55</v>
      </c>
      <c r="C1540" t="s">
        <v>19</v>
      </c>
      <c r="D1540" t="s">
        <v>12</v>
      </c>
      <c r="E1540" t="s">
        <v>43</v>
      </c>
      <c r="F1540" t="s">
        <v>44</v>
      </c>
      <c r="G1540" t="s">
        <v>35</v>
      </c>
      <c r="H1540">
        <v>5</v>
      </c>
      <c r="I1540">
        <v>2670</v>
      </c>
      <c r="J1540">
        <v>155.88999999999999</v>
      </c>
    </row>
    <row r="1541" spans="1:10" x14ac:dyDescent="0.25">
      <c r="A1541" s="1">
        <v>45461</v>
      </c>
      <c r="B1541" t="s">
        <v>49</v>
      </c>
      <c r="C1541" t="s">
        <v>17</v>
      </c>
      <c r="D1541" t="s">
        <v>12</v>
      </c>
      <c r="E1541" t="s">
        <v>72</v>
      </c>
      <c r="F1541" t="s">
        <v>21</v>
      </c>
      <c r="G1541" t="s">
        <v>15</v>
      </c>
      <c r="H1541">
        <v>7</v>
      </c>
      <c r="I1541">
        <v>2716</v>
      </c>
      <c r="J1541">
        <v>512.09</v>
      </c>
    </row>
    <row r="1542" spans="1:10" x14ac:dyDescent="0.25">
      <c r="A1542" s="1">
        <v>45064</v>
      </c>
      <c r="B1542" t="s">
        <v>29</v>
      </c>
      <c r="C1542" t="s">
        <v>17</v>
      </c>
      <c r="D1542" t="s">
        <v>12</v>
      </c>
      <c r="E1542" t="s">
        <v>72</v>
      </c>
      <c r="F1542" t="s">
        <v>21</v>
      </c>
      <c r="G1542" t="s">
        <v>15</v>
      </c>
      <c r="H1542">
        <v>9</v>
      </c>
      <c r="I1542">
        <v>10134</v>
      </c>
      <c r="J1542">
        <v>1334.37</v>
      </c>
    </row>
    <row r="1543" spans="1:10" x14ac:dyDescent="0.25">
      <c r="A1543" s="1">
        <v>44580</v>
      </c>
      <c r="B1543" t="s">
        <v>36</v>
      </c>
      <c r="C1543" t="s">
        <v>17</v>
      </c>
      <c r="D1543" t="s">
        <v>12</v>
      </c>
      <c r="E1543" t="s">
        <v>52</v>
      </c>
      <c r="F1543" t="s">
        <v>42</v>
      </c>
      <c r="G1543" t="s">
        <v>28</v>
      </c>
      <c r="H1543">
        <v>5</v>
      </c>
      <c r="I1543">
        <v>5500</v>
      </c>
      <c r="J1543">
        <v>1230.98</v>
      </c>
    </row>
    <row r="1544" spans="1:10" x14ac:dyDescent="0.25">
      <c r="A1544" s="1">
        <v>45633</v>
      </c>
      <c r="B1544" t="s">
        <v>18</v>
      </c>
      <c r="C1544" t="s">
        <v>19</v>
      </c>
      <c r="D1544" t="s">
        <v>12</v>
      </c>
      <c r="E1544" t="s">
        <v>52</v>
      </c>
      <c r="F1544" t="s">
        <v>42</v>
      </c>
      <c r="G1544" t="s">
        <v>28</v>
      </c>
      <c r="H1544">
        <v>6</v>
      </c>
      <c r="I1544">
        <v>6228</v>
      </c>
      <c r="J1544">
        <v>1756.82</v>
      </c>
    </row>
    <row r="1545" spans="1:10" x14ac:dyDescent="0.25">
      <c r="A1545" s="1">
        <v>45459</v>
      </c>
      <c r="B1545" t="s">
        <v>55</v>
      </c>
      <c r="C1545" t="s">
        <v>19</v>
      </c>
      <c r="D1545" t="s">
        <v>12</v>
      </c>
      <c r="E1545" t="s">
        <v>251</v>
      </c>
      <c r="F1545" t="s">
        <v>108</v>
      </c>
      <c r="G1545" t="s">
        <v>15</v>
      </c>
      <c r="H1545">
        <v>7</v>
      </c>
      <c r="I1545">
        <v>1092</v>
      </c>
      <c r="J1545">
        <v>274.77</v>
      </c>
    </row>
    <row r="1546" spans="1:10" x14ac:dyDescent="0.25">
      <c r="A1546" s="1">
        <v>45101</v>
      </c>
      <c r="B1546" t="s">
        <v>36</v>
      </c>
      <c r="C1546" t="s">
        <v>17</v>
      </c>
      <c r="D1546" t="s">
        <v>12</v>
      </c>
      <c r="E1546" t="s">
        <v>251</v>
      </c>
      <c r="F1546" t="s">
        <v>108</v>
      </c>
      <c r="G1546" t="s">
        <v>15</v>
      </c>
      <c r="H1546">
        <v>5</v>
      </c>
      <c r="I1546">
        <v>3255</v>
      </c>
      <c r="J1546">
        <v>332.54</v>
      </c>
    </row>
    <row r="1547" spans="1:10" x14ac:dyDescent="0.25">
      <c r="A1547" s="1">
        <v>44740</v>
      </c>
      <c r="B1547" t="s">
        <v>18</v>
      </c>
      <c r="C1547" t="s">
        <v>19</v>
      </c>
      <c r="D1547" t="s">
        <v>12</v>
      </c>
      <c r="E1547" t="s">
        <v>103</v>
      </c>
      <c r="F1547" t="s">
        <v>21</v>
      </c>
      <c r="G1547" t="s">
        <v>15</v>
      </c>
      <c r="H1547">
        <v>5</v>
      </c>
      <c r="I1547">
        <v>5645</v>
      </c>
      <c r="J1547">
        <v>1320.86</v>
      </c>
    </row>
    <row r="1548" spans="1:10" x14ac:dyDescent="0.25">
      <c r="A1548" s="1">
        <v>45371</v>
      </c>
      <c r="B1548" t="s">
        <v>40</v>
      </c>
      <c r="C1548" t="s">
        <v>19</v>
      </c>
      <c r="D1548" t="s">
        <v>12</v>
      </c>
      <c r="E1548" t="s">
        <v>103</v>
      </c>
      <c r="F1548" t="s">
        <v>21</v>
      </c>
      <c r="G1548" t="s">
        <v>15</v>
      </c>
      <c r="H1548">
        <v>9</v>
      </c>
      <c r="I1548">
        <v>7578</v>
      </c>
      <c r="J1548">
        <v>466.87</v>
      </c>
    </row>
    <row r="1549" spans="1:10" x14ac:dyDescent="0.25">
      <c r="A1549" s="1">
        <v>45037</v>
      </c>
      <c r="B1549" t="s">
        <v>49</v>
      </c>
      <c r="C1549" t="s">
        <v>17</v>
      </c>
      <c r="D1549" t="s">
        <v>12</v>
      </c>
      <c r="E1549" t="s">
        <v>93</v>
      </c>
      <c r="F1549" t="s">
        <v>94</v>
      </c>
      <c r="G1549" t="s">
        <v>24</v>
      </c>
      <c r="H1549">
        <v>9</v>
      </c>
      <c r="I1549">
        <v>6282</v>
      </c>
      <c r="J1549">
        <v>1594.61</v>
      </c>
    </row>
    <row r="1550" spans="1:10" x14ac:dyDescent="0.25">
      <c r="A1550" s="1">
        <v>45655</v>
      </c>
      <c r="B1550" t="s">
        <v>55</v>
      </c>
      <c r="C1550" t="s">
        <v>19</v>
      </c>
      <c r="D1550" t="s">
        <v>12</v>
      </c>
      <c r="E1550" t="s">
        <v>26</v>
      </c>
      <c r="F1550" t="s">
        <v>27</v>
      </c>
      <c r="G1550" t="s">
        <v>28</v>
      </c>
      <c r="H1550">
        <v>6</v>
      </c>
      <c r="I1550">
        <v>2364</v>
      </c>
      <c r="J1550">
        <v>639.29</v>
      </c>
    </row>
    <row r="1551" spans="1:10" x14ac:dyDescent="0.25">
      <c r="A1551" s="1">
        <v>45272</v>
      </c>
      <c r="B1551" t="s">
        <v>49</v>
      </c>
      <c r="C1551" t="s">
        <v>17</v>
      </c>
      <c r="D1551" t="s">
        <v>12</v>
      </c>
      <c r="E1551" t="s">
        <v>22</v>
      </c>
      <c r="F1551" t="s">
        <v>23</v>
      </c>
      <c r="G1551" t="s">
        <v>24</v>
      </c>
      <c r="H1551">
        <v>8</v>
      </c>
      <c r="I1551">
        <v>6880</v>
      </c>
      <c r="J1551">
        <v>1570.91</v>
      </c>
    </row>
    <row r="1552" spans="1:10" x14ac:dyDescent="0.25">
      <c r="A1552" s="1">
        <v>44864</v>
      </c>
      <c r="B1552" t="s">
        <v>40</v>
      </c>
      <c r="C1552" t="s">
        <v>19</v>
      </c>
      <c r="D1552" t="s">
        <v>12</v>
      </c>
      <c r="E1552" t="s">
        <v>26</v>
      </c>
      <c r="F1552" t="s">
        <v>27</v>
      </c>
      <c r="G1552" t="s">
        <v>28</v>
      </c>
      <c r="H1552">
        <v>6</v>
      </c>
      <c r="I1552">
        <v>3288</v>
      </c>
      <c r="J1552">
        <v>249.02</v>
      </c>
    </row>
    <row r="1553" spans="1:10" x14ac:dyDescent="0.25">
      <c r="A1553" s="1">
        <v>45323</v>
      </c>
      <c r="B1553" t="s">
        <v>36</v>
      </c>
      <c r="C1553" t="s">
        <v>17</v>
      </c>
      <c r="D1553" t="s">
        <v>12</v>
      </c>
      <c r="E1553" t="s">
        <v>125</v>
      </c>
      <c r="F1553" t="s">
        <v>126</v>
      </c>
      <c r="G1553" t="s">
        <v>35</v>
      </c>
      <c r="H1553">
        <v>6</v>
      </c>
      <c r="I1553">
        <v>5292</v>
      </c>
      <c r="J1553">
        <v>659.58</v>
      </c>
    </row>
    <row r="1554" spans="1:10" x14ac:dyDescent="0.25">
      <c r="A1554" s="1">
        <v>45236</v>
      </c>
      <c r="B1554" t="s">
        <v>10</v>
      </c>
      <c r="C1554" t="s">
        <v>11</v>
      </c>
      <c r="D1554" t="s">
        <v>12</v>
      </c>
      <c r="E1554" t="s">
        <v>265</v>
      </c>
      <c r="F1554" t="s">
        <v>46</v>
      </c>
      <c r="G1554" t="s">
        <v>15</v>
      </c>
      <c r="H1554">
        <v>3</v>
      </c>
      <c r="I1554">
        <v>3522</v>
      </c>
      <c r="J1554">
        <v>883.41</v>
      </c>
    </row>
    <row r="1555" spans="1:10" x14ac:dyDescent="0.25">
      <c r="A1555" s="1">
        <v>44842</v>
      </c>
      <c r="B1555" t="s">
        <v>32</v>
      </c>
      <c r="C1555" t="s">
        <v>19</v>
      </c>
      <c r="D1555" t="s">
        <v>12</v>
      </c>
      <c r="E1555" t="s">
        <v>265</v>
      </c>
      <c r="F1555" t="s">
        <v>46</v>
      </c>
      <c r="G1555" t="s">
        <v>15</v>
      </c>
      <c r="H1555">
        <v>2</v>
      </c>
      <c r="I1555">
        <v>1518</v>
      </c>
      <c r="J1555">
        <v>87.6</v>
      </c>
    </row>
    <row r="1556" spans="1:10" x14ac:dyDescent="0.25">
      <c r="A1556" s="1">
        <v>45094</v>
      </c>
      <c r="B1556" t="s">
        <v>18</v>
      </c>
      <c r="C1556" t="s">
        <v>19</v>
      </c>
      <c r="D1556" t="s">
        <v>12</v>
      </c>
      <c r="E1556" t="s">
        <v>52</v>
      </c>
      <c r="F1556" t="s">
        <v>42</v>
      </c>
      <c r="G1556" t="s">
        <v>28</v>
      </c>
      <c r="H1556">
        <v>7</v>
      </c>
      <c r="I1556">
        <v>2457</v>
      </c>
      <c r="J1556">
        <v>690.55</v>
      </c>
    </row>
    <row r="1557" spans="1:10" x14ac:dyDescent="0.25">
      <c r="A1557" s="1">
        <v>45300</v>
      </c>
      <c r="B1557" t="s">
        <v>29</v>
      </c>
      <c r="C1557" t="s">
        <v>17</v>
      </c>
      <c r="D1557" t="s">
        <v>12</v>
      </c>
      <c r="E1557" t="s">
        <v>52</v>
      </c>
      <c r="F1557" t="s">
        <v>42</v>
      </c>
      <c r="G1557" t="s">
        <v>28</v>
      </c>
      <c r="H1557">
        <v>1</v>
      </c>
      <c r="I1557">
        <v>309</v>
      </c>
      <c r="J1557">
        <v>62.08</v>
      </c>
    </row>
    <row r="1558" spans="1:10" x14ac:dyDescent="0.25">
      <c r="A1558" s="1">
        <v>44585</v>
      </c>
      <c r="B1558" t="s">
        <v>36</v>
      </c>
      <c r="C1558" t="s">
        <v>17</v>
      </c>
      <c r="D1558" t="s">
        <v>12</v>
      </c>
      <c r="E1558" t="s">
        <v>56</v>
      </c>
      <c r="F1558" t="s">
        <v>57</v>
      </c>
      <c r="G1558" t="s">
        <v>24</v>
      </c>
      <c r="H1558">
        <v>6</v>
      </c>
      <c r="I1558">
        <v>6192</v>
      </c>
      <c r="J1558">
        <v>717.46</v>
      </c>
    </row>
    <row r="1559" spans="1:10" x14ac:dyDescent="0.25">
      <c r="A1559" s="1">
        <v>44716</v>
      </c>
      <c r="B1559" t="s">
        <v>25</v>
      </c>
      <c r="C1559" t="s">
        <v>19</v>
      </c>
      <c r="D1559" t="s">
        <v>12</v>
      </c>
      <c r="E1559" t="s">
        <v>398</v>
      </c>
      <c r="F1559" t="s">
        <v>23</v>
      </c>
      <c r="G1559" t="s">
        <v>24</v>
      </c>
      <c r="H1559">
        <v>5</v>
      </c>
      <c r="I1559">
        <v>4235</v>
      </c>
      <c r="J1559">
        <v>747.96</v>
      </c>
    </row>
    <row r="1560" spans="1:10" x14ac:dyDescent="0.25">
      <c r="A1560" s="1">
        <v>44786</v>
      </c>
      <c r="B1560" t="s">
        <v>32</v>
      </c>
      <c r="C1560" t="s">
        <v>19</v>
      </c>
      <c r="D1560" t="s">
        <v>12</v>
      </c>
      <c r="E1560" t="s">
        <v>398</v>
      </c>
      <c r="F1560" t="s">
        <v>23</v>
      </c>
      <c r="G1560" t="s">
        <v>24</v>
      </c>
      <c r="H1560">
        <v>9</v>
      </c>
      <c r="I1560">
        <v>7128</v>
      </c>
      <c r="J1560">
        <v>457.11</v>
      </c>
    </row>
    <row r="1561" spans="1:10" x14ac:dyDescent="0.25">
      <c r="A1561" s="1">
        <v>45496</v>
      </c>
      <c r="B1561" t="s">
        <v>18</v>
      </c>
      <c r="C1561" t="s">
        <v>19</v>
      </c>
      <c r="D1561" t="s">
        <v>12</v>
      </c>
      <c r="E1561" t="s">
        <v>398</v>
      </c>
      <c r="F1561" t="s">
        <v>23</v>
      </c>
      <c r="G1561" t="s">
        <v>24</v>
      </c>
      <c r="H1561">
        <v>5</v>
      </c>
      <c r="I1561">
        <v>5660</v>
      </c>
      <c r="J1561">
        <v>641.69000000000005</v>
      </c>
    </row>
    <row r="1562" spans="1:10" x14ac:dyDescent="0.25">
      <c r="A1562" s="1">
        <v>45435</v>
      </c>
      <c r="B1562" t="s">
        <v>40</v>
      </c>
      <c r="C1562" t="s">
        <v>19</v>
      </c>
      <c r="D1562" t="s">
        <v>12</v>
      </c>
      <c r="E1562" t="s">
        <v>398</v>
      </c>
      <c r="F1562" t="s">
        <v>23</v>
      </c>
      <c r="G1562" t="s">
        <v>24</v>
      </c>
      <c r="H1562">
        <v>1</v>
      </c>
      <c r="I1562">
        <v>787</v>
      </c>
      <c r="J1562">
        <v>120.38</v>
      </c>
    </row>
    <row r="1563" spans="1:10" x14ac:dyDescent="0.25">
      <c r="A1563" s="1">
        <v>44878</v>
      </c>
      <c r="B1563" t="s">
        <v>16</v>
      </c>
      <c r="C1563" t="s">
        <v>17</v>
      </c>
      <c r="D1563" t="s">
        <v>12</v>
      </c>
      <c r="E1563" t="s">
        <v>22</v>
      </c>
      <c r="F1563" t="s">
        <v>23</v>
      </c>
      <c r="G1563" t="s">
        <v>24</v>
      </c>
      <c r="H1563">
        <v>3</v>
      </c>
      <c r="I1563">
        <v>375</v>
      </c>
      <c r="J1563">
        <v>107.26</v>
      </c>
    </row>
    <row r="1564" spans="1:10" x14ac:dyDescent="0.25">
      <c r="A1564" s="1">
        <v>45157</v>
      </c>
      <c r="B1564" t="s">
        <v>25</v>
      </c>
      <c r="C1564" t="s">
        <v>19</v>
      </c>
      <c r="D1564" t="s">
        <v>12</v>
      </c>
      <c r="E1564" t="s">
        <v>289</v>
      </c>
      <c r="F1564" t="s">
        <v>63</v>
      </c>
      <c r="G1564" t="s">
        <v>28</v>
      </c>
      <c r="H1564">
        <v>4</v>
      </c>
      <c r="I1564">
        <v>296</v>
      </c>
      <c r="J1564">
        <v>44.79</v>
      </c>
    </row>
    <row r="1565" spans="1:10" x14ac:dyDescent="0.25">
      <c r="A1565" s="1">
        <v>44562</v>
      </c>
      <c r="B1565" t="s">
        <v>49</v>
      </c>
      <c r="C1565" t="s">
        <v>17</v>
      </c>
      <c r="D1565" t="s">
        <v>12</v>
      </c>
      <c r="E1565" t="s">
        <v>399</v>
      </c>
      <c r="F1565" t="s">
        <v>189</v>
      </c>
      <c r="G1565" t="s">
        <v>24</v>
      </c>
      <c r="H1565">
        <v>6</v>
      </c>
      <c r="I1565">
        <v>6372</v>
      </c>
      <c r="J1565">
        <v>570.75</v>
      </c>
    </row>
    <row r="1566" spans="1:10" x14ac:dyDescent="0.25">
      <c r="A1566" s="1">
        <v>45459</v>
      </c>
      <c r="B1566" t="s">
        <v>16</v>
      </c>
      <c r="C1566" t="s">
        <v>17</v>
      </c>
      <c r="D1566" t="s">
        <v>12</v>
      </c>
      <c r="E1566" t="s">
        <v>26</v>
      </c>
      <c r="F1566" t="s">
        <v>27</v>
      </c>
      <c r="G1566" t="s">
        <v>28</v>
      </c>
      <c r="H1566">
        <v>6</v>
      </c>
      <c r="I1566">
        <v>2214</v>
      </c>
      <c r="J1566">
        <v>322.73</v>
      </c>
    </row>
    <row r="1567" spans="1:10" x14ac:dyDescent="0.25">
      <c r="A1567" s="1">
        <v>45551</v>
      </c>
      <c r="B1567" t="s">
        <v>29</v>
      </c>
      <c r="C1567" t="s">
        <v>17</v>
      </c>
      <c r="D1567" t="s">
        <v>12</v>
      </c>
      <c r="E1567" t="s">
        <v>26</v>
      </c>
      <c r="F1567" t="s">
        <v>27</v>
      </c>
      <c r="G1567" t="s">
        <v>28</v>
      </c>
      <c r="H1567">
        <v>6</v>
      </c>
      <c r="I1567">
        <v>2640</v>
      </c>
      <c r="J1567">
        <v>734.44</v>
      </c>
    </row>
    <row r="1568" spans="1:10" x14ac:dyDescent="0.25">
      <c r="A1568" s="1">
        <v>45238</v>
      </c>
      <c r="B1568" t="s">
        <v>25</v>
      </c>
      <c r="C1568" t="s">
        <v>19</v>
      </c>
      <c r="D1568" t="s">
        <v>12</v>
      </c>
      <c r="E1568" t="s">
        <v>37</v>
      </c>
      <c r="F1568" t="s">
        <v>34</v>
      </c>
      <c r="G1568" t="s">
        <v>35</v>
      </c>
      <c r="H1568">
        <v>7</v>
      </c>
      <c r="I1568">
        <v>2240</v>
      </c>
      <c r="J1568">
        <v>580.47</v>
      </c>
    </row>
    <row r="1569" spans="1:10" x14ac:dyDescent="0.25">
      <c r="A1569" s="1">
        <v>45052</v>
      </c>
      <c r="B1569" t="s">
        <v>32</v>
      </c>
      <c r="C1569" t="s">
        <v>19</v>
      </c>
      <c r="D1569" t="s">
        <v>12</v>
      </c>
      <c r="E1569" t="s">
        <v>37</v>
      </c>
      <c r="F1569" t="s">
        <v>34</v>
      </c>
      <c r="G1569" t="s">
        <v>35</v>
      </c>
      <c r="H1569">
        <v>7</v>
      </c>
      <c r="I1569">
        <v>6258</v>
      </c>
      <c r="J1569">
        <v>1347.74</v>
      </c>
    </row>
    <row r="1570" spans="1:10" x14ac:dyDescent="0.25">
      <c r="A1570" s="1">
        <v>45293</v>
      </c>
      <c r="B1570" t="s">
        <v>10</v>
      </c>
      <c r="C1570" t="s">
        <v>11</v>
      </c>
      <c r="D1570" t="s">
        <v>12</v>
      </c>
      <c r="E1570" t="s">
        <v>400</v>
      </c>
      <c r="F1570" t="s">
        <v>57</v>
      </c>
      <c r="G1570" t="s">
        <v>24</v>
      </c>
      <c r="H1570">
        <v>8</v>
      </c>
      <c r="I1570">
        <v>3816</v>
      </c>
      <c r="J1570">
        <v>574.57000000000005</v>
      </c>
    </row>
    <row r="1571" spans="1:10" x14ac:dyDescent="0.25">
      <c r="A1571" s="1">
        <v>44696</v>
      </c>
      <c r="B1571" t="s">
        <v>32</v>
      </c>
      <c r="C1571" t="s">
        <v>19</v>
      </c>
      <c r="D1571" t="s">
        <v>12</v>
      </c>
      <c r="E1571" t="s">
        <v>22</v>
      </c>
      <c r="F1571" t="s">
        <v>23</v>
      </c>
      <c r="G1571" t="s">
        <v>24</v>
      </c>
      <c r="H1571">
        <v>2</v>
      </c>
      <c r="I1571">
        <v>390</v>
      </c>
      <c r="J1571">
        <v>115.48</v>
      </c>
    </row>
    <row r="1572" spans="1:10" x14ac:dyDescent="0.25">
      <c r="A1572" s="1">
        <v>45474</v>
      </c>
      <c r="B1572" t="s">
        <v>18</v>
      </c>
      <c r="C1572" t="s">
        <v>19</v>
      </c>
      <c r="D1572" t="s">
        <v>12</v>
      </c>
      <c r="E1572" t="s">
        <v>43</v>
      </c>
      <c r="F1572" t="s">
        <v>44</v>
      </c>
      <c r="G1572" t="s">
        <v>35</v>
      </c>
      <c r="H1572">
        <v>7</v>
      </c>
      <c r="I1572">
        <v>630</v>
      </c>
      <c r="J1572">
        <v>83.28</v>
      </c>
    </row>
    <row r="1573" spans="1:10" x14ac:dyDescent="0.25">
      <c r="A1573" s="1">
        <v>44805</v>
      </c>
      <c r="B1573" t="s">
        <v>40</v>
      </c>
      <c r="C1573" t="s">
        <v>19</v>
      </c>
      <c r="D1573" t="s">
        <v>12</v>
      </c>
      <c r="E1573" t="s">
        <v>341</v>
      </c>
      <c r="F1573" t="s">
        <v>46</v>
      </c>
      <c r="G1573" t="s">
        <v>15</v>
      </c>
      <c r="H1573">
        <v>4</v>
      </c>
      <c r="I1573">
        <v>3868</v>
      </c>
      <c r="J1573">
        <v>819.26</v>
      </c>
    </row>
    <row r="1574" spans="1:10" x14ac:dyDescent="0.25">
      <c r="A1574" s="1">
        <v>45104</v>
      </c>
      <c r="B1574" t="s">
        <v>36</v>
      </c>
      <c r="C1574" t="s">
        <v>17</v>
      </c>
      <c r="D1574" t="s">
        <v>12</v>
      </c>
      <c r="E1574" t="s">
        <v>37</v>
      </c>
      <c r="F1574" t="s">
        <v>34</v>
      </c>
      <c r="G1574" t="s">
        <v>35</v>
      </c>
      <c r="H1574">
        <v>1</v>
      </c>
      <c r="I1574">
        <v>777</v>
      </c>
      <c r="J1574">
        <v>211.31</v>
      </c>
    </row>
    <row r="1575" spans="1:10" x14ac:dyDescent="0.25">
      <c r="A1575" s="1">
        <v>45440</v>
      </c>
      <c r="B1575" t="s">
        <v>36</v>
      </c>
      <c r="C1575" t="s">
        <v>17</v>
      </c>
      <c r="D1575" t="s">
        <v>12</v>
      </c>
      <c r="E1575" t="s">
        <v>114</v>
      </c>
      <c r="F1575" t="s">
        <v>115</v>
      </c>
      <c r="G1575" t="s">
        <v>15</v>
      </c>
      <c r="H1575">
        <v>3</v>
      </c>
      <c r="I1575">
        <v>1347</v>
      </c>
      <c r="J1575">
        <v>196.59</v>
      </c>
    </row>
    <row r="1576" spans="1:10" x14ac:dyDescent="0.25">
      <c r="A1576" s="1">
        <v>45063</v>
      </c>
      <c r="B1576" t="s">
        <v>55</v>
      </c>
      <c r="C1576" t="s">
        <v>19</v>
      </c>
      <c r="D1576" t="s">
        <v>12</v>
      </c>
      <c r="E1576" t="s">
        <v>114</v>
      </c>
      <c r="F1576" t="s">
        <v>115</v>
      </c>
      <c r="G1576" t="s">
        <v>15</v>
      </c>
      <c r="H1576">
        <v>9</v>
      </c>
      <c r="I1576">
        <v>7272</v>
      </c>
      <c r="J1576">
        <v>500.32</v>
      </c>
    </row>
    <row r="1577" spans="1:10" x14ac:dyDescent="0.25">
      <c r="A1577" s="1">
        <v>45563</v>
      </c>
      <c r="B1577" t="s">
        <v>10</v>
      </c>
      <c r="C1577" t="s">
        <v>11</v>
      </c>
      <c r="D1577" t="s">
        <v>12</v>
      </c>
      <c r="E1577" t="s">
        <v>22</v>
      </c>
      <c r="F1577" t="s">
        <v>23</v>
      </c>
      <c r="G1577" t="s">
        <v>24</v>
      </c>
      <c r="H1577">
        <v>6</v>
      </c>
      <c r="I1577">
        <v>5724</v>
      </c>
      <c r="J1577">
        <v>857.33</v>
      </c>
    </row>
    <row r="1578" spans="1:10" x14ac:dyDescent="0.25">
      <c r="A1578" s="1">
        <v>44688</v>
      </c>
      <c r="B1578" t="s">
        <v>29</v>
      </c>
      <c r="C1578" t="s">
        <v>17</v>
      </c>
      <c r="D1578" t="s">
        <v>12</v>
      </c>
      <c r="E1578" t="s">
        <v>52</v>
      </c>
      <c r="F1578" t="s">
        <v>42</v>
      </c>
      <c r="G1578" t="s">
        <v>28</v>
      </c>
      <c r="H1578">
        <v>3</v>
      </c>
      <c r="I1578">
        <v>312</v>
      </c>
      <c r="J1578">
        <v>74.8</v>
      </c>
    </row>
    <row r="1579" spans="1:10" x14ac:dyDescent="0.25">
      <c r="A1579" s="1">
        <v>45064</v>
      </c>
      <c r="B1579" t="s">
        <v>55</v>
      </c>
      <c r="C1579" t="s">
        <v>19</v>
      </c>
      <c r="D1579" t="s">
        <v>12</v>
      </c>
      <c r="E1579" t="s">
        <v>13</v>
      </c>
      <c r="F1579" t="s">
        <v>14</v>
      </c>
      <c r="G1579" t="s">
        <v>15</v>
      </c>
      <c r="H1579">
        <v>3</v>
      </c>
      <c r="I1579">
        <v>1947</v>
      </c>
      <c r="J1579">
        <v>239.63</v>
      </c>
    </row>
    <row r="1580" spans="1:10" x14ac:dyDescent="0.25">
      <c r="A1580" s="1">
        <v>45208</v>
      </c>
      <c r="B1580" t="s">
        <v>18</v>
      </c>
      <c r="C1580" t="s">
        <v>19</v>
      </c>
      <c r="D1580" t="s">
        <v>12</v>
      </c>
      <c r="E1580" t="s">
        <v>26</v>
      </c>
      <c r="F1580" t="s">
        <v>27</v>
      </c>
      <c r="G1580" t="s">
        <v>28</v>
      </c>
      <c r="H1580">
        <v>6</v>
      </c>
      <c r="I1580">
        <v>1128</v>
      </c>
      <c r="J1580">
        <v>207.97</v>
      </c>
    </row>
    <row r="1581" spans="1:10" x14ac:dyDescent="0.25">
      <c r="A1581" s="1">
        <v>44990</v>
      </c>
      <c r="B1581" t="s">
        <v>55</v>
      </c>
      <c r="C1581" t="s">
        <v>19</v>
      </c>
      <c r="D1581" t="s">
        <v>12</v>
      </c>
      <c r="E1581" t="s">
        <v>117</v>
      </c>
      <c r="F1581" t="s">
        <v>133</v>
      </c>
      <c r="G1581" t="s">
        <v>28</v>
      </c>
      <c r="H1581">
        <v>9</v>
      </c>
      <c r="I1581">
        <v>4158</v>
      </c>
      <c r="J1581">
        <v>672.32</v>
      </c>
    </row>
    <row r="1582" spans="1:10" x14ac:dyDescent="0.25">
      <c r="A1582" s="1">
        <v>45477</v>
      </c>
      <c r="B1582" t="s">
        <v>49</v>
      </c>
      <c r="C1582" t="s">
        <v>17</v>
      </c>
      <c r="D1582" t="s">
        <v>12</v>
      </c>
      <c r="E1582" t="s">
        <v>22</v>
      </c>
      <c r="F1582" t="s">
        <v>23</v>
      </c>
      <c r="G1582" t="s">
        <v>24</v>
      </c>
      <c r="H1582">
        <v>6</v>
      </c>
      <c r="I1582">
        <v>2670</v>
      </c>
      <c r="J1582">
        <v>782.28</v>
      </c>
    </row>
    <row r="1583" spans="1:10" x14ac:dyDescent="0.25">
      <c r="A1583" s="1">
        <v>45443</v>
      </c>
      <c r="B1583" t="s">
        <v>29</v>
      </c>
      <c r="C1583" t="s">
        <v>17</v>
      </c>
      <c r="D1583" t="s">
        <v>12</v>
      </c>
      <c r="E1583" t="s">
        <v>37</v>
      </c>
      <c r="F1583" t="s">
        <v>34</v>
      </c>
      <c r="G1583" t="s">
        <v>35</v>
      </c>
      <c r="H1583">
        <v>1</v>
      </c>
      <c r="I1583">
        <v>85</v>
      </c>
      <c r="J1583">
        <v>17.71</v>
      </c>
    </row>
    <row r="1584" spans="1:10" x14ac:dyDescent="0.25">
      <c r="A1584" s="1">
        <v>45270</v>
      </c>
      <c r="B1584" t="s">
        <v>16</v>
      </c>
      <c r="C1584" t="s">
        <v>17</v>
      </c>
      <c r="D1584" t="s">
        <v>12</v>
      </c>
      <c r="E1584" t="s">
        <v>401</v>
      </c>
      <c r="F1584" t="s">
        <v>23</v>
      </c>
      <c r="G1584" t="s">
        <v>24</v>
      </c>
      <c r="H1584">
        <v>8</v>
      </c>
      <c r="I1584">
        <v>4136</v>
      </c>
      <c r="J1584">
        <v>1056.54</v>
      </c>
    </row>
    <row r="1585" spans="1:10" x14ac:dyDescent="0.25">
      <c r="A1585" s="1">
        <v>44688</v>
      </c>
      <c r="B1585" t="s">
        <v>18</v>
      </c>
      <c r="C1585" t="s">
        <v>19</v>
      </c>
      <c r="D1585" t="s">
        <v>12</v>
      </c>
      <c r="E1585" t="s">
        <v>401</v>
      </c>
      <c r="F1585" t="s">
        <v>23</v>
      </c>
      <c r="G1585" t="s">
        <v>24</v>
      </c>
      <c r="H1585">
        <v>6</v>
      </c>
      <c r="I1585">
        <v>4332</v>
      </c>
      <c r="J1585">
        <v>348.61</v>
      </c>
    </row>
    <row r="1586" spans="1:10" x14ac:dyDescent="0.25">
      <c r="A1586" s="1">
        <v>45474</v>
      </c>
      <c r="B1586" t="s">
        <v>36</v>
      </c>
      <c r="C1586" t="s">
        <v>17</v>
      </c>
      <c r="D1586" t="s">
        <v>12</v>
      </c>
      <c r="E1586" t="s">
        <v>75</v>
      </c>
      <c r="F1586" t="s">
        <v>63</v>
      </c>
      <c r="G1586" t="s">
        <v>28</v>
      </c>
      <c r="H1586">
        <v>8</v>
      </c>
      <c r="I1586">
        <v>1600</v>
      </c>
      <c r="J1586">
        <v>305.3</v>
      </c>
    </row>
    <row r="1587" spans="1:10" x14ac:dyDescent="0.25">
      <c r="A1587" s="1">
        <v>45227</v>
      </c>
      <c r="B1587" t="s">
        <v>18</v>
      </c>
      <c r="C1587" t="s">
        <v>19</v>
      </c>
      <c r="D1587" t="s">
        <v>12</v>
      </c>
      <c r="E1587" t="s">
        <v>123</v>
      </c>
      <c r="F1587" t="s">
        <v>63</v>
      </c>
      <c r="G1587" t="s">
        <v>28</v>
      </c>
      <c r="H1587">
        <v>7</v>
      </c>
      <c r="I1587">
        <v>5075</v>
      </c>
      <c r="J1587">
        <v>471.21</v>
      </c>
    </row>
    <row r="1588" spans="1:10" x14ac:dyDescent="0.25">
      <c r="A1588" s="1">
        <v>44769</v>
      </c>
      <c r="B1588" t="s">
        <v>18</v>
      </c>
      <c r="C1588" t="s">
        <v>19</v>
      </c>
      <c r="D1588" t="s">
        <v>12</v>
      </c>
      <c r="E1588" t="s">
        <v>264</v>
      </c>
      <c r="F1588" t="s">
        <v>189</v>
      </c>
      <c r="G1588" t="s">
        <v>24</v>
      </c>
      <c r="H1588">
        <v>6</v>
      </c>
      <c r="I1588">
        <v>4152</v>
      </c>
      <c r="J1588">
        <v>1065.46</v>
      </c>
    </row>
    <row r="1589" spans="1:10" x14ac:dyDescent="0.25">
      <c r="A1589" s="1">
        <v>44694</v>
      </c>
      <c r="B1589" t="s">
        <v>10</v>
      </c>
      <c r="C1589" t="s">
        <v>11</v>
      </c>
      <c r="D1589" t="s">
        <v>12</v>
      </c>
      <c r="E1589" t="s">
        <v>74</v>
      </c>
      <c r="F1589" t="s">
        <v>23</v>
      </c>
      <c r="G1589" t="s">
        <v>24</v>
      </c>
      <c r="H1589">
        <v>7</v>
      </c>
      <c r="I1589">
        <v>5635</v>
      </c>
      <c r="J1589">
        <v>1665.01</v>
      </c>
    </row>
    <row r="1590" spans="1:10" x14ac:dyDescent="0.25">
      <c r="A1590" s="1">
        <v>44820</v>
      </c>
      <c r="B1590" t="s">
        <v>32</v>
      </c>
      <c r="C1590" t="s">
        <v>19</v>
      </c>
      <c r="D1590" t="s">
        <v>12</v>
      </c>
      <c r="E1590" t="s">
        <v>402</v>
      </c>
      <c r="F1590" t="s">
        <v>54</v>
      </c>
      <c r="G1590" t="s">
        <v>24</v>
      </c>
      <c r="H1590">
        <v>3</v>
      </c>
      <c r="I1590">
        <v>3108</v>
      </c>
      <c r="J1590">
        <v>220.97</v>
      </c>
    </row>
    <row r="1591" spans="1:10" x14ac:dyDescent="0.25">
      <c r="A1591" s="1">
        <v>44858</v>
      </c>
      <c r="B1591" t="s">
        <v>32</v>
      </c>
      <c r="C1591" t="s">
        <v>19</v>
      </c>
      <c r="D1591" t="s">
        <v>12</v>
      </c>
      <c r="E1591" t="s">
        <v>402</v>
      </c>
      <c r="F1591" t="s">
        <v>54</v>
      </c>
      <c r="G1591" t="s">
        <v>24</v>
      </c>
      <c r="H1591">
        <v>7</v>
      </c>
      <c r="I1591">
        <v>4270</v>
      </c>
      <c r="J1591">
        <v>1197.44</v>
      </c>
    </row>
    <row r="1592" spans="1:10" x14ac:dyDescent="0.25">
      <c r="A1592" s="1">
        <v>44972</v>
      </c>
      <c r="B1592" t="s">
        <v>36</v>
      </c>
      <c r="C1592" t="s">
        <v>17</v>
      </c>
      <c r="D1592" t="s">
        <v>12</v>
      </c>
      <c r="E1592" t="s">
        <v>403</v>
      </c>
      <c r="F1592" t="s">
        <v>149</v>
      </c>
      <c r="G1592" t="s">
        <v>15</v>
      </c>
      <c r="H1592">
        <v>5</v>
      </c>
      <c r="I1592">
        <v>1350</v>
      </c>
      <c r="J1592">
        <v>321.89999999999998</v>
      </c>
    </row>
    <row r="1593" spans="1:10" x14ac:dyDescent="0.25">
      <c r="A1593" s="1">
        <v>45358</v>
      </c>
      <c r="B1593" t="s">
        <v>49</v>
      </c>
      <c r="C1593" t="s">
        <v>17</v>
      </c>
      <c r="D1593" t="s">
        <v>12</v>
      </c>
      <c r="E1593" t="s">
        <v>403</v>
      </c>
      <c r="F1593" t="s">
        <v>149</v>
      </c>
      <c r="G1593" t="s">
        <v>15</v>
      </c>
      <c r="H1593">
        <v>3</v>
      </c>
      <c r="I1593">
        <v>330</v>
      </c>
      <c r="J1593">
        <v>81.86</v>
      </c>
    </row>
    <row r="1594" spans="1:10" x14ac:dyDescent="0.25">
      <c r="A1594" s="1">
        <v>44755</v>
      </c>
      <c r="B1594" t="s">
        <v>25</v>
      </c>
      <c r="C1594" t="s">
        <v>19</v>
      </c>
      <c r="D1594" t="s">
        <v>12</v>
      </c>
      <c r="E1594" t="s">
        <v>37</v>
      </c>
      <c r="F1594" t="s">
        <v>34</v>
      </c>
      <c r="G1594" t="s">
        <v>35</v>
      </c>
      <c r="H1594">
        <v>6</v>
      </c>
      <c r="I1594">
        <v>4260</v>
      </c>
      <c r="J1594">
        <v>504.82</v>
      </c>
    </row>
    <row r="1595" spans="1:10" x14ac:dyDescent="0.25">
      <c r="A1595" s="1">
        <v>44773</v>
      </c>
      <c r="B1595" t="s">
        <v>29</v>
      </c>
      <c r="C1595" t="s">
        <v>17</v>
      </c>
      <c r="D1595" t="s">
        <v>12</v>
      </c>
      <c r="E1595" t="s">
        <v>67</v>
      </c>
      <c r="F1595" t="s">
        <v>54</v>
      </c>
      <c r="G1595" t="s">
        <v>24</v>
      </c>
      <c r="H1595">
        <v>3</v>
      </c>
      <c r="I1595">
        <v>2712</v>
      </c>
      <c r="J1595">
        <v>751.52</v>
      </c>
    </row>
    <row r="1596" spans="1:10" x14ac:dyDescent="0.25">
      <c r="A1596" s="1">
        <v>45377</v>
      </c>
      <c r="B1596" t="s">
        <v>40</v>
      </c>
      <c r="C1596" t="s">
        <v>19</v>
      </c>
      <c r="D1596" t="s">
        <v>12</v>
      </c>
      <c r="E1596" t="s">
        <v>67</v>
      </c>
      <c r="F1596" t="s">
        <v>54</v>
      </c>
      <c r="G1596" t="s">
        <v>24</v>
      </c>
      <c r="H1596">
        <v>1</v>
      </c>
      <c r="I1596">
        <v>328</v>
      </c>
      <c r="J1596">
        <v>46.23</v>
      </c>
    </row>
    <row r="1597" spans="1:10" x14ac:dyDescent="0.25">
      <c r="A1597" s="1">
        <v>45151</v>
      </c>
      <c r="B1597" t="s">
        <v>40</v>
      </c>
      <c r="C1597" t="s">
        <v>19</v>
      </c>
      <c r="D1597" t="s">
        <v>12</v>
      </c>
      <c r="E1597" t="s">
        <v>67</v>
      </c>
      <c r="F1597" t="s">
        <v>54</v>
      </c>
      <c r="G1597" t="s">
        <v>24</v>
      </c>
      <c r="H1597">
        <v>8</v>
      </c>
      <c r="I1597">
        <v>7776</v>
      </c>
      <c r="J1597">
        <v>498.6</v>
      </c>
    </row>
    <row r="1598" spans="1:10" x14ac:dyDescent="0.25">
      <c r="A1598" s="1">
        <v>44689</v>
      </c>
      <c r="B1598" t="s">
        <v>55</v>
      </c>
      <c r="C1598" t="s">
        <v>19</v>
      </c>
      <c r="D1598" t="s">
        <v>12</v>
      </c>
      <c r="E1598" t="s">
        <v>37</v>
      </c>
      <c r="F1598" t="s">
        <v>34</v>
      </c>
      <c r="G1598" t="s">
        <v>35</v>
      </c>
      <c r="H1598">
        <v>4</v>
      </c>
      <c r="I1598">
        <v>2896</v>
      </c>
      <c r="J1598">
        <v>522.82000000000005</v>
      </c>
    </row>
    <row r="1599" spans="1:10" x14ac:dyDescent="0.25">
      <c r="A1599" s="1">
        <v>45053</v>
      </c>
      <c r="B1599" t="s">
        <v>18</v>
      </c>
      <c r="C1599" t="s">
        <v>19</v>
      </c>
      <c r="D1599" t="s">
        <v>12</v>
      </c>
      <c r="E1599" t="s">
        <v>26</v>
      </c>
      <c r="F1599" t="s">
        <v>27</v>
      </c>
      <c r="G1599" t="s">
        <v>28</v>
      </c>
      <c r="H1599">
        <v>2</v>
      </c>
      <c r="I1599">
        <v>1902</v>
      </c>
      <c r="J1599">
        <v>388.83</v>
      </c>
    </row>
    <row r="1600" spans="1:10" x14ac:dyDescent="0.25">
      <c r="A1600" s="1">
        <v>44590</v>
      </c>
      <c r="B1600" t="s">
        <v>32</v>
      </c>
      <c r="C1600" t="s">
        <v>19</v>
      </c>
      <c r="D1600" t="s">
        <v>12</v>
      </c>
      <c r="E1600" t="s">
        <v>116</v>
      </c>
      <c r="F1600" t="s">
        <v>42</v>
      </c>
      <c r="G1600" t="s">
        <v>28</v>
      </c>
      <c r="H1600">
        <v>7</v>
      </c>
      <c r="I1600">
        <v>3255</v>
      </c>
      <c r="J1600">
        <v>814.85</v>
      </c>
    </row>
    <row r="1601" spans="1:10" x14ac:dyDescent="0.25">
      <c r="A1601" s="1">
        <v>44622</v>
      </c>
      <c r="B1601" t="s">
        <v>49</v>
      </c>
      <c r="C1601" t="s">
        <v>17</v>
      </c>
      <c r="D1601" t="s">
        <v>12</v>
      </c>
      <c r="E1601" t="s">
        <v>123</v>
      </c>
      <c r="F1601" t="s">
        <v>27</v>
      </c>
      <c r="G1601" t="s">
        <v>28</v>
      </c>
      <c r="H1601">
        <v>3</v>
      </c>
      <c r="I1601">
        <v>633</v>
      </c>
      <c r="J1601">
        <v>162.4</v>
      </c>
    </row>
    <row r="1602" spans="1:10" x14ac:dyDescent="0.25">
      <c r="A1602" s="1">
        <v>45027</v>
      </c>
      <c r="B1602" t="s">
        <v>18</v>
      </c>
      <c r="C1602" t="s">
        <v>19</v>
      </c>
      <c r="D1602" t="s">
        <v>12</v>
      </c>
      <c r="E1602" t="s">
        <v>43</v>
      </c>
      <c r="F1602" t="s">
        <v>44</v>
      </c>
      <c r="G1602" t="s">
        <v>35</v>
      </c>
      <c r="H1602">
        <v>7</v>
      </c>
      <c r="I1602">
        <v>6209</v>
      </c>
      <c r="J1602">
        <v>402.78</v>
      </c>
    </row>
    <row r="1603" spans="1:10" x14ac:dyDescent="0.25">
      <c r="A1603" s="1">
        <v>45055</v>
      </c>
      <c r="B1603" t="s">
        <v>32</v>
      </c>
      <c r="C1603" t="s">
        <v>19</v>
      </c>
      <c r="D1603" t="s">
        <v>12</v>
      </c>
      <c r="E1603" t="s">
        <v>56</v>
      </c>
      <c r="F1603" t="s">
        <v>57</v>
      </c>
      <c r="G1603" t="s">
        <v>24</v>
      </c>
      <c r="H1603">
        <v>9</v>
      </c>
      <c r="I1603">
        <v>4698</v>
      </c>
      <c r="J1603">
        <v>1167.9000000000001</v>
      </c>
    </row>
    <row r="1604" spans="1:10" x14ac:dyDescent="0.25">
      <c r="A1604" s="1">
        <v>45484</v>
      </c>
      <c r="B1604" t="s">
        <v>40</v>
      </c>
      <c r="C1604" t="s">
        <v>19</v>
      </c>
      <c r="D1604" t="s">
        <v>12</v>
      </c>
      <c r="E1604" t="s">
        <v>56</v>
      </c>
      <c r="F1604" t="s">
        <v>57</v>
      </c>
      <c r="G1604" t="s">
        <v>24</v>
      </c>
      <c r="H1604">
        <v>8</v>
      </c>
      <c r="I1604">
        <v>7424</v>
      </c>
      <c r="J1604">
        <v>1878.07</v>
      </c>
    </row>
    <row r="1605" spans="1:10" x14ac:dyDescent="0.25">
      <c r="A1605" s="1">
        <v>44587</v>
      </c>
      <c r="B1605" t="s">
        <v>10</v>
      </c>
      <c r="C1605" t="s">
        <v>11</v>
      </c>
      <c r="D1605" t="s">
        <v>12</v>
      </c>
      <c r="E1605" t="s">
        <v>404</v>
      </c>
      <c r="F1605" t="s">
        <v>115</v>
      </c>
      <c r="G1605" t="s">
        <v>15</v>
      </c>
      <c r="H1605">
        <v>1</v>
      </c>
      <c r="I1605">
        <v>498</v>
      </c>
      <c r="J1605">
        <v>58.3</v>
      </c>
    </row>
    <row r="1606" spans="1:10" x14ac:dyDescent="0.25">
      <c r="A1606" s="1">
        <v>45168</v>
      </c>
      <c r="B1606" t="s">
        <v>29</v>
      </c>
      <c r="C1606" t="s">
        <v>17</v>
      </c>
      <c r="D1606" t="s">
        <v>12</v>
      </c>
      <c r="E1606" t="s">
        <v>125</v>
      </c>
      <c r="F1606" t="s">
        <v>126</v>
      </c>
      <c r="G1606" t="s">
        <v>35</v>
      </c>
      <c r="H1606">
        <v>1</v>
      </c>
      <c r="I1606">
        <v>111</v>
      </c>
      <c r="J1606">
        <v>27.91</v>
      </c>
    </row>
    <row r="1607" spans="1:10" x14ac:dyDescent="0.25">
      <c r="A1607" s="1">
        <v>45156</v>
      </c>
      <c r="B1607" t="s">
        <v>55</v>
      </c>
      <c r="C1607" t="s">
        <v>19</v>
      </c>
      <c r="D1607" t="s">
        <v>12</v>
      </c>
      <c r="E1607" t="s">
        <v>52</v>
      </c>
      <c r="F1607" t="s">
        <v>42</v>
      </c>
      <c r="G1607" t="s">
        <v>28</v>
      </c>
      <c r="H1607">
        <v>8</v>
      </c>
      <c r="I1607">
        <v>7520</v>
      </c>
      <c r="J1607">
        <v>1201.4000000000001</v>
      </c>
    </row>
    <row r="1608" spans="1:10" x14ac:dyDescent="0.25">
      <c r="A1608" s="1">
        <v>45077</v>
      </c>
      <c r="B1608" t="s">
        <v>25</v>
      </c>
      <c r="C1608" t="s">
        <v>19</v>
      </c>
      <c r="D1608" t="s">
        <v>12</v>
      </c>
      <c r="E1608" t="s">
        <v>61</v>
      </c>
      <c r="F1608" t="s">
        <v>23</v>
      </c>
      <c r="G1608" t="s">
        <v>24</v>
      </c>
      <c r="H1608">
        <v>1</v>
      </c>
      <c r="I1608">
        <v>182</v>
      </c>
      <c r="J1608">
        <v>30.97</v>
      </c>
    </row>
    <row r="1609" spans="1:10" x14ac:dyDescent="0.25">
      <c r="A1609" s="1">
        <v>44610</v>
      </c>
      <c r="B1609" t="s">
        <v>16</v>
      </c>
      <c r="C1609" t="s">
        <v>17</v>
      </c>
      <c r="D1609" t="s">
        <v>12</v>
      </c>
      <c r="E1609" t="s">
        <v>26</v>
      </c>
      <c r="F1609" t="s">
        <v>27</v>
      </c>
      <c r="G1609" t="s">
        <v>28</v>
      </c>
      <c r="H1609">
        <v>5</v>
      </c>
      <c r="I1609">
        <v>5890</v>
      </c>
      <c r="J1609">
        <v>309</v>
      </c>
    </row>
    <row r="1610" spans="1:10" x14ac:dyDescent="0.25">
      <c r="A1610" s="1">
        <v>45490</v>
      </c>
      <c r="B1610" t="s">
        <v>55</v>
      </c>
      <c r="C1610" t="s">
        <v>19</v>
      </c>
      <c r="D1610" t="s">
        <v>12</v>
      </c>
      <c r="E1610" t="s">
        <v>26</v>
      </c>
      <c r="F1610" t="s">
        <v>27</v>
      </c>
      <c r="G1610" t="s">
        <v>28</v>
      </c>
      <c r="H1610">
        <v>4</v>
      </c>
      <c r="I1610">
        <v>3244</v>
      </c>
      <c r="J1610">
        <v>357.55</v>
      </c>
    </row>
    <row r="1611" spans="1:10" x14ac:dyDescent="0.25">
      <c r="A1611" s="1">
        <v>45408</v>
      </c>
      <c r="B1611" t="s">
        <v>40</v>
      </c>
      <c r="C1611" t="s">
        <v>19</v>
      </c>
      <c r="D1611" t="s">
        <v>12</v>
      </c>
      <c r="E1611" t="s">
        <v>26</v>
      </c>
      <c r="F1611" t="s">
        <v>27</v>
      </c>
      <c r="G1611" t="s">
        <v>28</v>
      </c>
      <c r="H1611">
        <v>7</v>
      </c>
      <c r="I1611">
        <v>5229</v>
      </c>
      <c r="J1611">
        <v>1058.26</v>
      </c>
    </row>
    <row r="1612" spans="1:10" x14ac:dyDescent="0.25">
      <c r="A1612" s="1">
        <v>44853</v>
      </c>
      <c r="B1612" t="s">
        <v>32</v>
      </c>
      <c r="C1612" t="s">
        <v>19</v>
      </c>
      <c r="D1612" t="s">
        <v>12</v>
      </c>
      <c r="E1612" t="s">
        <v>43</v>
      </c>
      <c r="F1612" t="s">
        <v>44</v>
      </c>
      <c r="G1612" t="s">
        <v>35</v>
      </c>
      <c r="H1612">
        <v>9</v>
      </c>
      <c r="I1612">
        <v>5202</v>
      </c>
      <c r="J1612">
        <v>1271.47</v>
      </c>
    </row>
    <row r="1613" spans="1:10" x14ac:dyDescent="0.25">
      <c r="A1613" s="1">
        <v>44635</v>
      </c>
      <c r="B1613" t="s">
        <v>49</v>
      </c>
      <c r="C1613" t="s">
        <v>17</v>
      </c>
      <c r="D1613" t="s">
        <v>12</v>
      </c>
      <c r="E1613" t="s">
        <v>43</v>
      </c>
      <c r="F1613" t="s">
        <v>44</v>
      </c>
      <c r="G1613" t="s">
        <v>35</v>
      </c>
      <c r="H1613">
        <v>3</v>
      </c>
      <c r="I1613">
        <v>438</v>
      </c>
      <c r="J1613">
        <v>67.430000000000007</v>
      </c>
    </row>
    <row r="1614" spans="1:10" x14ac:dyDescent="0.25">
      <c r="A1614" s="1">
        <v>44971</v>
      </c>
      <c r="B1614" t="s">
        <v>49</v>
      </c>
      <c r="C1614" t="s">
        <v>17</v>
      </c>
      <c r="D1614" t="s">
        <v>12</v>
      </c>
      <c r="E1614" t="s">
        <v>52</v>
      </c>
      <c r="F1614" t="s">
        <v>42</v>
      </c>
      <c r="G1614" t="s">
        <v>28</v>
      </c>
      <c r="H1614">
        <v>6</v>
      </c>
      <c r="I1614">
        <v>6900</v>
      </c>
      <c r="J1614">
        <v>1109.73</v>
      </c>
    </row>
    <row r="1615" spans="1:10" x14ac:dyDescent="0.25">
      <c r="A1615" s="1">
        <v>44815</v>
      </c>
      <c r="B1615" t="s">
        <v>18</v>
      </c>
      <c r="C1615" t="s">
        <v>19</v>
      </c>
      <c r="D1615" t="s">
        <v>12</v>
      </c>
      <c r="E1615" t="s">
        <v>22</v>
      </c>
      <c r="F1615" t="s">
        <v>23</v>
      </c>
      <c r="G1615" t="s">
        <v>24</v>
      </c>
      <c r="H1615">
        <v>3</v>
      </c>
      <c r="I1615">
        <v>369</v>
      </c>
      <c r="J1615">
        <v>36.07</v>
      </c>
    </row>
    <row r="1616" spans="1:10" x14ac:dyDescent="0.25">
      <c r="A1616" s="1">
        <v>45308</v>
      </c>
      <c r="B1616" t="s">
        <v>55</v>
      </c>
      <c r="C1616" t="s">
        <v>19</v>
      </c>
      <c r="D1616" t="s">
        <v>12</v>
      </c>
      <c r="E1616" t="s">
        <v>22</v>
      </c>
      <c r="F1616" t="s">
        <v>23</v>
      </c>
      <c r="G1616" t="s">
        <v>24</v>
      </c>
      <c r="H1616">
        <v>4</v>
      </c>
      <c r="I1616">
        <v>4140</v>
      </c>
      <c r="J1616">
        <v>1229.8499999999999</v>
      </c>
    </row>
    <row r="1617" spans="1:10" x14ac:dyDescent="0.25">
      <c r="A1617" s="1">
        <v>45395</v>
      </c>
      <c r="B1617" t="s">
        <v>10</v>
      </c>
      <c r="C1617" t="s">
        <v>11</v>
      </c>
      <c r="D1617" t="s">
        <v>12</v>
      </c>
      <c r="E1617" t="s">
        <v>70</v>
      </c>
      <c r="F1617" t="s">
        <v>71</v>
      </c>
      <c r="G1617" t="s">
        <v>35</v>
      </c>
      <c r="H1617">
        <v>3</v>
      </c>
      <c r="I1617">
        <v>1086</v>
      </c>
      <c r="J1617">
        <v>188.65</v>
      </c>
    </row>
    <row r="1618" spans="1:10" x14ac:dyDescent="0.25">
      <c r="A1618" s="1">
        <v>44988</v>
      </c>
      <c r="B1618" t="s">
        <v>16</v>
      </c>
      <c r="C1618" t="s">
        <v>17</v>
      </c>
      <c r="D1618" t="s">
        <v>12</v>
      </c>
      <c r="E1618" t="s">
        <v>262</v>
      </c>
      <c r="F1618" t="s">
        <v>34</v>
      </c>
      <c r="G1618" t="s">
        <v>35</v>
      </c>
      <c r="H1618">
        <v>2</v>
      </c>
      <c r="I1618">
        <v>2134</v>
      </c>
      <c r="J1618">
        <v>269.52999999999997</v>
      </c>
    </row>
    <row r="1619" spans="1:10" x14ac:dyDescent="0.25">
      <c r="A1619" s="1">
        <v>44728</v>
      </c>
      <c r="B1619" t="s">
        <v>55</v>
      </c>
      <c r="C1619" t="s">
        <v>19</v>
      </c>
      <c r="D1619" t="s">
        <v>12</v>
      </c>
      <c r="E1619" t="s">
        <v>130</v>
      </c>
      <c r="F1619" t="s">
        <v>14</v>
      </c>
      <c r="G1619" t="s">
        <v>15</v>
      </c>
      <c r="H1619">
        <v>6</v>
      </c>
      <c r="I1619">
        <v>5310</v>
      </c>
      <c r="J1619">
        <v>637.80999999999995</v>
      </c>
    </row>
    <row r="1620" spans="1:10" x14ac:dyDescent="0.25">
      <c r="A1620" s="1">
        <v>45158</v>
      </c>
      <c r="B1620" t="s">
        <v>29</v>
      </c>
      <c r="C1620" t="s">
        <v>17</v>
      </c>
      <c r="D1620" t="s">
        <v>12</v>
      </c>
      <c r="E1620" t="s">
        <v>130</v>
      </c>
      <c r="F1620" t="s">
        <v>14</v>
      </c>
      <c r="G1620" t="s">
        <v>15</v>
      </c>
      <c r="H1620">
        <v>6</v>
      </c>
      <c r="I1620">
        <v>2748</v>
      </c>
      <c r="J1620">
        <v>682.8</v>
      </c>
    </row>
    <row r="1621" spans="1:10" x14ac:dyDescent="0.25">
      <c r="A1621" s="1">
        <v>45553</v>
      </c>
      <c r="B1621" t="s">
        <v>10</v>
      </c>
      <c r="C1621" t="s">
        <v>11</v>
      </c>
      <c r="D1621" t="s">
        <v>12</v>
      </c>
      <c r="E1621" t="s">
        <v>130</v>
      </c>
      <c r="F1621" t="s">
        <v>14</v>
      </c>
      <c r="G1621" t="s">
        <v>15</v>
      </c>
      <c r="H1621">
        <v>9</v>
      </c>
      <c r="I1621">
        <v>3357</v>
      </c>
      <c r="J1621">
        <v>405.61</v>
      </c>
    </row>
    <row r="1622" spans="1:10" x14ac:dyDescent="0.25">
      <c r="A1622" s="1">
        <v>44954</v>
      </c>
      <c r="B1622" t="s">
        <v>32</v>
      </c>
      <c r="C1622" t="s">
        <v>19</v>
      </c>
      <c r="D1622" t="s">
        <v>12</v>
      </c>
      <c r="E1622" t="s">
        <v>62</v>
      </c>
      <c r="F1622" t="s">
        <v>59</v>
      </c>
      <c r="G1622" t="s">
        <v>28</v>
      </c>
      <c r="H1622">
        <v>9</v>
      </c>
      <c r="I1622">
        <v>10206</v>
      </c>
      <c r="J1622">
        <v>592.77</v>
      </c>
    </row>
    <row r="1623" spans="1:10" x14ac:dyDescent="0.25">
      <c r="A1623" s="1">
        <v>45585</v>
      </c>
      <c r="B1623" t="s">
        <v>40</v>
      </c>
      <c r="C1623" t="s">
        <v>19</v>
      </c>
      <c r="D1623" t="s">
        <v>12</v>
      </c>
      <c r="E1623" t="s">
        <v>22</v>
      </c>
      <c r="F1623" t="s">
        <v>23</v>
      </c>
      <c r="G1623" t="s">
        <v>24</v>
      </c>
      <c r="H1623">
        <v>6</v>
      </c>
      <c r="I1623">
        <v>2970</v>
      </c>
      <c r="J1623">
        <v>425.9</v>
      </c>
    </row>
    <row r="1624" spans="1:10" x14ac:dyDescent="0.25">
      <c r="A1624" s="1">
        <v>44699</v>
      </c>
      <c r="B1624" t="s">
        <v>16</v>
      </c>
      <c r="C1624" t="s">
        <v>17</v>
      </c>
      <c r="D1624" t="s">
        <v>12</v>
      </c>
      <c r="E1624" t="s">
        <v>74</v>
      </c>
      <c r="F1624" t="s">
        <v>23</v>
      </c>
      <c r="G1624" t="s">
        <v>24</v>
      </c>
      <c r="H1624">
        <v>4</v>
      </c>
      <c r="I1624">
        <v>1208</v>
      </c>
      <c r="J1624">
        <v>351.47</v>
      </c>
    </row>
    <row r="1625" spans="1:10" x14ac:dyDescent="0.25">
      <c r="A1625" s="1">
        <v>45462</v>
      </c>
      <c r="B1625" t="s">
        <v>32</v>
      </c>
      <c r="C1625" t="s">
        <v>19</v>
      </c>
      <c r="D1625" t="s">
        <v>12</v>
      </c>
      <c r="E1625" t="s">
        <v>215</v>
      </c>
      <c r="F1625" t="s">
        <v>63</v>
      </c>
      <c r="G1625" t="s">
        <v>28</v>
      </c>
      <c r="H1625">
        <v>3</v>
      </c>
      <c r="I1625">
        <v>945</v>
      </c>
      <c r="J1625">
        <v>135.59</v>
      </c>
    </row>
    <row r="1626" spans="1:10" x14ac:dyDescent="0.25">
      <c r="A1626" s="1">
        <v>44748</v>
      </c>
      <c r="B1626" t="s">
        <v>36</v>
      </c>
      <c r="C1626" t="s">
        <v>17</v>
      </c>
      <c r="D1626" t="s">
        <v>12</v>
      </c>
      <c r="E1626" t="s">
        <v>275</v>
      </c>
      <c r="F1626" t="s">
        <v>173</v>
      </c>
      <c r="G1626" t="s">
        <v>24</v>
      </c>
      <c r="H1626">
        <v>8</v>
      </c>
      <c r="I1626">
        <v>7040</v>
      </c>
      <c r="J1626">
        <v>996.02</v>
      </c>
    </row>
    <row r="1627" spans="1:10" x14ac:dyDescent="0.25">
      <c r="A1627" s="1">
        <v>45252</v>
      </c>
      <c r="B1627" t="s">
        <v>40</v>
      </c>
      <c r="C1627" t="s">
        <v>19</v>
      </c>
      <c r="D1627" t="s">
        <v>12</v>
      </c>
      <c r="E1627" t="s">
        <v>22</v>
      </c>
      <c r="F1627" t="s">
        <v>23</v>
      </c>
      <c r="G1627" t="s">
        <v>24</v>
      </c>
      <c r="H1627">
        <v>4</v>
      </c>
      <c r="I1627">
        <v>3684</v>
      </c>
      <c r="J1627">
        <v>1009.1</v>
      </c>
    </row>
    <row r="1628" spans="1:10" x14ac:dyDescent="0.25">
      <c r="A1628" s="1">
        <v>45345</v>
      </c>
      <c r="B1628" t="s">
        <v>29</v>
      </c>
      <c r="C1628" t="s">
        <v>17</v>
      </c>
      <c r="D1628" t="s">
        <v>12</v>
      </c>
      <c r="E1628" t="s">
        <v>224</v>
      </c>
      <c r="F1628" t="s">
        <v>34</v>
      </c>
      <c r="G1628" t="s">
        <v>35</v>
      </c>
      <c r="H1628">
        <v>2</v>
      </c>
      <c r="I1628">
        <v>1262</v>
      </c>
      <c r="J1628">
        <v>190.02</v>
      </c>
    </row>
    <row r="1629" spans="1:10" x14ac:dyDescent="0.25">
      <c r="A1629" s="1">
        <v>44736</v>
      </c>
      <c r="B1629" t="s">
        <v>16</v>
      </c>
      <c r="C1629" t="s">
        <v>17</v>
      </c>
      <c r="D1629" t="s">
        <v>12</v>
      </c>
      <c r="E1629" t="s">
        <v>405</v>
      </c>
      <c r="F1629" t="s">
        <v>183</v>
      </c>
      <c r="G1629" t="s">
        <v>15</v>
      </c>
      <c r="H1629">
        <v>3</v>
      </c>
      <c r="I1629">
        <v>3504</v>
      </c>
      <c r="J1629">
        <v>807.65</v>
      </c>
    </row>
    <row r="1630" spans="1:10" x14ac:dyDescent="0.25">
      <c r="A1630" s="1">
        <v>44910</v>
      </c>
      <c r="B1630" t="s">
        <v>10</v>
      </c>
      <c r="C1630" t="s">
        <v>11</v>
      </c>
      <c r="D1630" t="s">
        <v>12</v>
      </c>
      <c r="E1630" t="s">
        <v>176</v>
      </c>
      <c r="F1630" t="s">
        <v>84</v>
      </c>
      <c r="G1630" t="s">
        <v>28</v>
      </c>
      <c r="H1630">
        <v>6</v>
      </c>
      <c r="I1630">
        <v>4464</v>
      </c>
      <c r="J1630">
        <v>1122.3699999999999</v>
      </c>
    </row>
    <row r="1631" spans="1:10" x14ac:dyDescent="0.25">
      <c r="A1631" s="1">
        <v>45384</v>
      </c>
      <c r="B1631" t="s">
        <v>55</v>
      </c>
      <c r="C1631" t="s">
        <v>19</v>
      </c>
      <c r="D1631" t="s">
        <v>12</v>
      </c>
      <c r="E1631" t="s">
        <v>176</v>
      </c>
      <c r="F1631" t="s">
        <v>84</v>
      </c>
      <c r="G1631" t="s">
        <v>28</v>
      </c>
      <c r="H1631">
        <v>4</v>
      </c>
      <c r="I1631">
        <v>1324</v>
      </c>
      <c r="J1631">
        <v>227.2</v>
      </c>
    </row>
    <row r="1632" spans="1:10" x14ac:dyDescent="0.25">
      <c r="A1632" s="1">
        <v>45124</v>
      </c>
      <c r="B1632" t="s">
        <v>25</v>
      </c>
      <c r="C1632" t="s">
        <v>19</v>
      </c>
      <c r="D1632" t="s">
        <v>12</v>
      </c>
      <c r="E1632" t="s">
        <v>176</v>
      </c>
      <c r="F1632" t="s">
        <v>84</v>
      </c>
      <c r="G1632" t="s">
        <v>28</v>
      </c>
      <c r="H1632">
        <v>6</v>
      </c>
      <c r="I1632">
        <v>4140</v>
      </c>
      <c r="J1632">
        <v>451.27</v>
      </c>
    </row>
    <row r="1633" spans="1:10" x14ac:dyDescent="0.25">
      <c r="A1633" s="1">
        <v>45385</v>
      </c>
      <c r="B1633" t="s">
        <v>16</v>
      </c>
      <c r="C1633" t="s">
        <v>17</v>
      </c>
      <c r="D1633" t="s">
        <v>12</v>
      </c>
      <c r="E1633" t="s">
        <v>199</v>
      </c>
      <c r="F1633" t="s">
        <v>200</v>
      </c>
      <c r="G1633" t="s">
        <v>28</v>
      </c>
      <c r="H1633">
        <v>8</v>
      </c>
      <c r="I1633">
        <v>2384</v>
      </c>
      <c r="J1633">
        <v>120.28</v>
      </c>
    </row>
    <row r="1634" spans="1:10" x14ac:dyDescent="0.25">
      <c r="A1634" s="1">
        <v>44683</v>
      </c>
      <c r="B1634" t="s">
        <v>55</v>
      </c>
      <c r="C1634" t="s">
        <v>19</v>
      </c>
      <c r="D1634" t="s">
        <v>12</v>
      </c>
      <c r="E1634" t="s">
        <v>199</v>
      </c>
      <c r="F1634" t="s">
        <v>200</v>
      </c>
      <c r="G1634" t="s">
        <v>28</v>
      </c>
      <c r="H1634">
        <v>8</v>
      </c>
      <c r="I1634">
        <v>4624</v>
      </c>
      <c r="J1634">
        <v>1313.36</v>
      </c>
    </row>
    <row r="1635" spans="1:10" x14ac:dyDescent="0.25">
      <c r="A1635" s="1">
        <v>45273</v>
      </c>
      <c r="B1635" t="s">
        <v>32</v>
      </c>
      <c r="C1635" t="s">
        <v>19</v>
      </c>
      <c r="D1635" t="s">
        <v>12</v>
      </c>
      <c r="E1635" t="s">
        <v>87</v>
      </c>
      <c r="F1635" t="s">
        <v>71</v>
      </c>
      <c r="G1635" t="s">
        <v>35</v>
      </c>
      <c r="H1635">
        <v>6</v>
      </c>
      <c r="I1635">
        <v>4812</v>
      </c>
      <c r="J1635">
        <v>662.54</v>
      </c>
    </row>
    <row r="1636" spans="1:10" x14ac:dyDescent="0.25">
      <c r="A1636" s="1">
        <v>44579</v>
      </c>
      <c r="B1636" t="s">
        <v>18</v>
      </c>
      <c r="C1636" t="s">
        <v>19</v>
      </c>
      <c r="D1636" t="s">
        <v>12</v>
      </c>
      <c r="E1636" t="s">
        <v>185</v>
      </c>
      <c r="F1636" t="s">
        <v>115</v>
      </c>
      <c r="G1636" t="s">
        <v>15</v>
      </c>
      <c r="H1636">
        <v>6</v>
      </c>
      <c r="I1636">
        <v>5640</v>
      </c>
      <c r="J1636">
        <v>856.44</v>
      </c>
    </row>
    <row r="1637" spans="1:10" x14ac:dyDescent="0.25">
      <c r="A1637" s="1">
        <v>44827</v>
      </c>
      <c r="B1637" t="s">
        <v>32</v>
      </c>
      <c r="C1637" t="s">
        <v>19</v>
      </c>
      <c r="D1637" t="s">
        <v>12</v>
      </c>
      <c r="E1637" t="s">
        <v>56</v>
      </c>
      <c r="F1637" t="s">
        <v>57</v>
      </c>
      <c r="G1637" t="s">
        <v>24</v>
      </c>
      <c r="H1637">
        <v>5</v>
      </c>
      <c r="I1637">
        <v>1840</v>
      </c>
      <c r="J1637">
        <v>307.08999999999997</v>
      </c>
    </row>
    <row r="1638" spans="1:10" x14ac:dyDescent="0.25">
      <c r="A1638" s="1">
        <v>45597</v>
      </c>
      <c r="B1638" t="s">
        <v>49</v>
      </c>
      <c r="C1638" t="s">
        <v>17</v>
      </c>
      <c r="D1638" t="s">
        <v>12</v>
      </c>
      <c r="E1638" t="s">
        <v>86</v>
      </c>
      <c r="F1638" t="s">
        <v>84</v>
      </c>
      <c r="G1638" t="s">
        <v>28</v>
      </c>
      <c r="H1638">
        <v>7</v>
      </c>
      <c r="I1638">
        <v>8071</v>
      </c>
      <c r="J1638">
        <v>435.51</v>
      </c>
    </row>
    <row r="1639" spans="1:10" x14ac:dyDescent="0.25">
      <c r="A1639" s="1">
        <v>44859</v>
      </c>
      <c r="B1639" t="s">
        <v>49</v>
      </c>
      <c r="C1639" t="s">
        <v>17</v>
      </c>
      <c r="D1639" t="s">
        <v>12</v>
      </c>
      <c r="E1639" t="s">
        <v>70</v>
      </c>
      <c r="F1639" t="s">
        <v>71</v>
      </c>
      <c r="G1639" t="s">
        <v>35</v>
      </c>
      <c r="H1639">
        <v>3</v>
      </c>
      <c r="I1639">
        <v>2400</v>
      </c>
      <c r="J1639">
        <v>297.07</v>
      </c>
    </row>
    <row r="1640" spans="1:10" x14ac:dyDescent="0.25">
      <c r="A1640" s="1">
        <v>45108</v>
      </c>
      <c r="B1640" t="s">
        <v>32</v>
      </c>
      <c r="C1640" t="s">
        <v>19</v>
      </c>
      <c r="D1640" t="s">
        <v>12</v>
      </c>
      <c r="E1640" t="s">
        <v>229</v>
      </c>
      <c r="F1640" t="s">
        <v>149</v>
      </c>
      <c r="G1640" t="s">
        <v>15</v>
      </c>
      <c r="H1640">
        <v>6</v>
      </c>
      <c r="I1640">
        <v>3570</v>
      </c>
      <c r="J1640">
        <v>265.62</v>
      </c>
    </row>
    <row r="1641" spans="1:10" x14ac:dyDescent="0.25">
      <c r="A1641" s="1">
        <v>44647</v>
      </c>
      <c r="B1641" t="s">
        <v>55</v>
      </c>
      <c r="C1641" t="s">
        <v>19</v>
      </c>
      <c r="D1641" t="s">
        <v>12</v>
      </c>
      <c r="E1641" t="s">
        <v>268</v>
      </c>
      <c r="F1641" t="s">
        <v>34</v>
      </c>
      <c r="G1641" t="s">
        <v>35</v>
      </c>
      <c r="H1641">
        <v>3</v>
      </c>
      <c r="I1641">
        <v>1758</v>
      </c>
      <c r="J1641">
        <v>245.92</v>
      </c>
    </row>
    <row r="1642" spans="1:10" x14ac:dyDescent="0.25">
      <c r="A1642" s="1">
        <v>45144</v>
      </c>
      <c r="B1642" t="s">
        <v>36</v>
      </c>
      <c r="C1642" t="s">
        <v>17</v>
      </c>
      <c r="D1642" t="s">
        <v>12</v>
      </c>
      <c r="E1642" t="s">
        <v>56</v>
      </c>
      <c r="F1642" t="s">
        <v>57</v>
      </c>
      <c r="G1642" t="s">
        <v>24</v>
      </c>
      <c r="H1642">
        <v>4</v>
      </c>
      <c r="I1642">
        <v>3072</v>
      </c>
      <c r="J1642">
        <v>394.2</v>
      </c>
    </row>
    <row r="1643" spans="1:10" x14ac:dyDescent="0.25">
      <c r="A1643" s="1">
        <v>45154</v>
      </c>
      <c r="B1643" t="s">
        <v>16</v>
      </c>
      <c r="C1643" t="s">
        <v>17</v>
      </c>
      <c r="D1643" t="s">
        <v>12</v>
      </c>
      <c r="E1643" t="s">
        <v>111</v>
      </c>
      <c r="F1643" t="s">
        <v>115</v>
      </c>
      <c r="G1643" t="s">
        <v>15</v>
      </c>
      <c r="H1643">
        <v>5</v>
      </c>
      <c r="I1643">
        <v>2185</v>
      </c>
      <c r="J1643">
        <v>136.1</v>
      </c>
    </row>
    <row r="1644" spans="1:10" x14ac:dyDescent="0.25">
      <c r="A1644" s="1">
        <v>44960</v>
      </c>
      <c r="B1644" t="s">
        <v>40</v>
      </c>
      <c r="C1644" t="s">
        <v>19</v>
      </c>
      <c r="D1644" t="s">
        <v>12</v>
      </c>
      <c r="E1644" t="s">
        <v>103</v>
      </c>
      <c r="F1644" t="s">
        <v>149</v>
      </c>
      <c r="G1644" t="s">
        <v>15</v>
      </c>
      <c r="H1644">
        <v>8</v>
      </c>
      <c r="I1644">
        <v>7664</v>
      </c>
      <c r="J1644">
        <v>1251.6500000000001</v>
      </c>
    </row>
    <row r="1645" spans="1:10" x14ac:dyDescent="0.25">
      <c r="A1645" s="1">
        <v>45364</v>
      </c>
      <c r="B1645" t="s">
        <v>29</v>
      </c>
      <c r="C1645" t="s">
        <v>17</v>
      </c>
      <c r="D1645" t="s">
        <v>12</v>
      </c>
      <c r="E1645" t="s">
        <v>322</v>
      </c>
      <c r="F1645" t="s">
        <v>42</v>
      </c>
      <c r="G1645" t="s">
        <v>28</v>
      </c>
      <c r="H1645">
        <v>5</v>
      </c>
      <c r="I1645">
        <v>1710</v>
      </c>
      <c r="J1645">
        <v>338.1</v>
      </c>
    </row>
    <row r="1646" spans="1:10" x14ac:dyDescent="0.25">
      <c r="A1646" s="1">
        <v>45521</v>
      </c>
      <c r="B1646" t="s">
        <v>10</v>
      </c>
      <c r="C1646" t="s">
        <v>11</v>
      </c>
      <c r="D1646" t="s">
        <v>12</v>
      </c>
      <c r="E1646" t="s">
        <v>47</v>
      </c>
      <c r="F1646" t="s">
        <v>156</v>
      </c>
      <c r="G1646" t="s">
        <v>28</v>
      </c>
      <c r="H1646">
        <v>2</v>
      </c>
      <c r="I1646">
        <v>1878</v>
      </c>
      <c r="J1646">
        <v>386.28</v>
      </c>
    </row>
    <row r="1647" spans="1:10" x14ac:dyDescent="0.25">
      <c r="A1647" s="1">
        <v>45129</v>
      </c>
      <c r="B1647" t="s">
        <v>18</v>
      </c>
      <c r="C1647" t="s">
        <v>19</v>
      </c>
      <c r="D1647" t="s">
        <v>12</v>
      </c>
      <c r="E1647" t="s">
        <v>192</v>
      </c>
      <c r="F1647" t="s">
        <v>149</v>
      </c>
      <c r="G1647" t="s">
        <v>15</v>
      </c>
      <c r="H1647">
        <v>1</v>
      </c>
      <c r="I1647">
        <v>569</v>
      </c>
      <c r="J1647">
        <v>141.33000000000001</v>
      </c>
    </row>
    <row r="1648" spans="1:10" x14ac:dyDescent="0.25">
      <c r="A1648" s="1">
        <v>45021</v>
      </c>
      <c r="B1648" t="s">
        <v>32</v>
      </c>
      <c r="C1648" t="s">
        <v>19</v>
      </c>
      <c r="D1648" t="s">
        <v>12</v>
      </c>
      <c r="E1648" t="s">
        <v>43</v>
      </c>
      <c r="F1648" t="s">
        <v>44</v>
      </c>
      <c r="G1648" t="s">
        <v>35</v>
      </c>
      <c r="H1648">
        <v>3</v>
      </c>
      <c r="I1648">
        <v>1488</v>
      </c>
      <c r="J1648">
        <v>296.36</v>
      </c>
    </row>
    <row r="1649" spans="1:10" x14ac:dyDescent="0.25">
      <c r="A1649" s="1">
        <v>45402</v>
      </c>
      <c r="B1649" t="s">
        <v>16</v>
      </c>
      <c r="C1649" t="s">
        <v>17</v>
      </c>
      <c r="D1649" t="s">
        <v>12</v>
      </c>
      <c r="E1649" t="s">
        <v>52</v>
      </c>
      <c r="F1649" t="s">
        <v>42</v>
      </c>
      <c r="G1649" t="s">
        <v>28</v>
      </c>
      <c r="H1649">
        <v>9</v>
      </c>
      <c r="I1649">
        <v>9918</v>
      </c>
      <c r="J1649">
        <v>1956.17</v>
      </c>
    </row>
    <row r="1650" spans="1:10" x14ac:dyDescent="0.25">
      <c r="A1650" s="1">
        <v>44914</v>
      </c>
      <c r="B1650" t="s">
        <v>32</v>
      </c>
      <c r="C1650" t="s">
        <v>19</v>
      </c>
      <c r="D1650" t="s">
        <v>12</v>
      </c>
      <c r="E1650" t="s">
        <v>159</v>
      </c>
      <c r="F1650" t="s">
        <v>23</v>
      </c>
      <c r="G1650" t="s">
        <v>24</v>
      </c>
      <c r="H1650">
        <v>3</v>
      </c>
      <c r="I1650">
        <v>432</v>
      </c>
      <c r="J1650">
        <v>36.840000000000003</v>
      </c>
    </row>
    <row r="1651" spans="1:10" x14ac:dyDescent="0.25">
      <c r="A1651" s="1">
        <v>45187</v>
      </c>
      <c r="B1651" t="s">
        <v>18</v>
      </c>
      <c r="C1651" t="s">
        <v>19</v>
      </c>
      <c r="D1651" t="s">
        <v>12</v>
      </c>
      <c r="E1651" t="s">
        <v>288</v>
      </c>
      <c r="F1651" t="s">
        <v>156</v>
      </c>
      <c r="G1651" t="s">
        <v>28</v>
      </c>
      <c r="H1651">
        <v>9</v>
      </c>
      <c r="I1651">
        <v>9828</v>
      </c>
      <c r="J1651">
        <v>1300.68</v>
      </c>
    </row>
    <row r="1652" spans="1:10" x14ac:dyDescent="0.25">
      <c r="A1652" s="1">
        <v>45654</v>
      </c>
      <c r="B1652" t="s">
        <v>32</v>
      </c>
      <c r="C1652" t="s">
        <v>19</v>
      </c>
      <c r="D1652" t="s">
        <v>12</v>
      </c>
      <c r="E1652" t="s">
        <v>288</v>
      </c>
      <c r="F1652" t="s">
        <v>156</v>
      </c>
      <c r="G1652" t="s">
        <v>28</v>
      </c>
      <c r="H1652">
        <v>5</v>
      </c>
      <c r="I1652">
        <v>3625</v>
      </c>
      <c r="J1652">
        <v>245.52</v>
      </c>
    </row>
    <row r="1653" spans="1:10" x14ac:dyDescent="0.25">
      <c r="A1653" s="1">
        <v>44698</v>
      </c>
      <c r="B1653" t="s">
        <v>32</v>
      </c>
      <c r="C1653" t="s">
        <v>19</v>
      </c>
      <c r="D1653" t="s">
        <v>12</v>
      </c>
      <c r="E1653" t="s">
        <v>22</v>
      </c>
      <c r="F1653" t="s">
        <v>23</v>
      </c>
      <c r="G1653" t="s">
        <v>24</v>
      </c>
      <c r="H1653">
        <v>3</v>
      </c>
      <c r="I1653">
        <v>2187</v>
      </c>
      <c r="J1653">
        <v>491.13</v>
      </c>
    </row>
    <row r="1654" spans="1:10" x14ac:dyDescent="0.25">
      <c r="A1654" s="1">
        <v>45223</v>
      </c>
      <c r="B1654" t="s">
        <v>36</v>
      </c>
      <c r="C1654" t="s">
        <v>17</v>
      </c>
      <c r="D1654" t="s">
        <v>12</v>
      </c>
      <c r="E1654" t="s">
        <v>22</v>
      </c>
      <c r="F1654" t="s">
        <v>23</v>
      </c>
      <c r="G1654" t="s">
        <v>24</v>
      </c>
      <c r="H1654">
        <v>5</v>
      </c>
      <c r="I1654">
        <v>5105</v>
      </c>
      <c r="J1654">
        <v>1003.4</v>
      </c>
    </row>
    <row r="1655" spans="1:10" x14ac:dyDescent="0.25">
      <c r="A1655" s="1">
        <v>44904</v>
      </c>
      <c r="B1655" t="s">
        <v>29</v>
      </c>
      <c r="C1655" t="s">
        <v>17</v>
      </c>
      <c r="D1655" t="s">
        <v>12</v>
      </c>
      <c r="E1655" t="s">
        <v>318</v>
      </c>
      <c r="F1655" t="s">
        <v>42</v>
      </c>
      <c r="G1655" t="s">
        <v>28</v>
      </c>
      <c r="H1655">
        <v>3</v>
      </c>
      <c r="I1655">
        <v>1392</v>
      </c>
      <c r="J1655">
        <v>345.78</v>
      </c>
    </row>
    <row r="1656" spans="1:10" x14ac:dyDescent="0.25">
      <c r="A1656" s="1">
        <v>44872</v>
      </c>
      <c r="B1656" t="s">
        <v>40</v>
      </c>
      <c r="C1656" t="s">
        <v>19</v>
      </c>
      <c r="D1656" t="s">
        <v>12</v>
      </c>
      <c r="E1656" t="s">
        <v>105</v>
      </c>
      <c r="F1656" t="s">
        <v>23</v>
      </c>
      <c r="G1656" t="s">
        <v>24</v>
      </c>
      <c r="H1656">
        <v>2</v>
      </c>
      <c r="I1656">
        <v>744</v>
      </c>
      <c r="J1656">
        <v>110.81</v>
      </c>
    </row>
    <row r="1657" spans="1:10" x14ac:dyDescent="0.25">
      <c r="A1657" s="1">
        <v>45082</v>
      </c>
      <c r="B1657" t="s">
        <v>32</v>
      </c>
      <c r="C1657" t="s">
        <v>19</v>
      </c>
      <c r="D1657" t="s">
        <v>12</v>
      </c>
      <c r="E1657" t="s">
        <v>22</v>
      </c>
      <c r="F1657" t="s">
        <v>23</v>
      </c>
      <c r="G1657" t="s">
        <v>24</v>
      </c>
      <c r="H1657">
        <v>4</v>
      </c>
      <c r="I1657">
        <v>1724</v>
      </c>
      <c r="J1657">
        <v>233.21</v>
      </c>
    </row>
    <row r="1658" spans="1:10" x14ac:dyDescent="0.25">
      <c r="A1658" s="1">
        <v>45225</v>
      </c>
      <c r="B1658" t="s">
        <v>16</v>
      </c>
      <c r="C1658" t="s">
        <v>17</v>
      </c>
      <c r="D1658" t="s">
        <v>12</v>
      </c>
      <c r="E1658" t="s">
        <v>56</v>
      </c>
      <c r="F1658" t="s">
        <v>57</v>
      </c>
      <c r="G1658" t="s">
        <v>24</v>
      </c>
      <c r="H1658">
        <v>5</v>
      </c>
      <c r="I1658">
        <v>1940</v>
      </c>
      <c r="J1658">
        <v>423.17</v>
      </c>
    </row>
    <row r="1659" spans="1:10" x14ac:dyDescent="0.25">
      <c r="A1659" s="1">
        <v>45135</v>
      </c>
      <c r="B1659" t="s">
        <v>16</v>
      </c>
      <c r="C1659" t="s">
        <v>17</v>
      </c>
      <c r="D1659" t="s">
        <v>12</v>
      </c>
      <c r="E1659" t="s">
        <v>121</v>
      </c>
      <c r="F1659" t="s">
        <v>122</v>
      </c>
      <c r="G1659" t="s">
        <v>35</v>
      </c>
      <c r="H1659">
        <v>4</v>
      </c>
      <c r="I1659">
        <v>356</v>
      </c>
      <c r="J1659">
        <v>59.15</v>
      </c>
    </row>
    <row r="1660" spans="1:10" x14ac:dyDescent="0.25">
      <c r="A1660" s="1">
        <v>45072</v>
      </c>
      <c r="B1660" t="s">
        <v>36</v>
      </c>
      <c r="C1660" t="s">
        <v>17</v>
      </c>
      <c r="D1660" t="s">
        <v>12</v>
      </c>
      <c r="E1660" t="s">
        <v>260</v>
      </c>
      <c r="F1660" t="s">
        <v>34</v>
      </c>
      <c r="G1660" t="s">
        <v>35</v>
      </c>
      <c r="H1660">
        <v>5</v>
      </c>
      <c r="I1660">
        <v>1095</v>
      </c>
      <c r="J1660">
        <v>269.87</v>
      </c>
    </row>
    <row r="1661" spans="1:10" x14ac:dyDescent="0.25">
      <c r="A1661" s="1">
        <v>44902</v>
      </c>
      <c r="B1661" t="s">
        <v>18</v>
      </c>
      <c r="C1661" t="s">
        <v>19</v>
      </c>
      <c r="D1661" t="s">
        <v>12</v>
      </c>
      <c r="E1661" t="s">
        <v>37</v>
      </c>
      <c r="F1661" t="s">
        <v>34</v>
      </c>
      <c r="G1661" t="s">
        <v>35</v>
      </c>
      <c r="H1661">
        <v>8</v>
      </c>
      <c r="I1661">
        <v>4064</v>
      </c>
      <c r="J1661">
        <v>543.9</v>
      </c>
    </row>
    <row r="1662" spans="1:10" x14ac:dyDescent="0.25">
      <c r="A1662" s="1">
        <v>45616</v>
      </c>
      <c r="B1662" t="s">
        <v>32</v>
      </c>
      <c r="C1662" t="s">
        <v>19</v>
      </c>
      <c r="D1662" t="s">
        <v>12</v>
      </c>
      <c r="E1662" t="s">
        <v>138</v>
      </c>
      <c r="F1662" t="s">
        <v>94</v>
      </c>
      <c r="G1662" t="s">
        <v>24</v>
      </c>
      <c r="H1662">
        <v>7</v>
      </c>
      <c r="I1662">
        <v>5453</v>
      </c>
      <c r="J1662">
        <v>1592.37</v>
      </c>
    </row>
    <row r="1663" spans="1:10" x14ac:dyDescent="0.25">
      <c r="A1663" s="1">
        <v>45382</v>
      </c>
      <c r="B1663" t="s">
        <v>36</v>
      </c>
      <c r="C1663" t="s">
        <v>17</v>
      </c>
      <c r="D1663" t="s">
        <v>12</v>
      </c>
      <c r="E1663" t="s">
        <v>138</v>
      </c>
      <c r="F1663" t="s">
        <v>94</v>
      </c>
      <c r="G1663" t="s">
        <v>24</v>
      </c>
      <c r="H1663">
        <v>8</v>
      </c>
      <c r="I1663">
        <v>7104</v>
      </c>
      <c r="J1663">
        <v>529.35</v>
      </c>
    </row>
    <row r="1664" spans="1:10" x14ac:dyDescent="0.25">
      <c r="A1664" s="1">
        <v>45399</v>
      </c>
      <c r="B1664" t="s">
        <v>49</v>
      </c>
      <c r="C1664" t="s">
        <v>17</v>
      </c>
      <c r="D1664" t="s">
        <v>12</v>
      </c>
      <c r="E1664" t="s">
        <v>356</v>
      </c>
      <c r="F1664" t="s">
        <v>23</v>
      </c>
      <c r="G1664" t="s">
        <v>24</v>
      </c>
      <c r="H1664">
        <v>9</v>
      </c>
      <c r="I1664">
        <v>2745</v>
      </c>
      <c r="J1664">
        <v>660.56</v>
      </c>
    </row>
    <row r="1665" spans="1:10" x14ac:dyDescent="0.25">
      <c r="A1665" s="1">
        <v>45418</v>
      </c>
      <c r="B1665" t="s">
        <v>25</v>
      </c>
      <c r="C1665" t="s">
        <v>19</v>
      </c>
      <c r="D1665" t="s">
        <v>12</v>
      </c>
      <c r="E1665" t="s">
        <v>53</v>
      </c>
      <c r="F1665" t="s">
        <v>44</v>
      </c>
      <c r="G1665" t="s">
        <v>35</v>
      </c>
      <c r="H1665">
        <v>5</v>
      </c>
      <c r="I1665">
        <v>1030</v>
      </c>
      <c r="J1665">
        <v>64.81</v>
      </c>
    </row>
    <row r="1666" spans="1:10" x14ac:dyDescent="0.25">
      <c r="A1666" s="1">
        <v>44982</v>
      </c>
      <c r="B1666" t="s">
        <v>18</v>
      </c>
      <c r="C1666" t="s">
        <v>19</v>
      </c>
      <c r="D1666" t="s">
        <v>12</v>
      </c>
      <c r="E1666" t="s">
        <v>26</v>
      </c>
      <c r="F1666" t="s">
        <v>27</v>
      </c>
      <c r="G1666" t="s">
        <v>28</v>
      </c>
      <c r="H1666">
        <v>9</v>
      </c>
      <c r="I1666">
        <v>8973</v>
      </c>
      <c r="J1666">
        <v>471.86</v>
      </c>
    </row>
    <row r="1667" spans="1:10" x14ac:dyDescent="0.25">
      <c r="A1667" s="1">
        <v>44909</v>
      </c>
      <c r="B1667" t="s">
        <v>49</v>
      </c>
      <c r="C1667" t="s">
        <v>17</v>
      </c>
      <c r="D1667" t="s">
        <v>12</v>
      </c>
      <c r="E1667" t="s">
        <v>406</v>
      </c>
      <c r="F1667" t="s">
        <v>54</v>
      </c>
      <c r="G1667" t="s">
        <v>24</v>
      </c>
      <c r="H1667">
        <v>2</v>
      </c>
      <c r="I1667">
        <v>794</v>
      </c>
      <c r="J1667">
        <v>128.5</v>
      </c>
    </row>
    <row r="1668" spans="1:10" x14ac:dyDescent="0.25">
      <c r="A1668" s="1">
        <v>45280</v>
      </c>
      <c r="B1668" t="s">
        <v>10</v>
      </c>
      <c r="C1668" t="s">
        <v>11</v>
      </c>
      <c r="D1668" t="s">
        <v>12</v>
      </c>
      <c r="E1668" t="s">
        <v>406</v>
      </c>
      <c r="F1668" t="s">
        <v>54</v>
      </c>
      <c r="G1668" t="s">
        <v>24</v>
      </c>
      <c r="H1668">
        <v>6</v>
      </c>
      <c r="I1668">
        <v>2142</v>
      </c>
      <c r="J1668">
        <v>476.19</v>
      </c>
    </row>
    <row r="1669" spans="1:10" x14ac:dyDescent="0.25">
      <c r="A1669" s="1">
        <v>45212</v>
      </c>
      <c r="B1669" t="s">
        <v>29</v>
      </c>
      <c r="C1669" t="s">
        <v>17</v>
      </c>
      <c r="D1669" t="s">
        <v>12</v>
      </c>
      <c r="E1669" t="s">
        <v>406</v>
      </c>
      <c r="F1669" t="s">
        <v>54</v>
      </c>
      <c r="G1669" t="s">
        <v>24</v>
      </c>
      <c r="H1669">
        <v>2</v>
      </c>
      <c r="I1669">
        <v>414</v>
      </c>
      <c r="J1669">
        <v>51.1</v>
      </c>
    </row>
    <row r="1670" spans="1:10" x14ac:dyDescent="0.25">
      <c r="A1670" s="1">
        <v>45091</v>
      </c>
      <c r="B1670" t="s">
        <v>18</v>
      </c>
      <c r="C1670" t="s">
        <v>19</v>
      </c>
      <c r="D1670" t="s">
        <v>12</v>
      </c>
      <c r="E1670" t="s">
        <v>229</v>
      </c>
      <c r="F1670" t="s">
        <v>152</v>
      </c>
      <c r="G1670" t="s">
        <v>15</v>
      </c>
      <c r="H1670">
        <v>3</v>
      </c>
      <c r="I1670">
        <v>1416</v>
      </c>
      <c r="J1670">
        <v>220.7</v>
      </c>
    </row>
    <row r="1671" spans="1:10" x14ac:dyDescent="0.25">
      <c r="A1671" s="1">
        <v>44653</v>
      </c>
      <c r="B1671" t="s">
        <v>18</v>
      </c>
      <c r="C1671" t="s">
        <v>19</v>
      </c>
      <c r="D1671" t="s">
        <v>12</v>
      </c>
      <c r="E1671" t="s">
        <v>45</v>
      </c>
      <c r="F1671" t="s">
        <v>46</v>
      </c>
      <c r="G1671" t="s">
        <v>15</v>
      </c>
      <c r="H1671">
        <v>3</v>
      </c>
      <c r="I1671">
        <v>2103</v>
      </c>
      <c r="J1671">
        <v>541.35</v>
      </c>
    </row>
    <row r="1672" spans="1:10" x14ac:dyDescent="0.25">
      <c r="A1672" s="1">
        <v>45463</v>
      </c>
      <c r="B1672" t="s">
        <v>25</v>
      </c>
      <c r="C1672" t="s">
        <v>19</v>
      </c>
      <c r="D1672" t="s">
        <v>12</v>
      </c>
      <c r="E1672" t="s">
        <v>45</v>
      </c>
      <c r="F1672" t="s">
        <v>46</v>
      </c>
      <c r="G1672" t="s">
        <v>15</v>
      </c>
      <c r="H1672">
        <v>3</v>
      </c>
      <c r="I1672">
        <v>861</v>
      </c>
      <c r="J1672">
        <v>173.49</v>
      </c>
    </row>
    <row r="1673" spans="1:10" x14ac:dyDescent="0.25">
      <c r="A1673" s="1">
        <v>45431</v>
      </c>
      <c r="B1673" t="s">
        <v>29</v>
      </c>
      <c r="C1673" t="s">
        <v>17</v>
      </c>
      <c r="D1673" t="s">
        <v>12</v>
      </c>
      <c r="E1673" t="s">
        <v>407</v>
      </c>
      <c r="F1673" t="s">
        <v>23</v>
      </c>
      <c r="G1673" t="s">
        <v>24</v>
      </c>
      <c r="H1673">
        <v>3</v>
      </c>
      <c r="I1673">
        <v>2367</v>
      </c>
      <c r="J1673">
        <v>222.26</v>
      </c>
    </row>
    <row r="1674" spans="1:10" x14ac:dyDescent="0.25">
      <c r="A1674" s="1">
        <v>44942</v>
      </c>
      <c r="B1674" t="s">
        <v>18</v>
      </c>
      <c r="C1674" t="s">
        <v>19</v>
      </c>
      <c r="D1674" t="s">
        <v>12</v>
      </c>
      <c r="E1674" t="s">
        <v>407</v>
      </c>
      <c r="F1674" t="s">
        <v>23</v>
      </c>
      <c r="G1674" t="s">
        <v>24</v>
      </c>
      <c r="H1674">
        <v>5</v>
      </c>
      <c r="I1674">
        <v>2435</v>
      </c>
      <c r="J1674">
        <v>688.82</v>
      </c>
    </row>
    <row r="1675" spans="1:10" x14ac:dyDescent="0.25">
      <c r="A1675" s="1">
        <v>45053</v>
      </c>
      <c r="B1675" t="s">
        <v>10</v>
      </c>
      <c r="C1675" t="s">
        <v>11</v>
      </c>
      <c r="D1675" t="s">
        <v>12</v>
      </c>
      <c r="E1675" t="s">
        <v>390</v>
      </c>
      <c r="F1675" t="s">
        <v>44</v>
      </c>
      <c r="G1675" t="s">
        <v>35</v>
      </c>
      <c r="H1675">
        <v>4</v>
      </c>
      <c r="I1675">
        <v>2456</v>
      </c>
      <c r="J1675">
        <v>163.61000000000001</v>
      </c>
    </row>
    <row r="1676" spans="1:10" x14ac:dyDescent="0.25">
      <c r="A1676" s="1">
        <v>45108</v>
      </c>
      <c r="B1676" t="s">
        <v>55</v>
      </c>
      <c r="C1676" t="s">
        <v>19</v>
      </c>
      <c r="D1676" t="s">
        <v>12</v>
      </c>
      <c r="E1676" t="s">
        <v>26</v>
      </c>
      <c r="F1676" t="s">
        <v>27</v>
      </c>
      <c r="G1676" t="s">
        <v>28</v>
      </c>
      <c r="H1676">
        <v>4</v>
      </c>
      <c r="I1676">
        <v>3216</v>
      </c>
      <c r="J1676">
        <v>962.49</v>
      </c>
    </row>
    <row r="1677" spans="1:10" x14ac:dyDescent="0.25">
      <c r="A1677" s="1">
        <v>45498</v>
      </c>
      <c r="B1677" t="s">
        <v>32</v>
      </c>
      <c r="C1677" t="s">
        <v>19</v>
      </c>
      <c r="D1677" t="s">
        <v>12</v>
      </c>
      <c r="E1677" t="s">
        <v>52</v>
      </c>
      <c r="F1677" t="s">
        <v>42</v>
      </c>
      <c r="G1677" t="s">
        <v>28</v>
      </c>
      <c r="H1677">
        <v>4</v>
      </c>
      <c r="I1677">
        <v>4324</v>
      </c>
      <c r="J1677">
        <v>833.11</v>
      </c>
    </row>
    <row r="1678" spans="1:10" x14ac:dyDescent="0.25">
      <c r="A1678" s="1">
        <v>45196</v>
      </c>
      <c r="B1678" t="s">
        <v>16</v>
      </c>
      <c r="C1678" t="s">
        <v>17</v>
      </c>
      <c r="D1678" t="s">
        <v>12</v>
      </c>
      <c r="E1678" t="s">
        <v>210</v>
      </c>
      <c r="F1678" t="s">
        <v>34</v>
      </c>
      <c r="G1678" t="s">
        <v>35</v>
      </c>
      <c r="H1678">
        <v>4</v>
      </c>
      <c r="I1678">
        <v>2628</v>
      </c>
      <c r="J1678">
        <v>727.87</v>
      </c>
    </row>
    <row r="1679" spans="1:10" x14ac:dyDescent="0.25">
      <c r="A1679" s="1">
        <v>45150</v>
      </c>
      <c r="B1679" t="s">
        <v>49</v>
      </c>
      <c r="C1679" t="s">
        <v>17</v>
      </c>
      <c r="D1679" t="s">
        <v>12</v>
      </c>
      <c r="E1679" t="s">
        <v>368</v>
      </c>
      <c r="F1679" t="s">
        <v>189</v>
      </c>
      <c r="G1679" t="s">
        <v>24</v>
      </c>
      <c r="H1679">
        <v>8</v>
      </c>
      <c r="I1679">
        <v>8992</v>
      </c>
      <c r="J1679">
        <v>2018.64</v>
      </c>
    </row>
    <row r="1680" spans="1:10" x14ac:dyDescent="0.25">
      <c r="A1680" s="1">
        <v>45497</v>
      </c>
      <c r="B1680" t="s">
        <v>55</v>
      </c>
      <c r="C1680" t="s">
        <v>19</v>
      </c>
      <c r="D1680" t="s">
        <v>12</v>
      </c>
      <c r="E1680" t="s">
        <v>105</v>
      </c>
      <c r="F1680" t="s">
        <v>23</v>
      </c>
      <c r="G1680" t="s">
        <v>24</v>
      </c>
      <c r="H1680">
        <v>6</v>
      </c>
      <c r="I1680">
        <v>360</v>
      </c>
      <c r="J1680">
        <v>22.16</v>
      </c>
    </row>
    <row r="1681" spans="1:10" x14ac:dyDescent="0.25">
      <c r="A1681" s="1">
        <v>44768</v>
      </c>
      <c r="B1681" t="s">
        <v>18</v>
      </c>
      <c r="C1681" t="s">
        <v>19</v>
      </c>
      <c r="D1681" t="s">
        <v>12</v>
      </c>
      <c r="E1681" t="s">
        <v>178</v>
      </c>
      <c r="F1681" t="s">
        <v>34</v>
      </c>
      <c r="G1681" t="s">
        <v>35</v>
      </c>
      <c r="H1681">
        <v>3</v>
      </c>
      <c r="I1681">
        <v>2067</v>
      </c>
      <c r="J1681">
        <v>479.39</v>
      </c>
    </row>
    <row r="1682" spans="1:10" x14ac:dyDescent="0.25">
      <c r="A1682" s="1">
        <v>45629</v>
      </c>
      <c r="B1682" t="s">
        <v>16</v>
      </c>
      <c r="C1682" t="s">
        <v>17</v>
      </c>
      <c r="D1682" t="s">
        <v>12</v>
      </c>
      <c r="E1682" t="s">
        <v>178</v>
      </c>
      <c r="F1682" t="s">
        <v>34</v>
      </c>
      <c r="G1682" t="s">
        <v>35</v>
      </c>
      <c r="H1682">
        <v>9</v>
      </c>
      <c r="I1682">
        <v>3573</v>
      </c>
      <c r="J1682">
        <v>550.44000000000005</v>
      </c>
    </row>
    <row r="1683" spans="1:10" x14ac:dyDescent="0.25">
      <c r="A1683" s="1">
        <v>45153</v>
      </c>
      <c r="B1683" t="s">
        <v>55</v>
      </c>
      <c r="C1683" t="s">
        <v>19</v>
      </c>
      <c r="D1683" t="s">
        <v>12</v>
      </c>
      <c r="E1683" t="s">
        <v>370</v>
      </c>
      <c r="F1683" t="s">
        <v>23</v>
      </c>
      <c r="G1683" t="s">
        <v>24</v>
      </c>
      <c r="H1683">
        <v>8</v>
      </c>
      <c r="I1683">
        <v>1800</v>
      </c>
      <c r="J1683">
        <v>142.86000000000001</v>
      </c>
    </row>
    <row r="1684" spans="1:10" x14ac:dyDescent="0.25">
      <c r="A1684" s="1">
        <v>45258</v>
      </c>
      <c r="B1684" t="s">
        <v>10</v>
      </c>
      <c r="C1684" t="s">
        <v>11</v>
      </c>
      <c r="D1684" t="s">
        <v>12</v>
      </c>
      <c r="E1684" t="s">
        <v>370</v>
      </c>
      <c r="F1684" t="s">
        <v>23</v>
      </c>
      <c r="G1684" t="s">
        <v>24</v>
      </c>
      <c r="H1684">
        <v>8</v>
      </c>
      <c r="I1684">
        <v>3912</v>
      </c>
      <c r="J1684">
        <v>334.1</v>
      </c>
    </row>
    <row r="1685" spans="1:10" x14ac:dyDescent="0.25">
      <c r="A1685" s="1">
        <v>44776</v>
      </c>
      <c r="B1685" t="s">
        <v>29</v>
      </c>
      <c r="C1685" t="s">
        <v>17</v>
      </c>
      <c r="D1685" t="s">
        <v>12</v>
      </c>
      <c r="E1685" t="s">
        <v>370</v>
      </c>
      <c r="F1685" t="s">
        <v>23</v>
      </c>
      <c r="G1685" t="s">
        <v>24</v>
      </c>
      <c r="H1685">
        <v>8</v>
      </c>
      <c r="I1685">
        <v>5640</v>
      </c>
      <c r="J1685">
        <v>747.26</v>
      </c>
    </row>
    <row r="1686" spans="1:10" x14ac:dyDescent="0.25">
      <c r="A1686" s="1">
        <v>44806</v>
      </c>
      <c r="B1686" t="s">
        <v>18</v>
      </c>
      <c r="C1686" t="s">
        <v>19</v>
      </c>
      <c r="D1686" t="s">
        <v>12</v>
      </c>
      <c r="E1686" t="s">
        <v>67</v>
      </c>
      <c r="F1686" t="s">
        <v>54</v>
      </c>
      <c r="G1686" t="s">
        <v>24</v>
      </c>
      <c r="H1686">
        <v>1</v>
      </c>
      <c r="I1686">
        <v>552</v>
      </c>
      <c r="J1686">
        <v>115.74</v>
      </c>
    </row>
    <row r="1687" spans="1:10" x14ac:dyDescent="0.25">
      <c r="A1687" s="1">
        <v>44676</v>
      </c>
      <c r="B1687" t="s">
        <v>16</v>
      </c>
      <c r="C1687" t="s">
        <v>17</v>
      </c>
      <c r="D1687" t="s">
        <v>12</v>
      </c>
      <c r="E1687" t="s">
        <v>67</v>
      </c>
      <c r="F1687" t="s">
        <v>54</v>
      </c>
      <c r="G1687" t="s">
        <v>24</v>
      </c>
      <c r="H1687">
        <v>7</v>
      </c>
      <c r="I1687">
        <v>1428</v>
      </c>
      <c r="J1687">
        <v>289.64999999999998</v>
      </c>
    </row>
    <row r="1688" spans="1:10" x14ac:dyDescent="0.25">
      <c r="A1688" s="1">
        <v>44573</v>
      </c>
      <c r="B1688" t="s">
        <v>10</v>
      </c>
      <c r="C1688" t="s">
        <v>11</v>
      </c>
      <c r="D1688" t="s">
        <v>12</v>
      </c>
      <c r="E1688" t="s">
        <v>26</v>
      </c>
      <c r="F1688" t="s">
        <v>27</v>
      </c>
      <c r="G1688" t="s">
        <v>28</v>
      </c>
      <c r="H1688">
        <v>1</v>
      </c>
      <c r="I1688">
        <v>349</v>
      </c>
      <c r="J1688">
        <v>42.05</v>
      </c>
    </row>
    <row r="1689" spans="1:10" x14ac:dyDescent="0.25">
      <c r="A1689" s="1">
        <v>44864</v>
      </c>
      <c r="B1689" t="s">
        <v>18</v>
      </c>
      <c r="C1689" t="s">
        <v>19</v>
      </c>
      <c r="D1689" t="s">
        <v>12</v>
      </c>
      <c r="E1689" t="s">
        <v>408</v>
      </c>
      <c r="F1689" t="s">
        <v>78</v>
      </c>
      <c r="G1689" t="s">
        <v>28</v>
      </c>
      <c r="H1689">
        <v>6</v>
      </c>
      <c r="I1689">
        <v>6402</v>
      </c>
      <c r="J1689">
        <v>1366.28</v>
      </c>
    </row>
    <row r="1690" spans="1:10" x14ac:dyDescent="0.25">
      <c r="A1690" s="1">
        <v>45086</v>
      </c>
      <c r="B1690" t="s">
        <v>36</v>
      </c>
      <c r="C1690" t="s">
        <v>17</v>
      </c>
      <c r="D1690" t="s">
        <v>12</v>
      </c>
      <c r="E1690" t="s">
        <v>53</v>
      </c>
      <c r="F1690" t="s">
        <v>54</v>
      </c>
      <c r="G1690" t="s">
        <v>24</v>
      </c>
      <c r="H1690">
        <v>9</v>
      </c>
      <c r="I1690">
        <v>657</v>
      </c>
      <c r="J1690">
        <v>185.95</v>
      </c>
    </row>
    <row r="1691" spans="1:10" x14ac:dyDescent="0.25">
      <c r="A1691" s="1">
        <v>44939</v>
      </c>
      <c r="B1691" t="s">
        <v>16</v>
      </c>
      <c r="C1691" t="s">
        <v>17</v>
      </c>
      <c r="D1691" t="s">
        <v>12</v>
      </c>
      <c r="E1691" t="s">
        <v>105</v>
      </c>
      <c r="F1691" t="s">
        <v>23</v>
      </c>
      <c r="G1691" t="s">
        <v>24</v>
      </c>
      <c r="H1691">
        <v>7</v>
      </c>
      <c r="I1691">
        <v>5327</v>
      </c>
      <c r="J1691">
        <v>950.7</v>
      </c>
    </row>
    <row r="1692" spans="1:10" x14ac:dyDescent="0.25">
      <c r="A1692" s="1">
        <v>45318</v>
      </c>
      <c r="B1692" t="s">
        <v>49</v>
      </c>
      <c r="C1692" t="s">
        <v>17</v>
      </c>
      <c r="D1692" t="s">
        <v>12</v>
      </c>
      <c r="E1692" t="s">
        <v>56</v>
      </c>
      <c r="F1692" t="s">
        <v>57</v>
      </c>
      <c r="G1692" t="s">
        <v>24</v>
      </c>
      <c r="H1692">
        <v>4</v>
      </c>
      <c r="I1692">
        <v>4196</v>
      </c>
      <c r="J1692">
        <v>1152.45</v>
      </c>
    </row>
    <row r="1693" spans="1:10" x14ac:dyDescent="0.25">
      <c r="A1693" s="1">
        <v>45234</v>
      </c>
      <c r="B1693" t="s">
        <v>55</v>
      </c>
      <c r="C1693" t="s">
        <v>19</v>
      </c>
      <c r="D1693" t="s">
        <v>12</v>
      </c>
      <c r="E1693" t="s">
        <v>241</v>
      </c>
      <c r="F1693" t="s">
        <v>84</v>
      </c>
      <c r="G1693" t="s">
        <v>28</v>
      </c>
      <c r="H1693">
        <v>4</v>
      </c>
      <c r="I1693">
        <v>2892</v>
      </c>
      <c r="J1693">
        <v>863.47</v>
      </c>
    </row>
    <row r="1694" spans="1:10" x14ac:dyDescent="0.25">
      <c r="A1694" s="1">
        <v>45511</v>
      </c>
      <c r="B1694" t="s">
        <v>55</v>
      </c>
      <c r="C1694" t="s">
        <v>19</v>
      </c>
      <c r="D1694" t="s">
        <v>12</v>
      </c>
      <c r="E1694" t="s">
        <v>241</v>
      </c>
      <c r="F1694" t="s">
        <v>84</v>
      </c>
      <c r="G1694" t="s">
        <v>28</v>
      </c>
      <c r="H1694">
        <v>9</v>
      </c>
      <c r="I1694">
        <v>2772</v>
      </c>
      <c r="J1694">
        <v>432.77</v>
      </c>
    </row>
    <row r="1695" spans="1:10" x14ac:dyDescent="0.25">
      <c r="A1695" s="1">
        <v>45486</v>
      </c>
      <c r="B1695" t="s">
        <v>32</v>
      </c>
      <c r="C1695" t="s">
        <v>19</v>
      </c>
      <c r="D1695" t="s">
        <v>12</v>
      </c>
      <c r="E1695" t="s">
        <v>328</v>
      </c>
      <c r="F1695" t="s">
        <v>191</v>
      </c>
      <c r="G1695" t="s">
        <v>35</v>
      </c>
      <c r="H1695">
        <v>6</v>
      </c>
      <c r="I1695">
        <v>4692</v>
      </c>
      <c r="J1695">
        <v>1044.97</v>
      </c>
    </row>
    <row r="1696" spans="1:10" x14ac:dyDescent="0.25">
      <c r="A1696" s="1">
        <v>44902</v>
      </c>
      <c r="B1696" t="s">
        <v>16</v>
      </c>
      <c r="C1696" t="s">
        <v>17</v>
      </c>
      <c r="D1696" t="s">
        <v>12</v>
      </c>
      <c r="E1696" t="s">
        <v>52</v>
      </c>
      <c r="F1696" t="s">
        <v>42</v>
      </c>
      <c r="G1696" t="s">
        <v>28</v>
      </c>
      <c r="H1696">
        <v>6</v>
      </c>
      <c r="I1696">
        <v>2742</v>
      </c>
      <c r="J1696">
        <v>334.48</v>
      </c>
    </row>
    <row r="1697" spans="1:10" x14ac:dyDescent="0.25">
      <c r="A1697" s="1">
        <v>44942</v>
      </c>
      <c r="B1697" t="s">
        <v>40</v>
      </c>
      <c r="C1697" t="s">
        <v>19</v>
      </c>
      <c r="D1697" t="s">
        <v>12</v>
      </c>
      <c r="E1697" t="s">
        <v>123</v>
      </c>
      <c r="F1697" t="s">
        <v>63</v>
      </c>
      <c r="G1697" t="s">
        <v>28</v>
      </c>
      <c r="H1697">
        <v>8</v>
      </c>
      <c r="I1697">
        <v>8896</v>
      </c>
      <c r="J1697">
        <v>1154.96</v>
      </c>
    </row>
    <row r="1698" spans="1:10" x14ac:dyDescent="0.25">
      <c r="A1698" s="1">
        <v>44886</v>
      </c>
      <c r="B1698" t="s">
        <v>16</v>
      </c>
      <c r="C1698" t="s">
        <v>17</v>
      </c>
      <c r="D1698" t="s">
        <v>12</v>
      </c>
      <c r="E1698" t="s">
        <v>210</v>
      </c>
      <c r="F1698" t="s">
        <v>34</v>
      </c>
      <c r="G1698" t="s">
        <v>35</v>
      </c>
      <c r="H1698">
        <v>2</v>
      </c>
      <c r="I1698">
        <v>2344</v>
      </c>
      <c r="J1698">
        <v>385.19</v>
      </c>
    </row>
    <row r="1699" spans="1:10" x14ac:dyDescent="0.25">
      <c r="A1699" s="1">
        <v>44587</v>
      </c>
      <c r="B1699" t="s">
        <v>29</v>
      </c>
      <c r="C1699" t="s">
        <v>17</v>
      </c>
      <c r="D1699" t="s">
        <v>12</v>
      </c>
      <c r="E1699" t="s">
        <v>52</v>
      </c>
      <c r="F1699" t="s">
        <v>42</v>
      </c>
      <c r="G1699" t="s">
        <v>28</v>
      </c>
      <c r="H1699">
        <v>7</v>
      </c>
      <c r="I1699">
        <v>4186</v>
      </c>
      <c r="J1699">
        <v>655.53</v>
      </c>
    </row>
    <row r="1700" spans="1:10" x14ac:dyDescent="0.25">
      <c r="A1700" s="1">
        <v>45610</v>
      </c>
      <c r="B1700" t="s">
        <v>18</v>
      </c>
      <c r="C1700" t="s">
        <v>19</v>
      </c>
      <c r="D1700" t="s">
        <v>12</v>
      </c>
      <c r="E1700" t="s">
        <v>96</v>
      </c>
      <c r="F1700" t="s">
        <v>34</v>
      </c>
      <c r="G1700" t="s">
        <v>35</v>
      </c>
      <c r="H1700">
        <v>9</v>
      </c>
      <c r="I1700">
        <v>5238</v>
      </c>
      <c r="J1700">
        <v>1152.42</v>
      </c>
    </row>
    <row r="1701" spans="1:10" x14ac:dyDescent="0.25">
      <c r="A1701" s="1">
        <v>44854</v>
      </c>
      <c r="B1701" t="s">
        <v>16</v>
      </c>
      <c r="C1701" t="s">
        <v>17</v>
      </c>
      <c r="D1701" t="s">
        <v>12</v>
      </c>
      <c r="E1701" t="s">
        <v>37</v>
      </c>
      <c r="F1701" t="s">
        <v>34</v>
      </c>
      <c r="G1701" t="s">
        <v>35</v>
      </c>
      <c r="H1701">
        <v>3</v>
      </c>
      <c r="I1701">
        <v>2982</v>
      </c>
      <c r="J1701">
        <v>452.22</v>
      </c>
    </row>
    <row r="1702" spans="1:10" x14ac:dyDescent="0.25">
      <c r="A1702" s="1">
        <v>45426</v>
      </c>
      <c r="B1702" t="s">
        <v>32</v>
      </c>
      <c r="C1702" t="s">
        <v>19</v>
      </c>
      <c r="D1702" t="s">
        <v>12</v>
      </c>
      <c r="E1702" t="s">
        <v>22</v>
      </c>
      <c r="F1702" t="s">
        <v>23</v>
      </c>
      <c r="G1702" t="s">
        <v>24</v>
      </c>
      <c r="H1702">
        <v>4</v>
      </c>
      <c r="I1702">
        <v>2580</v>
      </c>
      <c r="J1702">
        <v>602.5</v>
      </c>
    </row>
    <row r="1703" spans="1:10" x14ac:dyDescent="0.25">
      <c r="A1703" s="1">
        <v>45308</v>
      </c>
      <c r="B1703" t="s">
        <v>49</v>
      </c>
      <c r="C1703" t="s">
        <v>17</v>
      </c>
      <c r="D1703" t="s">
        <v>12</v>
      </c>
      <c r="E1703" t="s">
        <v>56</v>
      </c>
      <c r="F1703" t="s">
        <v>57</v>
      </c>
      <c r="G1703" t="s">
        <v>24</v>
      </c>
      <c r="H1703">
        <v>5</v>
      </c>
      <c r="I1703">
        <v>2675</v>
      </c>
      <c r="J1703">
        <v>671.6</v>
      </c>
    </row>
    <row r="1704" spans="1:10" x14ac:dyDescent="0.25">
      <c r="A1704" s="1">
        <v>45503</v>
      </c>
      <c r="B1704" t="s">
        <v>10</v>
      </c>
      <c r="C1704" t="s">
        <v>11</v>
      </c>
      <c r="D1704" t="s">
        <v>12</v>
      </c>
      <c r="E1704" t="s">
        <v>409</v>
      </c>
      <c r="F1704" t="s">
        <v>84</v>
      </c>
      <c r="G1704" t="s">
        <v>28</v>
      </c>
      <c r="H1704">
        <v>4</v>
      </c>
      <c r="I1704">
        <v>2396</v>
      </c>
      <c r="J1704">
        <v>608.5</v>
      </c>
    </row>
    <row r="1705" spans="1:10" x14ac:dyDescent="0.25">
      <c r="A1705" s="1">
        <v>45565</v>
      </c>
      <c r="B1705" t="s">
        <v>55</v>
      </c>
      <c r="C1705" t="s">
        <v>19</v>
      </c>
      <c r="D1705" t="s">
        <v>12</v>
      </c>
      <c r="E1705" t="s">
        <v>26</v>
      </c>
      <c r="F1705" t="s">
        <v>27</v>
      </c>
      <c r="G1705" t="s">
        <v>28</v>
      </c>
      <c r="H1705">
        <v>5</v>
      </c>
      <c r="I1705">
        <v>1600</v>
      </c>
      <c r="J1705">
        <v>242.25</v>
      </c>
    </row>
    <row r="1706" spans="1:10" x14ac:dyDescent="0.25">
      <c r="A1706" s="1">
        <v>45178</v>
      </c>
      <c r="B1706" t="s">
        <v>32</v>
      </c>
      <c r="C1706" t="s">
        <v>19</v>
      </c>
      <c r="D1706" t="s">
        <v>12</v>
      </c>
      <c r="E1706" t="s">
        <v>22</v>
      </c>
      <c r="F1706" t="s">
        <v>23</v>
      </c>
      <c r="G1706" t="s">
        <v>24</v>
      </c>
      <c r="H1706">
        <v>4</v>
      </c>
      <c r="I1706">
        <v>304</v>
      </c>
      <c r="J1706">
        <v>34.729999999999997</v>
      </c>
    </row>
    <row r="1707" spans="1:10" x14ac:dyDescent="0.25">
      <c r="A1707" s="1">
        <v>45436</v>
      </c>
      <c r="B1707" t="s">
        <v>49</v>
      </c>
      <c r="C1707" t="s">
        <v>17</v>
      </c>
      <c r="D1707" t="s">
        <v>12</v>
      </c>
      <c r="E1707" t="s">
        <v>22</v>
      </c>
      <c r="F1707" t="s">
        <v>23</v>
      </c>
      <c r="G1707" t="s">
        <v>24</v>
      </c>
      <c r="H1707">
        <v>9</v>
      </c>
      <c r="I1707">
        <v>2070</v>
      </c>
      <c r="J1707">
        <v>457.39</v>
      </c>
    </row>
    <row r="1708" spans="1:10" x14ac:dyDescent="0.25">
      <c r="A1708" s="1">
        <v>44816</v>
      </c>
      <c r="B1708" t="s">
        <v>10</v>
      </c>
      <c r="C1708" t="s">
        <v>11</v>
      </c>
      <c r="D1708" t="s">
        <v>12</v>
      </c>
      <c r="E1708" t="s">
        <v>74</v>
      </c>
      <c r="F1708" t="s">
        <v>23</v>
      </c>
      <c r="G1708" t="s">
        <v>24</v>
      </c>
      <c r="H1708">
        <v>5</v>
      </c>
      <c r="I1708">
        <v>1230</v>
      </c>
      <c r="J1708">
        <v>158.22999999999999</v>
      </c>
    </row>
    <row r="1709" spans="1:10" x14ac:dyDescent="0.25">
      <c r="A1709" s="1">
        <v>45075</v>
      </c>
      <c r="B1709" t="s">
        <v>25</v>
      </c>
      <c r="C1709" t="s">
        <v>19</v>
      </c>
      <c r="D1709" t="s">
        <v>12</v>
      </c>
      <c r="E1709" t="s">
        <v>224</v>
      </c>
      <c r="F1709" t="s">
        <v>34</v>
      </c>
      <c r="G1709" t="s">
        <v>35</v>
      </c>
      <c r="H1709">
        <v>6</v>
      </c>
      <c r="I1709">
        <v>6234</v>
      </c>
      <c r="J1709">
        <v>758.78</v>
      </c>
    </row>
    <row r="1710" spans="1:10" x14ac:dyDescent="0.25">
      <c r="A1710" s="1">
        <v>45318</v>
      </c>
      <c r="B1710" t="s">
        <v>29</v>
      </c>
      <c r="C1710" t="s">
        <v>17</v>
      </c>
      <c r="D1710" t="s">
        <v>12</v>
      </c>
      <c r="E1710" t="s">
        <v>224</v>
      </c>
      <c r="F1710" t="s">
        <v>34</v>
      </c>
      <c r="G1710" t="s">
        <v>35</v>
      </c>
      <c r="H1710">
        <v>2</v>
      </c>
      <c r="I1710">
        <v>396</v>
      </c>
      <c r="J1710">
        <v>46.33</v>
      </c>
    </row>
    <row r="1711" spans="1:10" x14ac:dyDescent="0.25">
      <c r="A1711" s="1">
        <v>45155</v>
      </c>
      <c r="B1711" t="s">
        <v>16</v>
      </c>
      <c r="C1711" t="s">
        <v>17</v>
      </c>
      <c r="D1711" t="s">
        <v>12</v>
      </c>
      <c r="E1711" t="s">
        <v>410</v>
      </c>
      <c r="F1711" t="s">
        <v>108</v>
      </c>
      <c r="G1711" t="s">
        <v>15</v>
      </c>
      <c r="H1711">
        <v>9</v>
      </c>
      <c r="I1711">
        <v>2349</v>
      </c>
      <c r="J1711">
        <v>244.18</v>
      </c>
    </row>
    <row r="1712" spans="1:10" x14ac:dyDescent="0.25">
      <c r="A1712" s="1">
        <v>45122</v>
      </c>
      <c r="B1712" t="s">
        <v>29</v>
      </c>
      <c r="C1712" t="s">
        <v>17</v>
      </c>
      <c r="D1712" t="s">
        <v>12</v>
      </c>
      <c r="E1712" t="s">
        <v>111</v>
      </c>
      <c r="F1712" t="s">
        <v>115</v>
      </c>
      <c r="G1712" t="s">
        <v>15</v>
      </c>
      <c r="H1712">
        <v>9</v>
      </c>
      <c r="I1712">
        <v>5949</v>
      </c>
      <c r="J1712">
        <v>626.91999999999996</v>
      </c>
    </row>
    <row r="1713" spans="1:10" x14ac:dyDescent="0.25">
      <c r="A1713" s="1">
        <v>44576</v>
      </c>
      <c r="B1713" t="s">
        <v>10</v>
      </c>
      <c r="C1713" t="s">
        <v>11</v>
      </c>
      <c r="D1713" t="s">
        <v>12</v>
      </c>
      <c r="E1713" t="s">
        <v>56</v>
      </c>
      <c r="F1713" t="s">
        <v>57</v>
      </c>
      <c r="G1713" t="s">
        <v>24</v>
      </c>
      <c r="H1713">
        <v>7</v>
      </c>
      <c r="I1713">
        <v>5957</v>
      </c>
      <c r="J1713">
        <v>1433.85</v>
      </c>
    </row>
    <row r="1714" spans="1:10" x14ac:dyDescent="0.25">
      <c r="A1714" s="1">
        <v>45630</v>
      </c>
      <c r="B1714" t="s">
        <v>29</v>
      </c>
      <c r="C1714" t="s">
        <v>17</v>
      </c>
      <c r="D1714" t="s">
        <v>12</v>
      </c>
      <c r="E1714" t="s">
        <v>37</v>
      </c>
      <c r="F1714" t="s">
        <v>34</v>
      </c>
      <c r="G1714" t="s">
        <v>35</v>
      </c>
      <c r="H1714">
        <v>3</v>
      </c>
      <c r="I1714">
        <v>1989</v>
      </c>
      <c r="J1714">
        <v>299.79000000000002</v>
      </c>
    </row>
    <row r="1715" spans="1:10" x14ac:dyDescent="0.25">
      <c r="A1715" s="1">
        <v>45615</v>
      </c>
      <c r="B1715" t="s">
        <v>16</v>
      </c>
      <c r="C1715" t="s">
        <v>17</v>
      </c>
      <c r="D1715" t="s">
        <v>12</v>
      </c>
      <c r="E1715" t="s">
        <v>26</v>
      </c>
      <c r="F1715" t="s">
        <v>27</v>
      </c>
      <c r="G1715" t="s">
        <v>28</v>
      </c>
      <c r="H1715">
        <v>1</v>
      </c>
      <c r="I1715">
        <v>1138</v>
      </c>
      <c r="J1715">
        <v>243.36</v>
      </c>
    </row>
    <row r="1716" spans="1:10" x14ac:dyDescent="0.25">
      <c r="A1716" s="1">
        <v>44666</v>
      </c>
      <c r="B1716" t="s">
        <v>18</v>
      </c>
      <c r="C1716" t="s">
        <v>19</v>
      </c>
      <c r="D1716" t="s">
        <v>12</v>
      </c>
      <c r="E1716" t="s">
        <v>43</v>
      </c>
      <c r="F1716" t="s">
        <v>44</v>
      </c>
      <c r="G1716" t="s">
        <v>35</v>
      </c>
      <c r="H1716">
        <v>9</v>
      </c>
      <c r="I1716">
        <v>3321</v>
      </c>
      <c r="J1716">
        <v>689.64</v>
      </c>
    </row>
    <row r="1717" spans="1:10" x14ac:dyDescent="0.25">
      <c r="A1717" s="1">
        <v>45202</v>
      </c>
      <c r="B1717" t="s">
        <v>25</v>
      </c>
      <c r="C1717" t="s">
        <v>19</v>
      </c>
      <c r="D1717" t="s">
        <v>12</v>
      </c>
      <c r="E1717" t="s">
        <v>213</v>
      </c>
      <c r="F1717" t="s">
        <v>34</v>
      </c>
      <c r="G1717" t="s">
        <v>35</v>
      </c>
      <c r="H1717">
        <v>4</v>
      </c>
      <c r="I1717">
        <v>4480</v>
      </c>
      <c r="J1717">
        <v>592.82000000000005</v>
      </c>
    </row>
    <row r="1718" spans="1:10" x14ac:dyDescent="0.25">
      <c r="A1718" s="1">
        <v>44971</v>
      </c>
      <c r="B1718" t="s">
        <v>32</v>
      </c>
      <c r="C1718" t="s">
        <v>19</v>
      </c>
      <c r="D1718" t="s">
        <v>12</v>
      </c>
      <c r="E1718" t="s">
        <v>213</v>
      </c>
      <c r="F1718" t="s">
        <v>34</v>
      </c>
      <c r="G1718" t="s">
        <v>35</v>
      </c>
      <c r="H1718">
        <v>3</v>
      </c>
      <c r="I1718">
        <v>1533</v>
      </c>
      <c r="J1718">
        <v>440.88</v>
      </c>
    </row>
    <row r="1719" spans="1:10" x14ac:dyDescent="0.25">
      <c r="A1719" s="1">
        <v>45332</v>
      </c>
      <c r="B1719" t="s">
        <v>16</v>
      </c>
      <c r="C1719" t="s">
        <v>17</v>
      </c>
      <c r="D1719" t="s">
        <v>12</v>
      </c>
      <c r="E1719" t="s">
        <v>22</v>
      </c>
      <c r="F1719" t="s">
        <v>23</v>
      </c>
      <c r="G1719" t="s">
        <v>24</v>
      </c>
      <c r="H1719">
        <v>1</v>
      </c>
      <c r="I1719">
        <v>109</v>
      </c>
      <c r="J1719">
        <v>10.35</v>
      </c>
    </row>
    <row r="1720" spans="1:10" x14ac:dyDescent="0.25">
      <c r="A1720" s="1">
        <v>45389</v>
      </c>
      <c r="B1720" t="s">
        <v>40</v>
      </c>
      <c r="C1720" t="s">
        <v>19</v>
      </c>
      <c r="D1720" t="s">
        <v>12</v>
      </c>
      <c r="E1720" t="s">
        <v>43</v>
      </c>
      <c r="F1720" t="s">
        <v>44</v>
      </c>
      <c r="G1720" t="s">
        <v>35</v>
      </c>
      <c r="H1720">
        <v>4</v>
      </c>
      <c r="I1720">
        <v>2380</v>
      </c>
      <c r="J1720">
        <v>594.86</v>
      </c>
    </row>
    <row r="1721" spans="1:10" x14ac:dyDescent="0.25">
      <c r="A1721" s="1">
        <v>44795</v>
      </c>
      <c r="B1721" t="s">
        <v>10</v>
      </c>
      <c r="C1721" t="s">
        <v>11</v>
      </c>
      <c r="D1721" t="s">
        <v>12</v>
      </c>
      <c r="E1721" t="s">
        <v>74</v>
      </c>
      <c r="F1721" t="s">
        <v>23</v>
      </c>
      <c r="G1721" t="s">
        <v>24</v>
      </c>
      <c r="H1721">
        <v>8</v>
      </c>
      <c r="I1721">
        <v>2592</v>
      </c>
      <c r="J1721">
        <v>432.37</v>
      </c>
    </row>
    <row r="1722" spans="1:10" x14ac:dyDescent="0.25">
      <c r="A1722" s="1">
        <v>45268</v>
      </c>
      <c r="B1722" t="s">
        <v>55</v>
      </c>
      <c r="C1722" t="s">
        <v>19</v>
      </c>
      <c r="D1722" t="s">
        <v>12</v>
      </c>
      <c r="E1722" t="s">
        <v>74</v>
      </c>
      <c r="F1722" t="s">
        <v>23</v>
      </c>
      <c r="G1722" t="s">
        <v>24</v>
      </c>
      <c r="H1722">
        <v>6</v>
      </c>
      <c r="I1722">
        <v>5112</v>
      </c>
      <c r="J1722">
        <v>1289.47</v>
      </c>
    </row>
    <row r="1723" spans="1:10" x14ac:dyDescent="0.25">
      <c r="A1723" s="1">
        <v>45018</v>
      </c>
      <c r="B1723" t="s">
        <v>32</v>
      </c>
      <c r="C1723" t="s">
        <v>19</v>
      </c>
      <c r="D1723" t="s">
        <v>12</v>
      </c>
      <c r="E1723" t="s">
        <v>411</v>
      </c>
      <c r="F1723" t="s">
        <v>23</v>
      </c>
      <c r="G1723" t="s">
        <v>24</v>
      </c>
      <c r="H1723">
        <v>8</v>
      </c>
      <c r="I1723">
        <v>9392</v>
      </c>
      <c r="J1723">
        <v>1753.08</v>
      </c>
    </row>
    <row r="1724" spans="1:10" x14ac:dyDescent="0.25">
      <c r="A1724" s="1">
        <v>45586</v>
      </c>
      <c r="B1724" t="s">
        <v>55</v>
      </c>
      <c r="C1724" t="s">
        <v>19</v>
      </c>
      <c r="D1724" t="s">
        <v>12</v>
      </c>
      <c r="E1724" t="s">
        <v>43</v>
      </c>
      <c r="F1724" t="s">
        <v>44</v>
      </c>
      <c r="G1724" t="s">
        <v>35</v>
      </c>
      <c r="H1724">
        <v>2</v>
      </c>
      <c r="I1724">
        <v>2386</v>
      </c>
      <c r="J1724">
        <v>381.83</v>
      </c>
    </row>
    <row r="1725" spans="1:10" x14ac:dyDescent="0.25">
      <c r="A1725" s="1">
        <v>45629</v>
      </c>
      <c r="B1725" t="s">
        <v>32</v>
      </c>
      <c r="C1725" t="s">
        <v>19</v>
      </c>
      <c r="D1725" t="s">
        <v>12</v>
      </c>
      <c r="E1725" t="s">
        <v>210</v>
      </c>
      <c r="F1725" t="s">
        <v>34</v>
      </c>
      <c r="G1725" t="s">
        <v>35</v>
      </c>
      <c r="H1725">
        <v>5</v>
      </c>
      <c r="I1725">
        <v>465</v>
      </c>
      <c r="J1725">
        <v>71.23</v>
      </c>
    </row>
    <row r="1726" spans="1:10" x14ac:dyDescent="0.25">
      <c r="A1726" s="1">
        <v>45035</v>
      </c>
      <c r="B1726" t="s">
        <v>40</v>
      </c>
      <c r="C1726" t="s">
        <v>19</v>
      </c>
      <c r="D1726" t="s">
        <v>12</v>
      </c>
      <c r="E1726" t="s">
        <v>101</v>
      </c>
      <c r="F1726" t="s">
        <v>21</v>
      </c>
      <c r="G1726" t="s">
        <v>15</v>
      </c>
      <c r="H1726">
        <v>2</v>
      </c>
      <c r="I1726">
        <v>604</v>
      </c>
      <c r="J1726">
        <v>102.52</v>
      </c>
    </row>
    <row r="1727" spans="1:10" x14ac:dyDescent="0.25">
      <c r="A1727" s="1">
        <v>44836</v>
      </c>
      <c r="B1727" t="s">
        <v>32</v>
      </c>
      <c r="C1727" t="s">
        <v>19</v>
      </c>
      <c r="D1727" t="s">
        <v>12</v>
      </c>
      <c r="E1727" t="s">
        <v>52</v>
      </c>
      <c r="F1727" t="s">
        <v>42</v>
      </c>
      <c r="G1727" t="s">
        <v>28</v>
      </c>
      <c r="H1727">
        <v>2</v>
      </c>
      <c r="I1727">
        <v>2216</v>
      </c>
      <c r="J1727">
        <v>650.27</v>
      </c>
    </row>
    <row r="1728" spans="1:10" x14ac:dyDescent="0.25">
      <c r="A1728" s="1">
        <v>45083</v>
      </c>
      <c r="B1728" t="s">
        <v>16</v>
      </c>
      <c r="C1728" t="s">
        <v>17</v>
      </c>
      <c r="D1728" t="s">
        <v>12</v>
      </c>
      <c r="E1728" t="s">
        <v>105</v>
      </c>
      <c r="F1728" t="s">
        <v>23</v>
      </c>
      <c r="G1728" t="s">
        <v>24</v>
      </c>
      <c r="H1728">
        <v>4</v>
      </c>
      <c r="I1728">
        <v>1168</v>
      </c>
      <c r="J1728">
        <v>220.22</v>
      </c>
    </row>
    <row r="1729" spans="1:10" x14ac:dyDescent="0.25">
      <c r="A1729" s="1">
        <v>44587</v>
      </c>
      <c r="B1729" t="s">
        <v>36</v>
      </c>
      <c r="C1729" t="s">
        <v>17</v>
      </c>
      <c r="D1729" t="s">
        <v>12</v>
      </c>
      <c r="E1729" t="s">
        <v>412</v>
      </c>
      <c r="F1729" t="s">
        <v>222</v>
      </c>
      <c r="G1729" t="s">
        <v>35</v>
      </c>
      <c r="H1729">
        <v>7</v>
      </c>
      <c r="I1729">
        <v>4088</v>
      </c>
      <c r="J1729">
        <v>230.43</v>
      </c>
    </row>
    <row r="1730" spans="1:10" x14ac:dyDescent="0.25">
      <c r="A1730" s="1">
        <v>44616</v>
      </c>
      <c r="B1730" t="s">
        <v>49</v>
      </c>
      <c r="C1730" t="s">
        <v>17</v>
      </c>
      <c r="D1730" t="s">
        <v>12</v>
      </c>
      <c r="E1730" t="s">
        <v>307</v>
      </c>
      <c r="F1730" t="s">
        <v>156</v>
      </c>
      <c r="G1730" t="s">
        <v>28</v>
      </c>
      <c r="H1730">
        <v>7</v>
      </c>
      <c r="I1730">
        <v>2597</v>
      </c>
      <c r="J1730">
        <v>152.09</v>
      </c>
    </row>
    <row r="1731" spans="1:10" x14ac:dyDescent="0.25">
      <c r="A1731" s="1">
        <v>45160</v>
      </c>
      <c r="B1731" t="s">
        <v>32</v>
      </c>
      <c r="C1731" t="s">
        <v>19</v>
      </c>
      <c r="D1731" t="s">
        <v>12</v>
      </c>
      <c r="E1731" t="s">
        <v>77</v>
      </c>
      <c r="F1731" t="s">
        <v>78</v>
      </c>
      <c r="G1731" t="s">
        <v>28</v>
      </c>
      <c r="H1731">
        <v>3</v>
      </c>
      <c r="I1731">
        <v>2151</v>
      </c>
      <c r="J1731">
        <v>322.02999999999997</v>
      </c>
    </row>
    <row r="1732" spans="1:10" x14ac:dyDescent="0.25">
      <c r="A1732" s="1">
        <v>45543</v>
      </c>
      <c r="B1732" t="s">
        <v>55</v>
      </c>
      <c r="C1732" t="s">
        <v>19</v>
      </c>
      <c r="D1732" t="s">
        <v>12</v>
      </c>
      <c r="E1732" t="s">
        <v>105</v>
      </c>
      <c r="F1732" t="s">
        <v>23</v>
      </c>
      <c r="G1732" t="s">
        <v>24</v>
      </c>
      <c r="H1732">
        <v>6</v>
      </c>
      <c r="I1732">
        <v>462</v>
      </c>
      <c r="J1732">
        <v>71.22</v>
      </c>
    </row>
    <row r="1733" spans="1:10" x14ac:dyDescent="0.25">
      <c r="A1733" s="1">
        <v>44857</v>
      </c>
      <c r="B1733" t="s">
        <v>16</v>
      </c>
      <c r="C1733" t="s">
        <v>17</v>
      </c>
      <c r="D1733" t="s">
        <v>12</v>
      </c>
      <c r="E1733" t="s">
        <v>105</v>
      </c>
      <c r="F1733" t="s">
        <v>23</v>
      </c>
      <c r="G1733" t="s">
        <v>24</v>
      </c>
      <c r="H1733">
        <v>7</v>
      </c>
      <c r="I1733">
        <v>5957</v>
      </c>
      <c r="J1733">
        <v>1077.8599999999999</v>
      </c>
    </row>
    <row r="1734" spans="1:10" x14ac:dyDescent="0.25">
      <c r="A1734" s="1">
        <v>45273</v>
      </c>
      <c r="B1734" t="s">
        <v>40</v>
      </c>
      <c r="C1734" t="s">
        <v>19</v>
      </c>
      <c r="D1734" t="s">
        <v>12</v>
      </c>
      <c r="E1734" t="s">
        <v>74</v>
      </c>
      <c r="F1734" t="s">
        <v>23</v>
      </c>
      <c r="G1734" t="s">
        <v>24</v>
      </c>
      <c r="H1734">
        <v>6</v>
      </c>
      <c r="I1734">
        <v>6978</v>
      </c>
      <c r="J1734">
        <v>2028.63</v>
      </c>
    </row>
    <row r="1735" spans="1:10" x14ac:dyDescent="0.25">
      <c r="A1735" s="1">
        <v>45585</v>
      </c>
      <c r="B1735" t="s">
        <v>29</v>
      </c>
      <c r="C1735" t="s">
        <v>17</v>
      </c>
      <c r="D1735" t="s">
        <v>12</v>
      </c>
      <c r="E1735" t="s">
        <v>56</v>
      </c>
      <c r="F1735" t="s">
        <v>57</v>
      </c>
      <c r="G1735" t="s">
        <v>24</v>
      </c>
      <c r="H1735">
        <v>1</v>
      </c>
      <c r="I1735">
        <v>282</v>
      </c>
      <c r="J1735">
        <v>72.5</v>
      </c>
    </row>
    <row r="1736" spans="1:10" x14ac:dyDescent="0.25">
      <c r="A1736" s="1">
        <v>45265</v>
      </c>
      <c r="B1736" t="s">
        <v>25</v>
      </c>
      <c r="C1736" t="s">
        <v>19</v>
      </c>
      <c r="D1736" t="s">
        <v>12</v>
      </c>
      <c r="E1736" t="s">
        <v>56</v>
      </c>
      <c r="F1736" t="s">
        <v>57</v>
      </c>
      <c r="G1736" t="s">
        <v>24</v>
      </c>
      <c r="H1736">
        <v>1</v>
      </c>
      <c r="I1736">
        <v>157</v>
      </c>
      <c r="J1736">
        <v>27.65</v>
      </c>
    </row>
    <row r="1737" spans="1:10" x14ac:dyDescent="0.25">
      <c r="A1737" s="1">
        <v>45121</v>
      </c>
      <c r="B1737" t="s">
        <v>36</v>
      </c>
      <c r="C1737" t="s">
        <v>17</v>
      </c>
      <c r="D1737" t="s">
        <v>12</v>
      </c>
      <c r="E1737" t="s">
        <v>132</v>
      </c>
      <c r="F1737" t="s">
        <v>189</v>
      </c>
      <c r="G1737" t="s">
        <v>24</v>
      </c>
      <c r="H1737">
        <v>8</v>
      </c>
      <c r="I1737">
        <v>3304</v>
      </c>
      <c r="J1737">
        <v>404.33</v>
      </c>
    </row>
    <row r="1738" spans="1:10" x14ac:dyDescent="0.25">
      <c r="A1738" s="1">
        <v>44605</v>
      </c>
      <c r="B1738" t="s">
        <v>29</v>
      </c>
      <c r="C1738" t="s">
        <v>17</v>
      </c>
      <c r="D1738" t="s">
        <v>12</v>
      </c>
      <c r="E1738" t="s">
        <v>26</v>
      </c>
      <c r="F1738" t="s">
        <v>27</v>
      </c>
      <c r="G1738" t="s">
        <v>28</v>
      </c>
      <c r="H1738">
        <v>3</v>
      </c>
      <c r="I1738">
        <v>3051</v>
      </c>
      <c r="J1738">
        <v>201.26</v>
      </c>
    </row>
    <row r="1739" spans="1:10" x14ac:dyDescent="0.25">
      <c r="A1739" s="1">
        <v>45459</v>
      </c>
      <c r="B1739" t="s">
        <v>16</v>
      </c>
      <c r="C1739" t="s">
        <v>17</v>
      </c>
      <c r="D1739" t="s">
        <v>12</v>
      </c>
      <c r="E1739" t="s">
        <v>43</v>
      </c>
      <c r="F1739" t="s">
        <v>44</v>
      </c>
      <c r="G1739" t="s">
        <v>35</v>
      </c>
      <c r="H1739">
        <v>9</v>
      </c>
      <c r="I1739">
        <v>8082</v>
      </c>
      <c r="J1739">
        <v>1783.55</v>
      </c>
    </row>
    <row r="1740" spans="1:10" x14ac:dyDescent="0.25">
      <c r="A1740" s="1">
        <v>45579</v>
      </c>
      <c r="B1740" t="s">
        <v>55</v>
      </c>
      <c r="C1740" t="s">
        <v>19</v>
      </c>
      <c r="D1740" t="s">
        <v>12</v>
      </c>
      <c r="E1740" t="s">
        <v>43</v>
      </c>
      <c r="F1740" t="s">
        <v>44</v>
      </c>
      <c r="G1740" t="s">
        <v>35</v>
      </c>
      <c r="H1740">
        <v>3</v>
      </c>
      <c r="I1740">
        <v>510</v>
      </c>
      <c r="J1740">
        <v>110.38</v>
      </c>
    </row>
    <row r="1741" spans="1:10" x14ac:dyDescent="0.25">
      <c r="A1741" s="1">
        <v>45402</v>
      </c>
      <c r="B1741" t="s">
        <v>18</v>
      </c>
      <c r="C1741" t="s">
        <v>19</v>
      </c>
      <c r="D1741" t="s">
        <v>12</v>
      </c>
      <c r="E1741" t="s">
        <v>43</v>
      </c>
      <c r="F1741" t="s">
        <v>44</v>
      </c>
      <c r="G1741" t="s">
        <v>35</v>
      </c>
      <c r="H1741">
        <v>8</v>
      </c>
      <c r="I1741">
        <v>3976</v>
      </c>
      <c r="J1741">
        <v>1170.3599999999999</v>
      </c>
    </row>
    <row r="1742" spans="1:10" x14ac:dyDescent="0.25">
      <c r="A1742" s="1">
        <v>45286</v>
      </c>
      <c r="B1742" t="s">
        <v>40</v>
      </c>
      <c r="C1742" t="s">
        <v>19</v>
      </c>
      <c r="D1742" t="s">
        <v>12</v>
      </c>
      <c r="E1742" t="s">
        <v>52</v>
      </c>
      <c r="F1742" t="s">
        <v>42</v>
      </c>
      <c r="G1742" t="s">
        <v>28</v>
      </c>
      <c r="H1742">
        <v>9</v>
      </c>
      <c r="I1742">
        <v>828</v>
      </c>
      <c r="J1742">
        <v>59.99</v>
      </c>
    </row>
    <row r="1743" spans="1:10" x14ac:dyDescent="0.25">
      <c r="A1743" s="1">
        <v>45021</v>
      </c>
      <c r="B1743" t="s">
        <v>29</v>
      </c>
      <c r="C1743" t="s">
        <v>17</v>
      </c>
      <c r="D1743" t="s">
        <v>12</v>
      </c>
      <c r="E1743" t="s">
        <v>413</v>
      </c>
      <c r="F1743" t="s">
        <v>149</v>
      </c>
      <c r="G1743" t="s">
        <v>15</v>
      </c>
      <c r="H1743">
        <v>7</v>
      </c>
      <c r="I1743">
        <v>2457</v>
      </c>
      <c r="J1743">
        <v>388.11</v>
      </c>
    </row>
    <row r="1744" spans="1:10" x14ac:dyDescent="0.25">
      <c r="A1744" s="1">
        <v>45140</v>
      </c>
      <c r="B1744" t="s">
        <v>25</v>
      </c>
      <c r="C1744" t="s">
        <v>19</v>
      </c>
      <c r="D1744" t="s">
        <v>12</v>
      </c>
      <c r="E1744" t="s">
        <v>52</v>
      </c>
      <c r="F1744" t="s">
        <v>42</v>
      </c>
      <c r="G1744" t="s">
        <v>28</v>
      </c>
      <c r="H1744">
        <v>4</v>
      </c>
      <c r="I1744">
        <v>3924</v>
      </c>
      <c r="J1744">
        <v>298.07</v>
      </c>
    </row>
    <row r="1745" spans="1:10" x14ac:dyDescent="0.25">
      <c r="A1745" s="1">
        <v>44895</v>
      </c>
      <c r="B1745" t="s">
        <v>29</v>
      </c>
      <c r="C1745" t="s">
        <v>17</v>
      </c>
      <c r="D1745" t="s">
        <v>12</v>
      </c>
      <c r="E1745" t="s">
        <v>52</v>
      </c>
      <c r="F1745" t="s">
        <v>42</v>
      </c>
      <c r="G1745" t="s">
        <v>28</v>
      </c>
      <c r="H1745">
        <v>2</v>
      </c>
      <c r="I1745">
        <v>2018</v>
      </c>
      <c r="J1745">
        <v>227.75</v>
      </c>
    </row>
    <row r="1746" spans="1:10" x14ac:dyDescent="0.25">
      <c r="A1746" s="1">
        <v>45543</v>
      </c>
      <c r="B1746" t="s">
        <v>36</v>
      </c>
      <c r="C1746" t="s">
        <v>17</v>
      </c>
      <c r="D1746" t="s">
        <v>12</v>
      </c>
      <c r="E1746" t="s">
        <v>414</v>
      </c>
      <c r="F1746" t="s">
        <v>21</v>
      </c>
      <c r="G1746" t="s">
        <v>15</v>
      </c>
      <c r="H1746">
        <v>3</v>
      </c>
      <c r="I1746">
        <v>2043</v>
      </c>
      <c r="J1746">
        <v>479.9</v>
      </c>
    </row>
    <row r="1747" spans="1:10" x14ac:dyDescent="0.25">
      <c r="A1747" s="1">
        <v>45450</v>
      </c>
      <c r="B1747" t="s">
        <v>10</v>
      </c>
      <c r="C1747" t="s">
        <v>11</v>
      </c>
      <c r="D1747" t="s">
        <v>12</v>
      </c>
      <c r="E1747" t="s">
        <v>210</v>
      </c>
      <c r="F1747" t="s">
        <v>34</v>
      </c>
      <c r="G1747" t="s">
        <v>35</v>
      </c>
      <c r="H1747">
        <v>5</v>
      </c>
      <c r="I1747">
        <v>1035</v>
      </c>
      <c r="J1747">
        <v>187.12</v>
      </c>
    </row>
    <row r="1748" spans="1:10" x14ac:dyDescent="0.25">
      <c r="A1748" s="1">
        <v>45150</v>
      </c>
      <c r="B1748" t="s">
        <v>32</v>
      </c>
      <c r="C1748" t="s">
        <v>19</v>
      </c>
      <c r="D1748" t="s">
        <v>12</v>
      </c>
      <c r="E1748" t="s">
        <v>210</v>
      </c>
      <c r="F1748" t="s">
        <v>34</v>
      </c>
      <c r="G1748" t="s">
        <v>35</v>
      </c>
      <c r="H1748">
        <v>6</v>
      </c>
      <c r="I1748">
        <v>2724</v>
      </c>
      <c r="J1748">
        <v>675.53</v>
      </c>
    </row>
    <row r="1749" spans="1:10" x14ac:dyDescent="0.25">
      <c r="A1749" s="1">
        <v>45048</v>
      </c>
      <c r="B1749" t="s">
        <v>25</v>
      </c>
      <c r="C1749" t="s">
        <v>19</v>
      </c>
      <c r="D1749" t="s">
        <v>12</v>
      </c>
      <c r="E1749" t="s">
        <v>41</v>
      </c>
      <c r="F1749" t="s">
        <v>42</v>
      </c>
      <c r="G1749" t="s">
        <v>28</v>
      </c>
      <c r="H1749">
        <v>1</v>
      </c>
      <c r="I1749">
        <v>1120</v>
      </c>
      <c r="J1749">
        <v>127.32</v>
      </c>
    </row>
    <row r="1750" spans="1:10" x14ac:dyDescent="0.25">
      <c r="A1750" s="1">
        <v>45591</v>
      </c>
      <c r="B1750" t="s">
        <v>36</v>
      </c>
      <c r="C1750" t="s">
        <v>17</v>
      </c>
      <c r="D1750" t="s">
        <v>12</v>
      </c>
      <c r="E1750" t="s">
        <v>314</v>
      </c>
      <c r="F1750" t="s">
        <v>108</v>
      </c>
      <c r="G1750" t="s">
        <v>15</v>
      </c>
      <c r="H1750">
        <v>6</v>
      </c>
      <c r="I1750">
        <v>3438</v>
      </c>
      <c r="J1750">
        <v>631.95000000000005</v>
      </c>
    </row>
    <row r="1751" spans="1:10" x14ac:dyDescent="0.25">
      <c r="A1751" s="1">
        <v>44831</v>
      </c>
      <c r="B1751" t="s">
        <v>32</v>
      </c>
      <c r="C1751" t="s">
        <v>19</v>
      </c>
      <c r="D1751" t="s">
        <v>12</v>
      </c>
      <c r="E1751" t="s">
        <v>103</v>
      </c>
      <c r="F1751" t="s">
        <v>21</v>
      </c>
      <c r="G1751" t="s">
        <v>15</v>
      </c>
      <c r="H1751">
        <v>5</v>
      </c>
      <c r="I1751">
        <v>3170</v>
      </c>
      <c r="J1751">
        <v>379.27</v>
      </c>
    </row>
    <row r="1752" spans="1:10" x14ac:dyDescent="0.25">
      <c r="A1752" s="1">
        <v>45102</v>
      </c>
      <c r="B1752" t="s">
        <v>32</v>
      </c>
      <c r="C1752" t="s">
        <v>19</v>
      </c>
      <c r="D1752" t="s">
        <v>12</v>
      </c>
      <c r="E1752" t="s">
        <v>103</v>
      </c>
      <c r="F1752" t="s">
        <v>21</v>
      </c>
      <c r="G1752" t="s">
        <v>15</v>
      </c>
      <c r="H1752">
        <v>4</v>
      </c>
      <c r="I1752">
        <v>660</v>
      </c>
      <c r="J1752">
        <v>83.96</v>
      </c>
    </row>
    <row r="1753" spans="1:10" x14ac:dyDescent="0.25">
      <c r="A1753" s="1">
        <v>44870</v>
      </c>
      <c r="B1753" t="s">
        <v>18</v>
      </c>
      <c r="C1753" t="s">
        <v>19</v>
      </c>
      <c r="D1753" t="s">
        <v>12</v>
      </c>
      <c r="E1753" t="s">
        <v>103</v>
      </c>
      <c r="F1753" t="s">
        <v>21</v>
      </c>
      <c r="G1753" t="s">
        <v>15</v>
      </c>
      <c r="H1753">
        <v>7</v>
      </c>
      <c r="I1753">
        <v>4669</v>
      </c>
      <c r="J1753">
        <v>1088.1500000000001</v>
      </c>
    </row>
    <row r="1754" spans="1:10" x14ac:dyDescent="0.25">
      <c r="A1754" s="1">
        <v>44785</v>
      </c>
      <c r="B1754" t="s">
        <v>32</v>
      </c>
      <c r="C1754" t="s">
        <v>19</v>
      </c>
      <c r="D1754" t="s">
        <v>12</v>
      </c>
      <c r="E1754" t="s">
        <v>74</v>
      </c>
      <c r="F1754" t="s">
        <v>23</v>
      </c>
      <c r="G1754" t="s">
        <v>24</v>
      </c>
      <c r="H1754">
        <v>5</v>
      </c>
      <c r="I1754">
        <v>1045</v>
      </c>
      <c r="J1754">
        <v>89</v>
      </c>
    </row>
    <row r="1755" spans="1:10" x14ac:dyDescent="0.25">
      <c r="A1755" s="1">
        <v>44619</v>
      </c>
      <c r="B1755" t="s">
        <v>49</v>
      </c>
      <c r="C1755" t="s">
        <v>17</v>
      </c>
      <c r="D1755" t="s">
        <v>12</v>
      </c>
      <c r="E1755" t="s">
        <v>43</v>
      </c>
      <c r="F1755" t="s">
        <v>44</v>
      </c>
      <c r="G1755" t="s">
        <v>35</v>
      </c>
      <c r="H1755">
        <v>4</v>
      </c>
      <c r="I1755">
        <v>2724</v>
      </c>
      <c r="J1755">
        <v>229.47</v>
      </c>
    </row>
    <row r="1756" spans="1:10" x14ac:dyDescent="0.25">
      <c r="A1756" s="1">
        <v>45183</v>
      </c>
      <c r="B1756" t="s">
        <v>29</v>
      </c>
      <c r="C1756" t="s">
        <v>17</v>
      </c>
      <c r="D1756" t="s">
        <v>12</v>
      </c>
      <c r="E1756" t="s">
        <v>53</v>
      </c>
      <c r="F1756" t="s">
        <v>44</v>
      </c>
      <c r="G1756" t="s">
        <v>35</v>
      </c>
      <c r="H1756">
        <v>8</v>
      </c>
      <c r="I1756">
        <v>5312</v>
      </c>
      <c r="J1756">
        <v>1583</v>
      </c>
    </row>
    <row r="1757" spans="1:10" x14ac:dyDescent="0.25">
      <c r="A1757" s="1">
        <v>45619</v>
      </c>
      <c r="B1757" t="s">
        <v>18</v>
      </c>
      <c r="C1757" t="s">
        <v>19</v>
      </c>
      <c r="D1757" t="s">
        <v>12</v>
      </c>
      <c r="E1757" t="s">
        <v>52</v>
      </c>
      <c r="F1757" t="s">
        <v>42</v>
      </c>
      <c r="G1757" t="s">
        <v>28</v>
      </c>
      <c r="H1757">
        <v>4</v>
      </c>
      <c r="I1757">
        <v>4252</v>
      </c>
      <c r="J1757">
        <v>445.18</v>
      </c>
    </row>
    <row r="1758" spans="1:10" x14ac:dyDescent="0.25">
      <c r="A1758" s="1">
        <v>45574</v>
      </c>
      <c r="B1758" t="s">
        <v>10</v>
      </c>
      <c r="C1758" t="s">
        <v>11</v>
      </c>
      <c r="D1758" t="s">
        <v>12</v>
      </c>
      <c r="E1758" t="s">
        <v>384</v>
      </c>
      <c r="F1758" t="s">
        <v>23</v>
      </c>
      <c r="G1758" t="s">
        <v>24</v>
      </c>
      <c r="H1758">
        <v>7</v>
      </c>
      <c r="I1758">
        <v>8057</v>
      </c>
      <c r="J1758">
        <v>1652.27</v>
      </c>
    </row>
    <row r="1759" spans="1:10" x14ac:dyDescent="0.25">
      <c r="A1759" s="1">
        <v>45097</v>
      </c>
      <c r="B1759" t="s">
        <v>49</v>
      </c>
      <c r="C1759" t="s">
        <v>17</v>
      </c>
      <c r="D1759" t="s">
        <v>12</v>
      </c>
      <c r="E1759" t="s">
        <v>103</v>
      </c>
      <c r="F1759" t="s">
        <v>149</v>
      </c>
      <c r="G1759" t="s">
        <v>15</v>
      </c>
      <c r="H1759">
        <v>7</v>
      </c>
      <c r="I1759">
        <v>2023</v>
      </c>
      <c r="J1759">
        <v>274.25</v>
      </c>
    </row>
    <row r="1760" spans="1:10" x14ac:dyDescent="0.25">
      <c r="A1760" s="1">
        <v>45367</v>
      </c>
      <c r="B1760" t="s">
        <v>36</v>
      </c>
      <c r="C1760" t="s">
        <v>17</v>
      </c>
      <c r="D1760" t="s">
        <v>12</v>
      </c>
      <c r="E1760" t="s">
        <v>390</v>
      </c>
      <c r="F1760" t="s">
        <v>44</v>
      </c>
      <c r="G1760" t="s">
        <v>35</v>
      </c>
      <c r="H1760">
        <v>8</v>
      </c>
      <c r="I1760">
        <v>9416</v>
      </c>
      <c r="J1760">
        <v>2125.54</v>
      </c>
    </row>
    <row r="1761" spans="1:10" x14ac:dyDescent="0.25">
      <c r="A1761" s="1">
        <v>45257</v>
      </c>
      <c r="B1761" t="s">
        <v>36</v>
      </c>
      <c r="C1761" t="s">
        <v>17</v>
      </c>
      <c r="D1761" t="s">
        <v>12</v>
      </c>
      <c r="E1761" t="s">
        <v>192</v>
      </c>
      <c r="F1761" t="s">
        <v>149</v>
      </c>
      <c r="G1761" t="s">
        <v>15</v>
      </c>
      <c r="H1761">
        <v>8</v>
      </c>
      <c r="I1761">
        <v>7560</v>
      </c>
      <c r="J1761">
        <v>494.34</v>
      </c>
    </row>
    <row r="1762" spans="1:10" x14ac:dyDescent="0.25">
      <c r="A1762" s="1">
        <v>44934</v>
      </c>
      <c r="B1762" t="s">
        <v>36</v>
      </c>
      <c r="C1762" t="s">
        <v>17</v>
      </c>
      <c r="D1762" t="s">
        <v>12</v>
      </c>
      <c r="E1762" t="s">
        <v>22</v>
      </c>
      <c r="F1762" t="s">
        <v>23</v>
      </c>
      <c r="G1762" t="s">
        <v>24</v>
      </c>
      <c r="H1762">
        <v>2</v>
      </c>
      <c r="I1762">
        <v>828</v>
      </c>
      <c r="J1762">
        <v>50.07</v>
      </c>
    </row>
    <row r="1763" spans="1:10" x14ac:dyDescent="0.25">
      <c r="A1763" s="1">
        <v>45267</v>
      </c>
      <c r="B1763" t="s">
        <v>16</v>
      </c>
      <c r="C1763" t="s">
        <v>17</v>
      </c>
      <c r="D1763" t="s">
        <v>12</v>
      </c>
      <c r="E1763" t="s">
        <v>244</v>
      </c>
      <c r="F1763" t="s">
        <v>23</v>
      </c>
      <c r="G1763" t="s">
        <v>24</v>
      </c>
      <c r="H1763">
        <v>1</v>
      </c>
      <c r="I1763">
        <v>527</v>
      </c>
      <c r="J1763">
        <v>27.45</v>
      </c>
    </row>
    <row r="1764" spans="1:10" x14ac:dyDescent="0.25">
      <c r="A1764" s="1">
        <v>44815</v>
      </c>
      <c r="B1764" t="s">
        <v>49</v>
      </c>
      <c r="C1764" t="s">
        <v>17</v>
      </c>
      <c r="D1764" t="s">
        <v>12</v>
      </c>
      <c r="E1764" t="s">
        <v>37</v>
      </c>
      <c r="F1764" t="s">
        <v>34</v>
      </c>
      <c r="G1764" t="s">
        <v>35</v>
      </c>
      <c r="H1764">
        <v>2</v>
      </c>
      <c r="I1764">
        <v>1160</v>
      </c>
      <c r="J1764">
        <v>206.49</v>
      </c>
    </row>
    <row r="1765" spans="1:10" x14ac:dyDescent="0.25">
      <c r="A1765" s="1">
        <v>44649</v>
      </c>
      <c r="B1765" t="s">
        <v>16</v>
      </c>
      <c r="C1765" t="s">
        <v>17</v>
      </c>
      <c r="D1765" t="s">
        <v>12</v>
      </c>
      <c r="E1765" t="s">
        <v>75</v>
      </c>
      <c r="F1765" t="s">
        <v>108</v>
      </c>
      <c r="G1765" t="s">
        <v>15</v>
      </c>
      <c r="H1765">
        <v>5</v>
      </c>
      <c r="I1765">
        <v>5430</v>
      </c>
      <c r="J1765">
        <v>310.86</v>
      </c>
    </row>
    <row r="1766" spans="1:10" x14ac:dyDescent="0.25">
      <c r="A1766" s="1">
        <v>45306</v>
      </c>
      <c r="B1766" t="s">
        <v>18</v>
      </c>
      <c r="C1766" t="s">
        <v>19</v>
      </c>
      <c r="D1766" t="s">
        <v>12</v>
      </c>
      <c r="E1766" t="s">
        <v>326</v>
      </c>
      <c r="F1766" t="s">
        <v>34</v>
      </c>
      <c r="G1766" t="s">
        <v>35</v>
      </c>
      <c r="H1766">
        <v>7</v>
      </c>
      <c r="I1766">
        <v>6874</v>
      </c>
      <c r="J1766">
        <v>454.53</v>
      </c>
    </row>
    <row r="1767" spans="1:10" x14ac:dyDescent="0.25">
      <c r="A1767" s="1">
        <v>45119</v>
      </c>
      <c r="B1767" t="s">
        <v>10</v>
      </c>
      <c r="C1767" t="s">
        <v>11</v>
      </c>
      <c r="D1767" t="s">
        <v>12</v>
      </c>
      <c r="E1767" t="s">
        <v>415</v>
      </c>
      <c r="F1767" t="s">
        <v>84</v>
      </c>
      <c r="G1767" t="s">
        <v>28</v>
      </c>
      <c r="H1767">
        <v>8</v>
      </c>
      <c r="I1767">
        <v>8952</v>
      </c>
      <c r="J1767">
        <v>1825.37</v>
      </c>
    </row>
    <row r="1768" spans="1:10" x14ac:dyDescent="0.25">
      <c r="A1768" s="1">
        <v>44718</v>
      </c>
      <c r="B1768" t="s">
        <v>16</v>
      </c>
      <c r="C1768" t="s">
        <v>17</v>
      </c>
      <c r="D1768" t="s">
        <v>12</v>
      </c>
      <c r="E1768" t="s">
        <v>239</v>
      </c>
      <c r="F1768" t="s">
        <v>23</v>
      </c>
      <c r="G1768" t="s">
        <v>24</v>
      </c>
      <c r="H1768">
        <v>8</v>
      </c>
      <c r="I1768">
        <v>416</v>
      </c>
      <c r="J1768">
        <v>67.81</v>
      </c>
    </row>
    <row r="1769" spans="1:10" x14ac:dyDescent="0.25">
      <c r="A1769" s="1">
        <v>45248</v>
      </c>
      <c r="B1769" t="s">
        <v>40</v>
      </c>
      <c r="C1769" t="s">
        <v>19</v>
      </c>
      <c r="D1769" t="s">
        <v>12</v>
      </c>
      <c r="E1769" t="s">
        <v>341</v>
      </c>
      <c r="F1769" t="s">
        <v>46</v>
      </c>
      <c r="G1769" t="s">
        <v>15</v>
      </c>
      <c r="H1769">
        <v>3</v>
      </c>
      <c r="I1769">
        <v>1680</v>
      </c>
      <c r="J1769">
        <v>140.27000000000001</v>
      </c>
    </row>
    <row r="1770" spans="1:10" x14ac:dyDescent="0.25">
      <c r="A1770" s="1">
        <v>44800</v>
      </c>
      <c r="B1770" t="s">
        <v>16</v>
      </c>
      <c r="C1770" t="s">
        <v>17</v>
      </c>
      <c r="D1770" t="s">
        <v>12</v>
      </c>
      <c r="E1770" t="s">
        <v>341</v>
      </c>
      <c r="F1770" t="s">
        <v>46</v>
      </c>
      <c r="G1770" t="s">
        <v>15</v>
      </c>
      <c r="H1770">
        <v>7</v>
      </c>
      <c r="I1770">
        <v>4340</v>
      </c>
      <c r="J1770">
        <v>383.9</v>
      </c>
    </row>
    <row r="1771" spans="1:10" x14ac:dyDescent="0.25">
      <c r="A1771" s="1">
        <v>44577</v>
      </c>
      <c r="B1771" t="s">
        <v>55</v>
      </c>
      <c r="C1771" t="s">
        <v>19</v>
      </c>
      <c r="D1771" t="s">
        <v>12</v>
      </c>
      <c r="E1771" t="s">
        <v>86</v>
      </c>
      <c r="F1771" t="s">
        <v>84</v>
      </c>
      <c r="G1771" t="s">
        <v>28</v>
      </c>
      <c r="H1771">
        <v>9</v>
      </c>
      <c r="I1771">
        <v>7650</v>
      </c>
      <c r="J1771">
        <v>2130.8200000000002</v>
      </c>
    </row>
    <row r="1772" spans="1:10" x14ac:dyDescent="0.25">
      <c r="A1772" s="1">
        <v>45385</v>
      </c>
      <c r="B1772" t="s">
        <v>32</v>
      </c>
      <c r="C1772" t="s">
        <v>19</v>
      </c>
      <c r="D1772" t="s">
        <v>12</v>
      </c>
      <c r="E1772" t="s">
        <v>86</v>
      </c>
      <c r="F1772" t="s">
        <v>84</v>
      </c>
      <c r="G1772" t="s">
        <v>28</v>
      </c>
      <c r="H1772">
        <v>8</v>
      </c>
      <c r="I1772">
        <v>6328</v>
      </c>
      <c r="J1772">
        <v>412.76</v>
      </c>
    </row>
    <row r="1773" spans="1:10" x14ac:dyDescent="0.25">
      <c r="A1773" s="1">
        <v>44792</v>
      </c>
      <c r="B1773" t="s">
        <v>49</v>
      </c>
      <c r="C1773" t="s">
        <v>17</v>
      </c>
      <c r="D1773" t="s">
        <v>12</v>
      </c>
      <c r="E1773" t="s">
        <v>86</v>
      </c>
      <c r="F1773" t="s">
        <v>84</v>
      </c>
      <c r="G1773" t="s">
        <v>28</v>
      </c>
      <c r="H1773">
        <v>2</v>
      </c>
      <c r="I1773">
        <v>1312</v>
      </c>
      <c r="J1773">
        <v>344</v>
      </c>
    </row>
    <row r="1774" spans="1:10" x14ac:dyDescent="0.25">
      <c r="A1774" s="1">
        <v>44582</v>
      </c>
      <c r="B1774" t="s">
        <v>25</v>
      </c>
      <c r="C1774" t="s">
        <v>19</v>
      </c>
      <c r="D1774" t="s">
        <v>12</v>
      </c>
      <c r="E1774" t="s">
        <v>26</v>
      </c>
      <c r="F1774" t="s">
        <v>27</v>
      </c>
      <c r="G1774" t="s">
        <v>28</v>
      </c>
      <c r="H1774">
        <v>9</v>
      </c>
      <c r="I1774">
        <v>8055</v>
      </c>
      <c r="J1774">
        <v>2300.17</v>
      </c>
    </row>
    <row r="1775" spans="1:10" x14ac:dyDescent="0.25">
      <c r="A1775" s="1">
        <v>44639</v>
      </c>
      <c r="B1775" t="s">
        <v>25</v>
      </c>
      <c r="C1775" t="s">
        <v>19</v>
      </c>
      <c r="D1775" t="s">
        <v>12</v>
      </c>
      <c r="E1775" t="s">
        <v>26</v>
      </c>
      <c r="F1775" t="s">
        <v>27</v>
      </c>
      <c r="G1775" t="s">
        <v>28</v>
      </c>
      <c r="H1775">
        <v>2</v>
      </c>
      <c r="I1775">
        <v>840</v>
      </c>
      <c r="J1775">
        <v>153.61000000000001</v>
      </c>
    </row>
    <row r="1776" spans="1:10" x14ac:dyDescent="0.25">
      <c r="A1776" s="1">
        <v>45001</v>
      </c>
      <c r="B1776" t="s">
        <v>18</v>
      </c>
      <c r="C1776" t="s">
        <v>19</v>
      </c>
      <c r="D1776" t="s">
        <v>12</v>
      </c>
      <c r="E1776" t="s">
        <v>416</v>
      </c>
      <c r="F1776" t="s">
        <v>108</v>
      </c>
      <c r="G1776" t="s">
        <v>15</v>
      </c>
      <c r="H1776">
        <v>9</v>
      </c>
      <c r="I1776">
        <v>9423</v>
      </c>
      <c r="J1776">
        <v>2794.89</v>
      </c>
    </row>
    <row r="1777" spans="1:10" x14ac:dyDescent="0.25">
      <c r="A1777" s="1">
        <v>45290</v>
      </c>
      <c r="B1777" t="s">
        <v>36</v>
      </c>
      <c r="C1777" t="s">
        <v>17</v>
      </c>
      <c r="D1777" t="s">
        <v>12</v>
      </c>
      <c r="E1777" t="s">
        <v>178</v>
      </c>
      <c r="F1777" t="s">
        <v>34</v>
      </c>
      <c r="G1777" t="s">
        <v>35</v>
      </c>
      <c r="H1777">
        <v>8</v>
      </c>
      <c r="I1777">
        <v>6520</v>
      </c>
      <c r="J1777">
        <v>1113.1199999999999</v>
      </c>
    </row>
    <row r="1778" spans="1:10" x14ac:dyDescent="0.25">
      <c r="A1778" s="1">
        <v>44854</v>
      </c>
      <c r="B1778" t="s">
        <v>55</v>
      </c>
      <c r="C1778" t="s">
        <v>19</v>
      </c>
      <c r="D1778" t="s">
        <v>12</v>
      </c>
      <c r="E1778" t="s">
        <v>22</v>
      </c>
      <c r="F1778" t="s">
        <v>23</v>
      </c>
      <c r="G1778" t="s">
        <v>24</v>
      </c>
      <c r="H1778">
        <v>3</v>
      </c>
      <c r="I1778">
        <v>1950</v>
      </c>
      <c r="J1778">
        <v>116.12</v>
      </c>
    </row>
    <row r="1779" spans="1:10" x14ac:dyDescent="0.25">
      <c r="A1779" s="1">
        <v>45215</v>
      </c>
      <c r="B1779" t="s">
        <v>25</v>
      </c>
      <c r="C1779" t="s">
        <v>19</v>
      </c>
      <c r="D1779" t="s">
        <v>12</v>
      </c>
      <c r="E1779" t="s">
        <v>159</v>
      </c>
      <c r="F1779" t="s">
        <v>23</v>
      </c>
      <c r="G1779" t="s">
        <v>24</v>
      </c>
      <c r="H1779">
        <v>6</v>
      </c>
      <c r="I1779">
        <v>5928</v>
      </c>
      <c r="J1779">
        <v>1177.2</v>
      </c>
    </row>
    <row r="1780" spans="1:10" x14ac:dyDescent="0.25">
      <c r="A1780" s="1">
        <v>45136</v>
      </c>
      <c r="B1780" t="s">
        <v>25</v>
      </c>
      <c r="C1780" t="s">
        <v>19</v>
      </c>
      <c r="D1780" t="s">
        <v>12</v>
      </c>
      <c r="E1780" t="s">
        <v>56</v>
      </c>
      <c r="F1780" t="s">
        <v>57</v>
      </c>
      <c r="G1780" t="s">
        <v>24</v>
      </c>
      <c r="H1780">
        <v>7</v>
      </c>
      <c r="I1780">
        <v>4809</v>
      </c>
      <c r="J1780">
        <v>1418.72</v>
      </c>
    </row>
    <row r="1781" spans="1:10" x14ac:dyDescent="0.25">
      <c r="A1781" s="1">
        <v>45081</v>
      </c>
      <c r="B1781" t="s">
        <v>40</v>
      </c>
      <c r="C1781" t="s">
        <v>19</v>
      </c>
      <c r="D1781" t="s">
        <v>12</v>
      </c>
      <c r="E1781" t="s">
        <v>37</v>
      </c>
      <c r="F1781" t="s">
        <v>34</v>
      </c>
      <c r="G1781" t="s">
        <v>35</v>
      </c>
      <c r="H1781">
        <v>4</v>
      </c>
      <c r="I1781">
        <v>356</v>
      </c>
      <c r="J1781">
        <v>23.4</v>
      </c>
    </row>
    <row r="1782" spans="1:10" x14ac:dyDescent="0.25">
      <c r="A1782" s="1">
        <v>45044</v>
      </c>
      <c r="B1782" t="s">
        <v>55</v>
      </c>
      <c r="C1782" t="s">
        <v>19</v>
      </c>
      <c r="D1782" t="s">
        <v>12</v>
      </c>
      <c r="E1782" t="s">
        <v>417</v>
      </c>
      <c r="F1782" t="s">
        <v>83</v>
      </c>
      <c r="G1782" t="s">
        <v>28</v>
      </c>
      <c r="H1782">
        <v>2</v>
      </c>
      <c r="I1782">
        <v>570</v>
      </c>
      <c r="J1782">
        <v>94.39</v>
      </c>
    </row>
    <row r="1783" spans="1:10" x14ac:dyDescent="0.25">
      <c r="A1783" s="1">
        <v>44694</v>
      </c>
      <c r="B1783" t="s">
        <v>36</v>
      </c>
      <c r="C1783" t="s">
        <v>17</v>
      </c>
      <c r="D1783" t="s">
        <v>12</v>
      </c>
      <c r="E1783" t="s">
        <v>64</v>
      </c>
      <c r="F1783" t="s">
        <v>84</v>
      </c>
      <c r="G1783" t="s">
        <v>28</v>
      </c>
      <c r="H1783">
        <v>7</v>
      </c>
      <c r="I1783">
        <v>7791</v>
      </c>
      <c r="J1783">
        <v>907.96</v>
      </c>
    </row>
    <row r="1784" spans="1:10" x14ac:dyDescent="0.25">
      <c r="A1784" s="1">
        <v>45422</v>
      </c>
      <c r="B1784" t="s">
        <v>32</v>
      </c>
      <c r="C1784" t="s">
        <v>19</v>
      </c>
      <c r="D1784" t="s">
        <v>12</v>
      </c>
      <c r="E1784" t="s">
        <v>64</v>
      </c>
      <c r="F1784" t="s">
        <v>84</v>
      </c>
      <c r="G1784" t="s">
        <v>28</v>
      </c>
      <c r="H1784">
        <v>4</v>
      </c>
      <c r="I1784">
        <v>4168</v>
      </c>
      <c r="J1784">
        <v>494.48</v>
      </c>
    </row>
    <row r="1785" spans="1:10" x14ac:dyDescent="0.25">
      <c r="A1785" s="1">
        <v>45159</v>
      </c>
      <c r="B1785" t="s">
        <v>18</v>
      </c>
      <c r="C1785" t="s">
        <v>19</v>
      </c>
      <c r="D1785" t="s">
        <v>12</v>
      </c>
      <c r="E1785" t="s">
        <v>132</v>
      </c>
      <c r="F1785" t="s">
        <v>63</v>
      </c>
      <c r="G1785" t="s">
        <v>28</v>
      </c>
      <c r="H1785">
        <v>2</v>
      </c>
      <c r="I1785">
        <v>684</v>
      </c>
      <c r="J1785">
        <v>183.85</v>
      </c>
    </row>
    <row r="1786" spans="1:10" x14ac:dyDescent="0.25">
      <c r="A1786" s="1">
        <v>45296</v>
      </c>
      <c r="B1786" t="s">
        <v>40</v>
      </c>
      <c r="C1786" t="s">
        <v>19</v>
      </c>
      <c r="D1786" t="s">
        <v>12</v>
      </c>
      <c r="E1786" t="s">
        <v>52</v>
      </c>
      <c r="F1786" t="s">
        <v>42</v>
      </c>
      <c r="G1786" t="s">
        <v>28</v>
      </c>
      <c r="H1786">
        <v>7</v>
      </c>
      <c r="I1786">
        <v>3857</v>
      </c>
      <c r="J1786">
        <v>447.99</v>
      </c>
    </row>
    <row r="1787" spans="1:10" x14ac:dyDescent="0.25">
      <c r="A1787" s="1">
        <v>45542</v>
      </c>
      <c r="B1787" t="s">
        <v>25</v>
      </c>
      <c r="C1787" t="s">
        <v>19</v>
      </c>
      <c r="D1787" t="s">
        <v>12</v>
      </c>
      <c r="E1787" t="s">
        <v>62</v>
      </c>
      <c r="F1787" t="s">
        <v>59</v>
      </c>
      <c r="G1787" t="s">
        <v>28</v>
      </c>
      <c r="H1787">
        <v>5</v>
      </c>
      <c r="I1787">
        <v>3250</v>
      </c>
      <c r="J1787">
        <v>699.99</v>
      </c>
    </row>
    <row r="1788" spans="1:10" x14ac:dyDescent="0.25">
      <c r="A1788" s="1">
        <v>45141</v>
      </c>
      <c r="B1788" t="s">
        <v>10</v>
      </c>
      <c r="C1788" t="s">
        <v>11</v>
      </c>
      <c r="D1788" t="s">
        <v>12</v>
      </c>
      <c r="E1788" t="s">
        <v>62</v>
      </c>
      <c r="F1788" t="s">
        <v>59</v>
      </c>
      <c r="G1788" t="s">
        <v>28</v>
      </c>
      <c r="H1788">
        <v>6</v>
      </c>
      <c r="I1788">
        <v>1194</v>
      </c>
      <c r="J1788">
        <v>79.62</v>
      </c>
    </row>
    <row r="1789" spans="1:10" x14ac:dyDescent="0.25">
      <c r="A1789" s="1">
        <v>45053</v>
      </c>
      <c r="B1789" t="s">
        <v>55</v>
      </c>
      <c r="C1789" t="s">
        <v>19</v>
      </c>
      <c r="D1789" t="s">
        <v>12</v>
      </c>
      <c r="E1789" t="s">
        <v>329</v>
      </c>
      <c r="F1789" t="s">
        <v>149</v>
      </c>
      <c r="G1789" t="s">
        <v>15</v>
      </c>
      <c r="H1789">
        <v>6</v>
      </c>
      <c r="I1789">
        <v>3486</v>
      </c>
      <c r="J1789">
        <v>320.91000000000003</v>
      </c>
    </row>
    <row r="1790" spans="1:10" x14ac:dyDescent="0.25">
      <c r="A1790" s="1">
        <v>44778</v>
      </c>
      <c r="B1790" t="s">
        <v>36</v>
      </c>
      <c r="C1790" t="s">
        <v>17</v>
      </c>
      <c r="D1790" t="s">
        <v>12</v>
      </c>
      <c r="E1790" t="s">
        <v>210</v>
      </c>
      <c r="F1790" t="s">
        <v>34</v>
      </c>
      <c r="G1790" t="s">
        <v>35</v>
      </c>
      <c r="H1790">
        <v>7</v>
      </c>
      <c r="I1790">
        <v>1554</v>
      </c>
      <c r="J1790">
        <v>370.97</v>
      </c>
    </row>
    <row r="1791" spans="1:10" x14ac:dyDescent="0.25">
      <c r="A1791" s="1">
        <v>45492</v>
      </c>
      <c r="B1791" t="s">
        <v>32</v>
      </c>
      <c r="C1791" t="s">
        <v>19</v>
      </c>
      <c r="D1791" t="s">
        <v>12</v>
      </c>
      <c r="E1791" t="s">
        <v>56</v>
      </c>
      <c r="F1791" t="s">
        <v>57</v>
      </c>
      <c r="G1791" t="s">
        <v>24</v>
      </c>
      <c r="H1791">
        <v>3</v>
      </c>
      <c r="I1791">
        <v>2601</v>
      </c>
      <c r="J1791">
        <v>463.36</v>
      </c>
    </row>
    <row r="1792" spans="1:10" x14ac:dyDescent="0.25">
      <c r="A1792" s="1">
        <v>44880</v>
      </c>
      <c r="B1792" t="s">
        <v>29</v>
      </c>
      <c r="C1792" t="s">
        <v>17</v>
      </c>
      <c r="D1792" t="s">
        <v>12</v>
      </c>
      <c r="E1792" t="s">
        <v>243</v>
      </c>
      <c r="F1792" t="s">
        <v>78</v>
      </c>
      <c r="G1792" t="s">
        <v>28</v>
      </c>
      <c r="H1792">
        <v>4</v>
      </c>
      <c r="I1792">
        <v>3616</v>
      </c>
      <c r="J1792">
        <v>745.75</v>
      </c>
    </row>
    <row r="1793" spans="1:10" x14ac:dyDescent="0.25">
      <c r="A1793" s="1">
        <v>44958</v>
      </c>
      <c r="B1793" t="s">
        <v>16</v>
      </c>
      <c r="C1793" t="s">
        <v>17</v>
      </c>
      <c r="D1793" t="s">
        <v>12</v>
      </c>
      <c r="E1793" t="s">
        <v>243</v>
      </c>
      <c r="F1793" t="s">
        <v>78</v>
      </c>
      <c r="G1793" t="s">
        <v>28</v>
      </c>
      <c r="H1793">
        <v>5</v>
      </c>
      <c r="I1793">
        <v>3350</v>
      </c>
      <c r="J1793">
        <v>986.33</v>
      </c>
    </row>
    <row r="1794" spans="1:10" x14ac:dyDescent="0.25">
      <c r="A1794" s="1">
        <v>45280</v>
      </c>
      <c r="B1794" t="s">
        <v>32</v>
      </c>
      <c r="C1794" t="s">
        <v>19</v>
      </c>
      <c r="D1794" t="s">
        <v>12</v>
      </c>
      <c r="E1794" t="s">
        <v>361</v>
      </c>
      <c r="F1794" t="s">
        <v>27</v>
      </c>
      <c r="G1794" t="s">
        <v>28</v>
      </c>
      <c r="H1794">
        <v>5</v>
      </c>
      <c r="I1794">
        <v>2545</v>
      </c>
      <c r="J1794">
        <v>588.47</v>
      </c>
    </row>
    <row r="1795" spans="1:10" x14ac:dyDescent="0.25">
      <c r="A1795" s="1">
        <v>45530</v>
      </c>
      <c r="B1795" t="s">
        <v>36</v>
      </c>
      <c r="C1795" t="s">
        <v>17</v>
      </c>
      <c r="D1795" t="s">
        <v>12</v>
      </c>
      <c r="E1795" t="s">
        <v>307</v>
      </c>
      <c r="F1795" t="s">
        <v>156</v>
      </c>
      <c r="G1795" t="s">
        <v>28</v>
      </c>
      <c r="H1795">
        <v>1</v>
      </c>
      <c r="I1795">
        <v>545</v>
      </c>
      <c r="J1795">
        <v>68.28</v>
      </c>
    </row>
    <row r="1796" spans="1:10" x14ac:dyDescent="0.25">
      <c r="A1796" s="1">
        <v>45279</v>
      </c>
      <c r="B1796" t="s">
        <v>16</v>
      </c>
      <c r="C1796" t="s">
        <v>17</v>
      </c>
      <c r="D1796" t="s">
        <v>12</v>
      </c>
      <c r="E1796" t="s">
        <v>246</v>
      </c>
      <c r="F1796" t="s">
        <v>34</v>
      </c>
      <c r="G1796" t="s">
        <v>35</v>
      </c>
      <c r="H1796">
        <v>7</v>
      </c>
      <c r="I1796">
        <v>1470</v>
      </c>
      <c r="J1796">
        <v>178.85</v>
      </c>
    </row>
    <row r="1797" spans="1:10" x14ac:dyDescent="0.25">
      <c r="A1797" s="1">
        <v>45260</v>
      </c>
      <c r="B1797" t="s">
        <v>25</v>
      </c>
      <c r="C1797" t="s">
        <v>19</v>
      </c>
      <c r="D1797" t="s">
        <v>12</v>
      </c>
      <c r="E1797" t="s">
        <v>306</v>
      </c>
      <c r="F1797" t="s">
        <v>200</v>
      </c>
      <c r="G1797" t="s">
        <v>28</v>
      </c>
      <c r="H1797">
        <v>3</v>
      </c>
      <c r="I1797">
        <v>3126</v>
      </c>
      <c r="J1797">
        <v>870.95</v>
      </c>
    </row>
    <row r="1798" spans="1:10" x14ac:dyDescent="0.25">
      <c r="A1798" s="1">
        <v>45653</v>
      </c>
      <c r="B1798" t="s">
        <v>55</v>
      </c>
      <c r="C1798" t="s">
        <v>19</v>
      </c>
      <c r="D1798" t="s">
        <v>12</v>
      </c>
      <c r="E1798" t="s">
        <v>306</v>
      </c>
      <c r="F1798" t="s">
        <v>200</v>
      </c>
      <c r="G1798" t="s">
        <v>28</v>
      </c>
      <c r="H1798">
        <v>3</v>
      </c>
      <c r="I1798">
        <v>1368</v>
      </c>
      <c r="J1798">
        <v>302.29000000000002</v>
      </c>
    </row>
    <row r="1799" spans="1:10" x14ac:dyDescent="0.25">
      <c r="A1799" s="1">
        <v>45647</v>
      </c>
      <c r="B1799" t="s">
        <v>29</v>
      </c>
      <c r="C1799" t="s">
        <v>17</v>
      </c>
      <c r="D1799" t="s">
        <v>12</v>
      </c>
      <c r="E1799" t="s">
        <v>306</v>
      </c>
      <c r="F1799" t="s">
        <v>200</v>
      </c>
      <c r="G1799" t="s">
        <v>28</v>
      </c>
      <c r="H1799">
        <v>9</v>
      </c>
      <c r="I1799">
        <v>7083</v>
      </c>
      <c r="J1799">
        <v>1353.39</v>
      </c>
    </row>
    <row r="1800" spans="1:10" x14ac:dyDescent="0.25">
      <c r="A1800" s="1">
        <v>45319</v>
      </c>
      <c r="B1800" t="s">
        <v>10</v>
      </c>
      <c r="C1800" t="s">
        <v>11</v>
      </c>
      <c r="D1800" t="s">
        <v>12</v>
      </c>
      <c r="E1800" t="s">
        <v>306</v>
      </c>
      <c r="F1800" t="s">
        <v>200</v>
      </c>
      <c r="G1800" t="s">
        <v>28</v>
      </c>
      <c r="H1800">
        <v>2</v>
      </c>
      <c r="I1800">
        <v>1994</v>
      </c>
      <c r="J1800">
        <v>453.74</v>
      </c>
    </row>
    <row r="1801" spans="1:10" x14ac:dyDescent="0.25">
      <c r="A1801" s="1">
        <v>44807</v>
      </c>
      <c r="B1801" t="s">
        <v>25</v>
      </c>
      <c r="C1801" t="s">
        <v>19</v>
      </c>
      <c r="D1801" t="s">
        <v>12</v>
      </c>
      <c r="E1801" t="s">
        <v>37</v>
      </c>
      <c r="F1801" t="s">
        <v>34</v>
      </c>
      <c r="G1801" t="s">
        <v>35</v>
      </c>
      <c r="H1801">
        <v>4</v>
      </c>
      <c r="I1801">
        <v>4716</v>
      </c>
      <c r="J1801">
        <v>1084.1600000000001</v>
      </c>
    </row>
    <row r="1802" spans="1:10" x14ac:dyDescent="0.25">
      <c r="A1802" s="1">
        <v>45351</v>
      </c>
      <c r="B1802" t="s">
        <v>36</v>
      </c>
      <c r="C1802" t="s">
        <v>17</v>
      </c>
      <c r="D1802" t="s">
        <v>12</v>
      </c>
      <c r="E1802" t="s">
        <v>37</v>
      </c>
      <c r="F1802" t="s">
        <v>34</v>
      </c>
      <c r="G1802" t="s">
        <v>35</v>
      </c>
      <c r="H1802">
        <v>1</v>
      </c>
      <c r="I1802">
        <v>975</v>
      </c>
      <c r="J1802">
        <v>125.85</v>
      </c>
    </row>
    <row r="1803" spans="1:10" x14ac:dyDescent="0.25">
      <c r="A1803" s="1">
        <v>45037</v>
      </c>
      <c r="B1803" t="s">
        <v>40</v>
      </c>
      <c r="C1803" t="s">
        <v>19</v>
      </c>
      <c r="D1803" t="s">
        <v>12</v>
      </c>
      <c r="E1803" t="s">
        <v>43</v>
      </c>
      <c r="F1803" t="s">
        <v>44</v>
      </c>
      <c r="G1803" t="s">
        <v>35</v>
      </c>
      <c r="H1803">
        <v>9</v>
      </c>
      <c r="I1803">
        <v>9891</v>
      </c>
      <c r="J1803">
        <v>1774.03</v>
      </c>
    </row>
    <row r="1804" spans="1:10" x14ac:dyDescent="0.25">
      <c r="A1804" s="1">
        <v>45436</v>
      </c>
      <c r="B1804" t="s">
        <v>32</v>
      </c>
      <c r="C1804" t="s">
        <v>19</v>
      </c>
      <c r="D1804" t="s">
        <v>12</v>
      </c>
      <c r="E1804" t="s">
        <v>418</v>
      </c>
      <c r="F1804" t="s">
        <v>39</v>
      </c>
      <c r="G1804" t="s">
        <v>35</v>
      </c>
      <c r="H1804">
        <v>2</v>
      </c>
      <c r="I1804">
        <v>626</v>
      </c>
      <c r="J1804">
        <v>159.49</v>
      </c>
    </row>
    <row r="1805" spans="1:10" x14ac:dyDescent="0.25">
      <c r="A1805" s="1">
        <v>45431</v>
      </c>
      <c r="B1805" t="s">
        <v>36</v>
      </c>
      <c r="C1805" t="s">
        <v>17</v>
      </c>
      <c r="D1805" t="s">
        <v>12</v>
      </c>
      <c r="E1805" t="s">
        <v>419</v>
      </c>
      <c r="F1805" t="s">
        <v>46</v>
      </c>
      <c r="G1805" t="s">
        <v>15</v>
      </c>
      <c r="H1805">
        <v>8</v>
      </c>
      <c r="I1805">
        <v>5632</v>
      </c>
      <c r="J1805">
        <v>1620.04</v>
      </c>
    </row>
    <row r="1806" spans="1:10" x14ac:dyDescent="0.25">
      <c r="A1806" s="1">
        <v>45545</v>
      </c>
      <c r="B1806" t="s">
        <v>10</v>
      </c>
      <c r="C1806" t="s">
        <v>11</v>
      </c>
      <c r="D1806" t="s">
        <v>12</v>
      </c>
      <c r="E1806" t="s">
        <v>419</v>
      </c>
      <c r="F1806" t="s">
        <v>46</v>
      </c>
      <c r="G1806" t="s">
        <v>15</v>
      </c>
      <c r="H1806">
        <v>3</v>
      </c>
      <c r="I1806">
        <v>2568</v>
      </c>
      <c r="J1806">
        <v>734.6</v>
      </c>
    </row>
    <row r="1807" spans="1:10" x14ac:dyDescent="0.25">
      <c r="A1807" s="1">
        <v>45181</v>
      </c>
      <c r="B1807" t="s">
        <v>18</v>
      </c>
      <c r="C1807" t="s">
        <v>19</v>
      </c>
      <c r="D1807" t="s">
        <v>12</v>
      </c>
      <c r="E1807" t="s">
        <v>56</v>
      </c>
      <c r="F1807" t="s">
        <v>57</v>
      </c>
      <c r="G1807" t="s">
        <v>24</v>
      </c>
      <c r="H1807">
        <v>7</v>
      </c>
      <c r="I1807">
        <v>5285</v>
      </c>
      <c r="J1807">
        <v>629.07000000000005</v>
      </c>
    </row>
    <row r="1808" spans="1:10" x14ac:dyDescent="0.25">
      <c r="A1808" s="1">
        <v>45238</v>
      </c>
      <c r="B1808" t="s">
        <v>25</v>
      </c>
      <c r="C1808" t="s">
        <v>19</v>
      </c>
      <c r="D1808" t="s">
        <v>12</v>
      </c>
      <c r="E1808" t="s">
        <v>111</v>
      </c>
      <c r="F1808" t="s">
        <v>115</v>
      </c>
      <c r="G1808" t="s">
        <v>15</v>
      </c>
      <c r="H1808">
        <v>2</v>
      </c>
      <c r="I1808">
        <v>516</v>
      </c>
      <c r="J1808">
        <v>122.77</v>
      </c>
    </row>
    <row r="1809" spans="1:10" x14ac:dyDescent="0.25">
      <c r="A1809" s="1">
        <v>44712</v>
      </c>
      <c r="B1809" t="s">
        <v>36</v>
      </c>
      <c r="C1809" t="s">
        <v>17</v>
      </c>
      <c r="D1809" t="s">
        <v>12</v>
      </c>
      <c r="E1809" t="s">
        <v>22</v>
      </c>
      <c r="F1809" t="s">
        <v>23</v>
      </c>
      <c r="G1809" t="s">
        <v>24</v>
      </c>
      <c r="H1809">
        <v>3</v>
      </c>
      <c r="I1809">
        <v>2139</v>
      </c>
      <c r="J1809">
        <v>503.08</v>
      </c>
    </row>
    <row r="1810" spans="1:10" x14ac:dyDescent="0.25">
      <c r="A1810" s="1">
        <v>44931</v>
      </c>
      <c r="B1810" t="s">
        <v>55</v>
      </c>
      <c r="C1810" t="s">
        <v>19</v>
      </c>
      <c r="D1810" t="s">
        <v>12</v>
      </c>
      <c r="E1810" t="s">
        <v>96</v>
      </c>
      <c r="F1810" t="s">
        <v>34</v>
      </c>
      <c r="G1810" t="s">
        <v>35</v>
      </c>
      <c r="H1810">
        <v>9</v>
      </c>
      <c r="I1810">
        <v>8136</v>
      </c>
      <c r="J1810">
        <v>1923.89</v>
      </c>
    </row>
    <row r="1811" spans="1:10" x14ac:dyDescent="0.25">
      <c r="A1811" s="1">
        <v>45590</v>
      </c>
      <c r="B1811" t="s">
        <v>55</v>
      </c>
      <c r="C1811" t="s">
        <v>19</v>
      </c>
      <c r="D1811" t="s">
        <v>12</v>
      </c>
      <c r="E1811" t="s">
        <v>37</v>
      </c>
      <c r="F1811" t="s">
        <v>34</v>
      </c>
      <c r="G1811" t="s">
        <v>35</v>
      </c>
      <c r="H1811">
        <v>5</v>
      </c>
      <c r="I1811">
        <v>2130</v>
      </c>
      <c r="J1811">
        <v>318.99</v>
      </c>
    </row>
    <row r="1812" spans="1:10" x14ac:dyDescent="0.25">
      <c r="A1812" s="1">
        <v>45383</v>
      </c>
      <c r="B1812" t="s">
        <v>29</v>
      </c>
      <c r="C1812" t="s">
        <v>17</v>
      </c>
      <c r="D1812" t="s">
        <v>12</v>
      </c>
      <c r="E1812" t="s">
        <v>420</v>
      </c>
      <c r="F1812" t="s">
        <v>34</v>
      </c>
      <c r="G1812" t="s">
        <v>35</v>
      </c>
      <c r="H1812">
        <v>5</v>
      </c>
      <c r="I1812">
        <v>3445</v>
      </c>
      <c r="J1812">
        <v>202.15</v>
      </c>
    </row>
    <row r="1813" spans="1:10" x14ac:dyDescent="0.25">
      <c r="A1813" s="1">
        <v>45642</v>
      </c>
      <c r="B1813" t="s">
        <v>18</v>
      </c>
      <c r="C1813" t="s">
        <v>19</v>
      </c>
      <c r="D1813" t="s">
        <v>12</v>
      </c>
      <c r="E1813" t="s">
        <v>382</v>
      </c>
      <c r="F1813" t="s">
        <v>78</v>
      </c>
      <c r="G1813" t="s">
        <v>28</v>
      </c>
      <c r="H1813">
        <v>8</v>
      </c>
      <c r="I1813">
        <v>5376</v>
      </c>
      <c r="J1813">
        <v>429.84</v>
      </c>
    </row>
    <row r="1814" spans="1:10" x14ac:dyDescent="0.25">
      <c r="A1814" s="1">
        <v>45143</v>
      </c>
      <c r="B1814" t="s">
        <v>10</v>
      </c>
      <c r="C1814" t="s">
        <v>11</v>
      </c>
      <c r="D1814" t="s">
        <v>12</v>
      </c>
      <c r="E1814" t="s">
        <v>382</v>
      </c>
      <c r="F1814" t="s">
        <v>78</v>
      </c>
      <c r="G1814" t="s">
        <v>28</v>
      </c>
      <c r="H1814">
        <v>6</v>
      </c>
      <c r="I1814">
        <v>3006</v>
      </c>
      <c r="J1814">
        <v>730.14</v>
      </c>
    </row>
    <row r="1815" spans="1:10" x14ac:dyDescent="0.25">
      <c r="A1815" s="1">
        <v>44926</v>
      </c>
      <c r="B1815" t="s">
        <v>29</v>
      </c>
      <c r="C1815" t="s">
        <v>17</v>
      </c>
      <c r="D1815" t="s">
        <v>12</v>
      </c>
      <c r="E1815" t="s">
        <v>382</v>
      </c>
      <c r="F1815" t="s">
        <v>78</v>
      </c>
      <c r="G1815" t="s">
        <v>28</v>
      </c>
      <c r="H1815">
        <v>7</v>
      </c>
      <c r="I1815">
        <v>3941</v>
      </c>
      <c r="J1815">
        <v>1113.8499999999999</v>
      </c>
    </row>
    <row r="1816" spans="1:10" x14ac:dyDescent="0.25">
      <c r="A1816" s="1">
        <v>44995</v>
      </c>
      <c r="B1816" t="s">
        <v>36</v>
      </c>
      <c r="C1816" t="s">
        <v>17</v>
      </c>
      <c r="D1816" t="s">
        <v>12</v>
      </c>
      <c r="E1816" t="s">
        <v>75</v>
      </c>
      <c r="F1816" t="s">
        <v>63</v>
      </c>
      <c r="G1816" t="s">
        <v>28</v>
      </c>
      <c r="H1816">
        <v>5</v>
      </c>
      <c r="I1816">
        <v>3350</v>
      </c>
      <c r="J1816">
        <v>389.95</v>
      </c>
    </row>
    <row r="1817" spans="1:10" x14ac:dyDescent="0.25">
      <c r="A1817" s="1">
        <v>45417</v>
      </c>
      <c r="B1817" t="s">
        <v>10</v>
      </c>
      <c r="C1817" t="s">
        <v>11</v>
      </c>
      <c r="D1817" t="s">
        <v>12</v>
      </c>
      <c r="E1817" t="s">
        <v>75</v>
      </c>
      <c r="F1817" t="s">
        <v>63</v>
      </c>
      <c r="G1817" t="s">
        <v>28</v>
      </c>
      <c r="H1817">
        <v>3</v>
      </c>
      <c r="I1817">
        <v>2019</v>
      </c>
      <c r="J1817">
        <v>265.44</v>
      </c>
    </row>
    <row r="1818" spans="1:10" x14ac:dyDescent="0.25">
      <c r="A1818" s="1">
        <v>44721</v>
      </c>
      <c r="B1818" t="s">
        <v>29</v>
      </c>
      <c r="C1818" t="s">
        <v>17</v>
      </c>
      <c r="D1818" t="s">
        <v>12</v>
      </c>
      <c r="E1818" t="s">
        <v>22</v>
      </c>
      <c r="F1818" t="s">
        <v>23</v>
      </c>
      <c r="G1818" t="s">
        <v>24</v>
      </c>
      <c r="H1818">
        <v>8</v>
      </c>
      <c r="I1818">
        <v>2416</v>
      </c>
      <c r="J1818">
        <v>403.38</v>
      </c>
    </row>
    <row r="1819" spans="1:10" x14ac:dyDescent="0.25">
      <c r="A1819" s="1">
        <v>44694</v>
      </c>
      <c r="B1819" t="s">
        <v>36</v>
      </c>
      <c r="C1819" t="s">
        <v>17</v>
      </c>
      <c r="D1819" t="s">
        <v>12</v>
      </c>
      <c r="E1819" t="s">
        <v>70</v>
      </c>
      <c r="F1819" t="s">
        <v>71</v>
      </c>
      <c r="G1819" t="s">
        <v>35</v>
      </c>
      <c r="H1819">
        <v>8</v>
      </c>
      <c r="I1819">
        <v>6160</v>
      </c>
      <c r="J1819">
        <v>684.71</v>
      </c>
    </row>
    <row r="1820" spans="1:10" x14ac:dyDescent="0.25">
      <c r="A1820" s="1">
        <v>44658</v>
      </c>
      <c r="B1820" t="s">
        <v>10</v>
      </c>
      <c r="C1820" t="s">
        <v>11</v>
      </c>
      <c r="D1820" t="s">
        <v>12</v>
      </c>
      <c r="E1820" t="s">
        <v>26</v>
      </c>
      <c r="F1820" t="s">
        <v>27</v>
      </c>
      <c r="G1820" t="s">
        <v>28</v>
      </c>
      <c r="H1820">
        <v>4</v>
      </c>
      <c r="I1820">
        <v>2796</v>
      </c>
      <c r="J1820">
        <v>682.65</v>
      </c>
    </row>
    <row r="1821" spans="1:10" x14ac:dyDescent="0.25">
      <c r="A1821" s="1">
        <v>45645</v>
      </c>
      <c r="B1821" t="s">
        <v>32</v>
      </c>
      <c r="C1821" t="s">
        <v>19</v>
      </c>
      <c r="D1821" t="s">
        <v>12</v>
      </c>
      <c r="E1821" t="s">
        <v>75</v>
      </c>
      <c r="F1821" t="s">
        <v>108</v>
      </c>
      <c r="G1821" t="s">
        <v>15</v>
      </c>
      <c r="H1821">
        <v>7</v>
      </c>
      <c r="I1821">
        <v>7700</v>
      </c>
      <c r="J1821">
        <v>1573.41</v>
      </c>
    </row>
    <row r="1822" spans="1:10" x14ac:dyDescent="0.25">
      <c r="A1822" s="1">
        <v>45460</v>
      </c>
      <c r="B1822" t="s">
        <v>32</v>
      </c>
      <c r="C1822" t="s">
        <v>19</v>
      </c>
      <c r="D1822" t="s">
        <v>12</v>
      </c>
      <c r="E1822" t="s">
        <v>75</v>
      </c>
      <c r="F1822" t="s">
        <v>108</v>
      </c>
      <c r="G1822" t="s">
        <v>15</v>
      </c>
      <c r="H1822">
        <v>5</v>
      </c>
      <c r="I1822">
        <v>2095</v>
      </c>
      <c r="J1822">
        <v>193.93</v>
      </c>
    </row>
    <row r="1823" spans="1:10" x14ac:dyDescent="0.25">
      <c r="A1823" s="1">
        <v>45560</v>
      </c>
      <c r="B1823" t="s">
        <v>25</v>
      </c>
      <c r="C1823" t="s">
        <v>19</v>
      </c>
      <c r="D1823" t="s">
        <v>12</v>
      </c>
      <c r="E1823" t="s">
        <v>53</v>
      </c>
      <c r="F1823" t="s">
        <v>54</v>
      </c>
      <c r="G1823" t="s">
        <v>24</v>
      </c>
      <c r="H1823">
        <v>5</v>
      </c>
      <c r="I1823">
        <v>5990</v>
      </c>
      <c r="J1823">
        <v>1548.62</v>
      </c>
    </row>
    <row r="1824" spans="1:10" x14ac:dyDescent="0.25">
      <c r="A1824" s="1">
        <v>45653</v>
      </c>
      <c r="B1824" t="s">
        <v>32</v>
      </c>
      <c r="C1824" t="s">
        <v>19</v>
      </c>
      <c r="D1824" t="s">
        <v>12</v>
      </c>
      <c r="E1824" t="s">
        <v>132</v>
      </c>
      <c r="F1824" t="s">
        <v>115</v>
      </c>
      <c r="G1824" t="s">
        <v>15</v>
      </c>
      <c r="H1824">
        <v>2</v>
      </c>
      <c r="I1824">
        <v>1206</v>
      </c>
      <c r="J1824">
        <v>307.02</v>
      </c>
    </row>
    <row r="1825" spans="1:10" x14ac:dyDescent="0.25">
      <c r="A1825" s="1">
        <v>45366</v>
      </c>
      <c r="B1825" t="s">
        <v>32</v>
      </c>
      <c r="C1825" t="s">
        <v>19</v>
      </c>
      <c r="D1825" t="s">
        <v>12</v>
      </c>
      <c r="E1825" t="s">
        <v>37</v>
      </c>
      <c r="F1825" t="s">
        <v>34</v>
      </c>
      <c r="G1825" t="s">
        <v>35</v>
      </c>
      <c r="H1825">
        <v>5</v>
      </c>
      <c r="I1825">
        <v>1330</v>
      </c>
      <c r="J1825">
        <v>285.77999999999997</v>
      </c>
    </row>
    <row r="1826" spans="1:10" x14ac:dyDescent="0.25">
      <c r="A1826" s="1">
        <v>44767</v>
      </c>
      <c r="B1826" t="s">
        <v>25</v>
      </c>
      <c r="C1826" t="s">
        <v>19</v>
      </c>
      <c r="D1826" t="s">
        <v>12</v>
      </c>
      <c r="E1826" t="s">
        <v>136</v>
      </c>
      <c r="F1826" t="s">
        <v>65</v>
      </c>
      <c r="G1826" t="s">
        <v>35</v>
      </c>
      <c r="H1826">
        <v>6</v>
      </c>
      <c r="I1826">
        <v>2706</v>
      </c>
      <c r="J1826">
        <v>766.68</v>
      </c>
    </row>
    <row r="1827" spans="1:10" x14ac:dyDescent="0.25">
      <c r="A1827" s="1">
        <v>44940</v>
      </c>
      <c r="B1827" t="s">
        <v>55</v>
      </c>
      <c r="C1827" t="s">
        <v>19</v>
      </c>
      <c r="D1827" t="s">
        <v>12</v>
      </c>
      <c r="E1827" t="s">
        <v>421</v>
      </c>
      <c r="F1827" t="s">
        <v>21</v>
      </c>
      <c r="G1827" t="s">
        <v>15</v>
      </c>
      <c r="H1827">
        <v>3</v>
      </c>
      <c r="I1827">
        <v>426</v>
      </c>
      <c r="J1827">
        <v>50.8</v>
      </c>
    </row>
    <row r="1828" spans="1:10" x14ac:dyDescent="0.25">
      <c r="A1828" s="1">
        <v>45609</v>
      </c>
      <c r="B1828" t="s">
        <v>18</v>
      </c>
      <c r="C1828" t="s">
        <v>19</v>
      </c>
      <c r="D1828" t="s">
        <v>12</v>
      </c>
      <c r="E1828" t="s">
        <v>91</v>
      </c>
      <c r="F1828" t="s">
        <v>133</v>
      </c>
      <c r="G1828" t="s">
        <v>28</v>
      </c>
      <c r="H1828">
        <v>1</v>
      </c>
      <c r="I1828">
        <v>414</v>
      </c>
      <c r="J1828">
        <v>50.26</v>
      </c>
    </row>
    <row r="1829" spans="1:10" x14ac:dyDescent="0.25">
      <c r="A1829" s="1">
        <v>45472</v>
      </c>
      <c r="B1829" t="s">
        <v>55</v>
      </c>
      <c r="C1829" t="s">
        <v>19</v>
      </c>
      <c r="D1829" t="s">
        <v>12</v>
      </c>
      <c r="E1829" t="s">
        <v>134</v>
      </c>
      <c r="F1829" t="s">
        <v>51</v>
      </c>
      <c r="G1829" t="s">
        <v>35</v>
      </c>
      <c r="H1829">
        <v>5</v>
      </c>
      <c r="I1829">
        <v>5465</v>
      </c>
      <c r="J1829">
        <v>546.33000000000004</v>
      </c>
    </row>
    <row r="1830" spans="1:10" x14ac:dyDescent="0.25">
      <c r="A1830" s="1">
        <v>45434</v>
      </c>
      <c r="B1830" t="s">
        <v>18</v>
      </c>
      <c r="C1830" t="s">
        <v>19</v>
      </c>
      <c r="D1830" t="s">
        <v>12</v>
      </c>
      <c r="E1830" t="s">
        <v>422</v>
      </c>
      <c r="F1830" t="s">
        <v>34</v>
      </c>
      <c r="G1830" t="s">
        <v>35</v>
      </c>
      <c r="H1830">
        <v>3</v>
      </c>
      <c r="I1830">
        <v>726</v>
      </c>
      <c r="J1830">
        <v>71.06</v>
      </c>
    </row>
    <row r="1831" spans="1:10" x14ac:dyDescent="0.25">
      <c r="A1831" s="1">
        <v>44681</v>
      </c>
      <c r="B1831" t="s">
        <v>32</v>
      </c>
      <c r="C1831" t="s">
        <v>19</v>
      </c>
      <c r="D1831" t="s">
        <v>12</v>
      </c>
      <c r="E1831" t="s">
        <v>423</v>
      </c>
      <c r="F1831" t="s">
        <v>54</v>
      </c>
      <c r="G1831" t="s">
        <v>24</v>
      </c>
      <c r="H1831">
        <v>1</v>
      </c>
      <c r="I1831">
        <v>1001</v>
      </c>
      <c r="J1831">
        <v>225.75</v>
      </c>
    </row>
    <row r="1832" spans="1:10" x14ac:dyDescent="0.25">
      <c r="A1832" s="1">
        <v>44608</v>
      </c>
      <c r="B1832" t="s">
        <v>16</v>
      </c>
      <c r="C1832" t="s">
        <v>17</v>
      </c>
      <c r="D1832" t="s">
        <v>12</v>
      </c>
      <c r="E1832" t="s">
        <v>52</v>
      </c>
      <c r="F1832" t="s">
        <v>42</v>
      </c>
      <c r="G1832" t="s">
        <v>28</v>
      </c>
      <c r="H1832">
        <v>9</v>
      </c>
      <c r="I1832">
        <v>7362</v>
      </c>
      <c r="J1832">
        <v>1866.65</v>
      </c>
    </row>
    <row r="1833" spans="1:10" x14ac:dyDescent="0.25">
      <c r="A1833" s="1">
        <v>44695</v>
      </c>
      <c r="B1833" t="s">
        <v>49</v>
      </c>
      <c r="C1833" t="s">
        <v>17</v>
      </c>
      <c r="D1833" t="s">
        <v>12</v>
      </c>
      <c r="E1833" t="s">
        <v>52</v>
      </c>
      <c r="F1833" t="s">
        <v>42</v>
      </c>
      <c r="G1833" t="s">
        <v>28</v>
      </c>
      <c r="H1833">
        <v>4</v>
      </c>
      <c r="I1833">
        <v>2284</v>
      </c>
      <c r="J1833">
        <v>576.59</v>
      </c>
    </row>
    <row r="1834" spans="1:10" x14ac:dyDescent="0.25">
      <c r="A1834" s="1">
        <v>44912</v>
      </c>
      <c r="B1834" t="s">
        <v>18</v>
      </c>
      <c r="C1834" t="s">
        <v>19</v>
      </c>
      <c r="D1834" t="s">
        <v>12</v>
      </c>
      <c r="E1834" t="s">
        <v>52</v>
      </c>
      <c r="F1834" t="s">
        <v>42</v>
      </c>
      <c r="G1834" t="s">
        <v>28</v>
      </c>
      <c r="H1834">
        <v>4</v>
      </c>
      <c r="I1834">
        <v>2940</v>
      </c>
      <c r="J1834">
        <v>566.36</v>
      </c>
    </row>
    <row r="1835" spans="1:10" x14ac:dyDescent="0.25">
      <c r="A1835" s="1">
        <v>45062</v>
      </c>
      <c r="B1835" t="s">
        <v>10</v>
      </c>
      <c r="C1835" t="s">
        <v>11</v>
      </c>
      <c r="D1835" t="s">
        <v>12</v>
      </c>
      <c r="E1835" t="s">
        <v>22</v>
      </c>
      <c r="F1835" t="s">
        <v>23</v>
      </c>
      <c r="G1835" t="s">
        <v>24</v>
      </c>
      <c r="H1835">
        <v>4</v>
      </c>
      <c r="I1835">
        <v>3068</v>
      </c>
      <c r="J1835">
        <v>868.89</v>
      </c>
    </row>
    <row r="1836" spans="1:10" x14ac:dyDescent="0.25">
      <c r="A1836" s="1">
        <v>45511</v>
      </c>
      <c r="B1836" t="s">
        <v>40</v>
      </c>
      <c r="C1836" t="s">
        <v>19</v>
      </c>
      <c r="D1836" t="s">
        <v>12</v>
      </c>
      <c r="E1836" t="s">
        <v>210</v>
      </c>
      <c r="F1836" t="s">
        <v>34</v>
      </c>
      <c r="G1836" t="s">
        <v>35</v>
      </c>
      <c r="H1836">
        <v>3</v>
      </c>
      <c r="I1836">
        <v>3477</v>
      </c>
      <c r="J1836">
        <v>862.21</v>
      </c>
    </row>
    <row r="1837" spans="1:10" x14ac:dyDescent="0.25">
      <c r="A1837" s="1">
        <v>45508</v>
      </c>
      <c r="B1837" t="s">
        <v>32</v>
      </c>
      <c r="C1837" t="s">
        <v>19</v>
      </c>
      <c r="D1837" t="s">
        <v>12</v>
      </c>
      <c r="E1837" t="s">
        <v>52</v>
      </c>
      <c r="F1837" t="s">
        <v>42</v>
      </c>
      <c r="G1837" t="s">
        <v>28</v>
      </c>
      <c r="H1837">
        <v>9</v>
      </c>
      <c r="I1837">
        <v>4014</v>
      </c>
      <c r="J1837">
        <v>204.48</v>
      </c>
    </row>
    <row r="1838" spans="1:10" x14ac:dyDescent="0.25">
      <c r="A1838" s="1">
        <v>45511</v>
      </c>
      <c r="B1838" t="s">
        <v>36</v>
      </c>
      <c r="C1838" t="s">
        <v>17</v>
      </c>
      <c r="D1838" t="s">
        <v>12</v>
      </c>
      <c r="E1838" t="s">
        <v>338</v>
      </c>
      <c r="F1838" t="s">
        <v>27</v>
      </c>
      <c r="G1838" t="s">
        <v>28</v>
      </c>
      <c r="H1838">
        <v>8</v>
      </c>
      <c r="I1838">
        <v>7200</v>
      </c>
      <c r="J1838">
        <v>804.53</v>
      </c>
    </row>
    <row r="1839" spans="1:10" x14ac:dyDescent="0.25">
      <c r="A1839" s="1">
        <v>45385</v>
      </c>
      <c r="B1839" t="s">
        <v>32</v>
      </c>
      <c r="C1839" t="s">
        <v>19</v>
      </c>
      <c r="D1839" t="s">
        <v>12</v>
      </c>
      <c r="E1839" t="s">
        <v>26</v>
      </c>
      <c r="F1839" t="s">
        <v>27</v>
      </c>
      <c r="G1839" t="s">
        <v>28</v>
      </c>
      <c r="H1839">
        <v>3</v>
      </c>
      <c r="I1839">
        <v>735</v>
      </c>
      <c r="J1839">
        <v>134.53</v>
      </c>
    </row>
    <row r="1840" spans="1:10" x14ac:dyDescent="0.25">
      <c r="A1840" s="1">
        <v>44957</v>
      </c>
      <c r="B1840" t="s">
        <v>36</v>
      </c>
      <c r="C1840" t="s">
        <v>17</v>
      </c>
      <c r="D1840" t="s">
        <v>12</v>
      </c>
      <c r="E1840" t="s">
        <v>56</v>
      </c>
      <c r="F1840" t="s">
        <v>57</v>
      </c>
      <c r="G1840" t="s">
        <v>24</v>
      </c>
      <c r="H1840">
        <v>3</v>
      </c>
      <c r="I1840">
        <v>2964</v>
      </c>
      <c r="J1840">
        <v>446.54</v>
      </c>
    </row>
    <row r="1841" spans="1:10" x14ac:dyDescent="0.25">
      <c r="A1841" s="1">
        <v>44645</v>
      </c>
      <c r="B1841" t="s">
        <v>25</v>
      </c>
      <c r="C1841" t="s">
        <v>19</v>
      </c>
      <c r="D1841" t="s">
        <v>12</v>
      </c>
      <c r="E1841" t="s">
        <v>103</v>
      </c>
      <c r="F1841" t="s">
        <v>149</v>
      </c>
      <c r="G1841" t="s">
        <v>15</v>
      </c>
      <c r="H1841">
        <v>9</v>
      </c>
      <c r="I1841">
        <v>3699</v>
      </c>
      <c r="J1841">
        <v>276.07</v>
      </c>
    </row>
    <row r="1842" spans="1:10" x14ac:dyDescent="0.25">
      <c r="A1842" s="1">
        <v>44695</v>
      </c>
      <c r="B1842" t="s">
        <v>10</v>
      </c>
      <c r="C1842" t="s">
        <v>11</v>
      </c>
      <c r="D1842" t="s">
        <v>12</v>
      </c>
      <c r="E1842" t="s">
        <v>22</v>
      </c>
      <c r="F1842" t="s">
        <v>23</v>
      </c>
      <c r="G1842" t="s">
        <v>24</v>
      </c>
      <c r="H1842">
        <v>3</v>
      </c>
      <c r="I1842">
        <v>1563</v>
      </c>
      <c r="J1842">
        <v>221.62</v>
      </c>
    </row>
    <row r="1843" spans="1:10" x14ac:dyDescent="0.25">
      <c r="A1843" s="1">
        <v>45120</v>
      </c>
      <c r="B1843" t="s">
        <v>16</v>
      </c>
      <c r="C1843" t="s">
        <v>17</v>
      </c>
      <c r="D1843" t="s">
        <v>12</v>
      </c>
      <c r="E1843" t="s">
        <v>298</v>
      </c>
      <c r="F1843" t="s">
        <v>46</v>
      </c>
      <c r="G1843" t="s">
        <v>15</v>
      </c>
      <c r="H1843">
        <v>2</v>
      </c>
      <c r="I1843">
        <v>124</v>
      </c>
      <c r="J1843">
        <v>32.270000000000003</v>
      </c>
    </row>
    <row r="1844" spans="1:10" x14ac:dyDescent="0.25">
      <c r="A1844" s="1">
        <v>45110</v>
      </c>
      <c r="B1844" t="s">
        <v>16</v>
      </c>
      <c r="C1844" t="s">
        <v>17</v>
      </c>
      <c r="D1844" t="s">
        <v>12</v>
      </c>
      <c r="E1844" t="s">
        <v>56</v>
      </c>
      <c r="F1844" t="s">
        <v>57</v>
      </c>
      <c r="G1844" t="s">
        <v>24</v>
      </c>
      <c r="H1844">
        <v>2</v>
      </c>
      <c r="I1844">
        <v>416</v>
      </c>
      <c r="J1844">
        <v>71.680000000000007</v>
      </c>
    </row>
    <row r="1845" spans="1:10" x14ac:dyDescent="0.25">
      <c r="A1845" s="1">
        <v>44992</v>
      </c>
      <c r="B1845" t="s">
        <v>25</v>
      </c>
      <c r="C1845" t="s">
        <v>19</v>
      </c>
      <c r="D1845" t="s">
        <v>12</v>
      </c>
      <c r="E1845" t="s">
        <v>20</v>
      </c>
      <c r="F1845" t="s">
        <v>21</v>
      </c>
      <c r="G1845" t="s">
        <v>15</v>
      </c>
      <c r="H1845">
        <v>8</v>
      </c>
      <c r="I1845">
        <v>2624</v>
      </c>
      <c r="J1845">
        <v>294.24</v>
      </c>
    </row>
    <row r="1846" spans="1:10" x14ac:dyDescent="0.25">
      <c r="A1846" s="1">
        <v>45600</v>
      </c>
      <c r="B1846" t="s">
        <v>29</v>
      </c>
      <c r="C1846" t="s">
        <v>17</v>
      </c>
      <c r="D1846" t="s">
        <v>12</v>
      </c>
      <c r="E1846" t="s">
        <v>37</v>
      </c>
      <c r="F1846" t="s">
        <v>34</v>
      </c>
      <c r="G1846" t="s">
        <v>35</v>
      </c>
      <c r="H1846">
        <v>4</v>
      </c>
      <c r="I1846">
        <v>1636</v>
      </c>
      <c r="J1846">
        <v>134.85</v>
      </c>
    </row>
    <row r="1847" spans="1:10" x14ac:dyDescent="0.25">
      <c r="A1847" s="1">
        <v>45284</v>
      </c>
      <c r="B1847" t="s">
        <v>29</v>
      </c>
      <c r="C1847" t="s">
        <v>17</v>
      </c>
      <c r="D1847" t="s">
        <v>12</v>
      </c>
      <c r="E1847" t="s">
        <v>243</v>
      </c>
      <c r="F1847" t="s">
        <v>23</v>
      </c>
      <c r="G1847" t="s">
        <v>24</v>
      </c>
      <c r="H1847">
        <v>8</v>
      </c>
      <c r="I1847">
        <v>8200</v>
      </c>
      <c r="J1847">
        <v>1978.93</v>
      </c>
    </row>
    <row r="1848" spans="1:10" x14ac:dyDescent="0.25">
      <c r="A1848" s="1">
        <v>44630</v>
      </c>
      <c r="B1848" t="s">
        <v>16</v>
      </c>
      <c r="C1848" t="s">
        <v>17</v>
      </c>
      <c r="D1848" t="s">
        <v>12</v>
      </c>
      <c r="E1848" t="s">
        <v>112</v>
      </c>
      <c r="F1848" t="s">
        <v>63</v>
      </c>
      <c r="G1848" t="s">
        <v>28</v>
      </c>
      <c r="H1848">
        <v>5</v>
      </c>
      <c r="I1848">
        <v>5615</v>
      </c>
      <c r="J1848">
        <v>715.58</v>
      </c>
    </row>
    <row r="1849" spans="1:10" x14ac:dyDescent="0.25">
      <c r="A1849" s="1">
        <v>44834</v>
      </c>
      <c r="B1849" t="s">
        <v>10</v>
      </c>
      <c r="C1849" t="s">
        <v>11</v>
      </c>
      <c r="D1849" t="s">
        <v>12</v>
      </c>
      <c r="E1849" t="s">
        <v>92</v>
      </c>
      <c r="F1849" t="s">
        <v>44</v>
      </c>
      <c r="G1849" t="s">
        <v>35</v>
      </c>
      <c r="H1849">
        <v>5</v>
      </c>
      <c r="I1849">
        <v>3085</v>
      </c>
      <c r="J1849">
        <v>413.52</v>
      </c>
    </row>
    <row r="1850" spans="1:10" x14ac:dyDescent="0.25">
      <c r="A1850" s="1">
        <v>45633</v>
      </c>
      <c r="B1850" t="s">
        <v>49</v>
      </c>
      <c r="C1850" t="s">
        <v>17</v>
      </c>
      <c r="D1850" t="s">
        <v>12</v>
      </c>
      <c r="E1850" t="s">
        <v>92</v>
      </c>
      <c r="F1850" t="s">
        <v>44</v>
      </c>
      <c r="G1850" t="s">
        <v>35</v>
      </c>
      <c r="H1850">
        <v>6</v>
      </c>
      <c r="I1850">
        <v>3198</v>
      </c>
      <c r="J1850">
        <v>913.76</v>
      </c>
    </row>
    <row r="1851" spans="1:10" x14ac:dyDescent="0.25">
      <c r="A1851" s="1">
        <v>44605</v>
      </c>
      <c r="B1851" t="s">
        <v>25</v>
      </c>
      <c r="C1851" t="s">
        <v>19</v>
      </c>
      <c r="D1851" t="s">
        <v>12</v>
      </c>
      <c r="E1851" t="s">
        <v>424</v>
      </c>
      <c r="F1851" t="s">
        <v>34</v>
      </c>
      <c r="G1851" t="s">
        <v>35</v>
      </c>
      <c r="H1851">
        <v>4</v>
      </c>
      <c r="I1851">
        <v>1848</v>
      </c>
      <c r="J1851">
        <v>374.66</v>
      </c>
    </row>
    <row r="1852" spans="1:10" x14ac:dyDescent="0.25">
      <c r="A1852" s="1">
        <v>45027</v>
      </c>
      <c r="B1852" t="s">
        <v>32</v>
      </c>
      <c r="C1852" t="s">
        <v>19</v>
      </c>
      <c r="D1852" t="s">
        <v>12</v>
      </c>
      <c r="E1852" t="s">
        <v>74</v>
      </c>
      <c r="F1852" t="s">
        <v>23</v>
      </c>
      <c r="G1852" t="s">
        <v>24</v>
      </c>
      <c r="H1852">
        <v>4</v>
      </c>
      <c r="I1852">
        <v>652</v>
      </c>
      <c r="J1852">
        <v>116.06</v>
      </c>
    </row>
    <row r="1853" spans="1:10" x14ac:dyDescent="0.25">
      <c r="A1853" s="1">
        <v>44887</v>
      </c>
      <c r="B1853" t="s">
        <v>16</v>
      </c>
      <c r="C1853" t="s">
        <v>17</v>
      </c>
      <c r="D1853" t="s">
        <v>12</v>
      </c>
      <c r="E1853" t="s">
        <v>298</v>
      </c>
      <c r="F1853" t="s">
        <v>46</v>
      </c>
      <c r="G1853" t="s">
        <v>15</v>
      </c>
      <c r="H1853">
        <v>6</v>
      </c>
      <c r="I1853">
        <v>2940</v>
      </c>
      <c r="J1853">
        <v>609.99</v>
      </c>
    </row>
    <row r="1854" spans="1:10" x14ac:dyDescent="0.25">
      <c r="A1854" s="1">
        <v>44710</v>
      </c>
      <c r="B1854" t="s">
        <v>29</v>
      </c>
      <c r="C1854" t="s">
        <v>17</v>
      </c>
      <c r="D1854" t="s">
        <v>12</v>
      </c>
      <c r="E1854" t="s">
        <v>298</v>
      </c>
      <c r="F1854" t="s">
        <v>46</v>
      </c>
      <c r="G1854" t="s">
        <v>15</v>
      </c>
      <c r="H1854">
        <v>4</v>
      </c>
      <c r="I1854">
        <v>3912</v>
      </c>
      <c r="J1854">
        <v>454.89</v>
      </c>
    </row>
    <row r="1855" spans="1:10" x14ac:dyDescent="0.25">
      <c r="A1855" s="1">
        <v>44843</v>
      </c>
      <c r="B1855" t="s">
        <v>18</v>
      </c>
      <c r="C1855" t="s">
        <v>19</v>
      </c>
      <c r="D1855" t="s">
        <v>12</v>
      </c>
      <c r="E1855" t="s">
        <v>52</v>
      </c>
      <c r="F1855" t="s">
        <v>42</v>
      </c>
      <c r="G1855" t="s">
        <v>28</v>
      </c>
      <c r="H1855">
        <v>8</v>
      </c>
      <c r="I1855">
        <v>9392</v>
      </c>
      <c r="J1855">
        <v>891.07</v>
      </c>
    </row>
    <row r="1856" spans="1:10" x14ac:dyDescent="0.25">
      <c r="A1856" s="1">
        <v>44855</v>
      </c>
      <c r="B1856" t="s">
        <v>36</v>
      </c>
      <c r="C1856" t="s">
        <v>17</v>
      </c>
      <c r="D1856" t="s">
        <v>12</v>
      </c>
      <c r="E1856" t="s">
        <v>22</v>
      </c>
      <c r="F1856" t="s">
        <v>23</v>
      </c>
      <c r="G1856" t="s">
        <v>24</v>
      </c>
      <c r="H1856">
        <v>1</v>
      </c>
      <c r="I1856">
        <v>312</v>
      </c>
      <c r="J1856">
        <v>43.01</v>
      </c>
    </row>
    <row r="1857" spans="1:10" x14ac:dyDescent="0.25">
      <c r="A1857" s="1">
        <v>45254</v>
      </c>
      <c r="B1857" t="s">
        <v>55</v>
      </c>
      <c r="C1857" t="s">
        <v>19</v>
      </c>
      <c r="D1857" t="s">
        <v>12</v>
      </c>
      <c r="E1857" t="s">
        <v>105</v>
      </c>
      <c r="F1857" t="s">
        <v>23</v>
      </c>
      <c r="G1857" t="s">
        <v>24</v>
      </c>
      <c r="H1857">
        <v>9</v>
      </c>
      <c r="I1857">
        <v>7731</v>
      </c>
      <c r="J1857">
        <v>1459.74</v>
      </c>
    </row>
    <row r="1858" spans="1:10" x14ac:dyDescent="0.25">
      <c r="A1858" s="1">
        <v>45100</v>
      </c>
      <c r="B1858" t="s">
        <v>18</v>
      </c>
      <c r="C1858" t="s">
        <v>19</v>
      </c>
      <c r="D1858" t="s">
        <v>12</v>
      </c>
      <c r="E1858" t="s">
        <v>74</v>
      </c>
      <c r="F1858" t="s">
        <v>23</v>
      </c>
      <c r="G1858" t="s">
        <v>24</v>
      </c>
      <c r="H1858">
        <v>1</v>
      </c>
      <c r="I1858">
        <v>1081</v>
      </c>
      <c r="J1858">
        <v>229.32</v>
      </c>
    </row>
    <row r="1859" spans="1:10" x14ac:dyDescent="0.25">
      <c r="A1859" s="1">
        <v>45154</v>
      </c>
      <c r="B1859" t="s">
        <v>40</v>
      </c>
      <c r="C1859" t="s">
        <v>19</v>
      </c>
      <c r="D1859" t="s">
        <v>12</v>
      </c>
      <c r="E1859" t="s">
        <v>37</v>
      </c>
      <c r="F1859" t="s">
        <v>34</v>
      </c>
      <c r="G1859" t="s">
        <v>35</v>
      </c>
      <c r="H1859">
        <v>6</v>
      </c>
      <c r="I1859">
        <v>1926</v>
      </c>
      <c r="J1859">
        <v>393.01</v>
      </c>
    </row>
    <row r="1860" spans="1:10" x14ac:dyDescent="0.25">
      <c r="A1860" s="1">
        <v>44768</v>
      </c>
      <c r="B1860" t="s">
        <v>36</v>
      </c>
      <c r="C1860" t="s">
        <v>17</v>
      </c>
      <c r="D1860" t="s">
        <v>12</v>
      </c>
      <c r="E1860" t="s">
        <v>37</v>
      </c>
      <c r="F1860" t="s">
        <v>34</v>
      </c>
      <c r="G1860" t="s">
        <v>35</v>
      </c>
      <c r="H1860">
        <v>3</v>
      </c>
      <c r="I1860">
        <v>936</v>
      </c>
      <c r="J1860">
        <v>88.51</v>
      </c>
    </row>
    <row r="1861" spans="1:10" x14ac:dyDescent="0.25">
      <c r="A1861" s="1">
        <v>45655</v>
      </c>
      <c r="B1861" t="s">
        <v>55</v>
      </c>
      <c r="C1861" t="s">
        <v>19</v>
      </c>
      <c r="D1861" t="s">
        <v>12</v>
      </c>
      <c r="E1861" t="s">
        <v>81</v>
      </c>
      <c r="F1861" t="s">
        <v>46</v>
      </c>
      <c r="G1861" t="s">
        <v>15</v>
      </c>
      <c r="H1861">
        <v>9</v>
      </c>
      <c r="I1861">
        <v>8550</v>
      </c>
      <c r="J1861">
        <v>1970.98</v>
      </c>
    </row>
    <row r="1862" spans="1:10" x14ac:dyDescent="0.25">
      <c r="A1862" s="1">
        <v>45162</v>
      </c>
      <c r="B1862" t="s">
        <v>36</v>
      </c>
      <c r="C1862" t="s">
        <v>17</v>
      </c>
      <c r="D1862" t="s">
        <v>12</v>
      </c>
      <c r="E1862" t="s">
        <v>81</v>
      </c>
      <c r="F1862" t="s">
        <v>46</v>
      </c>
      <c r="G1862" t="s">
        <v>15</v>
      </c>
      <c r="H1862">
        <v>4</v>
      </c>
      <c r="I1862">
        <v>2468</v>
      </c>
      <c r="J1862">
        <v>457.51</v>
      </c>
    </row>
    <row r="1863" spans="1:10" x14ac:dyDescent="0.25">
      <c r="A1863" s="1">
        <v>45173</v>
      </c>
      <c r="B1863" t="s">
        <v>18</v>
      </c>
      <c r="C1863" t="s">
        <v>19</v>
      </c>
      <c r="D1863" t="s">
        <v>12</v>
      </c>
      <c r="E1863" t="s">
        <v>56</v>
      </c>
      <c r="F1863" t="s">
        <v>57</v>
      </c>
      <c r="G1863" t="s">
        <v>24</v>
      </c>
      <c r="H1863">
        <v>3</v>
      </c>
      <c r="I1863">
        <v>801</v>
      </c>
      <c r="J1863">
        <v>90.34</v>
      </c>
    </row>
    <row r="1864" spans="1:10" x14ac:dyDescent="0.25">
      <c r="A1864" s="1">
        <v>44929</v>
      </c>
      <c r="B1864" t="s">
        <v>55</v>
      </c>
      <c r="C1864" t="s">
        <v>19</v>
      </c>
      <c r="D1864" t="s">
        <v>12</v>
      </c>
      <c r="E1864" t="s">
        <v>425</v>
      </c>
      <c r="F1864" t="s">
        <v>189</v>
      </c>
      <c r="G1864" t="s">
        <v>24</v>
      </c>
      <c r="H1864">
        <v>9</v>
      </c>
      <c r="I1864">
        <v>2655</v>
      </c>
      <c r="J1864">
        <v>701.11</v>
      </c>
    </row>
    <row r="1865" spans="1:10" x14ac:dyDescent="0.25">
      <c r="A1865" s="1">
        <v>45260</v>
      </c>
      <c r="B1865" t="s">
        <v>32</v>
      </c>
      <c r="C1865" t="s">
        <v>19</v>
      </c>
      <c r="D1865" t="s">
        <v>12</v>
      </c>
      <c r="E1865" t="s">
        <v>105</v>
      </c>
      <c r="F1865" t="s">
        <v>23</v>
      </c>
      <c r="G1865" t="s">
        <v>24</v>
      </c>
      <c r="H1865">
        <v>8</v>
      </c>
      <c r="I1865">
        <v>3928</v>
      </c>
      <c r="J1865">
        <v>700.38</v>
      </c>
    </row>
    <row r="1866" spans="1:10" x14ac:dyDescent="0.25">
      <c r="A1866" s="1">
        <v>45484</v>
      </c>
      <c r="B1866" t="s">
        <v>36</v>
      </c>
      <c r="C1866" t="s">
        <v>17</v>
      </c>
      <c r="D1866" t="s">
        <v>12</v>
      </c>
      <c r="E1866" t="s">
        <v>47</v>
      </c>
      <c r="F1866" t="s">
        <v>156</v>
      </c>
      <c r="G1866" t="s">
        <v>28</v>
      </c>
      <c r="H1866">
        <v>8</v>
      </c>
      <c r="I1866">
        <v>6488</v>
      </c>
      <c r="J1866">
        <v>1438.34</v>
      </c>
    </row>
    <row r="1867" spans="1:10" x14ac:dyDescent="0.25">
      <c r="A1867" s="1">
        <v>45325</v>
      </c>
      <c r="B1867" t="s">
        <v>29</v>
      </c>
      <c r="C1867" t="s">
        <v>17</v>
      </c>
      <c r="D1867" t="s">
        <v>12</v>
      </c>
      <c r="E1867" t="s">
        <v>130</v>
      </c>
      <c r="F1867" t="s">
        <v>54</v>
      </c>
      <c r="G1867" t="s">
        <v>24</v>
      </c>
      <c r="H1867">
        <v>9</v>
      </c>
      <c r="I1867">
        <v>7695</v>
      </c>
      <c r="J1867">
        <v>1749.26</v>
      </c>
    </row>
    <row r="1868" spans="1:10" x14ac:dyDescent="0.25">
      <c r="A1868" s="1">
        <v>45126</v>
      </c>
      <c r="B1868" t="s">
        <v>29</v>
      </c>
      <c r="C1868" t="s">
        <v>17</v>
      </c>
      <c r="D1868" t="s">
        <v>12</v>
      </c>
      <c r="E1868" t="s">
        <v>224</v>
      </c>
      <c r="F1868" t="s">
        <v>34</v>
      </c>
      <c r="G1868" t="s">
        <v>35</v>
      </c>
      <c r="H1868">
        <v>2</v>
      </c>
      <c r="I1868">
        <v>1856</v>
      </c>
      <c r="J1868">
        <v>468.19</v>
      </c>
    </row>
    <row r="1869" spans="1:10" x14ac:dyDescent="0.25">
      <c r="A1869" s="1">
        <v>44665</v>
      </c>
      <c r="B1869" t="s">
        <v>32</v>
      </c>
      <c r="C1869" t="s">
        <v>19</v>
      </c>
      <c r="D1869" t="s">
        <v>12</v>
      </c>
      <c r="E1869" t="s">
        <v>52</v>
      </c>
      <c r="F1869" t="s">
        <v>42</v>
      </c>
      <c r="G1869" t="s">
        <v>28</v>
      </c>
      <c r="H1869">
        <v>7</v>
      </c>
      <c r="I1869">
        <v>1519</v>
      </c>
      <c r="J1869">
        <v>403.63</v>
      </c>
    </row>
    <row r="1870" spans="1:10" x14ac:dyDescent="0.25">
      <c r="A1870" s="1">
        <v>45310</v>
      </c>
      <c r="B1870" t="s">
        <v>18</v>
      </c>
      <c r="C1870" t="s">
        <v>19</v>
      </c>
      <c r="D1870" t="s">
        <v>12</v>
      </c>
      <c r="E1870" t="s">
        <v>37</v>
      </c>
      <c r="F1870" t="s">
        <v>34</v>
      </c>
      <c r="G1870" t="s">
        <v>35</v>
      </c>
      <c r="H1870">
        <v>3</v>
      </c>
      <c r="I1870">
        <v>3549</v>
      </c>
      <c r="J1870">
        <v>996.05</v>
      </c>
    </row>
    <row r="1871" spans="1:10" x14ac:dyDescent="0.25">
      <c r="A1871" s="1">
        <v>45547</v>
      </c>
      <c r="B1871" t="s">
        <v>55</v>
      </c>
      <c r="C1871" t="s">
        <v>19</v>
      </c>
      <c r="D1871" t="s">
        <v>12</v>
      </c>
      <c r="E1871" t="s">
        <v>426</v>
      </c>
      <c r="F1871" t="s">
        <v>267</v>
      </c>
      <c r="G1871" t="s">
        <v>24</v>
      </c>
      <c r="H1871">
        <v>3</v>
      </c>
      <c r="I1871">
        <v>1656</v>
      </c>
      <c r="J1871">
        <v>378.84</v>
      </c>
    </row>
    <row r="1872" spans="1:10" x14ac:dyDescent="0.25">
      <c r="A1872" s="1">
        <v>45528</v>
      </c>
      <c r="B1872" t="s">
        <v>49</v>
      </c>
      <c r="C1872" t="s">
        <v>17</v>
      </c>
      <c r="D1872" t="s">
        <v>12</v>
      </c>
      <c r="E1872" t="s">
        <v>148</v>
      </c>
      <c r="F1872" t="s">
        <v>149</v>
      </c>
      <c r="G1872" t="s">
        <v>15</v>
      </c>
      <c r="H1872">
        <v>7</v>
      </c>
      <c r="I1872">
        <v>812</v>
      </c>
      <c r="J1872">
        <v>175.55</v>
      </c>
    </row>
    <row r="1873" spans="1:10" x14ac:dyDescent="0.25">
      <c r="A1873" s="1">
        <v>44920</v>
      </c>
      <c r="B1873" t="s">
        <v>16</v>
      </c>
      <c r="C1873" t="s">
        <v>17</v>
      </c>
      <c r="D1873" t="s">
        <v>12</v>
      </c>
      <c r="E1873" t="s">
        <v>148</v>
      </c>
      <c r="F1873" t="s">
        <v>149</v>
      </c>
      <c r="G1873" t="s">
        <v>15</v>
      </c>
      <c r="H1873">
        <v>5</v>
      </c>
      <c r="I1873">
        <v>3730</v>
      </c>
      <c r="J1873">
        <v>864.41</v>
      </c>
    </row>
    <row r="1874" spans="1:10" x14ac:dyDescent="0.25">
      <c r="A1874" s="1">
        <v>45284</v>
      </c>
      <c r="B1874" t="s">
        <v>36</v>
      </c>
      <c r="C1874" t="s">
        <v>17</v>
      </c>
      <c r="D1874" t="s">
        <v>12</v>
      </c>
      <c r="E1874" t="s">
        <v>328</v>
      </c>
      <c r="F1874" t="s">
        <v>191</v>
      </c>
      <c r="G1874" t="s">
        <v>35</v>
      </c>
      <c r="H1874">
        <v>1</v>
      </c>
      <c r="I1874">
        <v>1161</v>
      </c>
      <c r="J1874">
        <v>210.87</v>
      </c>
    </row>
    <row r="1875" spans="1:10" x14ac:dyDescent="0.25">
      <c r="A1875" s="1">
        <v>44699</v>
      </c>
      <c r="B1875" t="s">
        <v>29</v>
      </c>
      <c r="C1875" t="s">
        <v>17</v>
      </c>
      <c r="D1875" t="s">
        <v>12</v>
      </c>
      <c r="E1875" t="s">
        <v>427</v>
      </c>
      <c r="F1875" t="s">
        <v>42</v>
      </c>
      <c r="G1875" t="s">
        <v>28</v>
      </c>
      <c r="H1875">
        <v>3</v>
      </c>
      <c r="I1875">
        <v>2256</v>
      </c>
      <c r="J1875">
        <v>282.52</v>
      </c>
    </row>
    <row r="1876" spans="1:10" x14ac:dyDescent="0.25">
      <c r="A1876" s="1">
        <v>45563</v>
      </c>
      <c r="B1876" t="s">
        <v>36</v>
      </c>
      <c r="C1876" t="s">
        <v>17</v>
      </c>
      <c r="D1876" t="s">
        <v>12</v>
      </c>
      <c r="E1876" t="s">
        <v>171</v>
      </c>
      <c r="F1876" t="s">
        <v>94</v>
      </c>
      <c r="G1876" t="s">
        <v>24</v>
      </c>
      <c r="H1876">
        <v>1</v>
      </c>
      <c r="I1876">
        <v>359</v>
      </c>
      <c r="J1876">
        <v>78.17</v>
      </c>
    </row>
    <row r="1877" spans="1:10" x14ac:dyDescent="0.25">
      <c r="A1877" s="1">
        <v>45374</v>
      </c>
      <c r="B1877" t="s">
        <v>29</v>
      </c>
      <c r="C1877" t="s">
        <v>17</v>
      </c>
      <c r="D1877" t="s">
        <v>12</v>
      </c>
      <c r="E1877" t="s">
        <v>154</v>
      </c>
      <c r="F1877" t="s">
        <v>115</v>
      </c>
      <c r="G1877" t="s">
        <v>15</v>
      </c>
      <c r="H1877">
        <v>2</v>
      </c>
      <c r="I1877">
        <v>130</v>
      </c>
      <c r="J1877">
        <v>11.1</v>
      </c>
    </row>
    <row r="1878" spans="1:10" x14ac:dyDescent="0.25">
      <c r="A1878" s="1">
        <v>44830</v>
      </c>
      <c r="B1878" t="s">
        <v>16</v>
      </c>
      <c r="C1878" t="s">
        <v>17</v>
      </c>
      <c r="D1878" t="s">
        <v>12</v>
      </c>
      <c r="E1878" t="s">
        <v>237</v>
      </c>
      <c r="F1878" t="s">
        <v>149</v>
      </c>
      <c r="G1878" t="s">
        <v>15</v>
      </c>
      <c r="H1878">
        <v>8</v>
      </c>
      <c r="I1878">
        <v>4248</v>
      </c>
      <c r="J1878">
        <v>831.54</v>
      </c>
    </row>
    <row r="1879" spans="1:10" x14ac:dyDescent="0.25">
      <c r="A1879" s="1">
        <v>45569</v>
      </c>
      <c r="B1879" t="s">
        <v>25</v>
      </c>
      <c r="C1879" t="s">
        <v>19</v>
      </c>
      <c r="D1879" t="s">
        <v>12</v>
      </c>
      <c r="E1879" t="s">
        <v>382</v>
      </c>
      <c r="F1879" t="s">
        <v>78</v>
      </c>
      <c r="G1879" t="s">
        <v>28</v>
      </c>
      <c r="H1879">
        <v>5</v>
      </c>
      <c r="I1879">
        <v>1825</v>
      </c>
      <c r="J1879">
        <v>221.47</v>
      </c>
    </row>
    <row r="1880" spans="1:10" x14ac:dyDescent="0.25">
      <c r="A1880" s="1">
        <v>45560</v>
      </c>
      <c r="B1880" t="s">
        <v>49</v>
      </c>
      <c r="C1880" t="s">
        <v>17</v>
      </c>
      <c r="D1880" t="s">
        <v>12</v>
      </c>
      <c r="E1880" t="s">
        <v>43</v>
      </c>
      <c r="F1880" t="s">
        <v>44</v>
      </c>
      <c r="G1880" t="s">
        <v>35</v>
      </c>
      <c r="H1880">
        <v>2</v>
      </c>
      <c r="I1880">
        <v>876</v>
      </c>
      <c r="J1880">
        <v>224.01</v>
      </c>
    </row>
    <row r="1881" spans="1:10" x14ac:dyDescent="0.25">
      <c r="A1881" s="1">
        <v>44929</v>
      </c>
      <c r="B1881" t="s">
        <v>25</v>
      </c>
      <c r="C1881" t="s">
        <v>19</v>
      </c>
      <c r="D1881" t="s">
        <v>12</v>
      </c>
      <c r="E1881" t="s">
        <v>56</v>
      </c>
      <c r="F1881" t="s">
        <v>57</v>
      </c>
      <c r="G1881" t="s">
        <v>24</v>
      </c>
      <c r="H1881">
        <v>9</v>
      </c>
      <c r="I1881">
        <v>9180</v>
      </c>
      <c r="J1881">
        <v>2752.84</v>
      </c>
    </row>
    <row r="1882" spans="1:10" x14ac:dyDescent="0.25">
      <c r="A1882" s="1">
        <v>45377</v>
      </c>
      <c r="B1882" t="s">
        <v>36</v>
      </c>
      <c r="C1882" t="s">
        <v>17</v>
      </c>
      <c r="D1882" t="s">
        <v>12</v>
      </c>
      <c r="E1882" t="s">
        <v>428</v>
      </c>
      <c r="F1882" t="s">
        <v>23</v>
      </c>
      <c r="G1882" t="s">
        <v>24</v>
      </c>
      <c r="H1882">
        <v>5</v>
      </c>
      <c r="I1882">
        <v>1765</v>
      </c>
      <c r="J1882">
        <v>160.88999999999999</v>
      </c>
    </row>
    <row r="1883" spans="1:10" x14ac:dyDescent="0.25">
      <c r="A1883" s="1">
        <v>44840</v>
      </c>
      <c r="B1883" t="s">
        <v>36</v>
      </c>
      <c r="C1883" t="s">
        <v>17</v>
      </c>
      <c r="D1883" t="s">
        <v>12</v>
      </c>
      <c r="E1883" t="s">
        <v>75</v>
      </c>
      <c r="F1883" t="s">
        <v>108</v>
      </c>
      <c r="G1883" t="s">
        <v>15</v>
      </c>
      <c r="H1883">
        <v>2</v>
      </c>
      <c r="I1883">
        <v>1504</v>
      </c>
      <c r="J1883">
        <v>164.51</v>
      </c>
    </row>
    <row r="1884" spans="1:10" x14ac:dyDescent="0.25">
      <c r="A1884" s="1">
        <v>44742</v>
      </c>
      <c r="B1884" t="s">
        <v>49</v>
      </c>
      <c r="C1884" t="s">
        <v>17</v>
      </c>
      <c r="D1884" t="s">
        <v>12</v>
      </c>
      <c r="E1884" t="s">
        <v>105</v>
      </c>
      <c r="F1884" t="s">
        <v>23</v>
      </c>
      <c r="G1884" t="s">
        <v>24</v>
      </c>
      <c r="H1884">
        <v>9</v>
      </c>
      <c r="I1884">
        <v>1881</v>
      </c>
      <c r="J1884">
        <v>430.78</v>
      </c>
    </row>
    <row r="1885" spans="1:10" x14ac:dyDescent="0.25">
      <c r="A1885" s="1">
        <v>44577</v>
      </c>
      <c r="B1885" t="s">
        <v>49</v>
      </c>
      <c r="C1885" t="s">
        <v>17</v>
      </c>
      <c r="D1885" t="s">
        <v>12</v>
      </c>
      <c r="E1885" t="s">
        <v>376</v>
      </c>
      <c r="F1885" t="s">
        <v>34</v>
      </c>
      <c r="G1885" t="s">
        <v>35</v>
      </c>
      <c r="H1885">
        <v>9</v>
      </c>
      <c r="I1885">
        <v>7425</v>
      </c>
      <c r="J1885">
        <v>1533.72</v>
      </c>
    </row>
    <row r="1886" spans="1:10" x14ac:dyDescent="0.25">
      <c r="A1886" s="1">
        <v>44850</v>
      </c>
      <c r="B1886" t="s">
        <v>18</v>
      </c>
      <c r="C1886" t="s">
        <v>19</v>
      </c>
      <c r="D1886" t="s">
        <v>12</v>
      </c>
      <c r="E1886" t="s">
        <v>22</v>
      </c>
      <c r="F1886" t="s">
        <v>23</v>
      </c>
      <c r="G1886" t="s">
        <v>24</v>
      </c>
      <c r="H1886">
        <v>9</v>
      </c>
      <c r="I1886">
        <v>720</v>
      </c>
      <c r="J1886">
        <v>192.83</v>
      </c>
    </row>
    <row r="1887" spans="1:10" x14ac:dyDescent="0.25">
      <c r="A1887" s="1">
        <v>45419</v>
      </c>
      <c r="B1887" t="s">
        <v>40</v>
      </c>
      <c r="C1887" t="s">
        <v>19</v>
      </c>
      <c r="D1887" t="s">
        <v>12</v>
      </c>
      <c r="E1887" t="s">
        <v>92</v>
      </c>
      <c r="F1887" t="s">
        <v>44</v>
      </c>
      <c r="G1887" t="s">
        <v>35</v>
      </c>
      <c r="H1887">
        <v>5</v>
      </c>
      <c r="I1887">
        <v>2985</v>
      </c>
      <c r="J1887">
        <v>698.22</v>
      </c>
    </row>
    <row r="1888" spans="1:10" x14ac:dyDescent="0.25">
      <c r="A1888" s="1">
        <v>44565</v>
      </c>
      <c r="B1888" t="s">
        <v>55</v>
      </c>
      <c r="C1888" t="s">
        <v>19</v>
      </c>
      <c r="D1888" t="s">
        <v>12</v>
      </c>
      <c r="E1888" t="s">
        <v>92</v>
      </c>
      <c r="F1888" t="s">
        <v>44</v>
      </c>
      <c r="G1888" t="s">
        <v>35</v>
      </c>
      <c r="H1888">
        <v>9</v>
      </c>
      <c r="I1888">
        <v>711</v>
      </c>
      <c r="J1888">
        <v>200.11</v>
      </c>
    </row>
    <row r="1889" spans="1:10" x14ac:dyDescent="0.25">
      <c r="A1889" s="1">
        <v>45517</v>
      </c>
      <c r="B1889" t="s">
        <v>10</v>
      </c>
      <c r="C1889" t="s">
        <v>11</v>
      </c>
      <c r="D1889" t="s">
        <v>12</v>
      </c>
      <c r="E1889" t="s">
        <v>377</v>
      </c>
      <c r="F1889" t="s">
        <v>115</v>
      </c>
      <c r="G1889" t="s">
        <v>15</v>
      </c>
      <c r="H1889">
        <v>6</v>
      </c>
      <c r="I1889">
        <v>6276</v>
      </c>
      <c r="J1889">
        <v>1396.25</v>
      </c>
    </row>
    <row r="1890" spans="1:10" x14ac:dyDescent="0.25">
      <c r="A1890" s="1">
        <v>44939</v>
      </c>
      <c r="B1890" t="s">
        <v>16</v>
      </c>
      <c r="C1890" t="s">
        <v>17</v>
      </c>
      <c r="D1890" t="s">
        <v>12</v>
      </c>
      <c r="E1890" t="s">
        <v>429</v>
      </c>
      <c r="F1890" t="s">
        <v>21</v>
      </c>
      <c r="G1890" t="s">
        <v>15</v>
      </c>
      <c r="H1890">
        <v>7</v>
      </c>
      <c r="I1890">
        <v>7966</v>
      </c>
      <c r="J1890">
        <v>955.8</v>
      </c>
    </row>
    <row r="1891" spans="1:10" x14ac:dyDescent="0.25">
      <c r="A1891" s="1">
        <v>44999</v>
      </c>
      <c r="B1891" t="s">
        <v>29</v>
      </c>
      <c r="C1891" t="s">
        <v>17</v>
      </c>
      <c r="D1891" t="s">
        <v>12</v>
      </c>
      <c r="E1891" t="s">
        <v>145</v>
      </c>
      <c r="F1891" t="s">
        <v>44</v>
      </c>
      <c r="G1891" t="s">
        <v>35</v>
      </c>
      <c r="H1891">
        <v>8</v>
      </c>
      <c r="I1891">
        <v>4200</v>
      </c>
      <c r="J1891">
        <v>854.89</v>
      </c>
    </row>
    <row r="1892" spans="1:10" x14ac:dyDescent="0.25">
      <c r="A1892" s="1">
        <v>45429</v>
      </c>
      <c r="B1892" t="s">
        <v>55</v>
      </c>
      <c r="C1892" t="s">
        <v>19</v>
      </c>
      <c r="D1892" t="s">
        <v>12</v>
      </c>
      <c r="E1892" t="s">
        <v>224</v>
      </c>
      <c r="F1892" t="s">
        <v>34</v>
      </c>
      <c r="G1892" t="s">
        <v>35</v>
      </c>
      <c r="H1892">
        <v>7</v>
      </c>
      <c r="I1892">
        <v>455</v>
      </c>
      <c r="J1892">
        <v>80</v>
      </c>
    </row>
    <row r="1893" spans="1:10" x14ac:dyDescent="0.25">
      <c r="A1893" s="1">
        <v>45580</v>
      </c>
      <c r="B1893" t="s">
        <v>49</v>
      </c>
      <c r="C1893" t="s">
        <v>17</v>
      </c>
      <c r="D1893" t="s">
        <v>12</v>
      </c>
      <c r="E1893" t="s">
        <v>224</v>
      </c>
      <c r="F1893" t="s">
        <v>34</v>
      </c>
      <c r="G1893" t="s">
        <v>35</v>
      </c>
      <c r="H1893">
        <v>8</v>
      </c>
      <c r="I1893">
        <v>5040</v>
      </c>
      <c r="J1893">
        <v>465.36</v>
      </c>
    </row>
    <row r="1894" spans="1:10" x14ac:dyDescent="0.25">
      <c r="A1894" s="1">
        <v>45180</v>
      </c>
      <c r="B1894" t="s">
        <v>16</v>
      </c>
      <c r="C1894" t="s">
        <v>17</v>
      </c>
      <c r="D1894" t="s">
        <v>12</v>
      </c>
      <c r="E1894" t="s">
        <v>136</v>
      </c>
      <c r="F1894" t="s">
        <v>65</v>
      </c>
      <c r="G1894" t="s">
        <v>35</v>
      </c>
      <c r="H1894">
        <v>1</v>
      </c>
      <c r="I1894">
        <v>856</v>
      </c>
      <c r="J1894">
        <v>87.69</v>
      </c>
    </row>
    <row r="1895" spans="1:10" x14ac:dyDescent="0.25">
      <c r="A1895" s="1">
        <v>45127</v>
      </c>
      <c r="B1895" t="s">
        <v>36</v>
      </c>
      <c r="C1895" t="s">
        <v>17</v>
      </c>
      <c r="D1895" t="s">
        <v>12</v>
      </c>
      <c r="E1895" t="s">
        <v>430</v>
      </c>
      <c r="F1895" t="s">
        <v>65</v>
      </c>
      <c r="G1895" t="s">
        <v>35</v>
      </c>
      <c r="H1895">
        <v>5</v>
      </c>
      <c r="I1895">
        <v>5230</v>
      </c>
      <c r="J1895">
        <v>385.77</v>
      </c>
    </row>
    <row r="1896" spans="1:10" x14ac:dyDescent="0.25">
      <c r="A1896" s="1">
        <v>44639</v>
      </c>
      <c r="B1896" t="s">
        <v>55</v>
      </c>
      <c r="C1896" t="s">
        <v>19</v>
      </c>
      <c r="D1896" t="s">
        <v>12</v>
      </c>
      <c r="E1896" t="s">
        <v>53</v>
      </c>
      <c r="F1896" t="s">
        <v>44</v>
      </c>
      <c r="G1896" t="s">
        <v>35</v>
      </c>
      <c r="H1896">
        <v>5</v>
      </c>
      <c r="I1896">
        <v>4635</v>
      </c>
      <c r="J1896">
        <v>769.03</v>
      </c>
    </row>
    <row r="1897" spans="1:10" x14ac:dyDescent="0.25">
      <c r="A1897" s="1">
        <v>45633</v>
      </c>
      <c r="B1897" t="s">
        <v>55</v>
      </c>
      <c r="C1897" t="s">
        <v>19</v>
      </c>
      <c r="D1897" t="s">
        <v>12</v>
      </c>
      <c r="E1897" t="s">
        <v>87</v>
      </c>
      <c r="F1897" t="s">
        <v>46</v>
      </c>
      <c r="G1897" t="s">
        <v>15</v>
      </c>
      <c r="H1897">
        <v>6</v>
      </c>
      <c r="I1897">
        <v>5508</v>
      </c>
      <c r="J1897">
        <v>360.28</v>
      </c>
    </row>
    <row r="1898" spans="1:10" x14ac:dyDescent="0.25">
      <c r="A1898" s="1">
        <v>45083</v>
      </c>
      <c r="B1898" t="s">
        <v>40</v>
      </c>
      <c r="C1898" t="s">
        <v>19</v>
      </c>
      <c r="D1898" t="s">
        <v>12</v>
      </c>
      <c r="E1898" t="s">
        <v>103</v>
      </c>
      <c r="F1898" t="s">
        <v>21</v>
      </c>
      <c r="G1898" t="s">
        <v>15</v>
      </c>
      <c r="H1898">
        <v>1</v>
      </c>
      <c r="I1898">
        <v>258</v>
      </c>
      <c r="J1898">
        <v>27.01</v>
      </c>
    </row>
    <row r="1899" spans="1:10" x14ac:dyDescent="0.25">
      <c r="A1899" s="1">
        <v>45120</v>
      </c>
      <c r="B1899" t="s">
        <v>40</v>
      </c>
      <c r="C1899" t="s">
        <v>19</v>
      </c>
      <c r="D1899" t="s">
        <v>12</v>
      </c>
      <c r="E1899" t="s">
        <v>242</v>
      </c>
      <c r="F1899" t="s">
        <v>21</v>
      </c>
      <c r="G1899" t="s">
        <v>15</v>
      </c>
      <c r="H1899">
        <v>1</v>
      </c>
      <c r="I1899">
        <v>677</v>
      </c>
      <c r="J1899">
        <v>88.41</v>
      </c>
    </row>
    <row r="1900" spans="1:10" x14ac:dyDescent="0.25">
      <c r="A1900" s="1">
        <v>45117</v>
      </c>
      <c r="B1900" t="s">
        <v>36</v>
      </c>
      <c r="C1900" t="s">
        <v>17</v>
      </c>
      <c r="D1900" t="s">
        <v>12</v>
      </c>
      <c r="E1900" t="s">
        <v>37</v>
      </c>
      <c r="F1900" t="s">
        <v>34</v>
      </c>
      <c r="G1900" t="s">
        <v>35</v>
      </c>
      <c r="H1900">
        <v>5</v>
      </c>
      <c r="I1900">
        <v>4545</v>
      </c>
      <c r="J1900">
        <v>755.05</v>
      </c>
    </row>
    <row r="1901" spans="1:10" x14ac:dyDescent="0.25">
      <c r="A1901" s="1">
        <v>45544</v>
      </c>
      <c r="B1901" t="s">
        <v>40</v>
      </c>
      <c r="C1901" t="s">
        <v>19</v>
      </c>
      <c r="D1901" t="s">
        <v>12</v>
      </c>
      <c r="E1901" t="s">
        <v>377</v>
      </c>
      <c r="F1901" t="s">
        <v>115</v>
      </c>
      <c r="G1901" t="s">
        <v>15</v>
      </c>
      <c r="H1901">
        <v>5</v>
      </c>
      <c r="I1901">
        <v>4370</v>
      </c>
      <c r="J1901">
        <v>1255.3599999999999</v>
      </c>
    </row>
    <row r="1902" spans="1:10" x14ac:dyDescent="0.25">
      <c r="A1902" s="1">
        <v>44932</v>
      </c>
      <c r="B1902" t="s">
        <v>49</v>
      </c>
      <c r="C1902" t="s">
        <v>17</v>
      </c>
      <c r="D1902" t="s">
        <v>12</v>
      </c>
      <c r="E1902" t="s">
        <v>377</v>
      </c>
      <c r="F1902" t="s">
        <v>115</v>
      </c>
      <c r="G1902" t="s">
        <v>15</v>
      </c>
      <c r="H1902">
        <v>3</v>
      </c>
      <c r="I1902">
        <v>372</v>
      </c>
      <c r="J1902">
        <v>57.51</v>
      </c>
    </row>
    <row r="1903" spans="1:10" x14ac:dyDescent="0.25">
      <c r="A1903" s="1">
        <v>45540</v>
      </c>
      <c r="B1903" t="s">
        <v>25</v>
      </c>
      <c r="C1903" t="s">
        <v>19</v>
      </c>
      <c r="D1903" t="s">
        <v>12</v>
      </c>
      <c r="E1903" t="s">
        <v>26</v>
      </c>
      <c r="F1903" t="s">
        <v>27</v>
      </c>
      <c r="G1903" t="s">
        <v>28</v>
      </c>
      <c r="H1903">
        <v>9</v>
      </c>
      <c r="I1903">
        <v>3177</v>
      </c>
      <c r="J1903">
        <v>629.96</v>
      </c>
    </row>
    <row r="1904" spans="1:10" x14ac:dyDescent="0.25">
      <c r="A1904" s="1">
        <v>45035</v>
      </c>
      <c r="B1904" t="s">
        <v>10</v>
      </c>
      <c r="C1904" t="s">
        <v>11</v>
      </c>
      <c r="D1904" t="s">
        <v>12</v>
      </c>
      <c r="E1904" t="s">
        <v>52</v>
      </c>
      <c r="F1904" t="s">
        <v>42</v>
      </c>
      <c r="G1904" t="s">
        <v>28</v>
      </c>
      <c r="H1904">
        <v>7</v>
      </c>
      <c r="I1904">
        <v>1659</v>
      </c>
      <c r="J1904">
        <v>127.48</v>
      </c>
    </row>
    <row r="1905" spans="1:10" x14ac:dyDescent="0.25">
      <c r="A1905" s="1">
        <v>45036</v>
      </c>
      <c r="B1905" t="s">
        <v>18</v>
      </c>
      <c r="C1905" t="s">
        <v>19</v>
      </c>
      <c r="D1905" t="s">
        <v>12</v>
      </c>
      <c r="E1905" t="s">
        <v>22</v>
      </c>
      <c r="F1905" t="s">
        <v>23</v>
      </c>
      <c r="G1905" t="s">
        <v>24</v>
      </c>
      <c r="H1905">
        <v>3</v>
      </c>
      <c r="I1905">
        <v>3360</v>
      </c>
      <c r="J1905">
        <v>759.31</v>
      </c>
    </row>
    <row r="1906" spans="1:10" x14ac:dyDescent="0.25">
      <c r="A1906" s="1">
        <v>44987</v>
      </c>
      <c r="B1906" t="s">
        <v>40</v>
      </c>
      <c r="C1906" t="s">
        <v>19</v>
      </c>
      <c r="D1906" t="s">
        <v>12</v>
      </c>
      <c r="E1906" t="s">
        <v>210</v>
      </c>
      <c r="F1906" t="s">
        <v>34</v>
      </c>
      <c r="G1906" t="s">
        <v>35</v>
      </c>
      <c r="H1906">
        <v>2</v>
      </c>
      <c r="I1906">
        <v>1132</v>
      </c>
      <c r="J1906">
        <v>290.56</v>
      </c>
    </row>
    <row r="1907" spans="1:10" x14ac:dyDescent="0.25">
      <c r="A1907" s="1">
        <v>45570</v>
      </c>
      <c r="B1907" t="s">
        <v>32</v>
      </c>
      <c r="C1907" t="s">
        <v>19</v>
      </c>
      <c r="D1907" t="s">
        <v>12</v>
      </c>
      <c r="E1907" t="s">
        <v>43</v>
      </c>
      <c r="F1907" t="s">
        <v>44</v>
      </c>
      <c r="G1907" t="s">
        <v>35</v>
      </c>
      <c r="H1907">
        <v>5</v>
      </c>
      <c r="I1907">
        <v>1815</v>
      </c>
      <c r="J1907">
        <v>468.62</v>
      </c>
    </row>
    <row r="1908" spans="1:10" x14ac:dyDescent="0.25">
      <c r="A1908" s="1">
        <v>45241</v>
      </c>
      <c r="B1908" t="s">
        <v>16</v>
      </c>
      <c r="C1908" t="s">
        <v>17</v>
      </c>
      <c r="D1908" t="s">
        <v>12</v>
      </c>
      <c r="E1908" t="s">
        <v>43</v>
      </c>
      <c r="F1908" t="s">
        <v>44</v>
      </c>
      <c r="G1908" t="s">
        <v>35</v>
      </c>
      <c r="H1908">
        <v>1</v>
      </c>
      <c r="I1908">
        <v>459</v>
      </c>
      <c r="J1908">
        <v>125.19</v>
      </c>
    </row>
    <row r="1909" spans="1:10" x14ac:dyDescent="0.25">
      <c r="A1909" s="1">
        <v>45245</v>
      </c>
      <c r="B1909" t="s">
        <v>40</v>
      </c>
      <c r="C1909" t="s">
        <v>19</v>
      </c>
      <c r="D1909" t="s">
        <v>12</v>
      </c>
      <c r="E1909" t="s">
        <v>103</v>
      </c>
      <c r="F1909" t="s">
        <v>149</v>
      </c>
      <c r="G1909" t="s">
        <v>15</v>
      </c>
      <c r="H1909">
        <v>1</v>
      </c>
      <c r="I1909">
        <v>1128</v>
      </c>
      <c r="J1909">
        <v>73.739999999999995</v>
      </c>
    </row>
    <row r="1910" spans="1:10" x14ac:dyDescent="0.25">
      <c r="A1910" s="1">
        <v>45595</v>
      </c>
      <c r="B1910" t="s">
        <v>36</v>
      </c>
      <c r="C1910" t="s">
        <v>17</v>
      </c>
      <c r="D1910" t="s">
        <v>12</v>
      </c>
      <c r="E1910" t="s">
        <v>132</v>
      </c>
      <c r="F1910" t="s">
        <v>100</v>
      </c>
      <c r="G1910" t="s">
        <v>35</v>
      </c>
      <c r="H1910">
        <v>6</v>
      </c>
      <c r="I1910">
        <v>1170</v>
      </c>
      <c r="J1910">
        <v>104.63</v>
      </c>
    </row>
    <row r="1911" spans="1:10" x14ac:dyDescent="0.25">
      <c r="A1911" s="1">
        <v>44774</v>
      </c>
      <c r="B1911" t="s">
        <v>32</v>
      </c>
      <c r="C1911" t="s">
        <v>19</v>
      </c>
      <c r="D1911" t="s">
        <v>12</v>
      </c>
      <c r="E1911" t="s">
        <v>47</v>
      </c>
      <c r="F1911" t="s">
        <v>46</v>
      </c>
      <c r="G1911" t="s">
        <v>15</v>
      </c>
      <c r="H1911">
        <v>5</v>
      </c>
      <c r="I1911">
        <v>4420</v>
      </c>
      <c r="J1911">
        <v>380.69</v>
      </c>
    </row>
    <row r="1912" spans="1:10" x14ac:dyDescent="0.25">
      <c r="A1912" s="1">
        <v>45351</v>
      </c>
      <c r="B1912" t="s">
        <v>40</v>
      </c>
      <c r="C1912" t="s">
        <v>19</v>
      </c>
      <c r="D1912" t="s">
        <v>12</v>
      </c>
      <c r="E1912" t="s">
        <v>26</v>
      </c>
      <c r="F1912" t="s">
        <v>27</v>
      </c>
      <c r="G1912" t="s">
        <v>28</v>
      </c>
      <c r="H1912">
        <v>6</v>
      </c>
      <c r="I1912">
        <v>456</v>
      </c>
      <c r="J1912">
        <v>69.150000000000006</v>
      </c>
    </row>
    <row r="1913" spans="1:10" x14ac:dyDescent="0.25">
      <c r="A1913" s="1">
        <v>45347</v>
      </c>
      <c r="B1913" t="s">
        <v>18</v>
      </c>
      <c r="C1913" t="s">
        <v>19</v>
      </c>
      <c r="D1913" t="s">
        <v>12</v>
      </c>
      <c r="E1913" t="s">
        <v>136</v>
      </c>
      <c r="F1913" t="s">
        <v>65</v>
      </c>
      <c r="G1913" t="s">
        <v>35</v>
      </c>
      <c r="H1913">
        <v>2</v>
      </c>
      <c r="I1913">
        <v>1458</v>
      </c>
      <c r="J1913">
        <v>154.79</v>
      </c>
    </row>
    <row r="1914" spans="1:10" x14ac:dyDescent="0.25">
      <c r="A1914" s="1">
        <v>45467</v>
      </c>
      <c r="B1914" t="s">
        <v>36</v>
      </c>
      <c r="C1914" t="s">
        <v>17</v>
      </c>
      <c r="D1914" t="s">
        <v>12</v>
      </c>
      <c r="E1914" t="s">
        <v>52</v>
      </c>
      <c r="F1914" t="s">
        <v>42</v>
      </c>
      <c r="G1914" t="s">
        <v>28</v>
      </c>
      <c r="H1914">
        <v>7</v>
      </c>
      <c r="I1914">
        <v>2989</v>
      </c>
      <c r="J1914">
        <v>197.58</v>
      </c>
    </row>
    <row r="1915" spans="1:10" x14ac:dyDescent="0.25">
      <c r="A1915" s="1">
        <v>45646</v>
      </c>
      <c r="B1915" t="s">
        <v>25</v>
      </c>
      <c r="C1915" t="s">
        <v>19</v>
      </c>
      <c r="D1915" t="s">
        <v>12</v>
      </c>
      <c r="E1915" t="s">
        <v>132</v>
      </c>
      <c r="F1915" t="s">
        <v>115</v>
      </c>
      <c r="G1915" t="s">
        <v>15</v>
      </c>
      <c r="H1915">
        <v>4</v>
      </c>
      <c r="I1915">
        <v>3424</v>
      </c>
      <c r="J1915">
        <v>845.68</v>
      </c>
    </row>
    <row r="1916" spans="1:10" x14ac:dyDescent="0.25">
      <c r="A1916" s="1">
        <v>45579</v>
      </c>
      <c r="B1916" t="s">
        <v>16</v>
      </c>
      <c r="C1916" t="s">
        <v>17</v>
      </c>
      <c r="D1916" t="s">
        <v>12</v>
      </c>
      <c r="E1916" t="s">
        <v>270</v>
      </c>
      <c r="F1916" t="s">
        <v>54</v>
      </c>
      <c r="G1916" t="s">
        <v>24</v>
      </c>
      <c r="H1916">
        <v>2</v>
      </c>
      <c r="I1916">
        <v>1226</v>
      </c>
      <c r="J1916">
        <v>124.25</v>
      </c>
    </row>
    <row r="1917" spans="1:10" x14ac:dyDescent="0.25">
      <c r="A1917" s="1">
        <v>45612</v>
      </c>
      <c r="B1917" t="s">
        <v>55</v>
      </c>
      <c r="C1917" t="s">
        <v>19</v>
      </c>
      <c r="D1917" t="s">
        <v>12</v>
      </c>
      <c r="E1917" t="s">
        <v>52</v>
      </c>
      <c r="F1917" t="s">
        <v>42</v>
      </c>
      <c r="G1917" t="s">
        <v>28</v>
      </c>
      <c r="H1917">
        <v>8</v>
      </c>
      <c r="I1917">
        <v>6760</v>
      </c>
      <c r="J1917">
        <v>1097.6300000000001</v>
      </c>
    </row>
    <row r="1918" spans="1:10" x14ac:dyDescent="0.25">
      <c r="A1918" s="1">
        <v>45194</v>
      </c>
      <c r="B1918" t="s">
        <v>40</v>
      </c>
      <c r="C1918" t="s">
        <v>19</v>
      </c>
      <c r="D1918" t="s">
        <v>12</v>
      </c>
      <c r="E1918" t="s">
        <v>52</v>
      </c>
      <c r="F1918" t="s">
        <v>42</v>
      </c>
      <c r="G1918" t="s">
        <v>28</v>
      </c>
      <c r="H1918">
        <v>1</v>
      </c>
      <c r="I1918">
        <v>111</v>
      </c>
      <c r="J1918">
        <v>13.61</v>
      </c>
    </row>
    <row r="1919" spans="1:10" x14ac:dyDescent="0.25">
      <c r="A1919" s="1">
        <v>45086</v>
      </c>
      <c r="B1919" t="s">
        <v>10</v>
      </c>
      <c r="C1919" t="s">
        <v>11</v>
      </c>
      <c r="D1919" t="s">
        <v>12</v>
      </c>
      <c r="E1919" t="s">
        <v>431</v>
      </c>
      <c r="F1919" t="s">
        <v>84</v>
      </c>
      <c r="G1919" t="s">
        <v>28</v>
      </c>
      <c r="H1919">
        <v>5</v>
      </c>
      <c r="I1919">
        <v>3275</v>
      </c>
      <c r="J1919">
        <v>222.29</v>
      </c>
    </row>
    <row r="1920" spans="1:10" x14ac:dyDescent="0.25">
      <c r="A1920" s="1">
        <v>45543</v>
      </c>
      <c r="B1920" t="s">
        <v>29</v>
      </c>
      <c r="C1920" t="s">
        <v>17</v>
      </c>
      <c r="D1920" t="s">
        <v>12</v>
      </c>
      <c r="E1920" t="s">
        <v>431</v>
      </c>
      <c r="F1920" t="s">
        <v>84</v>
      </c>
      <c r="G1920" t="s">
        <v>28</v>
      </c>
      <c r="H1920">
        <v>3</v>
      </c>
      <c r="I1920">
        <v>2508</v>
      </c>
      <c r="J1920">
        <v>498.69</v>
      </c>
    </row>
    <row r="1921" spans="1:10" x14ac:dyDescent="0.25">
      <c r="A1921" s="1">
        <v>45536</v>
      </c>
      <c r="B1921" t="s">
        <v>49</v>
      </c>
      <c r="C1921" t="s">
        <v>17</v>
      </c>
      <c r="D1921" t="s">
        <v>12</v>
      </c>
      <c r="E1921" t="s">
        <v>56</v>
      </c>
      <c r="F1921" t="s">
        <v>57</v>
      </c>
      <c r="G1921" t="s">
        <v>24</v>
      </c>
      <c r="H1921">
        <v>8</v>
      </c>
      <c r="I1921">
        <v>904</v>
      </c>
      <c r="J1921">
        <v>202.35</v>
      </c>
    </row>
    <row r="1922" spans="1:10" x14ac:dyDescent="0.25">
      <c r="A1922" s="1">
        <v>45540</v>
      </c>
      <c r="B1922" t="s">
        <v>10</v>
      </c>
      <c r="C1922" t="s">
        <v>11</v>
      </c>
      <c r="D1922" t="s">
        <v>12</v>
      </c>
      <c r="E1922" t="s">
        <v>70</v>
      </c>
      <c r="F1922" t="s">
        <v>71</v>
      </c>
      <c r="G1922" t="s">
        <v>35</v>
      </c>
      <c r="H1922">
        <v>3</v>
      </c>
      <c r="I1922">
        <v>1506</v>
      </c>
      <c r="J1922">
        <v>427.84</v>
      </c>
    </row>
    <row r="1923" spans="1:10" x14ac:dyDescent="0.25">
      <c r="A1923" s="1">
        <v>44857</v>
      </c>
      <c r="B1923" t="s">
        <v>40</v>
      </c>
      <c r="C1923" t="s">
        <v>19</v>
      </c>
      <c r="D1923" t="s">
        <v>12</v>
      </c>
      <c r="E1923" t="s">
        <v>332</v>
      </c>
      <c r="F1923" t="s">
        <v>94</v>
      </c>
      <c r="G1923" t="s">
        <v>24</v>
      </c>
      <c r="H1923">
        <v>3</v>
      </c>
      <c r="I1923">
        <v>987</v>
      </c>
      <c r="J1923">
        <v>97.01</v>
      </c>
    </row>
    <row r="1924" spans="1:10" x14ac:dyDescent="0.25">
      <c r="A1924" s="1">
        <v>44590</v>
      </c>
      <c r="B1924" t="s">
        <v>40</v>
      </c>
      <c r="C1924" t="s">
        <v>19</v>
      </c>
      <c r="D1924" t="s">
        <v>12</v>
      </c>
      <c r="E1924" t="s">
        <v>432</v>
      </c>
      <c r="F1924" t="s">
        <v>21</v>
      </c>
      <c r="G1924" t="s">
        <v>15</v>
      </c>
      <c r="H1924">
        <v>7</v>
      </c>
      <c r="I1924">
        <v>2968</v>
      </c>
      <c r="J1924">
        <v>728.94</v>
      </c>
    </row>
    <row r="1925" spans="1:10" x14ac:dyDescent="0.25">
      <c r="A1925" s="1">
        <v>44637</v>
      </c>
      <c r="B1925" t="s">
        <v>16</v>
      </c>
      <c r="C1925" t="s">
        <v>17</v>
      </c>
      <c r="D1925" t="s">
        <v>12</v>
      </c>
      <c r="E1925" t="s">
        <v>52</v>
      </c>
      <c r="F1925" t="s">
        <v>42</v>
      </c>
      <c r="G1925" t="s">
        <v>28</v>
      </c>
      <c r="H1925">
        <v>5</v>
      </c>
      <c r="I1925">
        <v>4200</v>
      </c>
      <c r="J1925">
        <v>746.86</v>
      </c>
    </row>
    <row r="1926" spans="1:10" x14ac:dyDescent="0.25">
      <c r="A1926" s="1">
        <v>45307</v>
      </c>
      <c r="B1926" t="s">
        <v>32</v>
      </c>
      <c r="C1926" t="s">
        <v>19</v>
      </c>
      <c r="D1926" t="s">
        <v>12</v>
      </c>
      <c r="E1926" t="s">
        <v>22</v>
      </c>
      <c r="F1926" t="s">
        <v>23</v>
      </c>
      <c r="G1926" t="s">
        <v>24</v>
      </c>
      <c r="H1926">
        <v>5</v>
      </c>
      <c r="I1926">
        <v>1645</v>
      </c>
      <c r="J1926">
        <v>313.66000000000003</v>
      </c>
    </row>
    <row r="1927" spans="1:10" x14ac:dyDescent="0.25">
      <c r="A1927" s="1">
        <v>45621</v>
      </c>
      <c r="B1927" t="s">
        <v>10</v>
      </c>
      <c r="C1927" t="s">
        <v>11</v>
      </c>
      <c r="D1927" t="s">
        <v>12</v>
      </c>
      <c r="E1927" t="s">
        <v>22</v>
      </c>
      <c r="F1927" t="s">
        <v>23</v>
      </c>
      <c r="G1927" t="s">
        <v>24</v>
      </c>
      <c r="H1927">
        <v>3</v>
      </c>
      <c r="I1927">
        <v>3282</v>
      </c>
      <c r="J1927">
        <v>492.59</v>
      </c>
    </row>
    <row r="1928" spans="1:10" x14ac:dyDescent="0.25">
      <c r="A1928" s="1">
        <v>44605</v>
      </c>
      <c r="B1928" t="s">
        <v>29</v>
      </c>
      <c r="C1928" t="s">
        <v>17</v>
      </c>
      <c r="D1928" t="s">
        <v>12</v>
      </c>
      <c r="E1928" t="s">
        <v>56</v>
      </c>
      <c r="F1928" t="s">
        <v>57</v>
      </c>
      <c r="G1928" t="s">
        <v>24</v>
      </c>
      <c r="H1928">
        <v>9</v>
      </c>
      <c r="I1928">
        <v>4914</v>
      </c>
      <c r="J1928">
        <v>1160.45</v>
      </c>
    </row>
    <row r="1929" spans="1:10" x14ac:dyDescent="0.25">
      <c r="A1929" s="1">
        <v>45015</v>
      </c>
      <c r="B1929" t="s">
        <v>55</v>
      </c>
      <c r="C1929" t="s">
        <v>19</v>
      </c>
      <c r="D1929" t="s">
        <v>12</v>
      </c>
      <c r="E1929" t="s">
        <v>121</v>
      </c>
      <c r="F1929" t="s">
        <v>57</v>
      </c>
      <c r="G1929" t="s">
        <v>24</v>
      </c>
      <c r="H1929">
        <v>6</v>
      </c>
      <c r="I1929">
        <v>3924</v>
      </c>
      <c r="J1929">
        <v>762.96</v>
      </c>
    </row>
    <row r="1930" spans="1:10" x14ac:dyDescent="0.25">
      <c r="A1930" s="1">
        <v>45181</v>
      </c>
      <c r="B1930" t="s">
        <v>29</v>
      </c>
      <c r="C1930" t="s">
        <v>17</v>
      </c>
      <c r="D1930" t="s">
        <v>12</v>
      </c>
      <c r="E1930" t="s">
        <v>26</v>
      </c>
      <c r="F1930" t="s">
        <v>27</v>
      </c>
      <c r="G1930" t="s">
        <v>28</v>
      </c>
      <c r="H1930">
        <v>6</v>
      </c>
      <c r="I1930">
        <v>420</v>
      </c>
      <c r="J1930">
        <v>65.62</v>
      </c>
    </row>
    <row r="1931" spans="1:10" x14ac:dyDescent="0.25">
      <c r="A1931" s="1">
        <v>45471</v>
      </c>
      <c r="B1931" t="s">
        <v>10</v>
      </c>
      <c r="C1931" t="s">
        <v>11</v>
      </c>
      <c r="D1931" t="s">
        <v>12</v>
      </c>
      <c r="E1931" t="s">
        <v>13</v>
      </c>
      <c r="F1931" t="s">
        <v>14</v>
      </c>
      <c r="G1931" t="s">
        <v>15</v>
      </c>
      <c r="H1931">
        <v>4</v>
      </c>
      <c r="I1931">
        <v>1544</v>
      </c>
      <c r="J1931">
        <v>106.02</v>
      </c>
    </row>
    <row r="1932" spans="1:10" x14ac:dyDescent="0.25">
      <c r="A1932" s="1">
        <v>44802</v>
      </c>
      <c r="B1932" t="s">
        <v>29</v>
      </c>
      <c r="C1932" t="s">
        <v>17</v>
      </c>
      <c r="D1932" t="s">
        <v>12</v>
      </c>
      <c r="E1932" t="s">
        <v>37</v>
      </c>
      <c r="F1932" t="s">
        <v>34</v>
      </c>
      <c r="G1932" t="s">
        <v>35</v>
      </c>
      <c r="H1932">
        <v>2</v>
      </c>
      <c r="I1932">
        <v>2046</v>
      </c>
      <c r="J1932">
        <v>233.47</v>
      </c>
    </row>
    <row r="1933" spans="1:10" x14ac:dyDescent="0.25">
      <c r="A1933" s="1">
        <v>45252</v>
      </c>
      <c r="B1933" t="s">
        <v>29</v>
      </c>
      <c r="C1933" t="s">
        <v>17</v>
      </c>
      <c r="D1933" t="s">
        <v>12</v>
      </c>
      <c r="E1933" t="s">
        <v>41</v>
      </c>
      <c r="F1933" t="s">
        <v>63</v>
      </c>
      <c r="G1933" t="s">
        <v>28</v>
      </c>
      <c r="H1933">
        <v>2</v>
      </c>
      <c r="I1933">
        <v>1548</v>
      </c>
      <c r="J1933">
        <v>157.47999999999999</v>
      </c>
    </row>
    <row r="1934" spans="1:10" x14ac:dyDescent="0.25">
      <c r="A1934" s="1">
        <v>45056</v>
      </c>
      <c r="B1934" t="s">
        <v>49</v>
      </c>
      <c r="C1934" t="s">
        <v>17</v>
      </c>
      <c r="D1934" t="s">
        <v>12</v>
      </c>
      <c r="E1934" t="s">
        <v>37</v>
      </c>
      <c r="F1934" t="s">
        <v>34</v>
      </c>
      <c r="G1934" t="s">
        <v>35</v>
      </c>
      <c r="H1934">
        <v>4</v>
      </c>
      <c r="I1934">
        <v>3184</v>
      </c>
      <c r="J1934">
        <v>478.27</v>
      </c>
    </row>
    <row r="1935" spans="1:10" x14ac:dyDescent="0.25">
      <c r="A1935" s="1">
        <v>45582</v>
      </c>
      <c r="B1935" t="s">
        <v>10</v>
      </c>
      <c r="C1935" t="s">
        <v>11</v>
      </c>
      <c r="D1935" t="s">
        <v>12</v>
      </c>
      <c r="E1935" t="s">
        <v>26</v>
      </c>
      <c r="F1935" t="s">
        <v>27</v>
      </c>
      <c r="G1935" t="s">
        <v>28</v>
      </c>
      <c r="H1935">
        <v>5</v>
      </c>
      <c r="I1935">
        <v>3385</v>
      </c>
      <c r="J1935">
        <v>774.86</v>
      </c>
    </row>
    <row r="1936" spans="1:10" x14ac:dyDescent="0.25">
      <c r="A1936" s="1">
        <v>45210</v>
      </c>
      <c r="B1936" t="s">
        <v>36</v>
      </c>
      <c r="C1936" t="s">
        <v>17</v>
      </c>
      <c r="D1936" t="s">
        <v>12</v>
      </c>
      <c r="E1936" t="s">
        <v>26</v>
      </c>
      <c r="F1936" t="s">
        <v>27</v>
      </c>
      <c r="G1936" t="s">
        <v>28</v>
      </c>
      <c r="H1936">
        <v>1</v>
      </c>
      <c r="I1936">
        <v>59</v>
      </c>
      <c r="J1936">
        <v>10.32</v>
      </c>
    </row>
    <row r="1937" spans="1:10" x14ac:dyDescent="0.25">
      <c r="A1937" s="1">
        <v>45430</v>
      </c>
      <c r="B1937" t="s">
        <v>36</v>
      </c>
      <c r="C1937" t="s">
        <v>17</v>
      </c>
      <c r="D1937" t="s">
        <v>12</v>
      </c>
      <c r="E1937" t="s">
        <v>37</v>
      </c>
      <c r="F1937" t="s">
        <v>34</v>
      </c>
      <c r="G1937" t="s">
        <v>35</v>
      </c>
      <c r="H1937">
        <v>8</v>
      </c>
      <c r="I1937">
        <v>5976</v>
      </c>
      <c r="J1937">
        <v>1016.99</v>
      </c>
    </row>
    <row r="1938" spans="1:10" x14ac:dyDescent="0.25">
      <c r="A1938" s="1">
        <v>44956</v>
      </c>
      <c r="B1938" t="s">
        <v>16</v>
      </c>
      <c r="C1938" t="s">
        <v>17</v>
      </c>
      <c r="D1938" t="s">
        <v>12</v>
      </c>
      <c r="E1938" t="s">
        <v>37</v>
      </c>
      <c r="F1938" t="s">
        <v>34</v>
      </c>
      <c r="G1938" t="s">
        <v>35</v>
      </c>
      <c r="H1938">
        <v>3</v>
      </c>
      <c r="I1938">
        <v>1791</v>
      </c>
      <c r="J1938">
        <v>122.5</v>
      </c>
    </row>
    <row r="1939" spans="1:10" x14ac:dyDescent="0.25">
      <c r="A1939" s="1">
        <v>44939</v>
      </c>
      <c r="B1939" t="s">
        <v>32</v>
      </c>
      <c r="C1939" t="s">
        <v>19</v>
      </c>
      <c r="D1939" t="s">
        <v>12</v>
      </c>
      <c r="E1939" t="s">
        <v>112</v>
      </c>
      <c r="F1939" t="s">
        <v>63</v>
      </c>
      <c r="G1939" t="s">
        <v>28</v>
      </c>
      <c r="H1939">
        <v>2</v>
      </c>
      <c r="I1939">
        <v>1644</v>
      </c>
      <c r="J1939">
        <v>189.32</v>
      </c>
    </row>
    <row r="1940" spans="1:10" x14ac:dyDescent="0.25">
      <c r="A1940" s="1">
        <v>45429</v>
      </c>
      <c r="B1940" t="s">
        <v>18</v>
      </c>
      <c r="C1940" t="s">
        <v>19</v>
      </c>
      <c r="D1940" t="s">
        <v>12</v>
      </c>
      <c r="E1940" t="s">
        <v>433</v>
      </c>
      <c r="F1940" t="s">
        <v>156</v>
      </c>
      <c r="G1940" t="s">
        <v>28</v>
      </c>
      <c r="H1940">
        <v>8</v>
      </c>
      <c r="I1940">
        <v>6584</v>
      </c>
      <c r="J1940">
        <v>544.62</v>
      </c>
    </row>
    <row r="1941" spans="1:10" x14ac:dyDescent="0.25">
      <c r="A1941" s="1">
        <v>44776</v>
      </c>
      <c r="B1941" t="s">
        <v>29</v>
      </c>
      <c r="C1941" t="s">
        <v>17</v>
      </c>
      <c r="D1941" t="s">
        <v>12</v>
      </c>
      <c r="E1941" t="s">
        <v>26</v>
      </c>
      <c r="F1941" t="s">
        <v>27</v>
      </c>
      <c r="G1941" t="s">
        <v>28</v>
      </c>
      <c r="H1941">
        <v>5</v>
      </c>
      <c r="I1941">
        <v>1620</v>
      </c>
      <c r="J1941">
        <v>325.87</v>
      </c>
    </row>
    <row r="1942" spans="1:10" x14ac:dyDescent="0.25">
      <c r="A1942" s="1">
        <v>45328</v>
      </c>
      <c r="B1942" t="s">
        <v>16</v>
      </c>
      <c r="C1942" t="s">
        <v>17</v>
      </c>
      <c r="D1942" t="s">
        <v>12</v>
      </c>
      <c r="E1942" t="s">
        <v>434</v>
      </c>
      <c r="F1942" t="s">
        <v>65</v>
      </c>
      <c r="G1942" t="s">
        <v>35</v>
      </c>
      <c r="H1942">
        <v>9</v>
      </c>
      <c r="I1942">
        <v>2736</v>
      </c>
      <c r="J1942">
        <v>407.22</v>
      </c>
    </row>
    <row r="1943" spans="1:10" x14ac:dyDescent="0.25">
      <c r="A1943" s="1">
        <v>45393</v>
      </c>
      <c r="B1943" t="s">
        <v>36</v>
      </c>
      <c r="C1943" t="s">
        <v>17</v>
      </c>
      <c r="D1943" t="s">
        <v>12</v>
      </c>
      <c r="E1943" t="s">
        <v>434</v>
      </c>
      <c r="F1943" t="s">
        <v>65</v>
      </c>
      <c r="G1943" t="s">
        <v>35</v>
      </c>
      <c r="H1943">
        <v>4</v>
      </c>
      <c r="I1943">
        <v>1064</v>
      </c>
      <c r="J1943">
        <v>274.47000000000003</v>
      </c>
    </row>
    <row r="1944" spans="1:10" x14ac:dyDescent="0.25">
      <c r="A1944" s="1">
        <v>45461</v>
      </c>
      <c r="B1944" t="s">
        <v>25</v>
      </c>
      <c r="C1944" t="s">
        <v>19</v>
      </c>
      <c r="D1944" t="s">
        <v>12</v>
      </c>
      <c r="E1944" t="s">
        <v>372</v>
      </c>
      <c r="F1944" t="s">
        <v>23</v>
      </c>
      <c r="G1944" t="s">
        <v>24</v>
      </c>
      <c r="H1944">
        <v>7</v>
      </c>
      <c r="I1944">
        <v>2667</v>
      </c>
      <c r="J1944">
        <v>363.5</v>
      </c>
    </row>
    <row r="1945" spans="1:10" x14ac:dyDescent="0.25">
      <c r="A1945" s="1">
        <v>45019</v>
      </c>
      <c r="B1945" t="s">
        <v>29</v>
      </c>
      <c r="C1945" t="s">
        <v>17</v>
      </c>
      <c r="D1945" t="s">
        <v>12</v>
      </c>
      <c r="E1945" t="s">
        <v>401</v>
      </c>
      <c r="F1945" t="s">
        <v>23</v>
      </c>
      <c r="G1945" t="s">
        <v>24</v>
      </c>
      <c r="H1945">
        <v>3</v>
      </c>
      <c r="I1945">
        <v>735</v>
      </c>
      <c r="J1945">
        <v>217.79</v>
      </c>
    </row>
    <row r="1946" spans="1:10" x14ac:dyDescent="0.25">
      <c r="A1946" s="1">
        <v>45644</v>
      </c>
      <c r="B1946" t="s">
        <v>55</v>
      </c>
      <c r="C1946" t="s">
        <v>19</v>
      </c>
      <c r="D1946" t="s">
        <v>12</v>
      </c>
      <c r="E1946" t="s">
        <v>401</v>
      </c>
      <c r="F1946" t="s">
        <v>23</v>
      </c>
      <c r="G1946" t="s">
        <v>24</v>
      </c>
      <c r="H1946">
        <v>1</v>
      </c>
      <c r="I1946">
        <v>58</v>
      </c>
      <c r="J1946">
        <v>11.25</v>
      </c>
    </row>
    <row r="1947" spans="1:10" x14ac:dyDescent="0.25">
      <c r="A1947" s="1">
        <v>45041</v>
      </c>
      <c r="B1947" t="s">
        <v>25</v>
      </c>
      <c r="C1947" t="s">
        <v>19</v>
      </c>
      <c r="D1947" t="s">
        <v>12</v>
      </c>
      <c r="E1947" t="s">
        <v>187</v>
      </c>
      <c r="F1947" t="s">
        <v>23</v>
      </c>
      <c r="G1947" t="s">
        <v>24</v>
      </c>
      <c r="H1947">
        <v>7</v>
      </c>
      <c r="I1947">
        <v>3136</v>
      </c>
      <c r="J1947">
        <v>850.3</v>
      </c>
    </row>
    <row r="1948" spans="1:10" x14ac:dyDescent="0.25">
      <c r="A1948" s="1">
        <v>45186</v>
      </c>
      <c r="B1948" t="s">
        <v>16</v>
      </c>
      <c r="C1948" t="s">
        <v>17</v>
      </c>
      <c r="D1948" t="s">
        <v>12</v>
      </c>
      <c r="E1948" t="s">
        <v>435</v>
      </c>
      <c r="F1948" t="s">
        <v>78</v>
      </c>
      <c r="G1948" t="s">
        <v>28</v>
      </c>
      <c r="H1948">
        <v>4</v>
      </c>
      <c r="I1948">
        <v>3936</v>
      </c>
      <c r="J1948">
        <v>374.34</v>
      </c>
    </row>
    <row r="1949" spans="1:10" x14ac:dyDescent="0.25">
      <c r="A1949" s="1">
        <v>44888</v>
      </c>
      <c r="B1949" t="s">
        <v>40</v>
      </c>
      <c r="C1949" t="s">
        <v>19</v>
      </c>
      <c r="D1949" t="s">
        <v>12</v>
      </c>
      <c r="E1949" t="s">
        <v>74</v>
      </c>
      <c r="F1949" t="s">
        <v>23</v>
      </c>
      <c r="G1949" t="s">
        <v>24</v>
      </c>
      <c r="H1949">
        <v>9</v>
      </c>
      <c r="I1949">
        <v>6102</v>
      </c>
      <c r="J1949">
        <v>947.91</v>
      </c>
    </row>
    <row r="1950" spans="1:10" x14ac:dyDescent="0.25">
      <c r="A1950" s="1">
        <v>45429</v>
      </c>
      <c r="B1950" t="s">
        <v>40</v>
      </c>
      <c r="C1950" t="s">
        <v>19</v>
      </c>
      <c r="D1950" t="s">
        <v>12</v>
      </c>
      <c r="E1950" t="s">
        <v>74</v>
      </c>
      <c r="F1950" t="s">
        <v>23</v>
      </c>
      <c r="G1950" t="s">
        <v>24</v>
      </c>
      <c r="H1950">
        <v>8</v>
      </c>
      <c r="I1950">
        <v>9408</v>
      </c>
      <c r="J1950">
        <v>552.44000000000005</v>
      </c>
    </row>
    <row r="1951" spans="1:10" x14ac:dyDescent="0.25">
      <c r="A1951" s="1">
        <v>44909</v>
      </c>
      <c r="B1951" t="s">
        <v>16</v>
      </c>
      <c r="C1951" t="s">
        <v>17</v>
      </c>
      <c r="D1951" t="s">
        <v>12</v>
      </c>
      <c r="E1951" t="s">
        <v>26</v>
      </c>
      <c r="F1951" t="s">
        <v>27</v>
      </c>
      <c r="G1951" t="s">
        <v>28</v>
      </c>
      <c r="H1951">
        <v>9</v>
      </c>
      <c r="I1951">
        <v>7875</v>
      </c>
      <c r="J1951">
        <v>1243.56</v>
      </c>
    </row>
    <row r="1952" spans="1:10" x14ac:dyDescent="0.25">
      <c r="A1952" s="1">
        <v>45578</v>
      </c>
      <c r="B1952" t="s">
        <v>49</v>
      </c>
      <c r="C1952" t="s">
        <v>17</v>
      </c>
      <c r="D1952" t="s">
        <v>12</v>
      </c>
      <c r="E1952" t="s">
        <v>182</v>
      </c>
      <c r="F1952" t="s">
        <v>183</v>
      </c>
      <c r="G1952" t="s">
        <v>15</v>
      </c>
      <c r="H1952">
        <v>9</v>
      </c>
      <c r="I1952">
        <v>9900</v>
      </c>
      <c r="J1952">
        <v>576.79999999999995</v>
      </c>
    </row>
    <row r="1953" spans="1:10" x14ac:dyDescent="0.25">
      <c r="A1953" s="1">
        <v>45581</v>
      </c>
      <c r="B1953" t="s">
        <v>49</v>
      </c>
      <c r="C1953" t="s">
        <v>17</v>
      </c>
      <c r="D1953" t="s">
        <v>12</v>
      </c>
      <c r="E1953" t="s">
        <v>22</v>
      </c>
      <c r="F1953" t="s">
        <v>23</v>
      </c>
      <c r="G1953" t="s">
        <v>24</v>
      </c>
      <c r="H1953">
        <v>2</v>
      </c>
      <c r="I1953">
        <v>430</v>
      </c>
      <c r="J1953">
        <v>114.91</v>
      </c>
    </row>
    <row r="1954" spans="1:10" x14ac:dyDescent="0.25">
      <c r="A1954" s="1">
        <v>45187</v>
      </c>
      <c r="B1954" t="s">
        <v>16</v>
      </c>
      <c r="C1954" t="s">
        <v>17</v>
      </c>
      <c r="D1954" t="s">
        <v>12</v>
      </c>
      <c r="E1954" t="s">
        <v>22</v>
      </c>
      <c r="F1954" t="s">
        <v>23</v>
      </c>
      <c r="G1954" t="s">
        <v>24</v>
      </c>
      <c r="H1954">
        <v>3</v>
      </c>
      <c r="I1954">
        <v>813</v>
      </c>
      <c r="J1954">
        <v>238.1</v>
      </c>
    </row>
    <row r="1955" spans="1:10" x14ac:dyDescent="0.25">
      <c r="A1955" s="1">
        <v>45269</v>
      </c>
      <c r="B1955" t="s">
        <v>25</v>
      </c>
      <c r="C1955" t="s">
        <v>19</v>
      </c>
      <c r="D1955" t="s">
        <v>12</v>
      </c>
      <c r="E1955" t="s">
        <v>75</v>
      </c>
      <c r="F1955" t="s">
        <v>63</v>
      </c>
      <c r="G1955" t="s">
        <v>28</v>
      </c>
      <c r="H1955">
        <v>4</v>
      </c>
      <c r="I1955">
        <v>4176</v>
      </c>
      <c r="J1955">
        <v>980.11</v>
      </c>
    </row>
    <row r="1956" spans="1:10" x14ac:dyDescent="0.25">
      <c r="A1956" s="1">
        <v>45201</v>
      </c>
      <c r="B1956" t="s">
        <v>25</v>
      </c>
      <c r="C1956" t="s">
        <v>19</v>
      </c>
      <c r="D1956" t="s">
        <v>12</v>
      </c>
      <c r="E1956" t="s">
        <v>74</v>
      </c>
      <c r="F1956" t="s">
        <v>23</v>
      </c>
      <c r="G1956" t="s">
        <v>24</v>
      </c>
      <c r="H1956">
        <v>4</v>
      </c>
      <c r="I1956">
        <v>3084</v>
      </c>
      <c r="J1956">
        <v>348.38</v>
      </c>
    </row>
    <row r="1957" spans="1:10" x14ac:dyDescent="0.25">
      <c r="A1957" s="1">
        <v>44651</v>
      </c>
      <c r="B1957" t="s">
        <v>16</v>
      </c>
      <c r="C1957" t="s">
        <v>17</v>
      </c>
      <c r="D1957" t="s">
        <v>12</v>
      </c>
      <c r="E1957" t="s">
        <v>47</v>
      </c>
      <c r="F1957" t="s">
        <v>100</v>
      </c>
      <c r="G1957" t="s">
        <v>35</v>
      </c>
      <c r="H1957">
        <v>7</v>
      </c>
      <c r="I1957">
        <v>8008</v>
      </c>
      <c r="J1957">
        <v>1593.65</v>
      </c>
    </row>
    <row r="1958" spans="1:10" x14ac:dyDescent="0.25">
      <c r="A1958" s="1">
        <v>45455</v>
      </c>
      <c r="B1958" t="s">
        <v>32</v>
      </c>
      <c r="C1958" t="s">
        <v>19</v>
      </c>
      <c r="D1958" t="s">
        <v>12</v>
      </c>
      <c r="E1958" t="s">
        <v>47</v>
      </c>
      <c r="F1958" t="s">
        <v>100</v>
      </c>
      <c r="G1958" t="s">
        <v>35</v>
      </c>
      <c r="H1958">
        <v>4</v>
      </c>
      <c r="I1958">
        <v>4608</v>
      </c>
      <c r="J1958">
        <v>963.5</v>
      </c>
    </row>
    <row r="1959" spans="1:10" x14ac:dyDescent="0.25">
      <c r="A1959" s="1">
        <v>45459</v>
      </c>
      <c r="B1959" t="s">
        <v>29</v>
      </c>
      <c r="C1959" t="s">
        <v>17</v>
      </c>
      <c r="D1959" t="s">
        <v>12</v>
      </c>
      <c r="E1959" t="s">
        <v>56</v>
      </c>
      <c r="F1959" t="s">
        <v>57</v>
      </c>
      <c r="G1959" t="s">
        <v>24</v>
      </c>
      <c r="H1959">
        <v>4</v>
      </c>
      <c r="I1959">
        <v>4356</v>
      </c>
      <c r="J1959">
        <v>614.62</v>
      </c>
    </row>
    <row r="1960" spans="1:10" x14ac:dyDescent="0.25">
      <c r="A1960" s="1">
        <v>45173</v>
      </c>
      <c r="B1960" t="s">
        <v>10</v>
      </c>
      <c r="C1960" t="s">
        <v>11</v>
      </c>
      <c r="D1960" t="s">
        <v>12</v>
      </c>
      <c r="E1960" t="s">
        <v>70</v>
      </c>
      <c r="F1960" t="s">
        <v>71</v>
      </c>
      <c r="G1960" t="s">
        <v>35</v>
      </c>
      <c r="H1960">
        <v>1</v>
      </c>
      <c r="I1960">
        <v>566</v>
      </c>
      <c r="J1960">
        <v>169.17</v>
      </c>
    </row>
    <row r="1961" spans="1:10" x14ac:dyDescent="0.25">
      <c r="A1961" s="1">
        <v>44897</v>
      </c>
      <c r="B1961" t="s">
        <v>55</v>
      </c>
      <c r="C1961" t="s">
        <v>19</v>
      </c>
      <c r="D1961" t="s">
        <v>12</v>
      </c>
      <c r="E1961" t="s">
        <v>172</v>
      </c>
      <c r="F1961" t="s">
        <v>173</v>
      </c>
      <c r="G1961" t="s">
        <v>24</v>
      </c>
      <c r="H1961">
        <v>7</v>
      </c>
      <c r="I1961">
        <v>945</v>
      </c>
      <c r="J1961">
        <v>75.209999999999994</v>
      </c>
    </row>
    <row r="1962" spans="1:10" x14ac:dyDescent="0.25">
      <c r="A1962" s="1">
        <v>44877</v>
      </c>
      <c r="B1962" t="s">
        <v>32</v>
      </c>
      <c r="C1962" t="s">
        <v>19</v>
      </c>
      <c r="D1962" t="s">
        <v>12</v>
      </c>
      <c r="E1962" t="s">
        <v>304</v>
      </c>
      <c r="F1962" t="s">
        <v>42</v>
      </c>
      <c r="G1962" t="s">
        <v>28</v>
      </c>
      <c r="H1962">
        <v>4</v>
      </c>
      <c r="I1962">
        <v>2200</v>
      </c>
      <c r="J1962">
        <v>484.33</v>
      </c>
    </row>
    <row r="1963" spans="1:10" x14ac:dyDescent="0.25">
      <c r="A1963" s="1">
        <v>45656</v>
      </c>
      <c r="B1963" t="s">
        <v>16</v>
      </c>
      <c r="C1963" t="s">
        <v>17</v>
      </c>
      <c r="D1963" t="s">
        <v>12</v>
      </c>
      <c r="E1963" t="s">
        <v>52</v>
      </c>
      <c r="F1963" t="s">
        <v>42</v>
      </c>
      <c r="G1963" t="s">
        <v>28</v>
      </c>
      <c r="H1963">
        <v>1</v>
      </c>
      <c r="I1963">
        <v>746</v>
      </c>
      <c r="J1963">
        <v>131.25</v>
      </c>
    </row>
    <row r="1964" spans="1:10" x14ac:dyDescent="0.25">
      <c r="A1964" s="1">
        <v>45632</v>
      </c>
      <c r="B1964" t="s">
        <v>36</v>
      </c>
      <c r="C1964" t="s">
        <v>17</v>
      </c>
      <c r="D1964" t="s">
        <v>12</v>
      </c>
      <c r="E1964" t="s">
        <v>26</v>
      </c>
      <c r="F1964" t="s">
        <v>27</v>
      </c>
      <c r="G1964" t="s">
        <v>28</v>
      </c>
      <c r="H1964">
        <v>5</v>
      </c>
      <c r="I1964">
        <v>3505</v>
      </c>
      <c r="J1964">
        <v>678.18</v>
      </c>
    </row>
    <row r="1965" spans="1:10" x14ac:dyDescent="0.25">
      <c r="A1965" s="1">
        <v>45438</v>
      </c>
      <c r="B1965" t="s">
        <v>36</v>
      </c>
      <c r="C1965" t="s">
        <v>17</v>
      </c>
      <c r="D1965" t="s">
        <v>12</v>
      </c>
      <c r="E1965" t="s">
        <v>56</v>
      </c>
      <c r="F1965" t="s">
        <v>57</v>
      </c>
      <c r="G1965" t="s">
        <v>24</v>
      </c>
      <c r="H1965">
        <v>5</v>
      </c>
      <c r="I1965">
        <v>4795</v>
      </c>
      <c r="J1965">
        <v>819.12</v>
      </c>
    </row>
    <row r="1966" spans="1:10" x14ac:dyDescent="0.25">
      <c r="A1966" s="1">
        <v>45585</v>
      </c>
      <c r="B1966" t="s">
        <v>36</v>
      </c>
      <c r="C1966" t="s">
        <v>17</v>
      </c>
      <c r="D1966" t="s">
        <v>12</v>
      </c>
      <c r="E1966" t="s">
        <v>64</v>
      </c>
      <c r="F1966" t="s">
        <v>65</v>
      </c>
      <c r="G1966" t="s">
        <v>35</v>
      </c>
      <c r="H1966">
        <v>5</v>
      </c>
      <c r="I1966">
        <v>4590</v>
      </c>
      <c r="J1966">
        <v>650.04999999999995</v>
      </c>
    </row>
    <row r="1967" spans="1:10" x14ac:dyDescent="0.25">
      <c r="A1967" s="1">
        <v>45050</v>
      </c>
      <c r="B1967" t="s">
        <v>36</v>
      </c>
      <c r="C1967" t="s">
        <v>17</v>
      </c>
      <c r="D1967" t="s">
        <v>12</v>
      </c>
      <c r="E1967" t="s">
        <v>148</v>
      </c>
      <c r="F1967" t="s">
        <v>149</v>
      </c>
      <c r="G1967" t="s">
        <v>15</v>
      </c>
      <c r="H1967">
        <v>4</v>
      </c>
      <c r="I1967">
        <v>2092</v>
      </c>
      <c r="J1967">
        <v>467.02</v>
      </c>
    </row>
    <row r="1968" spans="1:10" x14ac:dyDescent="0.25">
      <c r="A1968" s="1">
        <v>45421</v>
      </c>
      <c r="B1968" t="s">
        <v>16</v>
      </c>
      <c r="C1968" t="s">
        <v>17</v>
      </c>
      <c r="D1968" t="s">
        <v>12</v>
      </c>
      <c r="E1968" t="s">
        <v>210</v>
      </c>
      <c r="F1968" t="s">
        <v>34</v>
      </c>
      <c r="G1968" t="s">
        <v>35</v>
      </c>
      <c r="H1968">
        <v>8</v>
      </c>
      <c r="I1968">
        <v>3568</v>
      </c>
      <c r="J1968">
        <v>334.13</v>
      </c>
    </row>
    <row r="1969" spans="1:10" x14ac:dyDescent="0.25">
      <c r="A1969" s="1">
        <v>45267</v>
      </c>
      <c r="B1969" t="s">
        <v>40</v>
      </c>
      <c r="C1969" t="s">
        <v>19</v>
      </c>
      <c r="D1969" t="s">
        <v>12</v>
      </c>
      <c r="E1969" t="s">
        <v>26</v>
      </c>
      <c r="F1969" t="s">
        <v>27</v>
      </c>
      <c r="G1969" t="s">
        <v>28</v>
      </c>
      <c r="H1969">
        <v>9</v>
      </c>
      <c r="I1969">
        <v>10404</v>
      </c>
      <c r="J1969">
        <v>2028.21</v>
      </c>
    </row>
    <row r="1970" spans="1:10" x14ac:dyDescent="0.25">
      <c r="A1970" s="1">
        <v>44905</v>
      </c>
      <c r="B1970" t="s">
        <v>10</v>
      </c>
      <c r="C1970" t="s">
        <v>11</v>
      </c>
      <c r="D1970" t="s">
        <v>12</v>
      </c>
      <c r="E1970" t="s">
        <v>112</v>
      </c>
      <c r="F1970" t="s">
        <v>63</v>
      </c>
      <c r="G1970" t="s">
        <v>28</v>
      </c>
      <c r="H1970">
        <v>9</v>
      </c>
      <c r="I1970">
        <v>7029</v>
      </c>
      <c r="J1970">
        <v>1005.58</v>
      </c>
    </row>
    <row r="1971" spans="1:10" x14ac:dyDescent="0.25">
      <c r="A1971" s="1">
        <v>44886</v>
      </c>
      <c r="B1971" t="s">
        <v>55</v>
      </c>
      <c r="C1971" t="s">
        <v>19</v>
      </c>
      <c r="D1971" t="s">
        <v>12</v>
      </c>
      <c r="E1971" t="s">
        <v>436</v>
      </c>
      <c r="F1971" t="s">
        <v>34</v>
      </c>
      <c r="G1971" t="s">
        <v>35</v>
      </c>
      <c r="H1971">
        <v>8</v>
      </c>
      <c r="I1971">
        <v>664</v>
      </c>
      <c r="J1971">
        <v>126.6</v>
      </c>
    </row>
    <row r="1972" spans="1:10" x14ac:dyDescent="0.25">
      <c r="A1972" s="1">
        <v>45616</v>
      </c>
      <c r="B1972" t="s">
        <v>18</v>
      </c>
      <c r="C1972" t="s">
        <v>19</v>
      </c>
      <c r="D1972" t="s">
        <v>12</v>
      </c>
      <c r="E1972" t="s">
        <v>52</v>
      </c>
      <c r="F1972" t="s">
        <v>42</v>
      </c>
      <c r="G1972" t="s">
        <v>28</v>
      </c>
      <c r="H1972">
        <v>3</v>
      </c>
      <c r="I1972">
        <v>1923</v>
      </c>
      <c r="J1972">
        <v>274</v>
      </c>
    </row>
    <row r="1973" spans="1:10" x14ac:dyDescent="0.25">
      <c r="A1973" s="1">
        <v>44895</v>
      </c>
      <c r="B1973" t="s">
        <v>10</v>
      </c>
      <c r="C1973" t="s">
        <v>11</v>
      </c>
      <c r="D1973" t="s">
        <v>12</v>
      </c>
      <c r="E1973" t="s">
        <v>52</v>
      </c>
      <c r="F1973" t="s">
        <v>42</v>
      </c>
      <c r="G1973" t="s">
        <v>28</v>
      </c>
      <c r="H1973">
        <v>7</v>
      </c>
      <c r="I1973">
        <v>2471</v>
      </c>
      <c r="J1973">
        <v>566.51</v>
      </c>
    </row>
    <row r="1974" spans="1:10" x14ac:dyDescent="0.25">
      <c r="A1974" s="1">
        <v>45294</v>
      </c>
      <c r="B1974" t="s">
        <v>40</v>
      </c>
      <c r="C1974" t="s">
        <v>19</v>
      </c>
      <c r="D1974" t="s">
        <v>12</v>
      </c>
      <c r="E1974" t="s">
        <v>37</v>
      </c>
      <c r="F1974" t="s">
        <v>34</v>
      </c>
      <c r="G1974" t="s">
        <v>35</v>
      </c>
      <c r="H1974">
        <v>2</v>
      </c>
      <c r="I1974">
        <v>258</v>
      </c>
      <c r="J1974">
        <v>64.12</v>
      </c>
    </row>
    <row r="1975" spans="1:10" x14ac:dyDescent="0.25">
      <c r="A1975" s="1">
        <v>45594</v>
      </c>
      <c r="B1975" t="s">
        <v>32</v>
      </c>
      <c r="C1975" t="s">
        <v>19</v>
      </c>
      <c r="D1975" t="s">
        <v>12</v>
      </c>
      <c r="E1975" t="s">
        <v>37</v>
      </c>
      <c r="F1975" t="s">
        <v>34</v>
      </c>
      <c r="G1975" t="s">
        <v>35</v>
      </c>
      <c r="H1975">
        <v>9</v>
      </c>
      <c r="I1975">
        <v>1134</v>
      </c>
      <c r="J1975">
        <v>267.26</v>
      </c>
    </row>
    <row r="1976" spans="1:10" x14ac:dyDescent="0.25">
      <c r="A1976" s="1">
        <v>45559</v>
      </c>
      <c r="B1976" t="s">
        <v>29</v>
      </c>
      <c r="C1976" t="s">
        <v>17</v>
      </c>
      <c r="D1976" t="s">
        <v>12</v>
      </c>
      <c r="E1976" t="s">
        <v>22</v>
      </c>
      <c r="F1976" t="s">
        <v>23</v>
      </c>
      <c r="G1976" t="s">
        <v>24</v>
      </c>
      <c r="H1976">
        <v>5</v>
      </c>
      <c r="I1976">
        <v>855</v>
      </c>
      <c r="J1976">
        <v>238.83</v>
      </c>
    </row>
    <row r="1977" spans="1:10" x14ac:dyDescent="0.25">
      <c r="A1977" s="1">
        <v>45391</v>
      </c>
      <c r="B1977" t="s">
        <v>32</v>
      </c>
      <c r="C1977" t="s">
        <v>19</v>
      </c>
      <c r="D1977" t="s">
        <v>12</v>
      </c>
      <c r="E1977" t="s">
        <v>127</v>
      </c>
      <c r="F1977" t="s">
        <v>57</v>
      </c>
      <c r="G1977" t="s">
        <v>24</v>
      </c>
      <c r="H1977">
        <v>9</v>
      </c>
      <c r="I1977">
        <v>3231</v>
      </c>
      <c r="J1977">
        <v>670.85</v>
      </c>
    </row>
    <row r="1978" spans="1:10" x14ac:dyDescent="0.25">
      <c r="A1978" s="1">
        <v>45540</v>
      </c>
      <c r="B1978" t="s">
        <v>18</v>
      </c>
      <c r="C1978" t="s">
        <v>19</v>
      </c>
      <c r="D1978" t="s">
        <v>12</v>
      </c>
      <c r="E1978" t="s">
        <v>157</v>
      </c>
      <c r="F1978" t="s">
        <v>21</v>
      </c>
      <c r="G1978" t="s">
        <v>15</v>
      </c>
      <c r="H1978">
        <v>7</v>
      </c>
      <c r="I1978">
        <v>3591</v>
      </c>
      <c r="J1978">
        <v>266.58999999999997</v>
      </c>
    </row>
    <row r="1979" spans="1:10" x14ac:dyDescent="0.25">
      <c r="A1979" s="1">
        <v>45325</v>
      </c>
      <c r="B1979" t="s">
        <v>25</v>
      </c>
      <c r="C1979" t="s">
        <v>19</v>
      </c>
      <c r="D1979" t="s">
        <v>12</v>
      </c>
      <c r="E1979" t="s">
        <v>41</v>
      </c>
      <c r="F1979" t="s">
        <v>63</v>
      </c>
      <c r="G1979" t="s">
        <v>28</v>
      </c>
      <c r="H1979">
        <v>2</v>
      </c>
      <c r="I1979">
        <v>254</v>
      </c>
      <c r="J1979">
        <v>20.48</v>
      </c>
    </row>
    <row r="1980" spans="1:10" x14ac:dyDescent="0.25">
      <c r="A1980" s="1">
        <v>45002</v>
      </c>
      <c r="B1980" t="s">
        <v>40</v>
      </c>
      <c r="C1980" t="s">
        <v>19</v>
      </c>
      <c r="D1980" t="s">
        <v>12</v>
      </c>
      <c r="E1980" t="s">
        <v>41</v>
      </c>
      <c r="F1980" t="s">
        <v>63</v>
      </c>
      <c r="G1980" t="s">
        <v>28</v>
      </c>
      <c r="H1980">
        <v>5</v>
      </c>
      <c r="I1980">
        <v>5930</v>
      </c>
      <c r="J1980">
        <v>1193.32</v>
      </c>
    </row>
    <row r="1981" spans="1:10" x14ac:dyDescent="0.25">
      <c r="A1981" s="1">
        <v>45488</v>
      </c>
      <c r="B1981" t="s">
        <v>29</v>
      </c>
      <c r="C1981" t="s">
        <v>17</v>
      </c>
      <c r="D1981" t="s">
        <v>12</v>
      </c>
      <c r="E1981" t="s">
        <v>41</v>
      </c>
      <c r="F1981" t="s">
        <v>63</v>
      </c>
      <c r="G1981" t="s">
        <v>28</v>
      </c>
      <c r="H1981">
        <v>2</v>
      </c>
      <c r="I1981">
        <v>1344</v>
      </c>
      <c r="J1981">
        <v>297.99</v>
      </c>
    </row>
    <row r="1982" spans="1:10" x14ac:dyDescent="0.25">
      <c r="A1982" s="1">
        <v>45005</v>
      </c>
      <c r="B1982" t="s">
        <v>55</v>
      </c>
      <c r="C1982" t="s">
        <v>19</v>
      </c>
      <c r="D1982" t="s">
        <v>12</v>
      </c>
      <c r="E1982" t="s">
        <v>437</v>
      </c>
      <c r="F1982" t="s">
        <v>23</v>
      </c>
      <c r="G1982" t="s">
        <v>24</v>
      </c>
      <c r="H1982">
        <v>1</v>
      </c>
      <c r="I1982">
        <v>920</v>
      </c>
      <c r="J1982">
        <v>98.31</v>
      </c>
    </row>
    <row r="1983" spans="1:10" x14ac:dyDescent="0.25">
      <c r="A1983" s="1">
        <v>44801</v>
      </c>
      <c r="B1983" t="s">
        <v>10</v>
      </c>
      <c r="C1983" t="s">
        <v>11</v>
      </c>
      <c r="D1983" t="s">
        <v>12</v>
      </c>
      <c r="E1983" t="s">
        <v>437</v>
      </c>
      <c r="F1983" t="s">
        <v>23</v>
      </c>
      <c r="G1983" t="s">
        <v>24</v>
      </c>
      <c r="H1983">
        <v>9</v>
      </c>
      <c r="I1983">
        <v>5454</v>
      </c>
      <c r="J1983">
        <v>385.51</v>
      </c>
    </row>
    <row r="1984" spans="1:10" x14ac:dyDescent="0.25">
      <c r="A1984" s="1">
        <v>44896</v>
      </c>
      <c r="B1984" t="s">
        <v>55</v>
      </c>
      <c r="C1984" t="s">
        <v>19</v>
      </c>
      <c r="D1984" t="s">
        <v>12</v>
      </c>
      <c r="E1984" t="s">
        <v>56</v>
      </c>
      <c r="F1984" t="s">
        <v>57</v>
      </c>
      <c r="G1984" t="s">
        <v>24</v>
      </c>
      <c r="H1984">
        <v>8</v>
      </c>
      <c r="I1984">
        <v>9512</v>
      </c>
      <c r="J1984">
        <v>663.23</v>
      </c>
    </row>
    <row r="1985" spans="1:10" x14ac:dyDescent="0.25">
      <c r="A1985" s="1">
        <v>44947</v>
      </c>
      <c r="B1985" t="s">
        <v>16</v>
      </c>
      <c r="C1985" t="s">
        <v>17</v>
      </c>
      <c r="D1985" t="s">
        <v>12</v>
      </c>
      <c r="E1985" t="s">
        <v>43</v>
      </c>
      <c r="F1985" t="s">
        <v>44</v>
      </c>
      <c r="G1985" t="s">
        <v>35</v>
      </c>
      <c r="H1985">
        <v>4</v>
      </c>
      <c r="I1985">
        <v>2972</v>
      </c>
      <c r="J1985">
        <v>827.46</v>
      </c>
    </row>
    <row r="1986" spans="1:10" x14ac:dyDescent="0.25">
      <c r="A1986" s="1">
        <v>45435</v>
      </c>
      <c r="B1986" t="s">
        <v>32</v>
      </c>
      <c r="C1986" t="s">
        <v>19</v>
      </c>
      <c r="D1986" t="s">
        <v>12</v>
      </c>
      <c r="E1986" t="s">
        <v>52</v>
      </c>
      <c r="F1986" t="s">
        <v>42</v>
      </c>
      <c r="G1986" t="s">
        <v>28</v>
      </c>
      <c r="H1986">
        <v>3</v>
      </c>
      <c r="I1986">
        <v>3360</v>
      </c>
      <c r="J1986">
        <v>465.02</v>
      </c>
    </row>
    <row r="1987" spans="1:10" x14ac:dyDescent="0.25">
      <c r="A1987" s="1">
        <v>44858</v>
      </c>
      <c r="B1987" t="s">
        <v>18</v>
      </c>
      <c r="C1987" t="s">
        <v>19</v>
      </c>
      <c r="D1987" t="s">
        <v>12</v>
      </c>
      <c r="E1987" t="s">
        <v>52</v>
      </c>
      <c r="F1987" t="s">
        <v>42</v>
      </c>
      <c r="G1987" t="s">
        <v>28</v>
      </c>
      <c r="H1987">
        <v>4</v>
      </c>
      <c r="I1987">
        <v>1004</v>
      </c>
      <c r="J1987">
        <v>240.13</v>
      </c>
    </row>
    <row r="1988" spans="1:10" x14ac:dyDescent="0.25">
      <c r="A1988" s="1">
        <v>45651</v>
      </c>
      <c r="B1988" t="s">
        <v>29</v>
      </c>
      <c r="C1988" t="s">
        <v>17</v>
      </c>
      <c r="D1988" t="s">
        <v>12</v>
      </c>
      <c r="E1988" t="s">
        <v>56</v>
      </c>
      <c r="F1988" t="s">
        <v>57</v>
      </c>
      <c r="G1988" t="s">
        <v>24</v>
      </c>
      <c r="H1988">
        <v>2</v>
      </c>
      <c r="I1988">
        <v>1944</v>
      </c>
      <c r="J1988">
        <v>332.55</v>
      </c>
    </row>
    <row r="1989" spans="1:10" x14ac:dyDescent="0.25">
      <c r="A1989" s="1">
        <v>45187</v>
      </c>
      <c r="B1989" t="s">
        <v>36</v>
      </c>
      <c r="C1989" t="s">
        <v>17</v>
      </c>
      <c r="D1989" t="s">
        <v>12</v>
      </c>
      <c r="E1989" t="s">
        <v>288</v>
      </c>
      <c r="F1989" t="s">
        <v>156</v>
      </c>
      <c r="G1989" t="s">
        <v>28</v>
      </c>
      <c r="H1989">
        <v>5</v>
      </c>
      <c r="I1989">
        <v>5055</v>
      </c>
      <c r="J1989">
        <v>1200.0899999999999</v>
      </c>
    </row>
    <row r="1990" spans="1:10" x14ac:dyDescent="0.25">
      <c r="A1990" s="1">
        <v>44760</v>
      </c>
      <c r="B1990" t="s">
        <v>32</v>
      </c>
      <c r="C1990" t="s">
        <v>19</v>
      </c>
      <c r="D1990" t="s">
        <v>12</v>
      </c>
      <c r="E1990" t="s">
        <v>75</v>
      </c>
      <c r="F1990" t="s">
        <v>63</v>
      </c>
      <c r="G1990" t="s">
        <v>28</v>
      </c>
      <c r="H1990">
        <v>2</v>
      </c>
      <c r="I1990">
        <v>128</v>
      </c>
      <c r="J1990">
        <v>8.33</v>
      </c>
    </row>
    <row r="1991" spans="1:10" x14ac:dyDescent="0.25">
      <c r="A1991" s="1">
        <v>45360</v>
      </c>
      <c r="B1991" t="s">
        <v>40</v>
      </c>
      <c r="C1991" t="s">
        <v>19</v>
      </c>
      <c r="D1991" t="s">
        <v>12</v>
      </c>
      <c r="E1991" t="s">
        <v>75</v>
      </c>
      <c r="F1991" t="s">
        <v>63</v>
      </c>
      <c r="G1991" t="s">
        <v>28</v>
      </c>
      <c r="H1991">
        <v>3</v>
      </c>
      <c r="I1991">
        <v>633</v>
      </c>
      <c r="J1991">
        <v>163.03</v>
      </c>
    </row>
    <row r="1992" spans="1:10" x14ac:dyDescent="0.25">
      <c r="A1992" s="1">
        <v>44909</v>
      </c>
      <c r="B1992" t="s">
        <v>10</v>
      </c>
      <c r="C1992" t="s">
        <v>11</v>
      </c>
      <c r="D1992" t="s">
        <v>12</v>
      </c>
      <c r="E1992" t="s">
        <v>72</v>
      </c>
      <c r="F1992" t="s">
        <v>21</v>
      </c>
      <c r="G1992" t="s">
        <v>15</v>
      </c>
      <c r="H1992">
        <v>3</v>
      </c>
      <c r="I1992">
        <v>2523</v>
      </c>
      <c r="J1992">
        <v>506.7</v>
      </c>
    </row>
    <row r="1993" spans="1:10" x14ac:dyDescent="0.25">
      <c r="A1993" s="1">
        <v>45236</v>
      </c>
      <c r="B1993" t="s">
        <v>10</v>
      </c>
      <c r="C1993" t="s">
        <v>11</v>
      </c>
      <c r="D1993" t="s">
        <v>12</v>
      </c>
      <c r="E1993" t="s">
        <v>138</v>
      </c>
      <c r="F1993" t="s">
        <v>94</v>
      </c>
      <c r="G1993" t="s">
        <v>24</v>
      </c>
      <c r="H1993">
        <v>1</v>
      </c>
      <c r="I1993">
        <v>196</v>
      </c>
      <c r="J1993">
        <v>39.6</v>
      </c>
    </row>
    <row r="1994" spans="1:10" x14ac:dyDescent="0.25">
      <c r="A1994" s="1">
        <v>44603</v>
      </c>
      <c r="B1994" t="s">
        <v>10</v>
      </c>
      <c r="C1994" t="s">
        <v>11</v>
      </c>
      <c r="D1994" t="s">
        <v>12</v>
      </c>
      <c r="E1994" t="s">
        <v>67</v>
      </c>
      <c r="F1994" t="s">
        <v>54</v>
      </c>
      <c r="G1994" t="s">
        <v>24</v>
      </c>
      <c r="H1994">
        <v>9</v>
      </c>
      <c r="I1994">
        <v>4212</v>
      </c>
      <c r="J1994">
        <v>552.96</v>
      </c>
    </row>
    <row r="1995" spans="1:10" x14ac:dyDescent="0.25">
      <c r="A1995" s="1">
        <v>45379</v>
      </c>
      <c r="B1995" t="s">
        <v>36</v>
      </c>
      <c r="C1995" t="s">
        <v>17</v>
      </c>
      <c r="D1995" t="s">
        <v>12</v>
      </c>
      <c r="E1995" t="s">
        <v>52</v>
      </c>
      <c r="F1995" t="s">
        <v>42</v>
      </c>
      <c r="G1995" t="s">
        <v>28</v>
      </c>
      <c r="H1995">
        <v>1</v>
      </c>
      <c r="I1995">
        <v>63</v>
      </c>
      <c r="J1995">
        <v>17.29</v>
      </c>
    </row>
    <row r="1996" spans="1:10" x14ac:dyDescent="0.25">
      <c r="A1996" s="1">
        <v>45109</v>
      </c>
      <c r="B1996" t="s">
        <v>16</v>
      </c>
      <c r="C1996" t="s">
        <v>17</v>
      </c>
      <c r="D1996" t="s">
        <v>12</v>
      </c>
      <c r="E1996" t="s">
        <v>52</v>
      </c>
      <c r="F1996" t="s">
        <v>42</v>
      </c>
      <c r="G1996" t="s">
        <v>28</v>
      </c>
      <c r="H1996">
        <v>8</v>
      </c>
      <c r="I1996">
        <v>2752</v>
      </c>
      <c r="J1996">
        <v>394.66</v>
      </c>
    </row>
    <row r="1997" spans="1:10" x14ac:dyDescent="0.25">
      <c r="A1997" s="1">
        <v>45607</v>
      </c>
      <c r="B1997" t="s">
        <v>16</v>
      </c>
      <c r="C1997" t="s">
        <v>17</v>
      </c>
      <c r="D1997" t="s">
        <v>12</v>
      </c>
      <c r="E1997" t="s">
        <v>164</v>
      </c>
      <c r="F1997" t="s">
        <v>94</v>
      </c>
      <c r="G1997" t="s">
        <v>24</v>
      </c>
      <c r="H1997">
        <v>3</v>
      </c>
      <c r="I1997">
        <v>1989</v>
      </c>
      <c r="J1997">
        <v>419.61</v>
      </c>
    </row>
    <row r="1998" spans="1:10" x14ac:dyDescent="0.25">
      <c r="A1998" s="1">
        <v>45360</v>
      </c>
      <c r="B1998" t="s">
        <v>55</v>
      </c>
      <c r="C1998" t="s">
        <v>19</v>
      </c>
      <c r="D1998" t="s">
        <v>12</v>
      </c>
      <c r="E1998" t="s">
        <v>52</v>
      </c>
      <c r="F1998" t="s">
        <v>42</v>
      </c>
      <c r="G1998" t="s">
        <v>28</v>
      </c>
      <c r="H1998">
        <v>8</v>
      </c>
      <c r="I1998">
        <v>8032</v>
      </c>
      <c r="J1998">
        <v>466.19</v>
      </c>
    </row>
    <row r="1999" spans="1:10" x14ac:dyDescent="0.25">
      <c r="A1999" s="1">
        <v>44582</v>
      </c>
      <c r="B1999" t="s">
        <v>18</v>
      </c>
      <c r="C1999" t="s">
        <v>19</v>
      </c>
      <c r="D1999" t="s">
        <v>12</v>
      </c>
      <c r="E1999" t="s">
        <v>52</v>
      </c>
      <c r="F1999" t="s">
        <v>42</v>
      </c>
      <c r="G1999" t="s">
        <v>28</v>
      </c>
      <c r="H1999">
        <v>6</v>
      </c>
      <c r="I1999">
        <v>3702</v>
      </c>
      <c r="J1999">
        <v>407.34</v>
      </c>
    </row>
    <row r="2000" spans="1:10" x14ac:dyDescent="0.25">
      <c r="A2000" s="1">
        <v>44851</v>
      </c>
      <c r="B2000" t="s">
        <v>32</v>
      </c>
      <c r="C2000" t="s">
        <v>19</v>
      </c>
      <c r="D2000" t="s">
        <v>12</v>
      </c>
      <c r="E2000" t="s">
        <v>26</v>
      </c>
      <c r="F2000" t="s">
        <v>27</v>
      </c>
      <c r="G2000" t="s">
        <v>28</v>
      </c>
      <c r="H2000">
        <v>8</v>
      </c>
      <c r="I2000">
        <v>456</v>
      </c>
      <c r="J2000">
        <v>90.24</v>
      </c>
    </row>
    <row r="2001" spans="1:10" x14ac:dyDescent="0.25">
      <c r="A2001" s="1">
        <v>44967</v>
      </c>
      <c r="B2001" t="s">
        <v>25</v>
      </c>
      <c r="C2001" t="s">
        <v>19</v>
      </c>
      <c r="D2001" t="s">
        <v>12</v>
      </c>
      <c r="E2001" t="s">
        <v>22</v>
      </c>
      <c r="F2001" t="s">
        <v>23</v>
      </c>
      <c r="G2001" t="s">
        <v>24</v>
      </c>
      <c r="H2001">
        <v>7</v>
      </c>
      <c r="I2001">
        <v>5355</v>
      </c>
      <c r="J2001">
        <v>1143.1600000000001</v>
      </c>
    </row>
    <row r="2002" spans="1:10" x14ac:dyDescent="0.25">
      <c r="A2002" s="1">
        <v>45355</v>
      </c>
      <c r="B2002" t="s">
        <v>25</v>
      </c>
      <c r="C2002" t="s">
        <v>19</v>
      </c>
      <c r="D2002" t="s">
        <v>12</v>
      </c>
      <c r="E2002" t="s">
        <v>56</v>
      </c>
      <c r="F2002" t="s">
        <v>57</v>
      </c>
      <c r="G2002" t="s">
        <v>24</v>
      </c>
      <c r="H2002">
        <v>1</v>
      </c>
      <c r="I2002">
        <v>972</v>
      </c>
      <c r="J2002">
        <v>261.91000000000003</v>
      </c>
    </row>
    <row r="2003" spans="1:10" x14ac:dyDescent="0.25">
      <c r="A2003" s="1">
        <v>44569</v>
      </c>
      <c r="B2003" t="s">
        <v>29</v>
      </c>
      <c r="C2003" t="s">
        <v>17</v>
      </c>
      <c r="D2003" t="s">
        <v>12</v>
      </c>
      <c r="E2003" t="s">
        <v>52</v>
      </c>
      <c r="F2003" t="s">
        <v>42</v>
      </c>
      <c r="G2003" t="s">
        <v>28</v>
      </c>
      <c r="H2003">
        <v>5</v>
      </c>
      <c r="I2003">
        <v>3290</v>
      </c>
      <c r="J2003">
        <v>797.82</v>
      </c>
    </row>
    <row r="2004" spans="1:10" x14ac:dyDescent="0.25">
      <c r="A2004" s="1">
        <v>44889</v>
      </c>
      <c r="B2004" t="s">
        <v>55</v>
      </c>
      <c r="C2004" t="s">
        <v>19</v>
      </c>
      <c r="D2004" t="s">
        <v>12</v>
      </c>
      <c r="E2004" t="s">
        <v>322</v>
      </c>
      <c r="F2004" t="s">
        <v>42</v>
      </c>
      <c r="G2004" t="s">
        <v>28</v>
      </c>
      <c r="H2004">
        <v>1</v>
      </c>
      <c r="I2004">
        <v>735</v>
      </c>
      <c r="J2004">
        <v>139.31</v>
      </c>
    </row>
    <row r="2005" spans="1:10" x14ac:dyDescent="0.25">
      <c r="A2005" s="1">
        <v>45589</v>
      </c>
      <c r="B2005" t="s">
        <v>18</v>
      </c>
      <c r="C2005" t="s">
        <v>19</v>
      </c>
      <c r="D2005" t="s">
        <v>12</v>
      </c>
      <c r="E2005" t="s">
        <v>224</v>
      </c>
      <c r="F2005" t="s">
        <v>34</v>
      </c>
      <c r="G2005" t="s">
        <v>35</v>
      </c>
      <c r="H2005">
        <v>3</v>
      </c>
      <c r="I2005">
        <v>3336</v>
      </c>
      <c r="J2005">
        <v>798.26</v>
      </c>
    </row>
    <row r="2006" spans="1:10" x14ac:dyDescent="0.25">
      <c r="A2006" s="1">
        <v>44837</v>
      </c>
      <c r="B2006" t="s">
        <v>49</v>
      </c>
      <c r="C2006" t="s">
        <v>17</v>
      </c>
      <c r="D2006" t="s">
        <v>12</v>
      </c>
      <c r="E2006" t="s">
        <v>210</v>
      </c>
      <c r="F2006" t="s">
        <v>34</v>
      </c>
      <c r="G2006" t="s">
        <v>35</v>
      </c>
      <c r="H2006">
        <v>3</v>
      </c>
      <c r="I2006">
        <v>2082</v>
      </c>
      <c r="J2006">
        <v>346.53</v>
      </c>
    </row>
    <row r="2007" spans="1:10" x14ac:dyDescent="0.25">
      <c r="A2007" s="1">
        <v>45491</v>
      </c>
      <c r="B2007" t="s">
        <v>49</v>
      </c>
      <c r="C2007" t="s">
        <v>17</v>
      </c>
      <c r="D2007" t="s">
        <v>12</v>
      </c>
      <c r="E2007" t="s">
        <v>238</v>
      </c>
      <c r="F2007" t="s">
        <v>191</v>
      </c>
      <c r="G2007" t="s">
        <v>35</v>
      </c>
      <c r="H2007">
        <v>2</v>
      </c>
      <c r="I2007">
        <v>1340</v>
      </c>
      <c r="J2007">
        <v>129.88999999999999</v>
      </c>
    </row>
    <row r="2008" spans="1:10" x14ac:dyDescent="0.25">
      <c r="A2008" s="1">
        <v>44633</v>
      </c>
      <c r="B2008" t="s">
        <v>55</v>
      </c>
      <c r="C2008" t="s">
        <v>19</v>
      </c>
      <c r="D2008" t="s">
        <v>12</v>
      </c>
      <c r="E2008" t="s">
        <v>130</v>
      </c>
      <c r="F2008" t="s">
        <v>14</v>
      </c>
      <c r="G2008" t="s">
        <v>15</v>
      </c>
      <c r="H2008">
        <v>5</v>
      </c>
      <c r="I2008">
        <v>1160</v>
      </c>
      <c r="J2008">
        <v>227.13</v>
      </c>
    </row>
    <row r="2009" spans="1:10" x14ac:dyDescent="0.25">
      <c r="A2009" s="1">
        <v>45556</v>
      </c>
      <c r="B2009" t="s">
        <v>36</v>
      </c>
      <c r="C2009" t="s">
        <v>17</v>
      </c>
      <c r="D2009" t="s">
        <v>12</v>
      </c>
      <c r="E2009" t="s">
        <v>56</v>
      </c>
      <c r="F2009" t="s">
        <v>57</v>
      </c>
      <c r="G2009" t="s">
        <v>24</v>
      </c>
      <c r="H2009">
        <v>4</v>
      </c>
      <c r="I2009">
        <v>1272</v>
      </c>
      <c r="J2009">
        <v>299.83999999999997</v>
      </c>
    </row>
    <row r="2010" spans="1:10" x14ac:dyDescent="0.25">
      <c r="A2010" s="1">
        <v>44575</v>
      </c>
      <c r="B2010" t="s">
        <v>10</v>
      </c>
      <c r="C2010" t="s">
        <v>11</v>
      </c>
      <c r="D2010" t="s">
        <v>12</v>
      </c>
      <c r="E2010" t="s">
        <v>52</v>
      </c>
      <c r="F2010" t="s">
        <v>42</v>
      </c>
      <c r="G2010" t="s">
        <v>28</v>
      </c>
      <c r="H2010">
        <v>3</v>
      </c>
      <c r="I2010">
        <v>2817</v>
      </c>
      <c r="J2010">
        <v>588.47</v>
      </c>
    </row>
    <row r="2011" spans="1:10" x14ac:dyDescent="0.25">
      <c r="A2011" s="1">
        <v>45356</v>
      </c>
      <c r="B2011" t="s">
        <v>36</v>
      </c>
      <c r="C2011" t="s">
        <v>17</v>
      </c>
      <c r="D2011" t="s">
        <v>12</v>
      </c>
      <c r="E2011" t="s">
        <v>52</v>
      </c>
      <c r="F2011" t="s">
        <v>42</v>
      </c>
      <c r="G2011" t="s">
        <v>28</v>
      </c>
      <c r="H2011">
        <v>3</v>
      </c>
      <c r="I2011">
        <v>1464</v>
      </c>
      <c r="J2011">
        <v>264.67</v>
      </c>
    </row>
    <row r="2012" spans="1:10" x14ac:dyDescent="0.25">
      <c r="A2012" s="1">
        <v>44970</v>
      </c>
      <c r="B2012" t="s">
        <v>29</v>
      </c>
      <c r="C2012" t="s">
        <v>17</v>
      </c>
      <c r="D2012" t="s">
        <v>12</v>
      </c>
      <c r="E2012" t="s">
        <v>52</v>
      </c>
      <c r="F2012" t="s">
        <v>42</v>
      </c>
      <c r="G2012" t="s">
        <v>28</v>
      </c>
      <c r="H2012">
        <v>1</v>
      </c>
      <c r="I2012">
        <v>307</v>
      </c>
      <c r="J2012">
        <v>60.51</v>
      </c>
    </row>
    <row r="2013" spans="1:10" x14ac:dyDescent="0.25">
      <c r="A2013" s="1">
        <v>44835</v>
      </c>
      <c r="B2013" t="s">
        <v>18</v>
      </c>
      <c r="C2013" t="s">
        <v>19</v>
      </c>
      <c r="D2013" t="s">
        <v>12</v>
      </c>
      <c r="E2013" t="s">
        <v>43</v>
      </c>
      <c r="F2013" t="s">
        <v>44</v>
      </c>
      <c r="G2013" t="s">
        <v>35</v>
      </c>
      <c r="H2013">
        <v>6</v>
      </c>
      <c r="I2013">
        <v>5706</v>
      </c>
      <c r="J2013">
        <v>1306.92</v>
      </c>
    </row>
    <row r="2014" spans="1:10" x14ac:dyDescent="0.25">
      <c r="A2014" s="1">
        <v>45437</v>
      </c>
      <c r="B2014" t="s">
        <v>29</v>
      </c>
      <c r="C2014" t="s">
        <v>17</v>
      </c>
      <c r="D2014" t="s">
        <v>12</v>
      </c>
      <c r="E2014" t="s">
        <v>37</v>
      </c>
      <c r="F2014" t="s">
        <v>34</v>
      </c>
      <c r="G2014" t="s">
        <v>35</v>
      </c>
      <c r="H2014">
        <v>1</v>
      </c>
      <c r="I2014">
        <v>1112</v>
      </c>
      <c r="J2014">
        <v>100.47</v>
      </c>
    </row>
    <row r="2015" spans="1:10" x14ac:dyDescent="0.25">
      <c r="A2015" s="1">
        <v>45122</v>
      </c>
      <c r="B2015" t="s">
        <v>49</v>
      </c>
      <c r="C2015" t="s">
        <v>17</v>
      </c>
      <c r="D2015" t="s">
        <v>12</v>
      </c>
      <c r="E2015" t="s">
        <v>236</v>
      </c>
      <c r="F2015" t="s">
        <v>438</v>
      </c>
      <c r="G2015" t="s">
        <v>28</v>
      </c>
      <c r="H2015">
        <v>1</v>
      </c>
      <c r="I2015">
        <v>1147</v>
      </c>
      <c r="J2015">
        <v>133.47999999999999</v>
      </c>
    </row>
    <row r="2016" spans="1:10" x14ac:dyDescent="0.25">
      <c r="A2016" s="1">
        <v>44968</v>
      </c>
      <c r="B2016" t="s">
        <v>55</v>
      </c>
      <c r="C2016" t="s">
        <v>19</v>
      </c>
      <c r="D2016" t="s">
        <v>12</v>
      </c>
      <c r="E2016" t="s">
        <v>439</v>
      </c>
      <c r="F2016" t="s">
        <v>191</v>
      </c>
      <c r="G2016" t="s">
        <v>35</v>
      </c>
      <c r="H2016">
        <v>2</v>
      </c>
      <c r="I2016">
        <v>330</v>
      </c>
      <c r="J2016">
        <v>66.569999999999993</v>
      </c>
    </row>
    <row r="2017" spans="1:10" x14ac:dyDescent="0.25">
      <c r="A2017" s="1">
        <v>45119</v>
      </c>
      <c r="B2017" t="s">
        <v>36</v>
      </c>
      <c r="C2017" t="s">
        <v>17</v>
      </c>
      <c r="D2017" t="s">
        <v>12</v>
      </c>
      <c r="E2017" t="s">
        <v>136</v>
      </c>
      <c r="F2017" t="s">
        <v>65</v>
      </c>
      <c r="G2017" t="s">
        <v>35</v>
      </c>
      <c r="H2017">
        <v>4</v>
      </c>
      <c r="I2017">
        <v>2176</v>
      </c>
      <c r="J2017">
        <v>250.89</v>
      </c>
    </row>
    <row r="2018" spans="1:10" x14ac:dyDescent="0.25">
      <c r="A2018" s="1">
        <v>44639</v>
      </c>
      <c r="B2018" t="s">
        <v>29</v>
      </c>
      <c r="C2018" t="s">
        <v>17</v>
      </c>
      <c r="D2018" t="s">
        <v>12</v>
      </c>
      <c r="E2018" t="s">
        <v>74</v>
      </c>
      <c r="F2018" t="s">
        <v>23</v>
      </c>
      <c r="G2018" t="s">
        <v>24</v>
      </c>
      <c r="H2018">
        <v>7</v>
      </c>
      <c r="I2018">
        <v>7616</v>
      </c>
      <c r="J2018">
        <v>1317.79</v>
      </c>
    </row>
    <row r="2019" spans="1:10" x14ac:dyDescent="0.25">
      <c r="A2019" s="1">
        <v>45489</v>
      </c>
      <c r="B2019" t="s">
        <v>10</v>
      </c>
      <c r="C2019" t="s">
        <v>11</v>
      </c>
      <c r="D2019" t="s">
        <v>12</v>
      </c>
      <c r="E2019" t="s">
        <v>210</v>
      </c>
      <c r="F2019" t="s">
        <v>34</v>
      </c>
      <c r="G2019" t="s">
        <v>35</v>
      </c>
      <c r="H2019">
        <v>1</v>
      </c>
      <c r="I2019">
        <v>1091</v>
      </c>
      <c r="J2019">
        <v>258.3</v>
      </c>
    </row>
    <row r="2020" spans="1:10" x14ac:dyDescent="0.25">
      <c r="A2020" s="1">
        <v>45385</v>
      </c>
      <c r="B2020" t="s">
        <v>18</v>
      </c>
      <c r="C2020" t="s">
        <v>19</v>
      </c>
      <c r="D2020" t="s">
        <v>12</v>
      </c>
      <c r="E2020" t="s">
        <v>56</v>
      </c>
      <c r="F2020" t="s">
        <v>57</v>
      </c>
      <c r="G2020" t="s">
        <v>24</v>
      </c>
      <c r="H2020">
        <v>2</v>
      </c>
      <c r="I2020">
        <v>1026</v>
      </c>
      <c r="J2020">
        <v>279.76</v>
      </c>
    </row>
    <row r="2021" spans="1:10" x14ac:dyDescent="0.25">
      <c r="A2021" s="1">
        <v>45613</v>
      </c>
      <c r="B2021" t="s">
        <v>18</v>
      </c>
      <c r="C2021" t="s">
        <v>19</v>
      </c>
      <c r="D2021" t="s">
        <v>12</v>
      </c>
      <c r="E2021" t="s">
        <v>52</v>
      </c>
      <c r="F2021" t="s">
        <v>42</v>
      </c>
      <c r="G2021" t="s">
        <v>28</v>
      </c>
      <c r="H2021">
        <v>2</v>
      </c>
      <c r="I2021">
        <v>210</v>
      </c>
      <c r="J2021">
        <v>42.04</v>
      </c>
    </row>
    <row r="2022" spans="1:10" x14ac:dyDescent="0.25">
      <c r="A2022" s="1">
        <v>44821</v>
      </c>
      <c r="B2022" t="s">
        <v>10</v>
      </c>
      <c r="C2022" t="s">
        <v>11</v>
      </c>
      <c r="D2022" t="s">
        <v>12</v>
      </c>
      <c r="E2022" t="s">
        <v>43</v>
      </c>
      <c r="F2022" t="s">
        <v>44</v>
      </c>
      <c r="G2022" t="s">
        <v>35</v>
      </c>
      <c r="H2022">
        <v>2</v>
      </c>
      <c r="I2022">
        <v>180</v>
      </c>
      <c r="J2022">
        <v>10.78</v>
      </c>
    </row>
    <row r="2023" spans="1:10" x14ac:dyDescent="0.25">
      <c r="A2023" s="1">
        <v>45547</v>
      </c>
      <c r="B2023" t="s">
        <v>18</v>
      </c>
      <c r="C2023" t="s">
        <v>19</v>
      </c>
      <c r="D2023" t="s">
        <v>12</v>
      </c>
      <c r="E2023" t="s">
        <v>74</v>
      </c>
      <c r="F2023" t="s">
        <v>23</v>
      </c>
      <c r="G2023" t="s">
        <v>24</v>
      </c>
      <c r="H2023">
        <v>4</v>
      </c>
      <c r="I2023">
        <v>380</v>
      </c>
      <c r="J2023">
        <v>72.88</v>
      </c>
    </row>
    <row r="2024" spans="1:10" x14ac:dyDescent="0.25">
      <c r="A2024" s="1">
        <v>45151</v>
      </c>
      <c r="B2024" t="s">
        <v>36</v>
      </c>
      <c r="C2024" t="s">
        <v>17</v>
      </c>
      <c r="D2024" t="s">
        <v>12</v>
      </c>
      <c r="E2024" t="s">
        <v>93</v>
      </c>
      <c r="F2024" t="s">
        <v>94</v>
      </c>
      <c r="G2024" t="s">
        <v>24</v>
      </c>
      <c r="H2024">
        <v>8</v>
      </c>
      <c r="I2024">
        <v>7664</v>
      </c>
      <c r="J2024">
        <v>1580.55</v>
      </c>
    </row>
    <row r="2025" spans="1:10" x14ac:dyDescent="0.25">
      <c r="A2025" s="1">
        <v>44856</v>
      </c>
      <c r="B2025" t="s">
        <v>40</v>
      </c>
      <c r="C2025" t="s">
        <v>19</v>
      </c>
      <c r="D2025" t="s">
        <v>12</v>
      </c>
      <c r="E2025" t="s">
        <v>37</v>
      </c>
      <c r="F2025" t="s">
        <v>34</v>
      </c>
      <c r="G2025" t="s">
        <v>35</v>
      </c>
      <c r="H2025">
        <v>8</v>
      </c>
      <c r="I2025">
        <v>6056</v>
      </c>
      <c r="J2025">
        <v>1029.9000000000001</v>
      </c>
    </row>
    <row r="2026" spans="1:10" x14ac:dyDescent="0.25">
      <c r="A2026" s="1">
        <v>44589</v>
      </c>
      <c r="B2026" t="s">
        <v>16</v>
      </c>
      <c r="C2026" t="s">
        <v>17</v>
      </c>
      <c r="D2026" t="s">
        <v>12</v>
      </c>
      <c r="E2026" t="s">
        <v>196</v>
      </c>
      <c r="F2026" t="s">
        <v>54</v>
      </c>
      <c r="G2026" t="s">
        <v>24</v>
      </c>
      <c r="H2026">
        <v>6</v>
      </c>
      <c r="I2026">
        <v>606</v>
      </c>
      <c r="J2026">
        <v>104.52</v>
      </c>
    </row>
    <row r="2027" spans="1:10" x14ac:dyDescent="0.25">
      <c r="A2027" s="1">
        <v>45381</v>
      </c>
      <c r="B2027" t="s">
        <v>36</v>
      </c>
      <c r="C2027" t="s">
        <v>17</v>
      </c>
      <c r="D2027" t="s">
        <v>12</v>
      </c>
      <c r="E2027" t="s">
        <v>75</v>
      </c>
      <c r="F2027" t="s">
        <v>63</v>
      </c>
      <c r="G2027" t="s">
        <v>28</v>
      </c>
      <c r="H2027">
        <v>3</v>
      </c>
      <c r="I2027">
        <v>750</v>
      </c>
      <c r="J2027">
        <v>193.86</v>
      </c>
    </row>
    <row r="2028" spans="1:10" x14ac:dyDescent="0.25">
      <c r="A2028" s="1">
        <v>45637</v>
      </c>
      <c r="B2028" t="s">
        <v>10</v>
      </c>
      <c r="C2028" t="s">
        <v>11</v>
      </c>
      <c r="D2028" t="s">
        <v>12</v>
      </c>
      <c r="E2028" t="s">
        <v>37</v>
      </c>
      <c r="F2028" t="s">
        <v>34</v>
      </c>
      <c r="G2028" t="s">
        <v>35</v>
      </c>
      <c r="H2028">
        <v>2</v>
      </c>
      <c r="I2028">
        <v>1218</v>
      </c>
      <c r="J2028">
        <v>218.88</v>
      </c>
    </row>
    <row r="2029" spans="1:10" x14ac:dyDescent="0.25">
      <c r="A2029" s="1">
        <v>45011</v>
      </c>
      <c r="B2029" t="s">
        <v>55</v>
      </c>
      <c r="C2029" t="s">
        <v>19</v>
      </c>
      <c r="D2029" t="s">
        <v>12</v>
      </c>
      <c r="E2029" t="s">
        <v>62</v>
      </c>
      <c r="F2029" t="s">
        <v>63</v>
      </c>
      <c r="G2029" t="s">
        <v>28</v>
      </c>
      <c r="H2029">
        <v>2</v>
      </c>
      <c r="I2029">
        <v>2162</v>
      </c>
      <c r="J2029">
        <v>355.45</v>
      </c>
    </row>
    <row r="2030" spans="1:10" x14ac:dyDescent="0.25">
      <c r="A2030" s="1">
        <v>44998</v>
      </c>
      <c r="B2030" t="s">
        <v>29</v>
      </c>
      <c r="C2030" t="s">
        <v>17</v>
      </c>
      <c r="D2030" t="s">
        <v>12</v>
      </c>
      <c r="E2030" t="s">
        <v>72</v>
      </c>
      <c r="F2030" t="s">
        <v>21</v>
      </c>
      <c r="G2030" t="s">
        <v>15</v>
      </c>
      <c r="H2030">
        <v>9</v>
      </c>
      <c r="I2030">
        <v>2223</v>
      </c>
      <c r="J2030">
        <v>347.01</v>
      </c>
    </row>
    <row r="2031" spans="1:10" x14ac:dyDescent="0.25">
      <c r="A2031" s="1">
        <v>45188</v>
      </c>
      <c r="B2031" t="s">
        <v>40</v>
      </c>
      <c r="C2031" t="s">
        <v>19</v>
      </c>
      <c r="D2031" t="s">
        <v>12</v>
      </c>
      <c r="E2031" t="s">
        <v>201</v>
      </c>
      <c r="F2031" t="s">
        <v>23</v>
      </c>
      <c r="G2031" t="s">
        <v>24</v>
      </c>
      <c r="H2031">
        <v>7</v>
      </c>
      <c r="I2031">
        <v>4452</v>
      </c>
      <c r="J2031">
        <v>920.05</v>
      </c>
    </row>
    <row r="2032" spans="1:10" x14ac:dyDescent="0.25">
      <c r="A2032" s="1">
        <v>44600</v>
      </c>
      <c r="B2032" t="s">
        <v>10</v>
      </c>
      <c r="C2032" t="s">
        <v>11</v>
      </c>
      <c r="D2032" t="s">
        <v>12</v>
      </c>
      <c r="E2032" t="s">
        <v>66</v>
      </c>
      <c r="F2032" t="s">
        <v>34</v>
      </c>
      <c r="G2032" t="s">
        <v>35</v>
      </c>
      <c r="H2032">
        <v>1</v>
      </c>
      <c r="I2032">
        <v>184</v>
      </c>
      <c r="J2032">
        <v>50.19</v>
      </c>
    </row>
    <row r="2033" spans="1:10" x14ac:dyDescent="0.25">
      <c r="A2033" s="1">
        <v>44656</v>
      </c>
      <c r="B2033" t="s">
        <v>29</v>
      </c>
      <c r="C2033" t="s">
        <v>17</v>
      </c>
      <c r="D2033" t="s">
        <v>12</v>
      </c>
      <c r="E2033" t="s">
        <v>66</v>
      </c>
      <c r="F2033" t="s">
        <v>34</v>
      </c>
      <c r="G2033" t="s">
        <v>35</v>
      </c>
      <c r="H2033">
        <v>3</v>
      </c>
      <c r="I2033">
        <v>288</v>
      </c>
      <c r="J2033">
        <v>77.38</v>
      </c>
    </row>
    <row r="2034" spans="1:10" x14ac:dyDescent="0.25">
      <c r="A2034" s="1">
        <v>45315</v>
      </c>
      <c r="B2034" t="s">
        <v>25</v>
      </c>
      <c r="C2034" t="s">
        <v>19</v>
      </c>
      <c r="D2034" t="s">
        <v>12</v>
      </c>
      <c r="E2034" t="s">
        <v>52</v>
      </c>
      <c r="F2034" t="s">
        <v>42</v>
      </c>
      <c r="G2034" t="s">
        <v>28</v>
      </c>
      <c r="H2034">
        <v>2</v>
      </c>
      <c r="I2034">
        <v>834</v>
      </c>
      <c r="J2034">
        <v>150.12</v>
      </c>
    </row>
    <row r="2035" spans="1:10" x14ac:dyDescent="0.25">
      <c r="A2035" s="1">
        <v>45158</v>
      </c>
      <c r="B2035" t="s">
        <v>49</v>
      </c>
      <c r="C2035" t="s">
        <v>17</v>
      </c>
      <c r="D2035" t="s">
        <v>12</v>
      </c>
      <c r="E2035" t="s">
        <v>52</v>
      </c>
      <c r="F2035" t="s">
        <v>42</v>
      </c>
      <c r="G2035" t="s">
        <v>28</v>
      </c>
      <c r="H2035">
        <v>5</v>
      </c>
      <c r="I2035">
        <v>4025</v>
      </c>
      <c r="J2035">
        <v>923.17</v>
      </c>
    </row>
    <row r="2036" spans="1:10" x14ac:dyDescent="0.25">
      <c r="A2036" s="1">
        <v>45177</v>
      </c>
      <c r="B2036" t="s">
        <v>29</v>
      </c>
      <c r="C2036" t="s">
        <v>17</v>
      </c>
      <c r="D2036" t="s">
        <v>12</v>
      </c>
      <c r="E2036" t="s">
        <v>162</v>
      </c>
      <c r="F2036" t="s">
        <v>34</v>
      </c>
      <c r="G2036" t="s">
        <v>35</v>
      </c>
      <c r="H2036">
        <v>7</v>
      </c>
      <c r="I2036">
        <v>4732</v>
      </c>
      <c r="J2036">
        <v>1084.28</v>
      </c>
    </row>
    <row r="2037" spans="1:10" x14ac:dyDescent="0.25">
      <c r="A2037" s="1">
        <v>44700</v>
      </c>
      <c r="B2037" t="s">
        <v>29</v>
      </c>
      <c r="C2037" t="s">
        <v>17</v>
      </c>
      <c r="D2037" t="s">
        <v>12</v>
      </c>
      <c r="E2037" t="s">
        <v>162</v>
      </c>
      <c r="F2037" t="s">
        <v>34</v>
      </c>
      <c r="G2037" t="s">
        <v>35</v>
      </c>
      <c r="H2037">
        <v>5</v>
      </c>
      <c r="I2037">
        <v>4025</v>
      </c>
      <c r="J2037">
        <v>407.72</v>
      </c>
    </row>
    <row r="2038" spans="1:10" x14ac:dyDescent="0.25">
      <c r="A2038" s="1">
        <v>45122</v>
      </c>
      <c r="B2038" t="s">
        <v>10</v>
      </c>
      <c r="C2038" t="s">
        <v>11</v>
      </c>
      <c r="D2038" t="s">
        <v>12</v>
      </c>
      <c r="E2038" t="s">
        <v>223</v>
      </c>
      <c r="F2038" t="s">
        <v>23</v>
      </c>
      <c r="G2038" t="s">
        <v>24</v>
      </c>
      <c r="H2038">
        <v>8</v>
      </c>
      <c r="I2038">
        <v>2416</v>
      </c>
      <c r="J2038">
        <v>500.93</v>
      </c>
    </row>
    <row r="2039" spans="1:10" x14ac:dyDescent="0.25">
      <c r="A2039" s="1">
        <v>45367</v>
      </c>
      <c r="B2039" t="s">
        <v>18</v>
      </c>
      <c r="C2039" t="s">
        <v>19</v>
      </c>
      <c r="D2039" t="s">
        <v>12</v>
      </c>
      <c r="E2039" t="s">
        <v>134</v>
      </c>
      <c r="F2039" t="s">
        <v>42</v>
      </c>
      <c r="G2039" t="s">
        <v>28</v>
      </c>
      <c r="H2039">
        <v>7</v>
      </c>
      <c r="I2039">
        <v>1897</v>
      </c>
      <c r="J2039">
        <v>524.69000000000005</v>
      </c>
    </row>
    <row r="2040" spans="1:10" x14ac:dyDescent="0.25">
      <c r="A2040" s="1">
        <v>44667</v>
      </c>
      <c r="B2040" t="s">
        <v>16</v>
      </c>
      <c r="C2040" t="s">
        <v>17</v>
      </c>
      <c r="D2040" t="s">
        <v>12</v>
      </c>
      <c r="E2040" t="s">
        <v>22</v>
      </c>
      <c r="F2040" t="s">
        <v>23</v>
      </c>
      <c r="G2040" t="s">
        <v>24</v>
      </c>
      <c r="H2040">
        <v>4</v>
      </c>
      <c r="I2040">
        <v>840</v>
      </c>
      <c r="J2040">
        <v>190.13</v>
      </c>
    </row>
    <row r="2041" spans="1:10" x14ac:dyDescent="0.25">
      <c r="A2041" s="1">
        <v>44563</v>
      </c>
      <c r="B2041" t="s">
        <v>16</v>
      </c>
      <c r="C2041" t="s">
        <v>17</v>
      </c>
      <c r="D2041" t="s">
        <v>12</v>
      </c>
      <c r="E2041" t="s">
        <v>210</v>
      </c>
      <c r="F2041" t="s">
        <v>34</v>
      </c>
      <c r="G2041" t="s">
        <v>35</v>
      </c>
      <c r="H2041">
        <v>8</v>
      </c>
      <c r="I2041">
        <v>6600</v>
      </c>
      <c r="J2041">
        <v>360.45</v>
      </c>
    </row>
    <row r="2042" spans="1:10" x14ac:dyDescent="0.25">
      <c r="A2042" s="1">
        <v>44854</v>
      </c>
      <c r="B2042" t="s">
        <v>55</v>
      </c>
      <c r="C2042" t="s">
        <v>19</v>
      </c>
      <c r="D2042" t="s">
        <v>12</v>
      </c>
      <c r="E2042" t="s">
        <v>210</v>
      </c>
      <c r="F2042" t="s">
        <v>34</v>
      </c>
      <c r="G2042" t="s">
        <v>35</v>
      </c>
      <c r="H2042">
        <v>2</v>
      </c>
      <c r="I2042">
        <v>2362</v>
      </c>
      <c r="J2042">
        <v>342.27</v>
      </c>
    </row>
    <row r="2043" spans="1:10" x14ac:dyDescent="0.25">
      <c r="A2043" s="1">
        <v>45326</v>
      </c>
      <c r="B2043" t="s">
        <v>29</v>
      </c>
      <c r="C2043" t="s">
        <v>17</v>
      </c>
      <c r="D2043" t="s">
        <v>12</v>
      </c>
      <c r="E2043" t="s">
        <v>176</v>
      </c>
      <c r="F2043" t="s">
        <v>84</v>
      </c>
      <c r="G2043" t="s">
        <v>28</v>
      </c>
      <c r="H2043">
        <v>6</v>
      </c>
      <c r="I2043">
        <v>2958</v>
      </c>
      <c r="J2043">
        <v>577.27</v>
      </c>
    </row>
    <row r="2044" spans="1:10" x14ac:dyDescent="0.25">
      <c r="A2044" s="1">
        <v>45373</v>
      </c>
      <c r="B2044" t="s">
        <v>18</v>
      </c>
      <c r="C2044" t="s">
        <v>19</v>
      </c>
      <c r="D2044" t="s">
        <v>12</v>
      </c>
      <c r="E2044" t="s">
        <v>56</v>
      </c>
      <c r="F2044" t="s">
        <v>57</v>
      </c>
      <c r="G2044" t="s">
        <v>24</v>
      </c>
      <c r="H2044">
        <v>1</v>
      </c>
      <c r="I2044">
        <v>477</v>
      </c>
      <c r="J2044">
        <v>56.49</v>
      </c>
    </row>
    <row r="2045" spans="1:10" x14ac:dyDescent="0.25">
      <c r="A2045" s="1">
        <v>44716</v>
      </c>
      <c r="B2045" t="s">
        <v>49</v>
      </c>
      <c r="C2045" t="s">
        <v>17</v>
      </c>
      <c r="D2045" t="s">
        <v>12</v>
      </c>
      <c r="E2045" t="s">
        <v>56</v>
      </c>
      <c r="F2045" t="s">
        <v>57</v>
      </c>
      <c r="G2045" t="s">
        <v>24</v>
      </c>
      <c r="H2045">
        <v>3</v>
      </c>
      <c r="I2045">
        <v>942</v>
      </c>
      <c r="J2045">
        <v>84.8</v>
      </c>
    </row>
    <row r="2046" spans="1:10" x14ac:dyDescent="0.25">
      <c r="A2046" s="1">
        <v>44947</v>
      </c>
      <c r="B2046" t="s">
        <v>25</v>
      </c>
      <c r="C2046" t="s">
        <v>19</v>
      </c>
      <c r="D2046" t="s">
        <v>12</v>
      </c>
      <c r="E2046" t="s">
        <v>91</v>
      </c>
      <c r="F2046" t="s">
        <v>149</v>
      </c>
      <c r="G2046" t="s">
        <v>15</v>
      </c>
      <c r="H2046">
        <v>2</v>
      </c>
      <c r="I2046">
        <v>2084</v>
      </c>
      <c r="J2046">
        <v>586.72</v>
      </c>
    </row>
    <row r="2047" spans="1:10" x14ac:dyDescent="0.25">
      <c r="A2047" s="1">
        <v>45154</v>
      </c>
      <c r="B2047" t="s">
        <v>18</v>
      </c>
      <c r="C2047" t="s">
        <v>19</v>
      </c>
      <c r="D2047" t="s">
        <v>12</v>
      </c>
      <c r="E2047" t="s">
        <v>56</v>
      </c>
      <c r="F2047" t="s">
        <v>57</v>
      </c>
      <c r="G2047" t="s">
        <v>24</v>
      </c>
      <c r="H2047">
        <v>6</v>
      </c>
      <c r="I2047">
        <v>4584</v>
      </c>
      <c r="J2047">
        <v>473.37</v>
      </c>
    </row>
    <row r="2048" spans="1:10" x14ac:dyDescent="0.25">
      <c r="A2048" s="1">
        <v>44709</v>
      </c>
      <c r="B2048" t="s">
        <v>10</v>
      </c>
      <c r="C2048" t="s">
        <v>11</v>
      </c>
      <c r="D2048" t="s">
        <v>12</v>
      </c>
      <c r="E2048" t="s">
        <v>56</v>
      </c>
      <c r="F2048" t="s">
        <v>57</v>
      </c>
      <c r="G2048" t="s">
        <v>24</v>
      </c>
      <c r="H2048">
        <v>1</v>
      </c>
      <c r="I2048">
        <v>1118</v>
      </c>
      <c r="J2048">
        <v>319.27999999999997</v>
      </c>
    </row>
    <row r="2049" spans="1:10" x14ac:dyDescent="0.25">
      <c r="A2049" s="1">
        <v>45412</v>
      </c>
      <c r="B2049" t="s">
        <v>16</v>
      </c>
      <c r="C2049" t="s">
        <v>17</v>
      </c>
      <c r="D2049" t="s">
        <v>12</v>
      </c>
      <c r="E2049" t="s">
        <v>22</v>
      </c>
      <c r="F2049" t="s">
        <v>23</v>
      </c>
      <c r="G2049" t="s">
        <v>24</v>
      </c>
      <c r="H2049">
        <v>9</v>
      </c>
      <c r="I2049">
        <v>4005</v>
      </c>
      <c r="J2049">
        <v>652.15</v>
      </c>
    </row>
    <row r="2050" spans="1:10" x14ac:dyDescent="0.25">
      <c r="A2050" s="1">
        <v>45355</v>
      </c>
      <c r="B2050" t="s">
        <v>32</v>
      </c>
      <c r="C2050" t="s">
        <v>19</v>
      </c>
      <c r="D2050" t="s">
        <v>12</v>
      </c>
      <c r="E2050" t="s">
        <v>22</v>
      </c>
      <c r="F2050" t="s">
        <v>23</v>
      </c>
      <c r="G2050" t="s">
        <v>24</v>
      </c>
      <c r="H2050">
        <v>5</v>
      </c>
      <c r="I2050">
        <v>4610</v>
      </c>
      <c r="J2050">
        <v>1293.3699999999999</v>
      </c>
    </row>
    <row r="2051" spans="1:10" x14ac:dyDescent="0.25">
      <c r="A2051" s="1">
        <v>45579</v>
      </c>
      <c r="B2051" t="s">
        <v>49</v>
      </c>
      <c r="C2051" t="s">
        <v>17</v>
      </c>
      <c r="D2051" t="s">
        <v>12</v>
      </c>
      <c r="E2051" t="s">
        <v>52</v>
      </c>
      <c r="F2051" t="s">
        <v>42</v>
      </c>
      <c r="G2051" t="s">
        <v>28</v>
      </c>
      <c r="H2051">
        <v>1</v>
      </c>
      <c r="I2051">
        <v>551</v>
      </c>
      <c r="J2051">
        <v>86.84</v>
      </c>
    </row>
    <row r="2052" spans="1:10" x14ac:dyDescent="0.25">
      <c r="A2052" s="1">
        <v>44778</v>
      </c>
      <c r="B2052" t="s">
        <v>10</v>
      </c>
      <c r="C2052" t="s">
        <v>11</v>
      </c>
      <c r="D2052" t="s">
        <v>12</v>
      </c>
      <c r="E2052" t="s">
        <v>52</v>
      </c>
      <c r="F2052" t="s">
        <v>42</v>
      </c>
      <c r="G2052" t="s">
        <v>28</v>
      </c>
      <c r="H2052">
        <v>1</v>
      </c>
      <c r="I2052">
        <v>75</v>
      </c>
      <c r="J2052">
        <v>19.29</v>
      </c>
    </row>
    <row r="2053" spans="1:10" x14ac:dyDescent="0.25">
      <c r="A2053" s="1">
        <v>45279</v>
      </c>
      <c r="B2053" t="s">
        <v>16</v>
      </c>
      <c r="C2053" t="s">
        <v>17</v>
      </c>
      <c r="D2053" t="s">
        <v>12</v>
      </c>
      <c r="E2053" t="s">
        <v>22</v>
      </c>
      <c r="F2053" t="s">
        <v>23</v>
      </c>
      <c r="G2053" t="s">
        <v>24</v>
      </c>
      <c r="H2053">
        <v>6</v>
      </c>
      <c r="I2053">
        <v>6576</v>
      </c>
      <c r="J2053">
        <v>1899.67</v>
      </c>
    </row>
    <row r="2054" spans="1:10" x14ac:dyDescent="0.25">
      <c r="A2054" s="1">
        <v>45011</v>
      </c>
      <c r="B2054" t="s">
        <v>10</v>
      </c>
      <c r="C2054" t="s">
        <v>11</v>
      </c>
      <c r="D2054" t="s">
        <v>12</v>
      </c>
      <c r="E2054" t="s">
        <v>22</v>
      </c>
      <c r="F2054" t="s">
        <v>23</v>
      </c>
      <c r="G2054" t="s">
        <v>24</v>
      </c>
      <c r="H2054">
        <v>6</v>
      </c>
      <c r="I2054">
        <v>6432</v>
      </c>
      <c r="J2054">
        <v>1410.52</v>
      </c>
    </row>
    <row r="2055" spans="1:10" x14ac:dyDescent="0.25">
      <c r="A2055" s="1">
        <v>44781</v>
      </c>
      <c r="B2055" t="s">
        <v>29</v>
      </c>
      <c r="C2055" t="s">
        <v>17</v>
      </c>
      <c r="D2055" t="s">
        <v>12</v>
      </c>
      <c r="E2055" t="s">
        <v>244</v>
      </c>
      <c r="F2055" t="s">
        <v>23</v>
      </c>
      <c r="G2055" t="s">
        <v>24</v>
      </c>
      <c r="H2055">
        <v>7</v>
      </c>
      <c r="I2055">
        <v>7763</v>
      </c>
      <c r="J2055">
        <v>1444.27</v>
      </c>
    </row>
    <row r="2056" spans="1:10" x14ac:dyDescent="0.25">
      <c r="A2056" s="1">
        <v>45353</v>
      </c>
      <c r="B2056" t="s">
        <v>36</v>
      </c>
      <c r="C2056" t="s">
        <v>17</v>
      </c>
      <c r="D2056" t="s">
        <v>12</v>
      </c>
      <c r="E2056" t="s">
        <v>74</v>
      </c>
      <c r="F2056" t="s">
        <v>23</v>
      </c>
      <c r="G2056" t="s">
        <v>24</v>
      </c>
      <c r="H2056">
        <v>7</v>
      </c>
      <c r="I2056">
        <v>2240</v>
      </c>
      <c r="J2056">
        <v>622.29</v>
      </c>
    </row>
    <row r="2057" spans="1:10" x14ac:dyDescent="0.25">
      <c r="A2057" s="1">
        <v>44899</v>
      </c>
      <c r="B2057" t="s">
        <v>29</v>
      </c>
      <c r="C2057" t="s">
        <v>17</v>
      </c>
      <c r="D2057" t="s">
        <v>12</v>
      </c>
      <c r="E2057" t="s">
        <v>37</v>
      </c>
      <c r="F2057" t="s">
        <v>34</v>
      </c>
      <c r="G2057" t="s">
        <v>35</v>
      </c>
      <c r="H2057">
        <v>6</v>
      </c>
      <c r="I2057">
        <v>5298</v>
      </c>
      <c r="J2057">
        <v>1209.8800000000001</v>
      </c>
    </row>
    <row r="2058" spans="1:10" x14ac:dyDescent="0.25">
      <c r="A2058" s="1">
        <v>45122</v>
      </c>
      <c r="B2058" t="s">
        <v>32</v>
      </c>
      <c r="C2058" t="s">
        <v>19</v>
      </c>
      <c r="D2058" t="s">
        <v>12</v>
      </c>
      <c r="E2058" t="s">
        <v>26</v>
      </c>
      <c r="F2058" t="s">
        <v>27</v>
      </c>
      <c r="G2058" t="s">
        <v>28</v>
      </c>
      <c r="H2058">
        <v>2</v>
      </c>
      <c r="I2058">
        <v>116</v>
      </c>
      <c r="J2058">
        <v>32.270000000000003</v>
      </c>
    </row>
    <row r="2059" spans="1:10" x14ac:dyDescent="0.25">
      <c r="A2059" s="1">
        <v>44594</v>
      </c>
      <c r="B2059" t="s">
        <v>18</v>
      </c>
      <c r="C2059" t="s">
        <v>19</v>
      </c>
      <c r="D2059" t="s">
        <v>12</v>
      </c>
      <c r="E2059" t="s">
        <v>22</v>
      </c>
      <c r="F2059" t="s">
        <v>23</v>
      </c>
      <c r="G2059" t="s">
        <v>24</v>
      </c>
      <c r="H2059">
        <v>8</v>
      </c>
      <c r="I2059">
        <v>6728</v>
      </c>
      <c r="J2059">
        <v>1140.19</v>
      </c>
    </row>
    <row r="2060" spans="1:10" x14ac:dyDescent="0.25">
      <c r="A2060" s="1">
        <v>44897</v>
      </c>
      <c r="B2060" t="s">
        <v>36</v>
      </c>
      <c r="C2060" t="s">
        <v>17</v>
      </c>
      <c r="D2060" t="s">
        <v>12</v>
      </c>
      <c r="E2060" t="s">
        <v>22</v>
      </c>
      <c r="F2060" t="s">
        <v>23</v>
      </c>
      <c r="G2060" t="s">
        <v>24</v>
      </c>
      <c r="H2060">
        <v>5</v>
      </c>
      <c r="I2060">
        <v>490</v>
      </c>
      <c r="J2060">
        <v>55.59</v>
      </c>
    </row>
    <row r="2061" spans="1:10" x14ac:dyDescent="0.25">
      <c r="A2061" s="1">
        <v>45317</v>
      </c>
      <c r="B2061" t="s">
        <v>36</v>
      </c>
      <c r="C2061" t="s">
        <v>17</v>
      </c>
      <c r="D2061" t="s">
        <v>12</v>
      </c>
      <c r="E2061" t="s">
        <v>26</v>
      </c>
      <c r="F2061" t="s">
        <v>27</v>
      </c>
      <c r="G2061" t="s">
        <v>28</v>
      </c>
      <c r="H2061">
        <v>7</v>
      </c>
      <c r="I2061">
        <v>2765</v>
      </c>
      <c r="J2061">
        <v>699.86</v>
      </c>
    </row>
    <row r="2062" spans="1:10" x14ac:dyDescent="0.25">
      <c r="A2062" s="1">
        <v>44672</v>
      </c>
      <c r="B2062" t="s">
        <v>40</v>
      </c>
      <c r="C2062" t="s">
        <v>19</v>
      </c>
      <c r="D2062" t="s">
        <v>12</v>
      </c>
      <c r="E2062" t="s">
        <v>430</v>
      </c>
      <c r="F2062" t="s">
        <v>65</v>
      </c>
      <c r="G2062" t="s">
        <v>35</v>
      </c>
      <c r="H2062">
        <v>8</v>
      </c>
      <c r="I2062">
        <v>2680</v>
      </c>
      <c r="J2062">
        <v>598.97</v>
      </c>
    </row>
    <row r="2063" spans="1:10" x14ac:dyDescent="0.25">
      <c r="A2063" s="1">
        <v>45157</v>
      </c>
      <c r="B2063" t="s">
        <v>25</v>
      </c>
      <c r="C2063" t="s">
        <v>19</v>
      </c>
      <c r="D2063" t="s">
        <v>12</v>
      </c>
      <c r="E2063" t="s">
        <v>52</v>
      </c>
      <c r="F2063" t="s">
        <v>42</v>
      </c>
      <c r="G2063" t="s">
        <v>28</v>
      </c>
      <c r="H2063">
        <v>2</v>
      </c>
      <c r="I2063">
        <v>2174</v>
      </c>
      <c r="J2063">
        <v>335.37</v>
      </c>
    </row>
    <row r="2064" spans="1:10" x14ac:dyDescent="0.25">
      <c r="A2064" s="1">
        <v>45393</v>
      </c>
      <c r="B2064" t="s">
        <v>36</v>
      </c>
      <c r="C2064" t="s">
        <v>17</v>
      </c>
      <c r="D2064" t="s">
        <v>12</v>
      </c>
      <c r="E2064" t="s">
        <v>317</v>
      </c>
      <c r="F2064" t="s">
        <v>115</v>
      </c>
      <c r="G2064" t="s">
        <v>15</v>
      </c>
      <c r="H2064">
        <v>9</v>
      </c>
      <c r="I2064">
        <v>5562</v>
      </c>
      <c r="J2064">
        <v>1258.1199999999999</v>
      </c>
    </row>
    <row r="2065" spans="1:10" x14ac:dyDescent="0.25">
      <c r="A2065" s="1">
        <v>44831</v>
      </c>
      <c r="B2065" t="s">
        <v>40</v>
      </c>
      <c r="C2065" t="s">
        <v>19</v>
      </c>
      <c r="D2065" t="s">
        <v>12</v>
      </c>
      <c r="E2065" t="s">
        <v>329</v>
      </c>
      <c r="F2065" t="s">
        <v>339</v>
      </c>
      <c r="G2065" t="s">
        <v>28</v>
      </c>
      <c r="H2065">
        <v>8</v>
      </c>
      <c r="I2065">
        <v>9208</v>
      </c>
      <c r="J2065">
        <v>2595.33</v>
      </c>
    </row>
    <row r="2066" spans="1:10" x14ac:dyDescent="0.25">
      <c r="A2066" s="1">
        <v>45535</v>
      </c>
      <c r="B2066" t="s">
        <v>40</v>
      </c>
      <c r="C2066" t="s">
        <v>19</v>
      </c>
      <c r="D2066" t="s">
        <v>12</v>
      </c>
      <c r="E2066" t="s">
        <v>22</v>
      </c>
      <c r="F2066" t="s">
        <v>23</v>
      </c>
      <c r="G2066" t="s">
        <v>24</v>
      </c>
      <c r="H2066">
        <v>4</v>
      </c>
      <c r="I2066">
        <v>4512</v>
      </c>
      <c r="J2066">
        <v>546.71</v>
      </c>
    </row>
    <row r="2067" spans="1:10" x14ac:dyDescent="0.25">
      <c r="A2067" s="1">
        <v>45355</v>
      </c>
      <c r="B2067" t="s">
        <v>25</v>
      </c>
      <c r="C2067" t="s">
        <v>19</v>
      </c>
      <c r="D2067" t="s">
        <v>12</v>
      </c>
      <c r="E2067" t="s">
        <v>22</v>
      </c>
      <c r="F2067" t="s">
        <v>23</v>
      </c>
      <c r="G2067" t="s">
        <v>24</v>
      </c>
      <c r="H2067">
        <v>9</v>
      </c>
      <c r="I2067">
        <v>7974</v>
      </c>
      <c r="J2067">
        <v>1965.96</v>
      </c>
    </row>
    <row r="2068" spans="1:10" x14ac:dyDescent="0.25">
      <c r="A2068" s="1">
        <v>44681</v>
      </c>
      <c r="B2068" t="s">
        <v>36</v>
      </c>
      <c r="C2068" t="s">
        <v>17</v>
      </c>
      <c r="D2068" t="s">
        <v>12</v>
      </c>
      <c r="E2068" t="s">
        <v>43</v>
      </c>
      <c r="F2068" t="s">
        <v>44</v>
      </c>
      <c r="G2068" t="s">
        <v>35</v>
      </c>
      <c r="H2068">
        <v>6</v>
      </c>
      <c r="I2068">
        <v>4944</v>
      </c>
      <c r="J2068">
        <v>1335.04</v>
      </c>
    </row>
    <row r="2069" spans="1:10" x14ac:dyDescent="0.25">
      <c r="A2069" s="1">
        <v>44639</v>
      </c>
      <c r="B2069" t="s">
        <v>10</v>
      </c>
      <c r="C2069" t="s">
        <v>11</v>
      </c>
      <c r="D2069" t="s">
        <v>12</v>
      </c>
      <c r="E2069" t="s">
        <v>43</v>
      </c>
      <c r="F2069" t="s">
        <v>44</v>
      </c>
      <c r="G2069" t="s">
        <v>35</v>
      </c>
      <c r="H2069">
        <v>3</v>
      </c>
      <c r="I2069">
        <v>1611</v>
      </c>
      <c r="J2069">
        <v>234.84</v>
      </c>
    </row>
    <row r="2070" spans="1:10" x14ac:dyDescent="0.25">
      <c r="A2070" s="1">
        <v>45478</v>
      </c>
      <c r="B2070" t="s">
        <v>32</v>
      </c>
      <c r="C2070" t="s">
        <v>19</v>
      </c>
      <c r="D2070" t="s">
        <v>12</v>
      </c>
      <c r="E2070" t="s">
        <v>104</v>
      </c>
      <c r="F2070" t="s">
        <v>115</v>
      </c>
      <c r="G2070" t="s">
        <v>15</v>
      </c>
      <c r="H2070">
        <v>9</v>
      </c>
      <c r="I2070">
        <v>4599</v>
      </c>
      <c r="J2070">
        <v>618.89</v>
      </c>
    </row>
    <row r="2071" spans="1:10" x14ac:dyDescent="0.25">
      <c r="A2071" s="1">
        <v>45372</v>
      </c>
      <c r="B2071" t="s">
        <v>55</v>
      </c>
      <c r="C2071" t="s">
        <v>19</v>
      </c>
      <c r="D2071" t="s">
        <v>12</v>
      </c>
      <c r="E2071" t="s">
        <v>74</v>
      </c>
      <c r="F2071" t="s">
        <v>23</v>
      </c>
      <c r="G2071" t="s">
        <v>24</v>
      </c>
      <c r="H2071">
        <v>6</v>
      </c>
      <c r="I2071">
        <v>4380</v>
      </c>
      <c r="J2071">
        <v>419.3</v>
      </c>
    </row>
    <row r="2072" spans="1:10" x14ac:dyDescent="0.25">
      <c r="A2072" s="1">
        <v>45585</v>
      </c>
      <c r="B2072" t="s">
        <v>29</v>
      </c>
      <c r="C2072" t="s">
        <v>17</v>
      </c>
      <c r="D2072" t="s">
        <v>12</v>
      </c>
      <c r="E2072" t="s">
        <v>242</v>
      </c>
      <c r="F2072" t="s">
        <v>21</v>
      </c>
      <c r="G2072" t="s">
        <v>15</v>
      </c>
      <c r="H2072">
        <v>2</v>
      </c>
      <c r="I2072">
        <v>2376</v>
      </c>
      <c r="J2072">
        <v>580.26</v>
      </c>
    </row>
    <row r="2073" spans="1:10" x14ac:dyDescent="0.25">
      <c r="A2073" s="1">
        <v>44929</v>
      </c>
      <c r="B2073" t="s">
        <v>36</v>
      </c>
      <c r="C2073" t="s">
        <v>17</v>
      </c>
      <c r="D2073" t="s">
        <v>12</v>
      </c>
      <c r="E2073" t="s">
        <v>66</v>
      </c>
      <c r="F2073" t="s">
        <v>34</v>
      </c>
      <c r="G2073" t="s">
        <v>35</v>
      </c>
      <c r="H2073">
        <v>9</v>
      </c>
      <c r="I2073">
        <v>6588</v>
      </c>
      <c r="J2073">
        <v>1800.9</v>
      </c>
    </row>
    <row r="2074" spans="1:10" x14ac:dyDescent="0.25">
      <c r="A2074" s="1">
        <v>44566</v>
      </c>
      <c r="B2074" t="s">
        <v>16</v>
      </c>
      <c r="C2074" t="s">
        <v>17</v>
      </c>
      <c r="D2074" t="s">
        <v>12</v>
      </c>
      <c r="E2074" t="s">
        <v>382</v>
      </c>
      <c r="F2074" t="s">
        <v>78</v>
      </c>
      <c r="G2074" t="s">
        <v>28</v>
      </c>
      <c r="H2074">
        <v>5</v>
      </c>
      <c r="I2074">
        <v>3745</v>
      </c>
      <c r="J2074">
        <v>720.08</v>
      </c>
    </row>
    <row r="2075" spans="1:10" x14ac:dyDescent="0.25">
      <c r="A2075" s="1">
        <v>44730</v>
      </c>
      <c r="B2075" t="s">
        <v>25</v>
      </c>
      <c r="C2075" t="s">
        <v>19</v>
      </c>
      <c r="D2075" t="s">
        <v>12</v>
      </c>
      <c r="E2075" t="s">
        <v>317</v>
      </c>
      <c r="F2075" t="s">
        <v>115</v>
      </c>
      <c r="G2075" t="s">
        <v>15</v>
      </c>
      <c r="H2075">
        <v>5</v>
      </c>
      <c r="I2075">
        <v>5305</v>
      </c>
      <c r="J2075">
        <v>1389.25</v>
      </c>
    </row>
    <row r="2076" spans="1:10" x14ac:dyDescent="0.25">
      <c r="A2076" s="1">
        <v>45065</v>
      </c>
      <c r="B2076" t="s">
        <v>18</v>
      </c>
      <c r="C2076" t="s">
        <v>19</v>
      </c>
      <c r="D2076" t="s">
        <v>12</v>
      </c>
      <c r="E2076" t="s">
        <v>37</v>
      </c>
      <c r="F2076" t="s">
        <v>34</v>
      </c>
      <c r="G2076" t="s">
        <v>35</v>
      </c>
      <c r="H2076">
        <v>8</v>
      </c>
      <c r="I2076">
        <v>1608</v>
      </c>
      <c r="J2076">
        <v>332.12</v>
      </c>
    </row>
    <row r="2077" spans="1:10" x14ac:dyDescent="0.25">
      <c r="A2077" s="1">
        <v>45491</v>
      </c>
      <c r="B2077" t="s">
        <v>36</v>
      </c>
      <c r="C2077" t="s">
        <v>17</v>
      </c>
      <c r="D2077" t="s">
        <v>12</v>
      </c>
      <c r="E2077" t="s">
        <v>37</v>
      </c>
      <c r="F2077" t="s">
        <v>34</v>
      </c>
      <c r="G2077" t="s">
        <v>35</v>
      </c>
      <c r="H2077">
        <v>9</v>
      </c>
      <c r="I2077">
        <v>4977</v>
      </c>
      <c r="J2077">
        <v>745.81</v>
      </c>
    </row>
    <row r="2078" spans="1:10" x14ac:dyDescent="0.25">
      <c r="A2078" s="1">
        <v>44601</v>
      </c>
      <c r="B2078" t="s">
        <v>40</v>
      </c>
      <c r="C2078" t="s">
        <v>19</v>
      </c>
      <c r="D2078" t="s">
        <v>12</v>
      </c>
      <c r="E2078" t="s">
        <v>37</v>
      </c>
      <c r="F2078" t="s">
        <v>34</v>
      </c>
      <c r="G2078" t="s">
        <v>35</v>
      </c>
      <c r="H2078">
        <v>7</v>
      </c>
      <c r="I2078">
        <v>4529</v>
      </c>
      <c r="J2078">
        <v>273.97000000000003</v>
      </c>
    </row>
    <row r="2079" spans="1:10" x14ac:dyDescent="0.25">
      <c r="A2079" s="1">
        <v>45397</v>
      </c>
      <c r="B2079" t="s">
        <v>25</v>
      </c>
      <c r="C2079" t="s">
        <v>19</v>
      </c>
      <c r="D2079" t="s">
        <v>12</v>
      </c>
      <c r="E2079" t="s">
        <v>37</v>
      </c>
      <c r="F2079" t="s">
        <v>34</v>
      </c>
      <c r="G2079" t="s">
        <v>35</v>
      </c>
      <c r="H2079">
        <v>7</v>
      </c>
      <c r="I2079">
        <v>4690</v>
      </c>
      <c r="J2079">
        <v>319.42</v>
      </c>
    </row>
    <row r="2080" spans="1:10" x14ac:dyDescent="0.25">
      <c r="A2080" s="1">
        <v>45608</v>
      </c>
      <c r="B2080" t="s">
        <v>49</v>
      </c>
      <c r="C2080" t="s">
        <v>17</v>
      </c>
      <c r="D2080" t="s">
        <v>12</v>
      </c>
      <c r="E2080" t="s">
        <v>52</v>
      </c>
      <c r="F2080" t="s">
        <v>42</v>
      </c>
      <c r="G2080" t="s">
        <v>28</v>
      </c>
      <c r="H2080">
        <v>4</v>
      </c>
      <c r="I2080">
        <v>2424</v>
      </c>
      <c r="J2080">
        <v>544.07000000000005</v>
      </c>
    </row>
    <row r="2081" spans="1:10" x14ac:dyDescent="0.25">
      <c r="A2081" s="1">
        <v>45623</v>
      </c>
      <c r="B2081" t="s">
        <v>49</v>
      </c>
      <c r="C2081" t="s">
        <v>17</v>
      </c>
      <c r="D2081" t="s">
        <v>12</v>
      </c>
      <c r="E2081" t="s">
        <v>20</v>
      </c>
      <c r="F2081" t="s">
        <v>21</v>
      </c>
      <c r="G2081" t="s">
        <v>15</v>
      </c>
      <c r="H2081">
        <v>6</v>
      </c>
      <c r="I2081">
        <v>3594</v>
      </c>
      <c r="J2081">
        <v>610.77</v>
      </c>
    </row>
    <row r="2082" spans="1:10" x14ac:dyDescent="0.25">
      <c r="A2082" s="1">
        <v>44684</v>
      </c>
      <c r="B2082" t="s">
        <v>49</v>
      </c>
      <c r="C2082" t="s">
        <v>17</v>
      </c>
      <c r="D2082" t="s">
        <v>12</v>
      </c>
      <c r="E2082" t="s">
        <v>237</v>
      </c>
      <c r="F2082" t="s">
        <v>149</v>
      </c>
      <c r="G2082" t="s">
        <v>15</v>
      </c>
      <c r="H2082">
        <v>7</v>
      </c>
      <c r="I2082">
        <v>3962</v>
      </c>
      <c r="J2082">
        <v>491.9</v>
      </c>
    </row>
    <row r="2083" spans="1:10" x14ac:dyDescent="0.25">
      <c r="A2083" s="1">
        <v>45365</v>
      </c>
      <c r="B2083" t="s">
        <v>25</v>
      </c>
      <c r="C2083" t="s">
        <v>19</v>
      </c>
      <c r="D2083" t="s">
        <v>12</v>
      </c>
      <c r="E2083" t="s">
        <v>120</v>
      </c>
      <c r="F2083" t="s">
        <v>21</v>
      </c>
      <c r="G2083" t="s">
        <v>15</v>
      </c>
      <c r="H2083">
        <v>2</v>
      </c>
      <c r="I2083">
        <v>944</v>
      </c>
      <c r="J2083">
        <v>149.38</v>
      </c>
    </row>
    <row r="2084" spans="1:10" x14ac:dyDescent="0.25">
      <c r="A2084" s="1">
        <v>44915</v>
      </c>
      <c r="B2084" t="s">
        <v>32</v>
      </c>
      <c r="C2084" t="s">
        <v>19</v>
      </c>
      <c r="D2084" t="s">
        <v>12</v>
      </c>
      <c r="E2084" t="s">
        <v>74</v>
      </c>
      <c r="F2084" t="s">
        <v>23</v>
      </c>
      <c r="G2084" t="s">
        <v>24</v>
      </c>
      <c r="H2084">
        <v>6</v>
      </c>
      <c r="I2084">
        <v>6792</v>
      </c>
      <c r="J2084">
        <v>1787.97</v>
      </c>
    </row>
    <row r="2085" spans="1:10" x14ac:dyDescent="0.25">
      <c r="A2085" s="1">
        <v>44991</v>
      </c>
      <c r="B2085" t="s">
        <v>18</v>
      </c>
      <c r="C2085" t="s">
        <v>19</v>
      </c>
      <c r="D2085" t="s">
        <v>12</v>
      </c>
      <c r="E2085" t="s">
        <v>192</v>
      </c>
      <c r="F2085" t="s">
        <v>149</v>
      </c>
      <c r="G2085" t="s">
        <v>15</v>
      </c>
      <c r="H2085">
        <v>7</v>
      </c>
      <c r="I2085">
        <v>6804</v>
      </c>
      <c r="J2085">
        <v>1383.81</v>
      </c>
    </row>
    <row r="2086" spans="1:10" x14ac:dyDescent="0.25">
      <c r="A2086" s="1">
        <v>45555</v>
      </c>
      <c r="B2086" t="s">
        <v>25</v>
      </c>
      <c r="C2086" t="s">
        <v>19</v>
      </c>
      <c r="D2086" t="s">
        <v>12</v>
      </c>
      <c r="E2086" t="s">
        <v>440</v>
      </c>
      <c r="F2086" t="s">
        <v>34</v>
      </c>
      <c r="G2086" t="s">
        <v>35</v>
      </c>
      <c r="H2086">
        <v>6</v>
      </c>
      <c r="I2086">
        <v>816</v>
      </c>
      <c r="J2086">
        <v>98.75</v>
      </c>
    </row>
    <row r="2087" spans="1:10" x14ac:dyDescent="0.25">
      <c r="A2087" s="1">
        <v>44752</v>
      </c>
      <c r="B2087" t="s">
        <v>36</v>
      </c>
      <c r="C2087" t="s">
        <v>17</v>
      </c>
      <c r="D2087" t="s">
        <v>12</v>
      </c>
      <c r="E2087" t="s">
        <v>161</v>
      </c>
      <c r="F2087" t="s">
        <v>34</v>
      </c>
      <c r="G2087" t="s">
        <v>35</v>
      </c>
      <c r="H2087">
        <v>6</v>
      </c>
      <c r="I2087">
        <v>5916</v>
      </c>
      <c r="J2087">
        <v>544.59</v>
      </c>
    </row>
    <row r="2088" spans="1:10" x14ac:dyDescent="0.25">
      <c r="A2088" s="1">
        <v>44729</v>
      </c>
      <c r="B2088" t="s">
        <v>16</v>
      </c>
      <c r="C2088" t="s">
        <v>17</v>
      </c>
      <c r="D2088" t="s">
        <v>12</v>
      </c>
      <c r="E2088" t="s">
        <v>116</v>
      </c>
      <c r="F2088" t="s">
        <v>23</v>
      </c>
      <c r="G2088" t="s">
        <v>24</v>
      </c>
      <c r="H2088">
        <v>5</v>
      </c>
      <c r="I2088">
        <v>5730</v>
      </c>
      <c r="J2088">
        <v>310.58</v>
      </c>
    </row>
    <row r="2089" spans="1:10" x14ac:dyDescent="0.25">
      <c r="A2089" s="1">
        <v>45425</v>
      </c>
      <c r="B2089" t="s">
        <v>29</v>
      </c>
      <c r="C2089" t="s">
        <v>17</v>
      </c>
      <c r="D2089" t="s">
        <v>12</v>
      </c>
      <c r="E2089" t="s">
        <v>92</v>
      </c>
      <c r="F2089" t="s">
        <v>44</v>
      </c>
      <c r="G2089" t="s">
        <v>35</v>
      </c>
      <c r="H2089">
        <v>7</v>
      </c>
      <c r="I2089">
        <v>8288</v>
      </c>
      <c r="J2089">
        <v>785.54</v>
      </c>
    </row>
    <row r="2090" spans="1:10" x14ac:dyDescent="0.25">
      <c r="A2090" s="1">
        <v>44736</v>
      </c>
      <c r="B2090" t="s">
        <v>29</v>
      </c>
      <c r="C2090" t="s">
        <v>17</v>
      </c>
      <c r="D2090" t="s">
        <v>12</v>
      </c>
      <c r="E2090" t="s">
        <v>22</v>
      </c>
      <c r="F2090" t="s">
        <v>23</v>
      </c>
      <c r="G2090" t="s">
        <v>24</v>
      </c>
      <c r="H2090">
        <v>2</v>
      </c>
      <c r="I2090">
        <v>2046</v>
      </c>
      <c r="J2090">
        <v>394.93</v>
      </c>
    </row>
    <row r="2091" spans="1:10" x14ac:dyDescent="0.25">
      <c r="A2091" s="1">
        <v>44717</v>
      </c>
      <c r="B2091" t="s">
        <v>18</v>
      </c>
      <c r="C2091" t="s">
        <v>19</v>
      </c>
      <c r="D2091" t="s">
        <v>12</v>
      </c>
      <c r="E2091" t="s">
        <v>52</v>
      </c>
      <c r="F2091" t="s">
        <v>42</v>
      </c>
      <c r="G2091" t="s">
        <v>28</v>
      </c>
      <c r="H2091">
        <v>9</v>
      </c>
      <c r="I2091">
        <v>5031</v>
      </c>
      <c r="J2091">
        <v>1149.48</v>
      </c>
    </row>
    <row r="2092" spans="1:10" x14ac:dyDescent="0.25">
      <c r="A2092" s="1">
        <v>44630</v>
      </c>
      <c r="B2092" t="s">
        <v>49</v>
      </c>
      <c r="C2092" t="s">
        <v>17</v>
      </c>
      <c r="D2092" t="s">
        <v>12</v>
      </c>
      <c r="E2092" t="s">
        <v>52</v>
      </c>
      <c r="F2092" t="s">
        <v>42</v>
      </c>
      <c r="G2092" t="s">
        <v>28</v>
      </c>
      <c r="H2092">
        <v>9</v>
      </c>
      <c r="I2092">
        <v>1764</v>
      </c>
      <c r="J2092">
        <v>417.95</v>
      </c>
    </row>
    <row r="2093" spans="1:10" x14ac:dyDescent="0.25">
      <c r="A2093" s="1">
        <v>44765</v>
      </c>
      <c r="B2093" t="s">
        <v>55</v>
      </c>
      <c r="C2093" t="s">
        <v>19</v>
      </c>
      <c r="D2093" t="s">
        <v>12</v>
      </c>
      <c r="E2093" t="s">
        <v>74</v>
      </c>
      <c r="F2093" t="s">
        <v>23</v>
      </c>
      <c r="G2093" t="s">
        <v>24</v>
      </c>
      <c r="H2093">
        <v>8</v>
      </c>
      <c r="I2093">
        <v>1880</v>
      </c>
      <c r="J2093">
        <v>486.88</v>
      </c>
    </row>
    <row r="2094" spans="1:10" x14ac:dyDescent="0.25">
      <c r="A2094" s="1">
        <v>45285</v>
      </c>
      <c r="B2094" t="s">
        <v>32</v>
      </c>
      <c r="C2094" t="s">
        <v>19</v>
      </c>
      <c r="D2094" t="s">
        <v>12</v>
      </c>
      <c r="E2094" t="s">
        <v>56</v>
      </c>
      <c r="F2094" t="s">
        <v>57</v>
      </c>
      <c r="G2094" t="s">
        <v>24</v>
      </c>
      <c r="H2094">
        <v>2</v>
      </c>
      <c r="I2094">
        <v>200</v>
      </c>
      <c r="J2094">
        <v>10.45</v>
      </c>
    </row>
    <row r="2095" spans="1:10" x14ac:dyDescent="0.25">
      <c r="A2095" s="1">
        <v>44840</v>
      </c>
      <c r="B2095" t="s">
        <v>16</v>
      </c>
      <c r="C2095" t="s">
        <v>17</v>
      </c>
      <c r="D2095" t="s">
        <v>12</v>
      </c>
      <c r="E2095" t="s">
        <v>104</v>
      </c>
      <c r="F2095" t="s">
        <v>39</v>
      </c>
      <c r="G2095" t="s">
        <v>35</v>
      </c>
      <c r="H2095">
        <v>3</v>
      </c>
      <c r="I2095">
        <v>2688</v>
      </c>
      <c r="J2095">
        <v>476.77</v>
      </c>
    </row>
    <row r="2096" spans="1:10" x14ac:dyDescent="0.25">
      <c r="A2096" s="1">
        <v>44928</v>
      </c>
      <c r="B2096" t="s">
        <v>55</v>
      </c>
      <c r="C2096" t="s">
        <v>19</v>
      </c>
      <c r="D2096" t="s">
        <v>12</v>
      </c>
      <c r="E2096" t="s">
        <v>441</v>
      </c>
      <c r="F2096" t="s">
        <v>63</v>
      </c>
      <c r="G2096" t="s">
        <v>28</v>
      </c>
      <c r="H2096">
        <v>4</v>
      </c>
      <c r="I2096">
        <v>3216</v>
      </c>
      <c r="J2096">
        <v>213.81</v>
      </c>
    </row>
    <row r="2097" spans="1:10" x14ac:dyDescent="0.25">
      <c r="A2097" s="1">
        <v>45281</v>
      </c>
      <c r="B2097" t="s">
        <v>25</v>
      </c>
      <c r="C2097" t="s">
        <v>19</v>
      </c>
      <c r="D2097" t="s">
        <v>12</v>
      </c>
      <c r="E2097" t="s">
        <v>52</v>
      </c>
      <c r="F2097" t="s">
        <v>42</v>
      </c>
      <c r="G2097" t="s">
        <v>28</v>
      </c>
      <c r="H2097">
        <v>8</v>
      </c>
      <c r="I2097">
        <v>8440</v>
      </c>
      <c r="J2097">
        <v>1504.18</v>
      </c>
    </row>
    <row r="2098" spans="1:10" x14ac:dyDescent="0.25">
      <c r="A2098" s="1">
        <v>45408</v>
      </c>
      <c r="B2098" t="s">
        <v>18</v>
      </c>
      <c r="C2098" t="s">
        <v>19</v>
      </c>
      <c r="D2098" t="s">
        <v>12</v>
      </c>
      <c r="E2098" t="s">
        <v>136</v>
      </c>
      <c r="F2098" t="s">
        <v>65</v>
      </c>
      <c r="G2098" t="s">
        <v>35</v>
      </c>
      <c r="H2098">
        <v>7</v>
      </c>
      <c r="I2098">
        <v>1582</v>
      </c>
      <c r="J2098">
        <v>208.42</v>
      </c>
    </row>
    <row r="2099" spans="1:10" x14ac:dyDescent="0.25">
      <c r="A2099" s="1">
        <v>45485</v>
      </c>
      <c r="B2099" t="s">
        <v>55</v>
      </c>
      <c r="C2099" t="s">
        <v>19</v>
      </c>
      <c r="D2099" t="s">
        <v>12</v>
      </c>
      <c r="E2099" t="s">
        <v>136</v>
      </c>
      <c r="F2099" t="s">
        <v>65</v>
      </c>
      <c r="G2099" t="s">
        <v>35</v>
      </c>
      <c r="H2099">
        <v>1</v>
      </c>
      <c r="I2099">
        <v>58</v>
      </c>
      <c r="J2099">
        <v>10.79</v>
      </c>
    </row>
    <row r="2100" spans="1:10" x14ac:dyDescent="0.25">
      <c r="A2100" s="1">
        <v>44646</v>
      </c>
      <c r="B2100" t="s">
        <v>32</v>
      </c>
      <c r="C2100" t="s">
        <v>19</v>
      </c>
      <c r="D2100" t="s">
        <v>12</v>
      </c>
      <c r="E2100" t="s">
        <v>195</v>
      </c>
      <c r="F2100" t="s">
        <v>63</v>
      </c>
      <c r="G2100" t="s">
        <v>28</v>
      </c>
      <c r="H2100">
        <v>8</v>
      </c>
      <c r="I2100">
        <v>608</v>
      </c>
      <c r="J2100">
        <v>163.18</v>
      </c>
    </row>
    <row r="2101" spans="1:10" x14ac:dyDescent="0.25">
      <c r="A2101" s="1">
        <v>45615</v>
      </c>
      <c r="B2101" t="s">
        <v>40</v>
      </c>
      <c r="C2101" t="s">
        <v>19</v>
      </c>
      <c r="D2101" t="s">
        <v>12</v>
      </c>
      <c r="E2101" t="s">
        <v>195</v>
      </c>
      <c r="F2101" t="s">
        <v>63</v>
      </c>
      <c r="G2101" t="s">
        <v>28</v>
      </c>
      <c r="H2101">
        <v>3</v>
      </c>
      <c r="I2101">
        <v>183</v>
      </c>
      <c r="J2101">
        <v>41.82</v>
      </c>
    </row>
    <row r="2102" spans="1:10" x14ac:dyDescent="0.25">
      <c r="A2102" s="1">
        <v>45475</v>
      </c>
      <c r="B2102" t="s">
        <v>36</v>
      </c>
      <c r="C2102" t="s">
        <v>17</v>
      </c>
      <c r="D2102" t="s">
        <v>12</v>
      </c>
      <c r="E2102" t="s">
        <v>132</v>
      </c>
      <c r="F2102" t="s">
        <v>63</v>
      </c>
      <c r="G2102" t="s">
        <v>28</v>
      </c>
      <c r="H2102">
        <v>5</v>
      </c>
      <c r="I2102">
        <v>3105</v>
      </c>
      <c r="J2102">
        <v>744.26</v>
      </c>
    </row>
    <row r="2103" spans="1:10" x14ac:dyDescent="0.25">
      <c r="A2103" s="1">
        <v>45029</v>
      </c>
      <c r="B2103" t="s">
        <v>36</v>
      </c>
      <c r="C2103" t="s">
        <v>17</v>
      </c>
      <c r="D2103" t="s">
        <v>12</v>
      </c>
      <c r="E2103" t="s">
        <v>130</v>
      </c>
      <c r="F2103" t="s">
        <v>54</v>
      </c>
      <c r="G2103" t="s">
        <v>24</v>
      </c>
      <c r="H2103">
        <v>5</v>
      </c>
      <c r="I2103">
        <v>2450</v>
      </c>
      <c r="J2103">
        <v>485.18</v>
      </c>
    </row>
    <row r="2104" spans="1:10" x14ac:dyDescent="0.25">
      <c r="A2104" s="1">
        <v>44900</v>
      </c>
      <c r="B2104" t="s">
        <v>55</v>
      </c>
      <c r="C2104" t="s">
        <v>19</v>
      </c>
      <c r="D2104" t="s">
        <v>12</v>
      </c>
      <c r="E2104" t="s">
        <v>180</v>
      </c>
      <c r="F2104" t="s">
        <v>34</v>
      </c>
      <c r="G2104" t="s">
        <v>35</v>
      </c>
      <c r="H2104">
        <v>3</v>
      </c>
      <c r="I2104">
        <v>3024</v>
      </c>
      <c r="J2104">
        <v>622.29</v>
      </c>
    </row>
    <row r="2105" spans="1:10" x14ac:dyDescent="0.25">
      <c r="A2105" s="1">
        <v>45036</v>
      </c>
      <c r="B2105" t="s">
        <v>10</v>
      </c>
      <c r="C2105" t="s">
        <v>11</v>
      </c>
      <c r="D2105" t="s">
        <v>12</v>
      </c>
      <c r="E2105" t="s">
        <v>331</v>
      </c>
      <c r="F2105" t="s">
        <v>23</v>
      </c>
      <c r="G2105" t="s">
        <v>24</v>
      </c>
      <c r="H2105">
        <v>4</v>
      </c>
      <c r="I2105">
        <v>3856</v>
      </c>
      <c r="J2105">
        <v>747.79</v>
      </c>
    </row>
    <row r="2106" spans="1:10" x14ac:dyDescent="0.25">
      <c r="A2106" s="1">
        <v>45362</v>
      </c>
      <c r="B2106" t="s">
        <v>49</v>
      </c>
      <c r="C2106" t="s">
        <v>17</v>
      </c>
      <c r="D2106" t="s">
        <v>12</v>
      </c>
      <c r="E2106" t="s">
        <v>331</v>
      </c>
      <c r="F2106" t="s">
        <v>23</v>
      </c>
      <c r="G2106" t="s">
        <v>24</v>
      </c>
      <c r="H2106">
        <v>7</v>
      </c>
      <c r="I2106">
        <v>532</v>
      </c>
      <c r="J2106">
        <v>121.03</v>
      </c>
    </row>
    <row r="2107" spans="1:10" x14ac:dyDescent="0.25">
      <c r="A2107" s="1">
        <v>44976</v>
      </c>
      <c r="B2107" t="s">
        <v>40</v>
      </c>
      <c r="C2107" t="s">
        <v>19</v>
      </c>
      <c r="D2107" t="s">
        <v>12</v>
      </c>
      <c r="E2107" t="s">
        <v>331</v>
      </c>
      <c r="F2107" t="s">
        <v>23</v>
      </c>
      <c r="G2107" t="s">
        <v>24</v>
      </c>
      <c r="H2107">
        <v>4</v>
      </c>
      <c r="I2107">
        <v>3152</v>
      </c>
      <c r="J2107">
        <v>307.62</v>
      </c>
    </row>
    <row r="2108" spans="1:10" x14ac:dyDescent="0.25">
      <c r="A2108" s="1">
        <v>45264</v>
      </c>
      <c r="B2108" t="s">
        <v>36</v>
      </c>
      <c r="C2108" t="s">
        <v>17</v>
      </c>
      <c r="D2108" t="s">
        <v>12</v>
      </c>
      <c r="E2108" t="s">
        <v>331</v>
      </c>
      <c r="F2108" t="s">
        <v>23</v>
      </c>
      <c r="G2108" t="s">
        <v>24</v>
      </c>
      <c r="H2108">
        <v>9</v>
      </c>
      <c r="I2108">
        <v>8586</v>
      </c>
      <c r="J2108">
        <v>1555.82</v>
      </c>
    </row>
    <row r="2109" spans="1:10" x14ac:dyDescent="0.25">
      <c r="A2109" s="1">
        <v>44855</v>
      </c>
      <c r="B2109" t="s">
        <v>36</v>
      </c>
      <c r="C2109" t="s">
        <v>17</v>
      </c>
      <c r="D2109" t="s">
        <v>12</v>
      </c>
      <c r="E2109" t="s">
        <v>442</v>
      </c>
      <c r="F2109" t="s">
        <v>23</v>
      </c>
      <c r="G2109" t="s">
        <v>24</v>
      </c>
      <c r="H2109">
        <v>2</v>
      </c>
      <c r="I2109">
        <v>1046</v>
      </c>
      <c r="J2109">
        <v>273.38</v>
      </c>
    </row>
    <row r="2110" spans="1:10" x14ac:dyDescent="0.25">
      <c r="A2110" s="1">
        <v>44607</v>
      </c>
      <c r="B2110" t="s">
        <v>18</v>
      </c>
      <c r="C2110" t="s">
        <v>19</v>
      </c>
      <c r="D2110" t="s">
        <v>12</v>
      </c>
      <c r="E2110" t="s">
        <v>215</v>
      </c>
      <c r="F2110" t="s">
        <v>122</v>
      </c>
      <c r="G2110" t="s">
        <v>35</v>
      </c>
      <c r="H2110">
        <v>4</v>
      </c>
      <c r="I2110">
        <v>3452</v>
      </c>
      <c r="J2110">
        <v>560.30999999999995</v>
      </c>
    </row>
    <row r="2111" spans="1:10" x14ac:dyDescent="0.25">
      <c r="A2111" s="1">
        <v>44632</v>
      </c>
      <c r="B2111" t="s">
        <v>36</v>
      </c>
      <c r="C2111" t="s">
        <v>17</v>
      </c>
      <c r="D2111" t="s">
        <v>12</v>
      </c>
      <c r="E2111" t="s">
        <v>443</v>
      </c>
      <c r="F2111" t="s">
        <v>34</v>
      </c>
      <c r="G2111" t="s">
        <v>35</v>
      </c>
      <c r="H2111">
        <v>4</v>
      </c>
      <c r="I2111">
        <v>2368</v>
      </c>
      <c r="J2111">
        <v>361.02</v>
      </c>
    </row>
    <row r="2112" spans="1:10" x14ac:dyDescent="0.25">
      <c r="A2112" s="1">
        <v>44854</v>
      </c>
      <c r="B2112" t="s">
        <v>25</v>
      </c>
      <c r="C2112" t="s">
        <v>19</v>
      </c>
      <c r="D2112" t="s">
        <v>12</v>
      </c>
      <c r="E2112" t="s">
        <v>74</v>
      </c>
      <c r="F2112" t="s">
        <v>23</v>
      </c>
      <c r="G2112" t="s">
        <v>24</v>
      </c>
      <c r="H2112">
        <v>2</v>
      </c>
      <c r="I2112">
        <v>1924</v>
      </c>
      <c r="J2112">
        <v>422.25</v>
      </c>
    </row>
    <row r="2113" spans="1:10" x14ac:dyDescent="0.25">
      <c r="A2113" s="1">
        <v>44823</v>
      </c>
      <c r="B2113" t="s">
        <v>55</v>
      </c>
      <c r="C2113" t="s">
        <v>19</v>
      </c>
      <c r="D2113" t="s">
        <v>12</v>
      </c>
      <c r="E2113" t="s">
        <v>444</v>
      </c>
      <c r="F2113" t="s">
        <v>23</v>
      </c>
      <c r="G2113" t="s">
        <v>24</v>
      </c>
      <c r="H2113">
        <v>5</v>
      </c>
      <c r="I2113">
        <v>4580</v>
      </c>
      <c r="J2113">
        <v>1148.06</v>
      </c>
    </row>
    <row r="2114" spans="1:10" x14ac:dyDescent="0.25">
      <c r="A2114" s="1">
        <v>45598</v>
      </c>
      <c r="B2114" t="s">
        <v>29</v>
      </c>
      <c r="C2114" t="s">
        <v>17</v>
      </c>
      <c r="D2114" t="s">
        <v>12</v>
      </c>
      <c r="E2114" t="s">
        <v>22</v>
      </c>
      <c r="F2114" t="s">
        <v>23</v>
      </c>
      <c r="G2114" t="s">
        <v>24</v>
      </c>
      <c r="H2114">
        <v>5</v>
      </c>
      <c r="I2114">
        <v>3735</v>
      </c>
      <c r="J2114">
        <v>423.94</v>
      </c>
    </row>
    <row r="2115" spans="1:10" x14ac:dyDescent="0.25">
      <c r="A2115" s="1">
        <v>45059</v>
      </c>
      <c r="B2115" t="s">
        <v>36</v>
      </c>
      <c r="C2115" t="s">
        <v>17</v>
      </c>
      <c r="D2115" t="s">
        <v>12</v>
      </c>
      <c r="E2115" t="s">
        <v>52</v>
      </c>
      <c r="F2115" t="s">
        <v>42</v>
      </c>
      <c r="G2115" t="s">
        <v>28</v>
      </c>
      <c r="H2115">
        <v>4</v>
      </c>
      <c r="I2115">
        <v>2476</v>
      </c>
      <c r="J2115">
        <v>417.16</v>
      </c>
    </row>
    <row r="2116" spans="1:10" x14ac:dyDescent="0.25">
      <c r="A2116" s="1">
        <v>45120</v>
      </c>
      <c r="B2116" t="s">
        <v>55</v>
      </c>
      <c r="C2116" t="s">
        <v>19</v>
      </c>
      <c r="D2116" t="s">
        <v>12</v>
      </c>
      <c r="E2116" t="s">
        <v>445</v>
      </c>
      <c r="F2116" t="s">
        <v>39</v>
      </c>
      <c r="G2116" t="s">
        <v>35</v>
      </c>
      <c r="H2116">
        <v>2</v>
      </c>
      <c r="I2116">
        <v>162</v>
      </c>
      <c r="J2116">
        <v>16.510000000000002</v>
      </c>
    </row>
    <row r="2117" spans="1:10" x14ac:dyDescent="0.25">
      <c r="A2117" s="1">
        <v>44746</v>
      </c>
      <c r="B2117" t="s">
        <v>10</v>
      </c>
      <c r="C2117" t="s">
        <v>11</v>
      </c>
      <c r="D2117" t="s">
        <v>12</v>
      </c>
      <c r="E2117" t="s">
        <v>22</v>
      </c>
      <c r="F2117" t="s">
        <v>23</v>
      </c>
      <c r="G2117" t="s">
        <v>24</v>
      </c>
      <c r="H2117">
        <v>3</v>
      </c>
      <c r="I2117">
        <v>258</v>
      </c>
      <c r="J2117">
        <v>38.03</v>
      </c>
    </row>
    <row r="2118" spans="1:10" x14ac:dyDescent="0.25">
      <c r="A2118" s="1">
        <v>44639</v>
      </c>
      <c r="B2118" t="s">
        <v>49</v>
      </c>
      <c r="C2118" t="s">
        <v>17</v>
      </c>
      <c r="D2118" t="s">
        <v>12</v>
      </c>
      <c r="E2118" t="s">
        <v>37</v>
      </c>
      <c r="F2118" t="s">
        <v>34</v>
      </c>
      <c r="G2118" t="s">
        <v>35</v>
      </c>
      <c r="H2118">
        <v>4</v>
      </c>
      <c r="I2118">
        <v>3524</v>
      </c>
      <c r="J2118">
        <v>998.29</v>
      </c>
    </row>
    <row r="2119" spans="1:10" x14ac:dyDescent="0.25">
      <c r="A2119" s="1">
        <v>45073</v>
      </c>
      <c r="B2119" t="s">
        <v>32</v>
      </c>
      <c r="C2119" t="s">
        <v>19</v>
      </c>
      <c r="D2119" t="s">
        <v>12</v>
      </c>
      <c r="E2119" t="s">
        <v>62</v>
      </c>
      <c r="F2119" t="s">
        <v>59</v>
      </c>
      <c r="G2119" t="s">
        <v>28</v>
      </c>
      <c r="H2119">
        <v>8</v>
      </c>
      <c r="I2119">
        <v>6184</v>
      </c>
      <c r="J2119">
        <v>1796.9</v>
      </c>
    </row>
    <row r="2120" spans="1:10" x14ac:dyDescent="0.25">
      <c r="A2120" s="1">
        <v>44992</v>
      </c>
      <c r="B2120" t="s">
        <v>36</v>
      </c>
      <c r="C2120" t="s">
        <v>17</v>
      </c>
      <c r="D2120" t="s">
        <v>12</v>
      </c>
      <c r="E2120" t="s">
        <v>182</v>
      </c>
      <c r="F2120" t="s">
        <v>183</v>
      </c>
      <c r="G2120" t="s">
        <v>15</v>
      </c>
      <c r="H2120">
        <v>6</v>
      </c>
      <c r="I2120">
        <v>3750</v>
      </c>
      <c r="J2120">
        <v>645.69000000000005</v>
      </c>
    </row>
    <row r="2121" spans="1:10" x14ac:dyDescent="0.25">
      <c r="A2121" s="1">
        <v>44666</v>
      </c>
      <c r="B2121" t="s">
        <v>16</v>
      </c>
      <c r="C2121" t="s">
        <v>17</v>
      </c>
      <c r="D2121" t="s">
        <v>12</v>
      </c>
      <c r="E2121" t="s">
        <v>146</v>
      </c>
      <c r="F2121" t="s">
        <v>21</v>
      </c>
      <c r="G2121" t="s">
        <v>15</v>
      </c>
      <c r="H2121">
        <v>5</v>
      </c>
      <c r="I2121">
        <v>1465</v>
      </c>
      <c r="J2121">
        <v>424.64</v>
      </c>
    </row>
    <row r="2122" spans="1:10" x14ac:dyDescent="0.25">
      <c r="A2122" s="1">
        <v>45379</v>
      </c>
      <c r="B2122" t="s">
        <v>25</v>
      </c>
      <c r="C2122" t="s">
        <v>19</v>
      </c>
      <c r="D2122" t="s">
        <v>12</v>
      </c>
      <c r="E2122" t="s">
        <v>97</v>
      </c>
      <c r="F2122" t="s">
        <v>23</v>
      </c>
      <c r="G2122" t="s">
        <v>24</v>
      </c>
      <c r="H2122">
        <v>4</v>
      </c>
      <c r="I2122">
        <v>4480</v>
      </c>
      <c r="J2122">
        <v>412.05</v>
      </c>
    </row>
    <row r="2123" spans="1:10" x14ac:dyDescent="0.25">
      <c r="A2123" s="1">
        <v>45351</v>
      </c>
      <c r="B2123" t="s">
        <v>55</v>
      </c>
      <c r="C2123" t="s">
        <v>19</v>
      </c>
      <c r="D2123" t="s">
        <v>12</v>
      </c>
      <c r="E2123" t="s">
        <v>75</v>
      </c>
      <c r="F2123" t="s">
        <v>108</v>
      </c>
      <c r="G2123" t="s">
        <v>15</v>
      </c>
      <c r="H2123">
        <v>8</v>
      </c>
      <c r="I2123">
        <v>1544</v>
      </c>
      <c r="J2123">
        <v>281.22000000000003</v>
      </c>
    </row>
    <row r="2124" spans="1:10" x14ac:dyDescent="0.25">
      <c r="A2124" s="1">
        <v>45312</v>
      </c>
      <c r="B2124" t="s">
        <v>29</v>
      </c>
      <c r="C2124" t="s">
        <v>17</v>
      </c>
      <c r="D2124" t="s">
        <v>12</v>
      </c>
      <c r="E2124" t="s">
        <v>74</v>
      </c>
      <c r="F2124" t="s">
        <v>23</v>
      </c>
      <c r="G2124" t="s">
        <v>24</v>
      </c>
      <c r="H2124">
        <v>9</v>
      </c>
      <c r="I2124">
        <v>7974</v>
      </c>
      <c r="J2124">
        <v>1181.04</v>
      </c>
    </row>
    <row r="2125" spans="1:10" x14ac:dyDescent="0.25">
      <c r="A2125" s="1">
        <v>45381</v>
      </c>
      <c r="B2125" t="s">
        <v>10</v>
      </c>
      <c r="C2125" t="s">
        <v>11</v>
      </c>
      <c r="D2125" t="s">
        <v>12</v>
      </c>
      <c r="E2125" t="s">
        <v>74</v>
      </c>
      <c r="F2125" t="s">
        <v>23</v>
      </c>
      <c r="G2125" t="s">
        <v>24</v>
      </c>
      <c r="H2125">
        <v>5</v>
      </c>
      <c r="I2125">
        <v>5920</v>
      </c>
      <c r="J2125">
        <v>1679.15</v>
      </c>
    </row>
    <row r="2126" spans="1:10" x14ac:dyDescent="0.25">
      <c r="A2126" s="1">
        <v>45567</v>
      </c>
      <c r="B2126" t="s">
        <v>32</v>
      </c>
      <c r="C2126" t="s">
        <v>19</v>
      </c>
      <c r="D2126" t="s">
        <v>12</v>
      </c>
      <c r="E2126" t="s">
        <v>52</v>
      </c>
      <c r="F2126" t="s">
        <v>42</v>
      </c>
      <c r="G2126" t="s">
        <v>28</v>
      </c>
      <c r="H2126">
        <v>8</v>
      </c>
      <c r="I2126">
        <v>8792</v>
      </c>
      <c r="J2126">
        <v>2045.54</v>
      </c>
    </row>
    <row r="2127" spans="1:10" x14ac:dyDescent="0.25">
      <c r="A2127" s="1">
        <v>45278</v>
      </c>
      <c r="B2127" t="s">
        <v>32</v>
      </c>
      <c r="C2127" t="s">
        <v>19</v>
      </c>
      <c r="D2127" t="s">
        <v>12</v>
      </c>
      <c r="E2127" t="s">
        <v>307</v>
      </c>
      <c r="F2127" t="s">
        <v>156</v>
      </c>
      <c r="G2127" t="s">
        <v>28</v>
      </c>
      <c r="H2127">
        <v>1</v>
      </c>
      <c r="I2127">
        <v>294</v>
      </c>
      <c r="J2127">
        <v>52.37</v>
      </c>
    </row>
    <row r="2128" spans="1:10" x14ac:dyDescent="0.25">
      <c r="A2128" s="1">
        <v>44584</v>
      </c>
      <c r="B2128" t="s">
        <v>25</v>
      </c>
      <c r="C2128" t="s">
        <v>19</v>
      </c>
      <c r="D2128" t="s">
        <v>12</v>
      </c>
      <c r="E2128" t="s">
        <v>37</v>
      </c>
      <c r="F2128" t="s">
        <v>34</v>
      </c>
      <c r="G2128" t="s">
        <v>35</v>
      </c>
      <c r="H2128">
        <v>7</v>
      </c>
      <c r="I2128">
        <v>1169</v>
      </c>
      <c r="J2128">
        <v>264.37</v>
      </c>
    </row>
    <row r="2129" spans="1:10" x14ac:dyDescent="0.25">
      <c r="A2129" s="1">
        <v>45336</v>
      </c>
      <c r="B2129" t="s">
        <v>25</v>
      </c>
      <c r="C2129" t="s">
        <v>19</v>
      </c>
      <c r="D2129" t="s">
        <v>12</v>
      </c>
      <c r="E2129" t="s">
        <v>37</v>
      </c>
      <c r="F2129" t="s">
        <v>34</v>
      </c>
      <c r="G2129" t="s">
        <v>35</v>
      </c>
      <c r="H2129">
        <v>8</v>
      </c>
      <c r="I2129">
        <v>9232</v>
      </c>
      <c r="J2129">
        <v>880.52</v>
      </c>
    </row>
    <row r="2130" spans="1:10" x14ac:dyDescent="0.25">
      <c r="A2130" s="1">
        <v>45208</v>
      </c>
      <c r="B2130" t="s">
        <v>29</v>
      </c>
      <c r="C2130" t="s">
        <v>17</v>
      </c>
      <c r="D2130" t="s">
        <v>12</v>
      </c>
      <c r="E2130" t="s">
        <v>105</v>
      </c>
      <c r="F2130" t="s">
        <v>23</v>
      </c>
      <c r="G2130" t="s">
        <v>24</v>
      </c>
      <c r="H2130">
        <v>4</v>
      </c>
      <c r="I2130">
        <v>1396</v>
      </c>
      <c r="J2130">
        <v>135.47999999999999</v>
      </c>
    </row>
    <row r="2131" spans="1:10" x14ac:dyDescent="0.25">
      <c r="A2131" s="1">
        <v>45314</v>
      </c>
      <c r="B2131" t="s">
        <v>25</v>
      </c>
      <c r="C2131" t="s">
        <v>19</v>
      </c>
      <c r="D2131" t="s">
        <v>12</v>
      </c>
      <c r="E2131" t="s">
        <v>56</v>
      </c>
      <c r="F2131" t="s">
        <v>57</v>
      </c>
      <c r="G2131" t="s">
        <v>24</v>
      </c>
      <c r="H2131">
        <v>9</v>
      </c>
      <c r="I2131">
        <v>10188</v>
      </c>
      <c r="J2131">
        <v>1408.18</v>
      </c>
    </row>
    <row r="2132" spans="1:10" x14ac:dyDescent="0.25">
      <c r="A2132" s="1">
        <v>44817</v>
      </c>
      <c r="B2132" t="s">
        <v>36</v>
      </c>
      <c r="C2132" t="s">
        <v>17</v>
      </c>
      <c r="D2132" t="s">
        <v>12</v>
      </c>
      <c r="E2132" t="s">
        <v>20</v>
      </c>
      <c r="F2132" t="s">
        <v>21</v>
      </c>
      <c r="G2132" t="s">
        <v>15</v>
      </c>
      <c r="H2132">
        <v>2</v>
      </c>
      <c r="I2132">
        <v>222</v>
      </c>
      <c r="J2132">
        <v>23.65</v>
      </c>
    </row>
    <row r="2133" spans="1:10" x14ac:dyDescent="0.25">
      <c r="A2133" s="1">
        <v>45385</v>
      </c>
      <c r="B2133" t="s">
        <v>36</v>
      </c>
      <c r="C2133" t="s">
        <v>17</v>
      </c>
      <c r="D2133" t="s">
        <v>12</v>
      </c>
      <c r="E2133" t="s">
        <v>134</v>
      </c>
      <c r="F2133" t="s">
        <v>42</v>
      </c>
      <c r="G2133" t="s">
        <v>28</v>
      </c>
      <c r="H2133">
        <v>2</v>
      </c>
      <c r="I2133">
        <v>1328</v>
      </c>
      <c r="J2133">
        <v>358.07</v>
      </c>
    </row>
    <row r="2134" spans="1:10" x14ac:dyDescent="0.25">
      <c r="A2134" s="1">
        <v>45602</v>
      </c>
      <c r="B2134" t="s">
        <v>10</v>
      </c>
      <c r="C2134" t="s">
        <v>11</v>
      </c>
      <c r="D2134" t="s">
        <v>12</v>
      </c>
      <c r="E2134" t="s">
        <v>390</v>
      </c>
      <c r="F2134" t="s">
        <v>44</v>
      </c>
      <c r="G2134" t="s">
        <v>35</v>
      </c>
      <c r="H2134">
        <v>9</v>
      </c>
      <c r="I2134">
        <v>5085</v>
      </c>
      <c r="J2134">
        <v>488.63</v>
      </c>
    </row>
    <row r="2135" spans="1:10" x14ac:dyDescent="0.25">
      <c r="A2135" s="1">
        <v>45506</v>
      </c>
      <c r="B2135" t="s">
        <v>16</v>
      </c>
      <c r="C2135" t="s">
        <v>17</v>
      </c>
      <c r="D2135" t="s">
        <v>12</v>
      </c>
      <c r="E2135" t="s">
        <v>74</v>
      </c>
      <c r="F2135" t="s">
        <v>23</v>
      </c>
      <c r="G2135" t="s">
        <v>24</v>
      </c>
      <c r="H2135">
        <v>3</v>
      </c>
      <c r="I2135">
        <v>1245</v>
      </c>
      <c r="J2135">
        <v>229.73</v>
      </c>
    </row>
    <row r="2136" spans="1:10" x14ac:dyDescent="0.25">
      <c r="A2136" s="1">
        <v>44791</v>
      </c>
      <c r="B2136" t="s">
        <v>18</v>
      </c>
      <c r="C2136" t="s">
        <v>19</v>
      </c>
      <c r="D2136" t="s">
        <v>12</v>
      </c>
      <c r="E2136" t="s">
        <v>74</v>
      </c>
      <c r="F2136" t="s">
        <v>23</v>
      </c>
      <c r="G2136" t="s">
        <v>24</v>
      </c>
      <c r="H2136">
        <v>2</v>
      </c>
      <c r="I2136">
        <v>960</v>
      </c>
      <c r="J2136">
        <v>124.02</v>
      </c>
    </row>
    <row r="2137" spans="1:10" x14ac:dyDescent="0.25">
      <c r="A2137" s="1">
        <v>45354</v>
      </c>
      <c r="B2137" t="s">
        <v>40</v>
      </c>
      <c r="C2137" t="s">
        <v>19</v>
      </c>
      <c r="D2137" t="s">
        <v>12</v>
      </c>
      <c r="E2137" t="s">
        <v>52</v>
      </c>
      <c r="F2137" t="s">
        <v>42</v>
      </c>
      <c r="G2137" t="s">
        <v>28</v>
      </c>
      <c r="H2137">
        <v>9</v>
      </c>
      <c r="I2137">
        <v>5553</v>
      </c>
      <c r="J2137">
        <v>329.79</v>
      </c>
    </row>
    <row r="2138" spans="1:10" x14ac:dyDescent="0.25">
      <c r="A2138" s="1">
        <v>45179</v>
      </c>
      <c r="B2138" t="s">
        <v>49</v>
      </c>
      <c r="C2138" t="s">
        <v>17</v>
      </c>
      <c r="D2138" t="s">
        <v>12</v>
      </c>
      <c r="E2138" t="s">
        <v>187</v>
      </c>
      <c r="F2138" t="s">
        <v>23</v>
      </c>
      <c r="G2138" t="s">
        <v>24</v>
      </c>
      <c r="H2138">
        <v>2</v>
      </c>
      <c r="I2138">
        <v>1790</v>
      </c>
      <c r="J2138">
        <v>236.76</v>
      </c>
    </row>
    <row r="2139" spans="1:10" x14ac:dyDescent="0.25">
      <c r="A2139" s="1">
        <v>45484</v>
      </c>
      <c r="B2139" t="s">
        <v>49</v>
      </c>
      <c r="C2139" t="s">
        <v>17</v>
      </c>
      <c r="D2139" t="s">
        <v>12</v>
      </c>
      <c r="E2139" t="s">
        <v>162</v>
      </c>
      <c r="F2139" t="s">
        <v>23</v>
      </c>
      <c r="G2139" t="s">
        <v>24</v>
      </c>
      <c r="H2139">
        <v>8</v>
      </c>
      <c r="I2139">
        <v>2712</v>
      </c>
      <c r="J2139">
        <v>247.84</v>
      </c>
    </row>
    <row r="2140" spans="1:10" x14ac:dyDescent="0.25">
      <c r="A2140" s="1">
        <v>45418</v>
      </c>
      <c r="B2140" t="s">
        <v>55</v>
      </c>
      <c r="C2140" t="s">
        <v>19</v>
      </c>
      <c r="D2140" t="s">
        <v>12</v>
      </c>
      <c r="E2140" t="s">
        <v>162</v>
      </c>
      <c r="F2140" t="s">
        <v>23</v>
      </c>
      <c r="G2140" t="s">
        <v>24</v>
      </c>
      <c r="H2140">
        <v>1</v>
      </c>
      <c r="I2140">
        <v>632</v>
      </c>
      <c r="J2140">
        <v>89.14</v>
      </c>
    </row>
    <row r="2141" spans="1:10" x14ac:dyDescent="0.25">
      <c r="A2141" s="1">
        <v>44574</v>
      </c>
      <c r="B2141" t="s">
        <v>29</v>
      </c>
      <c r="C2141" t="s">
        <v>17</v>
      </c>
      <c r="D2141" t="s">
        <v>12</v>
      </c>
      <c r="E2141" t="s">
        <v>26</v>
      </c>
      <c r="F2141" t="s">
        <v>27</v>
      </c>
      <c r="G2141" t="s">
        <v>28</v>
      </c>
      <c r="H2141">
        <v>8</v>
      </c>
      <c r="I2141">
        <v>4904</v>
      </c>
      <c r="J2141">
        <v>520.74</v>
      </c>
    </row>
    <row r="2142" spans="1:10" x14ac:dyDescent="0.25">
      <c r="A2142" s="1">
        <v>44900</v>
      </c>
      <c r="B2142" t="s">
        <v>49</v>
      </c>
      <c r="C2142" t="s">
        <v>17</v>
      </c>
      <c r="D2142" t="s">
        <v>12</v>
      </c>
      <c r="E2142" t="s">
        <v>75</v>
      </c>
      <c r="F2142" t="s">
        <v>63</v>
      </c>
      <c r="G2142" t="s">
        <v>28</v>
      </c>
      <c r="H2142">
        <v>1</v>
      </c>
      <c r="I2142">
        <v>361</v>
      </c>
      <c r="J2142">
        <v>58.8</v>
      </c>
    </row>
    <row r="2143" spans="1:10" x14ac:dyDescent="0.25">
      <c r="A2143" s="1">
        <v>44603</v>
      </c>
      <c r="B2143" t="s">
        <v>10</v>
      </c>
      <c r="C2143" t="s">
        <v>11</v>
      </c>
      <c r="D2143" t="s">
        <v>12</v>
      </c>
      <c r="E2143" t="s">
        <v>392</v>
      </c>
      <c r="F2143" t="s">
        <v>65</v>
      </c>
      <c r="G2143" t="s">
        <v>35</v>
      </c>
      <c r="H2143">
        <v>9</v>
      </c>
      <c r="I2143">
        <v>7290</v>
      </c>
      <c r="J2143">
        <v>841.07</v>
      </c>
    </row>
    <row r="2144" spans="1:10" x14ac:dyDescent="0.25">
      <c r="A2144" s="1">
        <v>45359</v>
      </c>
      <c r="B2144" t="s">
        <v>32</v>
      </c>
      <c r="C2144" t="s">
        <v>19</v>
      </c>
      <c r="D2144" t="s">
        <v>12</v>
      </c>
      <c r="E2144" t="s">
        <v>37</v>
      </c>
      <c r="F2144" t="s">
        <v>34</v>
      </c>
      <c r="G2144" t="s">
        <v>35</v>
      </c>
      <c r="H2144">
        <v>4</v>
      </c>
      <c r="I2144">
        <v>2052</v>
      </c>
      <c r="J2144">
        <v>181.64</v>
      </c>
    </row>
    <row r="2145" spans="1:10" x14ac:dyDescent="0.25">
      <c r="A2145" s="1">
        <v>45433</v>
      </c>
      <c r="B2145" t="s">
        <v>16</v>
      </c>
      <c r="C2145" t="s">
        <v>17</v>
      </c>
      <c r="D2145" t="s">
        <v>12</v>
      </c>
      <c r="E2145" t="s">
        <v>91</v>
      </c>
      <c r="F2145" t="s">
        <v>149</v>
      </c>
      <c r="G2145" t="s">
        <v>15</v>
      </c>
      <c r="H2145">
        <v>3</v>
      </c>
      <c r="I2145">
        <v>1842</v>
      </c>
      <c r="J2145">
        <v>112.85</v>
      </c>
    </row>
    <row r="2146" spans="1:10" x14ac:dyDescent="0.25">
      <c r="A2146" s="1">
        <v>45266</v>
      </c>
      <c r="B2146" t="s">
        <v>16</v>
      </c>
      <c r="C2146" t="s">
        <v>17</v>
      </c>
      <c r="D2146" t="s">
        <v>12</v>
      </c>
      <c r="E2146" t="s">
        <v>187</v>
      </c>
      <c r="F2146" t="s">
        <v>23</v>
      </c>
      <c r="G2146" t="s">
        <v>24</v>
      </c>
      <c r="H2146">
        <v>9</v>
      </c>
      <c r="I2146">
        <v>10593</v>
      </c>
      <c r="J2146">
        <v>2488.69</v>
      </c>
    </row>
    <row r="2147" spans="1:10" x14ac:dyDescent="0.25">
      <c r="A2147" s="1">
        <v>44801</v>
      </c>
      <c r="B2147" t="s">
        <v>25</v>
      </c>
      <c r="C2147" t="s">
        <v>19</v>
      </c>
      <c r="D2147" t="s">
        <v>12</v>
      </c>
      <c r="E2147" t="s">
        <v>393</v>
      </c>
      <c r="F2147" t="s">
        <v>394</v>
      </c>
      <c r="G2147" t="s">
        <v>24</v>
      </c>
      <c r="H2147">
        <v>6</v>
      </c>
      <c r="I2147">
        <v>1218</v>
      </c>
      <c r="J2147">
        <v>129.36000000000001</v>
      </c>
    </row>
    <row r="2148" spans="1:10" x14ac:dyDescent="0.25">
      <c r="A2148" s="1">
        <v>45249</v>
      </c>
      <c r="B2148" t="s">
        <v>16</v>
      </c>
      <c r="C2148" t="s">
        <v>17</v>
      </c>
      <c r="D2148" t="s">
        <v>12</v>
      </c>
      <c r="E2148" t="s">
        <v>112</v>
      </c>
      <c r="F2148" t="s">
        <v>63</v>
      </c>
      <c r="G2148" t="s">
        <v>28</v>
      </c>
      <c r="H2148">
        <v>5</v>
      </c>
      <c r="I2148">
        <v>4240</v>
      </c>
      <c r="J2148">
        <v>426.41</v>
      </c>
    </row>
    <row r="2149" spans="1:10" x14ac:dyDescent="0.25">
      <c r="A2149" s="1">
        <v>45594</v>
      </c>
      <c r="B2149" t="s">
        <v>49</v>
      </c>
      <c r="C2149" t="s">
        <v>17</v>
      </c>
      <c r="D2149" t="s">
        <v>12</v>
      </c>
      <c r="E2149" t="s">
        <v>328</v>
      </c>
      <c r="F2149" t="s">
        <v>191</v>
      </c>
      <c r="G2149" t="s">
        <v>35</v>
      </c>
      <c r="H2149">
        <v>2</v>
      </c>
      <c r="I2149">
        <v>226</v>
      </c>
      <c r="J2149">
        <v>38.520000000000003</v>
      </c>
    </row>
    <row r="2150" spans="1:10" x14ac:dyDescent="0.25">
      <c r="A2150" s="1">
        <v>44645</v>
      </c>
      <c r="B2150" t="s">
        <v>25</v>
      </c>
      <c r="C2150" t="s">
        <v>19</v>
      </c>
      <c r="D2150" t="s">
        <v>12</v>
      </c>
      <c r="E2150" t="s">
        <v>22</v>
      </c>
      <c r="F2150" t="s">
        <v>23</v>
      </c>
      <c r="G2150" t="s">
        <v>24</v>
      </c>
      <c r="H2150">
        <v>6</v>
      </c>
      <c r="I2150">
        <v>5154</v>
      </c>
      <c r="J2150">
        <v>1072.8</v>
      </c>
    </row>
    <row r="2151" spans="1:10" x14ac:dyDescent="0.25">
      <c r="A2151" s="1">
        <v>45137</v>
      </c>
      <c r="B2151" t="s">
        <v>16</v>
      </c>
      <c r="C2151" t="s">
        <v>17</v>
      </c>
      <c r="D2151" t="s">
        <v>12</v>
      </c>
      <c r="E2151" t="s">
        <v>395</v>
      </c>
      <c r="F2151" t="s">
        <v>57</v>
      </c>
      <c r="G2151" t="s">
        <v>24</v>
      </c>
      <c r="H2151">
        <v>6</v>
      </c>
      <c r="I2151">
        <v>1236</v>
      </c>
      <c r="J2151">
        <v>304.88</v>
      </c>
    </row>
    <row r="2152" spans="1:10" x14ac:dyDescent="0.25">
      <c r="A2152" s="1">
        <v>44879</v>
      </c>
      <c r="B2152" t="s">
        <v>18</v>
      </c>
      <c r="C2152" t="s">
        <v>19</v>
      </c>
      <c r="D2152" t="s">
        <v>12</v>
      </c>
      <c r="E2152" t="s">
        <v>396</v>
      </c>
      <c r="F2152" t="s">
        <v>44</v>
      </c>
      <c r="G2152" t="s">
        <v>35</v>
      </c>
      <c r="H2152">
        <v>1</v>
      </c>
      <c r="I2152">
        <v>1179</v>
      </c>
      <c r="J2152">
        <v>159.41999999999999</v>
      </c>
    </row>
    <row r="2153" spans="1:10" x14ac:dyDescent="0.25">
      <c r="A2153" s="1">
        <v>45655</v>
      </c>
      <c r="B2153" t="s">
        <v>10</v>
      </c>
      <c r="C2153" t="s">
        <v>11</v>
      </c>
      <c r="D2153" t="s">
        <v>12</v>
      </c>
      <c r="E2153" t="s">
        <v>396</v>
      </c>
      <c r="F2153" t="s">
        <v>44</v>
      </c>
      <c r="G2153" t="s">
        <v>35</v>
      </c>
      <c r="H2153">
        <v>5</v>
      </c>
      <c r="I2153">
        <v>2275</v>
      </c>
      <c r="J2153">
        <v>313.5</v>
      </c>
    </row>
    <row r="2154" spans="1:10" x14ac:dyDescent="0.25">
      <c r="A2154" s="1">
        <v>45067</v>
      </c>
      <c r="B2154" t="s">
        <v>32</v>
      </c>
      <c r="C2154" t="s">
        <v>19</v>
      </c>
      <c r="D2154" t="s">
        <v>12</v>
      </c>
      <c r="E2154" t="s">
        <v>396</v>
      </c>
      <c r="F2154" t="s">
        <v>44</v>
      </c>
      <c r="G2154" t="s">
        <v>35</v>
      </c>
      <c r="H2154">
        <v>7</v>
      </c>
      <c r="I2154">
        <v>6188</v>
      </c>
      <c r="J2154">
        <v>1231.3</v>
      </c>
    </row>
    <row r="2155" spans="1:10" x14ac:dyDescent="0.25">
      <c r="A2155" s="1">
        <v>45276</v>
      </c>
      <c r="B2155" t="s">
        <v>29</v>
      </c>
      <c r="C2155" t="s">
        <v>17</v>
      </c>
      <c r="D2155" t="s">
        <v>12</v>
      </c>
      <c r="E2155" t="s">
        <v>158</v>
      </c>
      <c r="F2155" t="s">
        <v>21</v>
      </c>
      <c r="G2155" t="s">
        <v>15</v>
      </c>
      <c r="H2155">
        <v>3</v>
      </c>
      <c r="I2155">
        <v>2946</v>
      </c>
      <c r="J2155">
        <v>666.99</v>
      </c>
    </row>
    <row r="2156" spans="1:10" x14ac:dyDescent="0.25">
      <c r="A2156" s="1">
        <v>45179</v>
      </c>
      <c r="B2156" t="s">
        <v>29</v>
      </c>
      <c r="C2156" t="s">
        <v>17</v>
      </c>
      <c r="D2156" t="s">
        <v>12</v>
      </c>
      <c r="E2156" t="s">
        <v>285</v>
      </c>
      <c r="F2156" t="s">
        <v>34</v>
      </c>
      <c r="G2156" t="s">
        <v>35</v>
      </c>
      <c r="H2156">
        <v>5</v>
      </c>
      <c r="I2156">
        <v>5085</v>
      </c>
      <c r="J2156">
        <v>1172.1199999999999</v>
      </c>
    </row>
    <row r="2157" spans="1:10" x14ac:dyDescent="0.25">
      <c r="A2157" s="1">
        <v>44683</v>
      </c>
      <c r="B2157" t="s">
        <v>49</v>
      </c>
      <c r="C2157" t="s">
        <v>17</v>
      </c>
      <c r="D2157" t="s">
        <v>12</v>
      </c>
      <c r="E2157" t="s">
        <v>187</v>
      </c>
      <c r="F2157" t="s">
        <v>23</v>
      </c>
      <c r="G2157" t="s">
        <v>24</v>
      </c>
      <c r="H2157">
        <v>2</v>
      </c>
      <c r="I2157">
        <v>712</v>
      </c>
      <c r="J2157">
        <v>205.53</v>
      </c>
    </row>
    <row r="2158" spans="1:10" x14ac:dyDescent="0.25">
      <c r="A2158" s="1">
        <v>44960</v>
      </c>
      <c r="B2158" t="s">
        <v>32</v>
      </c>
      <c r="C2158" t="s">
        <v>19</v>
      </c>
      <c r="D2158" t="s">
        <v>12</v>
      </c>
      <c r="E2158" t="s">
        <v>52</v>
      </c>
      <c r="F2158" t="s">
        <v>42</v>
      </c>
      <c r="G2158" t="s">
        <v>28</v>
      </c>
      <c r="H2158">
        <v>6</v>
      </c>
      <c r="I2158">
        <v>648</v>
      </c>
      <c r="J2158">
        <v>62.25</v>
      </c>
    </row>
    <row r="2159" spans="1:10" x14ac:dyDescent="0.25">
      <c r="A2159" s="1">
        <v>44959</v>
      </c>
      <c r="B2159" t="s">
        <v>16</v>
      </c>
      <c r="C2159" t="s">
        <v>17</v>
      </c>
      <c r="D2159" t="s">
        <v>12</v>
      </c>
      <c r="E2159" t="s">
        <v>52</v>
      </c>
      <c r="F2159" t="s">
        <v>42</v>
      </c>
      <c r="G2159" t="s">
        <v>28</v>
      </c>
      <c r="H2159">
        <v>5</v>
      </c>
      <c r="I2159">
        <v>2735</v>
      </c>
      <c r="J2159">
        <v>483.2</v>
      </c>
    </row>
    <row r="2160" spans="1:10" x14ac:dyDescent="0.25">
      <c r="A2160" s="1">
        <v>44921</v>
      </c>
      <c r="B2160" t="s">
        <v>10</v>
      </c>
      <c r="C2160" t="s">
        <v>11</v>
      </c>
      <c r="D2160" t="s">
        <v>12</v>
      </c>
      <c r="E2160" t="s">
        <v>52</v>
      </c>
      <c r="F2160" t="s">
        <v>42</v>
      </c>
      <c r="G2160" t="s">
        <v>28</v>
      </c>
      <c r="H2160">
        <v>6</v>
      </c>
      <c r="I2160">
        <v>2910</v>
      </c>
      <c r="J2160">
        <v>173.45</v>
      </c>
    </row>
    <row r="2161" spans="1:10" x14ac:dyDescent="0.25">
      <c r="A2161" s="1">
        <v>44696</v>
      </c>
      <c r="B2161" t="s">
        <v>32</v>
      </c>
      <c r="C2161" t="s">
        <v>19</v>
      </c>
      <c r="D2161" t="s">
        <v>12</v>
      </c>
      <c r="E2161" t="s">
        <v>397</v>
      </c>
      <c r="F2161" t="s">
        <v>23</v>
      </c>
      <c r="G2161" t="s">
        <v>24</v>
      </c>
      <c r="H2161">
        <v>1</v>
      </c>
      <c r="I2161">
        <v>263</v>
      </c>
      <c r="J2161">
        <v>69.39</v>
      </c>
    </row>
    <row r="2162" spans="1:10" x14ac:dyDescent="0.25">
      <c r="A2162" s="1">
        <v>45265</v>
      </c>
      <c r="B2162" t="s">
        <v>40</v>
      </c>
      <c r="C2162" t="s">
        <v>19</v>
      </c>
      <c r="D2162" t="s">
        <v>12</v>
      </c>
      <c r="E2162" t="s">
        <v>43</v>
      </c>
      <c r="F2162" t="s">
        <v>44</v>
      </c>
      <c r="G2162" t="s">
        <v>35</v>
      </c>
      <c r="H2162">
        <v>2</v>
      </c>
      <c r="I2162">
        <v>876</v>
      </c>
      <c r="J2162">
        <v>66.680000000000007</v>
      </c>
    </row>
    <row r="2163" spans="1:10" x14ac:dyDescent="0.25">
      <c r="A2163" s="1">
        <v>45235</v>
      </c>
      <c r="B2163" t="s">
        <v>16</v>
      </c>
      <c r="C2163" t="s">
        <v>17</v>
      </c>
      <c r="D2163" t="s">
        <v>12</v>
      </c>
      <c r="E2163" t="s">
        <v>72</v>
      </c>
      <c r="F2163" t="s">
        <v>21</v>
      </c>
      <c r="G2163" t="s">
        <v>15</v>
      </c>
      <c r="H2163">
        <v>1</v>
      </c>
      <c r="I2163">
        <v>913</v>
      </c>
      <c r="J2163">
        <v>162.24</v>
      </c>
    </row>
    <row r="2164" spans="1:10" x14ac:dyDescent="0.25">
      <c r="A2164" s="1">
        <v>45578</v>
      </c>
      <c r="B2164" t="s">
        <v>55</v>
      </c>
      <c r="C2164" t="s">
        <v>19</v>
      </c>
      <c r="D2164" t="s">
        <v>12</v>
      </c>
      <c r="E2164" t="s">
        <v>72</v>
      </c>
      <c r="F2164" t="s">
        <v>21</v>
      </c>
      <c r="G2164" t="s">
        <v>15</v>
      </c>
      <c r="H2164">
        <v>9</v>
      </c>
      <c r="I2164">
        <v>594</v>
      </c>
      <c r="J2164">
        <v>93.92</v>
      </c>
    </row>
    <row r="2165" spans="1:10" x14ac:dyDescent="0.25">
      <c r="A2165" s="1">
        <v>44619</v>
      </c>
      <c r="B2165" t="s">
        <v>29</v>
      </c>
      <c r="C2165" t="s">
        <v>17</v>
      </c>
      <c r="D2165" t="s">
        <v>12</v>
      </c>
      <c r="E2165" t="s">
        <v>52</v>
      </c>
      <c r="F2165" t="s">
        <v>42</v>
      </c>
      <c r="G2165" t="s">
        <v>28</v>
      </c>
      <c r="H2165">
        <v>2</v>
      </c>
      <c r="I2165">
        <v>956</v>
      </c>
      <c r="J2165">
        <v>202.14</v>
      </c>
    </row>
    <row r="2166" spans="1:10" x14ac:dyDescent="0.25">
      <c r="A2166" s="1">
        <v>45460</v>
      </c>
      <c r="B2166" t="s">
        <v>55</v>
      </c>
      <c r="C2166" t="s">
        <v>19</v>
      </c>
      <c r="D2166" t="s">
        <v>12</v>
      </c>
      <c r="E2166" t="s">
        <v>52</v>
      </c>
      <c r="F2166" t="s">
        <v>42</v>
      </c>
      <c r="G2166" t="s">
        <v>28</v>
      </c>
      <c r="H2166">
        <v>7</v>
      </c>
      <c r="I2166">
        <v>7301</v>
      </c>
      <c r="J2166">
        <v>2026.43</v>
      </c>
    </row>
    <row r="2167" spans="1:10" x14ac:dyDescent="0.25">
      <c r="A2167" s="1">
        <v>45060</v>
      </c>
      <c r="B2167" t="s">
        <v>29</v>
      </c>
      <c r="C2167" t="s">
        <v>17</v>
      </c>
      <c r="D2167" t="s">
        <v>12</v>
      </c>
      <c r="E2167" t="s">
        <v>251</v>
      </c>
      <c r="F2167" t="s">
        <v>108</v>
      </c>
      <c r="G2167" t="s">
        <v>15</v>
      </c>
      <c r="H2167">
        <v>6</v>
      </c>
      <c r="I2167">
        <v>5754</v>
      </c>
      <c r="J2167">
        <v>1628.61</v>
      </c>
    </row>
    <row r="2168" spans="1:10" x14ac:dyDescent="0.25">
      <c r="A2168" s="1">
        <v>44733</v>
      </c>
      <c r="B2168" t="s">
        <v>29</v>
      </c>
      <c r="C2168" t="s">
        <v>17</v>
      </c>
      <c r="D2168" t="s">
        <v>12</v>
      </c>
      <c r="E2168" t="s">
        <v>251</v>
      </c>
      <c r="F2168" t="s">
        <v>108</v>
      </c>
      <c r="G2168" t="s">
        <v>15</v>
      </c>
      <c r="H2168">
        <v>4</v>
      </c>
      <c r="I2168">
        <v>1372</v>
      </c>
      <c r="J2168">
        <v>274.47000000000003</v>
      </c>
    </row>
    <row r="2169" spans="1:10" x14ac:dyDescent="0.25">
      <c r="A2169" s="1">
        <v>44750</v>
      </c>
      <c r="B2169" t="s">
        <v>29</v>
      </c>
      <c r="C2169" t="s">
        <v>17</v>
      </c>
      <c r="D2169" t="s">
        <v>12</v>
      </c>
      <c r="E2169" t="s">
        <v>103</v>
      </c>
      <c r="F2169" t="s">
        <v>21</v>
      </c>
      <c r="G2169" t="s">
        <v>15</v>
      </c>
      <c r="H2169">
        <v>8</v>
      </c>
      <c r="I2169">
        <v>920</v>
      </c>
      <c r="J2169">
        <v>214.27</v>
      </c>
    </row>
    <row r="2170" spans="1:10" x14ac:dyDescent="0.25">
      <c r="A2170" s="1">
        <v>45309</v>
      </c>
      <c r="B2170" t="s">
        <v>40</v>
      </c>
      <c r="C2170" t="s">
        <v>19</v>
      </c>
      <c r="D2170" t="s">
        <v>12</v>
      </c>
      <c r="E2170" t="s">
        <v>103</v>
      </c>
      <c r="F2170" t="s">
        <v>21</v>
      </c>
      <c r="G2170" t="s">
        <v>15</v>
      </c>
      <c r="H2170">
        <v>3</v>
      </c>
      <c r="I2170">
        <v>885</v>
      </c>
      <c r="J2170">
        <v>150.79</v>
      </c>
    </row>
    <row r="2171" spans="1:10" x14ac:dyDescent="0.25">
      <c r="A2171" s="1">
        <v>45656</v>
      </c>
      <c r="B2171" t="s">
        <v>25</v>
      </c>
      <c r="C2171" t="s">
        <v>19</v>
      </c>
      <c r="D2171" t="s">
        <v>12</v>
      </c>
      <c r="E2171" t="s">
        <v>93</v>
      </c>
      <c r="F2171" t="s">
        <v>94</v>
      </c>
      <c r="G2171" t="s">
        <v>24</v>
      </c>
      <c r="H2171">
        <v>1</v>
      </c>
      <c r="I2171">
        <v>379</v>
      </c>
      <c r="J2171">
        <v>39.409999999999997</v>
      </c>
    </row>
    <row r="2172" spans="1:10" x14ac:dyDescent="0.25">
      <c r="A2172" s="1">
        <v>45544</v>
      </c>
      <c r="B2172" t="s">
        <v>29</v>
      </c>
      <c r="C2172" t="s">
        <v>17</v>
      </c>
      <c r="D2172" t="s">
        <v>12</v>
      </c>
      <c r="E2172" t="s">
        <v>26</v>
      </c>
      <c r="F2172" t="s">
        <v>27</v>
      </c>
      <c r="G2172" t="s">
        <v>28</v>
      </c>
      <c r="H2172">
        <v>8</v>
      </c>
      <c r="I2172">
        <v>1024</v>
      </c>
      <c r="J2172">
        <v>201.92</v>
      </c>
    </row>
    <row r="2173" spans="1:10" x14ac:dyDescent="0.25">
      <c r="A2173" s="1">
        <v>45416</v>
      </c>
      <c r="B2173" t="s">
        <v>49</v>
      </c>
      <c r="C2173" t="s">
        <v>17</v>
      </c>
      <c r="D2173" t="s">
        <v>12</v>
      </c>
      <c r="E2173" t="s">
        <v>22</v>
      </c>
      <c r="F2173" t="s">
        <v>23</v>
      </c>
      <c r="G2173" t="s">
        <v>24</v>
      </c>
      <c r="H2173">
        <v>4</v>
      </c>
      <c r="I2173">
        <v>4312</v>
      </c>
      <c r="J2173">
        <v>388.48</v>
      </c>
    </row>
    <row r="2174" spans="1:10" x14ac:dyDescent="0.25">
      <c r="A2174" s="1">
        <v>45083</v>
      </c>
      <c r="B2174" t="s">
        <v>16</v>
      </c>
      <c r="C2174" t="s">
        <v>17</v>
      </c>
      <c r="D2174" t="s">
        <v>12</v>
      </c>
      <c r="E2174" t="s">
        <v>26</v>
      </c>
      <c r="F2174" t="s">
        <v>27</v>
      </c>
      <c r="G2174" t="s">
        <v>28</v>
      </c>
      <c r="H2174">
        <v>5</v>
      </c>
      <c r="I2174">
        <v>5030</v>
      </c>
      <c r="J2174">
        <v>540.73</v>
      </c>
    </row>
    <row r="2175" spans="1:10" x14ac:dyDescent="0.25">
      <c r="A2175" s="1">
        <v>44592</v>
      </c>
      <c r="B2175" t="s">
        <v>40</v>
      </c>
      <c r="C2175" t="s">
        <v>19</v>
      </c>
      <c r="D2175" t="s">
        <v>12</v>
      </c>
      <c r="E2175" t="s">
        <v>125</v>
      </c>
      <c r="F2175" t="s">
        <v>126</v>
      </c>
      <c r="G2175" t="s">
        <v>35</v>
      </c>
      <c r="H2175">
        <v>2</v>
      </c>
      <c r="I2175">
        <v>1438</v>
      </c>
      <c r="J2175">
        <v>315.83</v>
      </c>
    </row>
    <row r="2176" spans="1:10" x14ac:dyDescent="0.25">
      <c r="A2176" s="1">
        <v>44658</v>
      </c>
      <c r="B2176" t="s">
        <v>49</v>
      </c>
      <c r="C2176" t="s">
        <v>17</v>
      </c>
      <c r="D2176" t="s">
        <v>12</v>
      </c>
      <c r="E2176" t="s">
        <v>265</v>
      </c>
      <c r="F2176" t="s">
        <v>46</v>
      </c>
      <c r="G2176" t="s">
        <v>15</v>
      </c>
      <c r="H2176">
        <v>1</v>
      </c>
      <c r="I2176">
        <v>419</v>
      </c>
      <c r="J2176">
        <v>108.36</v>
      </c>
    </row>
    <row r="2177" spans="1:10" x14ac:dyDescent="0.25">
      <c r="A2177" s="1">
        <v>44616</v>
      </c>
      <c r="B2177" t="s">
        <v>29</v>
      </c>
      <c r="C2177" t="s">
        <v>17</v>
      </c>
      <c r="D2177" t="s">
        <v>12</v>
      </c>
      <c r="E2177" t="s">
        <v>265</v>
      </c>
      <c r="F2177" t="s">
        <v>46</v>
      </c>
      <c r="G2177" t="s">
        <v>15</v>
      </c>
      <c r="H2177">
        <v>3</v>
      </c>
      <c r="I2177">
        <v>3519</v>
      </c>
      <c r="J2177">
        <v>935.72</v>
      </c>
    </row>
    <row r="2178" spans="1:10" x14ac:dyDescent="0.25">
      <c r="A2178" s="1">
        <v>44654</v>
      </c>
      <c r="B2178" t="s">
        <v>18</v>
      </c>
      <c r="C2178" t="s">
        <v>19</v>
      </c>
      <c r="D2178" t="s">
        <v>12</v>
      </c>
      <c r="E2178" t="s">
        <v>52</v>
      </c>
      <c r="F2178" t="s">
        <v>42</v>
      </c>
      <c r="G2178" t="s">
        <v>28</v>
      </c>
      <c r="H2178">
        <v>8</v>
      </c>
      <c r="I2178">
        <v>2912</v>
      </c>
      <c r="J2178">
        <v>451.97</v>
      </c>
    </row>
    <row r="2179" spans="1:10" x14ac:dyDescent="0.25">
      <c r="A2179" s="1">
        <v>44977</v>
      </c>
      <c r="B2179" t="s">
        <v>40</v>
      </c>
      <c r="C2179" t="s">
        <v>19</v>
      </c>
      <c r="D2179" t="s">
        <v>12</v>
      </c>
      <c r="E2179" t="s">
        <v>52</v>
      </c>
      <c r="F2179" t="s">
        <v>42</v>
      </c>
      <c r="G2179" t="s">
        <v>28</v>
      </c>
      <c r="H2179">
        <v>5</v>
      </c>
      <c r="I2179">
        <v>4005</v>
      </c>
      <c r="J2179">
        <v>226.09</v>
      </c>
    </row>
    <row r="2180" spans="1:10" x14ac:dyDescent="0.25">
      <c r="A2180" s="1">
        <v>45160</v>
      </c>
      <c r="B2180" t="s">
        <v>32</v>
      </c>
      <c r="C2180" t="s">
        <v>19</v>
      </c>
      <c r="D2180" t="s">
        <v>12</v>
      </c>
      <c r="E2180" t="s">
        <v>56</v>
      </c>
      <c r="F2180" t="s">
        <v>57</v>
      </c>
      <c r="G2180" t="s">
        <v>24</v>
      </c>
      <c r="H2180">
        <v>5</v>
      </c>
      <c r="I2180">
        <v>2075</v>
      </c>
      <c r="J2180">
        <v>271.70999999999998</v>
      </c>
    </row>
    <row r="2181" spans="1:10" x14ac:dyDescent="0.25">
      <c r="A2181" s="1">
        <v>44980</v>
      </c>
      <c r="B2181" t="s">
        <v>55</v>
      </c>
      <c r="C2181" t="s">
        <v>19</v>
      </c>
      <c r="D2181" t="s">
        <v>12</v>
      </c>
      <c r="E2181" t="s">
        <v>398</v>
      </c>
      <c r="F2181" t="s">
        <v>23</v>
      </c>
      <c r="G2181" t="s">
        <v>24</v>
      </c>
      <c r="H2181">
        <v>2</v>
      </c>
      <c r="I2181">
        <v>120</v>
      </c>
      <c r="J2181">
        <v>7.74</v>
      </c>
    </row>
    <row r="2182" spans="1:10" x14ac:dyDescent="0.25">
      <c r="A2182" s="1">
        <v>45516</v>
      </c>
      <c r="B2182" t="s">
        <v>25</v>
      </c>
      <c r="C2182" t="s">
        <v>19</v>
      </c>
      <c r="D2182" t="s">
        <v>12</v>
      </c>
      <c r="E2182" t="s">
        <v>398</v>
      </c>
      <c r="F2182" t="s">
        <v>23</v>
      </c>
      <c r="G2182" t="s">
        <v>24</v>
      </c>
      <c r="H2182">
        <v>4</v>
      </c>
      <c r="I2182">
        <v>564</v>
      </c>
      <c r="J2182">
        <v>32.799999999999997</v>
      </c>
    </row>
    <row r="2183" spans="1:10" x14ac:dyDescent="0.25">
      <c r="A2183" s="1">
        <v>45200</v>
      </c>
      <c r="B2183" t="s">
        <v>32</v>
      </c>
      <c r="C2183" t="s">
        <v>19</v>
      </c>
      <c r="D2183" t="s">
        <v>12</v>
      </c>
      <c r="E2183" t="s">
        <v>398</v>
      </c>
      <c r="F2183" t="s">
        <v>23</v>
      </c>
      <c r="G2183" t="s">
        <v>24</v>
      </c>
      <c r="H2183">
        <v>2</v>
      </c>
      <c r="I2183">
        <v>486</v>
      </c>
      <c r="J2183">
        <v>62.58</v>
      </c>
    </row>
    <row r="2184" spans="1:10" x14ac:dyDescent="0.25">
      <c r="A2184" s="1">
        <v>45031</v>
      </c>
      <c r="B2184" t="s">
        <v>32</v>
      </c>
      <c r="C2184" t="s">
        <v>19</v>
      </c>
      <c r="D2184" t="s">
        <v>12</v>
      </c>
      <c r="E2184" t="s">
        <v>398</v>
      </c>
      <c r="F2184" t="s">
        <v>23</v>
      </c>
      <c r="G2184" t="s">
        <v>24</v>
      </c>
      <c r="H2184">
        <v>2</v>
      </c>
      <c r="I2184">
        <v>1488</v>
      </c>
      <c r="J2184">
        <v>342.87</v>
      </c>
    </row>
    <row r="2185" spans="1:10" x14ac:dyDescent="0.25">
      <c r="A2185" s="1">
        <v>44981</v>
      </c>
      <c r="B2185" t="s">
        <v>55</v>
      </c>
      <c r="C2185" t="s">
        <v>19</v>
      </c>
      <c r="D2185" t="s">
        <v>12</v>
      </c>
      <c r="E2185" t="s">
        <v>22</v>
      </c>
      <c r="F2185" t="s">
        <v>23</v>
      </c>
      <c r="G2185" t="s">
        <v>24</v>
      </c>
      <c r="H2185">
        <v>6</v>
      </c>
      <c r="I2185">
        <v>3096</v>
      </c>
      <c r="J2185">
        <v>277.68</v>
      </c>
    </row>
    <row r="2186" spans="1:10" x14ac:dyDescent="0.25">
      <c r="A2186" s="1">
        <v>44869</v>
      </c>
      <c r="B2186" t="s">
        <v>32</v>
      </c>
      <c r="C2186" t="s">
        <v>19</v>
      </c>
      <c r="D2186" t="s">
        <v>12</v>
      </c>
      <c r="E2186" t="s">
        <v>289</v>
      </c>
      <c r="F2186" t="s">
        <v>63</v>
      </c>
      <c r="G2186" t="s">
        <v>28</v>
      </c>
      <c r="H2186">
        <v>8</v>
      </c>
      <c r="I2186">
        <v>6488</v>
      </c>
      <c r="J2186">
        <v>1845.07</v>
      </c>
    </row>
    <row r="2187" spans="1:10" x14ac:dyDescent="0.25">
      <c r="A2187" s="1">
        <v>45393</v>
      </c>
      <c r="B2187" t="s">
        <v>32</v>
      </c>
      <c r="C2187" t="s">
        <v>19</v>
      </c>
      <c r="D2187" t="s">
        <v>12</v>
      </c>
      <c r="E2187" t="s">
        <v>399</v>
      </c>
      <c r="F2187" t="s">
        <v>189</v>
      </c>
      <c r="G2187" t="s">
        <v>24</v>
      </c>
      <c r="H2187">
        <v>4</v>
      </c>
      <c r="I2187">
        <v>4284</v>
      </c>
      <c r="J2187">
        <v>848.44</v>
      </c>
    </row>
    <row r="2188" spans="1:10" x14ac:dyDescent="0.25">
      <c r="A2188" s="1">
        <v>44747</v>
      </c>
      <c r="B2188" t="s">
        <v>32</v>
      </c>
      <c r="C2188" t="s">
        <v>19</v>
      </c>
      <c r="D2188" t="s">
        <v>12</v>
      </c>
      <c r="E2188" t="s">
        <v>26</v>
      </c>
      <c r="F2188" t="s">
        <v>27</v>
      </c>
      <c r="G2188" t="s">
        <v>28</v>
      </c>
      <c r="H2188">
        <v>8</v>
      </c>
      <c r="I2188">
        <v>1864</v>
      </c>
      <c r="J2188">
        <v>110.81</v>
      </c>
    </row>
    <row r="2189" spans="1:10" x14ac:dyDescent="0.25">
      <c r="A2189" s="1">
        <v>45420</v>
      </c>
      <c r="B2189" t="s">
        <v>25</v>
      </c>
      <c r="C2189" t="s">
        <v>19</v>
      </c>
      <c r="D2189" t="s">
        <v>12</v>
      </c>
      <c r="E2189" t="s">
        <v>26</v>
      </c>
      <c r="F2189" t="s">
        <v>27</v>
      </c>
      <c r="G2189" t="s">
        <v>28</v>
      </c>
      <c r="H2189">
        <v>5</v>
      </c>
      <c r="I2189">
        <v>4435</v>
      </c>
      <c r="J2189">
        <v>954.12</v>
      </c>
    </row>
    <row r="2190" spans="1:10" x14ac:dyDescent="0.25">
      <c r="A2190" s="1">
        <v>45568</v>
      </c>
      <c r="B2190" t="s">
        <v>25</v>
      </c>
      <c r="C2190" t="s">
        <v>19</v>
      </c>
      <c r="D2190" t="s">
        <v>12</v>
      </c>
      <c r="E2190" t="s">
        <v>37</v>
      </c>
      <c r="F2190" t="s">
        <v>34</v>
      </c>
      <c r="G2190" t="s">
        <v>35</v>
      </c>
      <c r="H2190">
        <v>4</v>
      </c>
      <c r="I2190">
        <v>3296</v>
      </c>
      <c r="J2190">
        <v>460.98</v>
      </c>
    </row>
    <row r="2191" spans="1:10" x14ac:dyDescent="0.25">
      <c r="A2191" s="1">
        <v>45051</v>
      </c>
      <c r="B2191" t="s">
        <v>16</v>
      </c>
      <c r="C2191" t="s">
        <v>17</v>
      </c>
      <c r="D2191" t="s">
        <v>12</v>
      </c>
      <c r="E2191" t="s">
        <v>37</v>
      </c>
      <c r="F2191" t="s">
        <v>34</v>
      </c>
      <c r="G2191" t="s">
        <v>35</v>
      </c>
      <c r="H2191">
        <v>3</v>
      </c>
      <c r="I2191">
        <v>780</v>
      </c>
      <c r="J2191">
        <v>217.92</v>
      </c>
    </row>
    <row r="2192" spans="1:10" x14ac:dyDescent="0.25">
      <c r="A2192" s="1">
        <v>44714</v>
      </c>
      <c r="B2192" t="s">
        <v>32</v>
      </c>
      <c r="C2192" t="s">
        <v>19</v>
      </c>
      <c r="D2192" t="s">
        <v>12</v>
      </c>
      <c r="E2192" t="s">
        <v>400</v>
      </c>
      <c r="F2192" t="s">
        <v>57</v>
      </c>
      <c r="G2192" t="s">
        <v>24</v>
      </c>
      <c r="H2192">
        <v>7</v>
      </c>
      <c r="I2192">
        <v>4396</v>
      </c>
      <c r="J2192">
        <v>962.61</v>
      </c>
    </row>
    <row r="2193" spans="1:10" x14ac:dyDescent="0.25">
      <c r="A2193" s="1">
        <v>45048</v>
      </c>
      <c r="B2193" t="s">
        <v>49</v>
      </c>
      <c r="C2193" t="s">
        <v>17</v>
      </c>
      <c r="D2193" t="s">
        <v>12</v>
      </c>
      <c r="E2193" t="s">
        <v>22</v>
      </c>
      <c r="F2193" t="s">
        <v>23</v>
      </c>
      <c r="G2193" t="s">
        <v>24</v>
      </c>
      <c r="H2193">
        <v>6</v>
      </c>
      <c r="I2193">
        <v>1362</v>
      </c>
      <c r="J2193">
        <v>202.68</v>
      </c>
    </row>
    <row r="2194" spans="1:10" x14ac:dyDescent="0.25">
      <c r="A2194" s="1">
        <v>44574</v>
      </c>
      <c r="B2194" t="s">
        <v>16</v>
      </c>
      <c r="C2194" t="s">
        <v>17</v>
      </c>
      <c r="D2194" t="s">
        <v>12</v>
      </c>
      <c r="E2194" t="s">
        <v>43</v>
      </c>
      <c r="F2194" t="s">
        <v>44</v>
      </c>
      <c r="G2194" t="s">
        <v>35</v>
      </c>
      <c r="H2194">
        <v>7</v>
      </c>
      <c r="I2194">
        <v>3843</v>
      </c>
      <c r="J2194">
        <v>378.03</v>
      </c>
    </row>
    <row r="2195" spans="1:10" x14ac:dyDescent="0.25">
      <c r="A2195" s="1">
        <v>44813</v>
      </c>
      <c r="B2195" t="s">
        <v>10</v>
      </c>
      <c r="C2195" t="s">
        <v>11</v>
      </c>
      <c r="D2195" t="s">
        <v>12</v>
      </c>
      <c r="E2195" t="s">
        <v>341</v>
      </c>
      <c r="F2195" t="s">
        <v>46</v>
      </c>
      <c r="G2195" t="s">
        <v>15</v>
      </c>
      <c r="H2195">
        <v>2</v>
      </c>
      <c r="I2195">
        <v>2080</v>
      </c>
      <c r="J2195">
        <v>450.24</v>
      </c>
    </row>
    <row r="2196" spans="1:10" x14ac:dyDescent="0.25">
      <c r="A2196" s="1">
        <v>44658</v>
      </c>
      <c r="B2196" t="s">
        <v>16</v>
      </c>
      <c r="C2196" t="s">
        <v>17</v>
      </c>
      <c r="D2196" t="s">
        <v>12</v>
      </c>
      <c r="E2196" t="s">
        <v>37</v>
      </c>
      <c r="F2196" t="s">
        <v>34</v>
      </c>
      <c r="G2196" t="s">
        <v>35</v>
      </c>
      <c r="H2196">
        <v>5</v>
      </c>
      <c r="I2196">
        <v>1210</v>
      </c>
      <c r="J2196">
        <v>201.45</v>
      </c>
    </row>
    <row r="2197" spans="1:10" x14ac:dyDescent="0.25">
      <c r="A2197" s="1">
        <v>45245</v>
      </c>
      <c r="B2197" t="s">
        <v>10</v>
      </c>
      <c r="C2197" t="s">
        <v>11</v>
      </c>
      <c r="D2197" t="s">
        <v>12</v>
      </c>
      <c r="E2197" t="s">
        <v>114</v>
      </c>
      <c r="F2197" t="s">
        <v>115</v>
      </c>
      <c r="G2197" t="s">
        <v>15</v>
      </c>
      <c r="H2197">
        <v>3</v>
      </c>
      <c r="I2197">
        <v>2316</v>
      </c>
      <c r="J2197">
        <v>356.5</v>
      </c>
    </row>
    <row r="2198" spans="1:10" x14ac:dyDescent="0.25">
      <c r="A2198" s="1">
        <v>45125</v>
      </c>
      <c r="B2198" t="s">
        <v>36</v>
      </c>
      <c r="C2198" t="s">
        <v>17</v>
      </c>
      <c r="D2198" t="s">
        <v>12</v>
      </c>
      <c r="E2198" t="s">
        <v>114</v>
      </c>
      <c r="F2198" t="s">
        <v>115</v>
      </c>
      <c r="G2198" t="s">
        <v>15</v>
      </c>
      <c r="H2198">
        <v>6</v>
      </c>
      <c r="I2198">
        <v>3366</v>
      </c>
      <c r="J2198">
        <v>614.22</v>
      </c>
    </row>
    <row r="2199" spans="1:10" x14ac:dyDescent="0.25">
      <c r="A2199" s="1">
        <v>45450</v>
      </c>
      <c r="B2199" t="s">
        <v>18</v>
      </c>
      <c r="C2199" t="s">
        <v>19</v>
      </c>
      <c r="D2199" t="s">
        <v>12</v>
      </c>
      <c r="E2199" t="s">
        <v>22</v>
      </c>
      <c r="F2199" t="s">
        <v>23</v>
      </c>
      <c r="G2199" t="s">
        <v>24</v>
      </c>
      <c r="H2199">
        <v>9</v>
      </c>
      <c r="I2199">
        <v>6507</v>
      </c>
      <c r="J2199">
        <v>1075.51</v>
      </c>
    </row>
    <row r="2200" spans="1:10" x14ac:dyDescent="0.25">
      <c r="A2200" s="1">
        <v>45426</v>
      </c>
      <c r="B2200" t="s">
        <v>16</v>
      </c>
      <c r="C2200" t="s">
        <v>17</v>
      </c>
      <c r="D2200" t="s">
        <v>12</v>
      </c>
      <c r="E2200" t="s">
        <v>52</v>
      </c>
      <c r="F2200" t="s">
        <v>42</v>
      </c>
      <c r="G2200" t="s">
        <v>28</v>
      </c>
      <c r="H2200">
        <v>1</v>
      </c>
      <c r="I2200">
        <v>384</v>
      </c>
      <c r="J2200">
        <v>35.36</v>
      </c>
    </row>
    <row r="2201" spans="1:10" x14ac:dyDescent="0.25">
      <c r="A2201" s="1">
        <v>44566</v>
      </c>
      <c r="B2201" t="s">
        <v>55</v>
      </c>
      <c r="C2201" t="s">
        <v>19</v>
      </c>
      <c r="D2201" t="s">
        <v>12</v>
      </c>
      <c r="E2201" t="s">
        <v>13</v>
      </c>
      <c r="F2201" t="s">
        <v>14</v>
      </c>
      <c r="G2201" t="s">
        <v>15</v>
      </c>
      <c r="H2201">
        <v>5</v>
      </c>
      <c r="I2201">
        <v>3625</v>
      </c>
      <c r="J2201">
        <v>563.95000000000005</v>
      </c>
    </row>
    <row r="2202" spans="1:10" x14ac:dyDescent="0.25">
      <c r="A2202" s="1">
        <v>44909</v>
      </c>
      <c r="B2202" t="s">
        <v>18</v>
      </c>
      <c r="C2202" t="s">
        <v>19</v>
      </c>
      <c r="D2202" t="s">
        <v>12</v>
      </c>
      <c r="E2202" t="s">
        <v>26</v>
      </c>
      <c r="F2202" t="s">
        <v>27</v>
      </c>
      <c r="G2202" t="s">
        <v>28</v>
      </c>
      <c r="H2202">
        <v>1</v>
      </c>
      <c r="I2202">
        <v>400</v>
      </c>
      <c r="J2202">
        <v>45.16</v>
      </c>
    </row>
    <row r="2203" spans="1:10" x14ac:dyDescent="0.25">
      <c r="A2203" s="1">
        <v>44614</v>
      </c>
      <c r="B2203" t="s">
        <v>36</v>
      </c>
      <c r="C2203" t="s">
        <v>17</v>
      </c>
      <c r="D2203" t="s">
        <v>12</v>
      </c>
      <c r="E2203" t="s">
        <v>117</v>
      </c>
      <c r="F2203" t="s">
        <v>133</v>
      </c>
      <c r="G2203" t="s">
        <v>28</v>
      </c>
      <c r="H2203">
        <v>5</v>
      </c>
      <c r="I2203">
        <v>2880</v>
      </c>
      <c r="J2203">
        <v>209.58</v>
      </c>
    </row>
    <row r="2204" spans="1:10" x14ac:dyDescent="0.25">
      <c r="A2204" s="1">
        <v>45013</v>
      </c>
      <c r="B2204" t="s">
        <v>10</v>
      </c>
      <c r="C2204" t="s">
        <v>11</v>
      </c>
      <c r="D2204" t="s">
        <v>12</v>
      </c>
      <c r="E2204" t="s">
        <v>22</v>
      </c>
      <c r="F2204" t="s">
        <v>23</v>
      </c>
      <c r="G2204" t="s">
        <v>24</v>
      </c>
      <c r="H2204">
        <v>6</v>
      </c>
      <c r="I2204">
        <v>1608</v>
      </c>
      <c r="J2204">
        <v>302.32</v>
      </c>
    </row>
    <row r="2205" spans="1:10" x14ac:dyDescent="0.25">
      <c r="A2205" s="1">
        <v>44965</v>
      </c>
      <c r="B2205" t="s">
        <v>29</v>
      </c>
      <c r="C2205" t="s">
        <v>17</v>
      </c>
      <c r="D2205" t="s">
        <v>12</v>
      </c>
      <c r="E2205" t="s">
        <v>37</v>
      </c>
      <c r="F2205" t="s">
        <v>34</v>
      </c>
      <c r="G2205" t="s">
        <v>35</v>
      </c>
      <c r="H2205">
        <v>2</v>
      </c>
      <c r="I2205">
        <v>1574</v>
      </c>
      <c r="J2205">
        <v>196.84</v>
      </c>
    </row>
    <row r="2206" spans="1:10" x14ac:dyDescent="0.25">
      <c r="A2206" s="1">
        <v>45548</v>
      </c>
      <c r="B2206" t="s">
        <v>49</v>
      </c>
      <c r="C2206" t="s">
        <v>17</v>
      </c>
      <c r="D2206" t="s">
        <v>12</v>
      </c>
      <c r="E2206" t="s">
        <v>401</v>
      </c>
      <c r="F2206" t="s">
        <v>23</v>
      </c>
      <c r="G2206" t="s">
        <v>24</v>
      </c>
      <c r="H2206">
        <v>3</v>
      </c>
      <c r="I2206">
        <v>2478</v>
      </c>
      <c r="J2206">
        <v>584.37</v>
      </c>
    </row>
    <row r="2207" spans="1:10" x14ac:dyDescent="0.25">
      <c r="A2207" s="1">
        <v>45555</v>
      </c>
      <c r="B2207" t="s">
        <v>29</v>
      </c>
      <c r="C2207" t="s">
        <v>17</v>
      </c>
      <c r="D2207" t="s">
        <v>12</v>
      </c>
      <c r="E2207" t="s">
        <v>401</v>
      </c>
      <c r="F2207" t="s">
        <v>23</v>
      </c>
      <c r="G2207" t="s">
        <v>24</v>
      </c>
      <c r="H2207">
        <v>8</v>
      </c>
      <c r="I2207">
        <v>8872</v>
      </c>
      <c r="J2207">
        <v>1486.58</v>
      </c>
    </row>
    <row r="2208" spans="1:10" x14ac:dyDescent="0.25">
      <c r="A2208" s="1">
        <v>45375</v>
      </c>
      <c r="B2208" t="s">
        <v>10</v>
      </c>
      <c r="C2208" t="s">
        <v>11</v>
      </c>
      <c r="D2208" t="s">
        <v>12</v>
      </c>
      <c r="E2208" t="s">
        <v>75</v>
      </c>
      <c r="F2208" t="s">
        <v>63</v>
      </c>
      <c r="G2208" t="s">
        <v>28</v>
      </c>
      <c r="H2208">
        <v>8</v>
      </c>
      <c r="I2208">
        <v>2320</v>
      </c>
      <c r="J2208">
        <v>668.63</v>
      </c>
    </row>
    <row r="2209" spans="1:10" x14ac:dyDescent="0.25">
      <c r="A2209" s="1">
        <v>45136</v>
      </c>
      <c r="B2209" t="s">
        <v>29</v>
      </c>
      <c r="C2209" t="s">
        <v>17</v>
      </c>
      <c r="D2209" t="s">
        <v>12</v>
      </c>
      <c r="E2209" t="s">
        <v>123</v>
      </c>
      <c r="F2209" t="s">
        <v>63</v>
      </c>
      <c r="G2209" t="s">
        <v>28</v>
      </c>
      <c r="H2209">
        <v>3</v>
      </c>
      <c r="I2209">
        <v>171</v>
      </c>
      <c r="J2209">
        <v>9.02</v>
      </c>
    </row>
    <row r="2210" spans="1:10" x14ac:dyDescent="0.25">
      <c r="A2210" s="1">
        <v>45616</v>
      </c>
      <c r="B2210" t="s">
        <v>49</v>
      </c>
      <c r="C2210" t="s">
        <v>17</v>
      </c>
      <c r="D2210" t="s">
        <v>12</v>
      </c>
      <c r="E2210" t="s">
        <v>264</v>
      </c>
      <c r="F2210" t="s">
        <v>189</v>
      </c>
      <c r="G2210" t="s">
        <v>24</v>
      </c>
      <c r="H2210">
        <v>8</v>
      </c>
      <c r="I2210">
        <v>4536</v>
      </c>
      <c r="J2210">
        <v>627.13</v>
      </c>
    </row>
    <row r="2211" spans="1:10" x14ac:dyDescent="0.25">
      <c r="A2211" s="1">
        <v>45452</v>
      </c>
      <c r="B2211" t="s">
        <v>29</v>
      </c>
      <c r="C2211" t="s">
        <v>17</v>
      </c>
      <c r="D2211" t="s">
        <v>12</v>
      </c>
      <c r="E2211" t="s">
        <v>74</v>
      </c>
      <c r="F2211" t="s">
        <v>23</v>
      </c>
      <c r="G2211" t="s">
        <v>24</v>
      </c>
      <c r="H2211">
        <v>3</v>
      </c>
      <c r="I2211">
        <v>1308</v>
      </c>
      <c r="J2211">
        <v>73.28</v>
      </c>
    </row>
    <row r="2212" spans="1:10" x14ac:dyDescent="0.25">
      <c r="A2212" s="1">
        <v>44861</v>
      </c>
      <c r="B2212" t="s">
        <v>55</v>
      </c>
      <c r="C2212" t="s">
        <v>19</v>
      </c>
      <c r="D2212" t="s">
        <v>12</v>
      </c>
      <c r="E2212" t="s">
        <v>402</v>
      </c>
      <c r="F2212" t="s">
        <v>54</v>
      </c>
      <c r="G2212" t="s">
        <v>24</v>
      </c>
      <c r="H2212">
        <v>4</v>
      </c>
      <c r="I2212">
        <v>4048</v>
      </c>
      <c r="J2212">
        <v>641.23</v>
      </c>
    </row>
    <row r="2213" spans="1:10" x14ac:dyDescent="0.25">
      <c r="A2213" s="1">
        <v>44710</v>
      </c>
      <c r="B2213" t="s">
        <v>18</v>
      </c>
      <c r="C2213" t="s">
        <v>19</v>
      </c>
      <c r="D2213" t="s">
        <v>12</v>
      </c>
      <c r="E2213" t="s">
        <v>402</v>
      </c>
      <c r="F2213" t="s">
        <v>54</v>
      </c>
      <c r="G2213" t="s">
        <v>24</v>
      </c>
      <c r="H2213">
        <v>9</v>
      </c>
      <c r="I2213">
        <v>4041</v>
      </c>
      <c r="J2213">
        <v>963.58</v>
      </c>
    </row>
    <row r="2214" spans="1:10" x14ac:dyDescent="0.25">
      <c r="A2214" s="1">
        <v>45436</v>
      </c>
      <c r="B2214" t="s">
        <v>29</v>
      </c>
      <c r="C2214" t="s">
        <v>17</v>
      </c>
      <c r="D2214" t="s">
        <v>12</v>
      </c>
      <c r="E2214" t="s">
        <v>403</v>
      </c>
      <c r="F2214" t="s">
        <v>149</v>
      </c>
      <c r="G2214" t="s">
        <v>15</v>
      </c>
      <c r="H2214">
        <v>5</v>
      </c>
      <c r="I2214">
        <v>5665</v>
      </c>
      <c r="J2214">
        <v>332.46</v>
      </c>
    </row>
    <row r="2215" spans="1:10" x14ac:dyDescent="0.25">
      <c r="A2215" s="1">
        <v>45259</v>
      </c>
      <c r="B2215" t="s">
        <v>16</v>
      </c>
      <c r="C2215" t="s">
        <v>17</v>
      </c>
      <c r="D2215" t="s">
        <v>12</v>
      </c>
      <c r="E2215" t="s">
        <v>403</v>
      </c>
      <c r="F2215" t="s">
        <v>149</v>
      </c>
      <c r="G2215" t="s">
        <v>15</v>
      </c>
      <c r="H2215">
        <v>6</v>
      </c>
      <c r="I2215">
        <v>6876</v>
      </c>
      <c r="J2215">
        <v>1029.92</v>
      </c>
    </row>
    <row r="2216" spans="1:10" x14ac:dyDescent="0.25">
      <c r="A2216" s="1">
        <v>44987</v>
      </c>
      <c r="B2216" t="s">
        <v>36</v>
      </c>
      <c r="C2216" t="s">
        <v>17</v>
      </c>
      <c r="D2216" t="s">
        <v>12</v>
      </c>
      <c r="E2216" t="s">
        <v>37</v>
      </c>
      <c r="F2216" t="s">
        <v>34</v>
      </c>
      <c r="G2216" t="s">
        <v>35</v>
      </c>
      <c r="H2216">
        <v>1</v>
      </c>
      <c r="I2216">
        <v>617</v>
      </c>
      <c r="J2216">
        <v>145.37</v>
      </c>
    </row>
    <row r="2217" spans="1:10" x14ac:dyDescent="0.25">
      <c r="A2217" s="1">
        <v>44819</v>
      </c>
      <c r="B2217" t="s">
        <v>36</v>
      </c>
      <c r="C2217" t="s">
        <v>17</v>
      </c>
      <c r="D2217" t="s">
        <v>12</v>
      </c>
      <c r="E2217" t="s">
        <v>67</v>
      </c>
      <c r="F2217" t="s">
        <v>54</v>
      </c>
      <c r="G2217" t="s">
        <v>24</v>
      </c>
      <c r="H2217">
        <v>6</v>
      </c>
      <c r="I2217">
        <v>1440</v>
      </c>
      <c r="J2217">
        <v>130.4</v>
      </c>
    </row>
    <row r="2218" spans="1:10" x14ac:dyDescent="0.25">
      <c r="A2218" s="1">
        <v>45399</v>
      </c>
      <c r="B2218" t="s">
        <v>32</v>
      </c>
      <c r="C2218" t="s">
        <v>19</v>
      </c>
      <c r="D2218" t="s">
        <v>12</v>
      </c>
      <c r="E2218" t="s">
        <v>67</v>
      </c>
      <c r="F2218" t="s">
        <v>54</v>
      </c>
      <c r="G2218" t="s">
        <v>24</v>
      </c>
      <c r="H2218">
        <v>8</v>
      </c>
      <c r="I2218">
        <v>472</v>
      </c>
      <c r="J2218">
        <v>116.36</v>
      </c>
    </row>
    <row r="2219" spans="1:10" x14ac:dyDescent="0.25">
      <c r="A2219" s="1">
        <v>45107</v>
      </c>
      <c r="B2219" t="s">
        <v>55</v>
      </c>
      <c r="C2219" t="s">
        <v>19</v>
      </c>
      <c r="D2219" t="s">
        <v>12</v>
      </c>
      <c r="E2219" t="s">
        <v>67</v>
      </c>
      <c r="F2219" t="s">
        <v>54</v>
      </c>
      <c r="G2219" t="s">
        <v>24</v>
      </c>
      <c r="H2219">
        <v>5</v>
      </c>
      <c r="I2219">
        <v>5640</v>
      </c>
      <c r="J2219">
        <v>1227.77</v>
      </c>
    </row>
    <row r="2220" spans="1:10" x14ac:dyDescent="0.25">
      <c r="A2220" s="1">
        <v>44860</v>
      </c>
      <c r="B2220" t="s">
        <v>29</v>
      </c>
      <c r="C2220" t="s">
        <v>17</v>
      </c>
      <c r="D2220" t="s">
        <v>12</v>
      </c>
      <c r="E2220" t="s">
        <v>37</v>
      </c>
      <c r="F2220" t="s">
        <v>34</v>
      </c>
      <c r="G2220" t="s">
        <v>35</v>
      </c>
      <c r="H2220">
        <v>6</v>
      </c>
      <c r="I2220">
        <v>2640</v>
      </c>
      <c r="J2220">
        <v>668.12</v>
      </c>
    </row>
    <row r="2221" spans="1:10" x14ac:dyDescent="0.25">
      <c r="A2221" s="1">
        <v>45486</v>
      </c>
      <c r="B2221" t="s">
        <v>40</v>
      </c>
      <c r="C2221" t="s">
        <v>19</v>
      </c>
      <c r="D2221" t="s">
        <v>12</v>
      </c>
      <c r="E2221" t="s">
        <v>26</v>
      </c>
      <c r="F2221" t="s">
        <v>27</v>
      </c>
      <c r="G2221" t="s">
        <v>28</v>
      </c>
      <c r="H2221">
        <v>3</v>
      </c>
      <c r="I2221">
        <v>768</v>
      </c>
      <c r="J2221">
        <v>72.67</v>
      </c>
    </row>
    <row r="2222" spans="1:10" x14ac:dyDescent="0.25">
      <c r="A2222" s="1">
        <v>45344</v>
      </c>
      <c r="B2222" t="s">
        <v>49</v>
      </c>
      <c r="C2222" t="s">
        <v>17</v>
      </c>
      <c r="D2222" t="s">
        <v>12</v>
      </c>
      <c r="E2222" t="s">
        <v>116</v>
      </c>
      <c r="F2222" t="s">
        <v>42</v>
      </c>
      <c r="G2222" t="s">
        <v>28</v>
      </c>
      <c r="H2222">
        <v>1</v>
      </c>
      <c r="I2222">
        <v>725</v>
      </c>
      <c r="J2222">
        <v>81.96</v>
      </c>
    </row>
    <row r="2223" spans="1:10" x14ac:dyDescent="0.25">
      <c r="A2223" s="1">
        <v>45410</v>
      </c>
      <c r="B2223" t="s">
        <v>29</v>
      </c>
      <c r="C2223" t="s">
        <v>17</v>
      </c>
      <c r="D2223" t="s">
        <v>12</v>
      </c>
      <c r="E2223" t="s">
        <v>123</v>
      </c>
      <c r="F2223" t="s">
        <v>27</v>
      </c>
      <c r="G2223" t="s">
        <v>28</v>
      </c>
      <c r="H2223">
        <v>8</v>
      </c>
      <c r="I2223">
        <v>1080</v>
      </c>
      <c r="J2223">
        <v>210.69</v>
      </c>
    </row>
    <row r="2224" spans="1:10" x14ac:dyDescent="0.25">
      <c r="A2224" s="1">
        <v>45595</v>
      </c>
      <c r="B2224" t="s">
        <v>29</v>
      </c>
      <c r="C2224" t="s">
        <v>17</v>
      </c>
      <c r="D2224" t="s">
        <v>12</v>
      </c>
      <c r="E2224" t="s">
        <v>43</v>
      </c>
      <c r="F2224" t="s">
        <v>44</v>
      </c>
      <c r="G2224" t="s">
        <v>35</v>
      </c>
      <c r="H2224">
        <v>1</v>
      </c>
      <c r="I2224">
        <v>393</v>
      </c>
      <c r="J2224">
        <v>40.340000000000003</v>
      </c>
    </row>
    <row r="2225" spans="1:10" x14ac:dyDescent="0.25">
      <c r="A2225" s="1">
        <v>45454</v>
      </c>
      <c r="B2225" t="s">
        <v>32</v>
      </c>
      <c r="C2225" t="s">
        <v>19</v>
      </c>
      <c r="D2225" t="s">
        <v>12</v>
      </c>
      <c r="E2225" t="s">
        <v>56</v>
      </c>
      <c r="F2225" t="s">
        <v>57</v>
      </c>
      <c r="G2225" t="s">
        <v>24</v>
      </c>
      <c r="H2225">
        <v>4</v>
      </c>
      <c r="I2225">
        <v>1264</v>
      </c>
      <c r="J2225">
        <v>371.92</v>
      </c>
    </row>
    <row r="2226" spans="1:10" x14ac:dyDescent="0.25">
      <c r="A2226" s="1">
        <v>44807</v>
      </c>
      <c r="B2226" t="s">
        <v>29</v>
      </c>
      <c r="C2226" t="s">
        <v>17</v>
      </c>
      <c r="D2226" t="s">
        <v>12</v>
      </c>
      <c r="E2226" t="s">
        <v>56</v>
      </c>
      <c r="F2226" t="s">
        <v>57</v>
      </c>
      <c r="G2226" t="s">
        <v>24</v>
      </c>
      <c r="H2226">
        <v>9</v>
      </c>
      <c r="I2226">
        <v>4797</v>
      </c>
      <c r="J2226">
        <v>1193.95</v>
      </c>
    </row>
    <row r="2227" spans="1:10" x14ac:dyDescent="0.25">
      <c r="A2227" s="1">
        <v>44647</v>
      </c>
      <c r="B2227" t="s">
        <v>18</v>
      </c>
      <c r="C2227" t="s">
        <v>19</v>
      </c>
      <c r="D2227" t="s">
        <v>12</v>
      </c>
      <c r="E2227" t="s">
        <v>404</v>
      </c>
      <c r="F2227" t="s">
        <v>115</v>
      </c>
      <c r="G2227" t="s">
        <v>15</v>
      </c>
      <c r="H2227">
        <v>8</v>
      </c>
      <c r="I2227">
        <v>2080</v>
      </c>
      <c r="J2227">
        <v>151.13999999999999</v>
      </c>
    </row>
    <row r="2228" spans="1:10" x14ac:dyDescent="0.25">
      <c r="A2228" s="1">
        <v>44608</v>
      </c>
      <c r="B2228" t="s">
        <v>25</v>
      </c>
      <c r="C2228" t="s">
        <v>19</v>
      </c>
      <c r="D2228" t="s">
        <v>12</v>
      </c>
      <c r="E2228" t="s">
        <v>125</v>
      </c>
      <c r="F2228" t="s">
        <v>126</v>
      </c>
      <c r="G2228" t="s">
        <v>35</v>
      </c>
      <c r="H2228">
        <v>4</v>
      </c>
      <c r="I2228">
        <v>3812</v>
      </c>
      <c r="J2228">
        <v>312.8</v>
      </c>
    </row>
    <row r="2229" spans="1:10" x14ac:dyDescent="0.25">
      <c r="A2229" s="1">
        <v>45347</v>
      </c>
      <c r="B2229" t="s">
        <v>16</v>
      </c>
      <c r="C2229" t="s">
        <v>17</v>
      </c>
      <c r="D2229" t="s">
        <v>12</v>
      </c>
      <c r="E2229" t="s">
        <v>52</v>
      </c>
      <c r="F2229" t="s">
        <v>42</v>
      </c>
      <c r="G2229" t="s">
        <v>28</v>
      </c>
      <c r="H2229">
        <v>5</v>
      </c>
      <c r="I2229">
        <v>3695</v>
      </c>
      <c r="J2229">
        <v>463.57</v>
      </c>
    </row>
    <row r="2230" spans="1:10" x14ac:dyDescent="0.25">
      <c r="A2230" s="1">
        <v>44592</v>
      </c>
      <c r="B2230" t="s">
        <v>16</v>
      </c>
      <c r="C2230" t="s">
        <v>17</v>
      </c>
      <c r="D2230" t="s">
        <v>12</v>
      </c>
      <c r="E2230" t="s">
        <v>61</v>
      </c>
      <c r="F2230" t="s">
        <v>23</v>
      </c>
      <c r="G2230" t="s">
        <v>24</v>
      </c>
      <c r="H2230">
        <v>1</v>
      </c>
      <c r="I2230">
        <v>1159</v>
      </c>
      <c r="J2230">
        <v>344.22</v>
      </c>
    </row>
    <row r="2231" spans="1:10" x14ac:dyDescent="0.25">
      <c r="A2231" s="1">
        <v>45510</v>
      </c>
      <c r="B2231" t="s">
        <v>18</v>
      </c>
      <c r="C2231" t="s">
        <v>19</v>
      </c>
      <c r="D2231" t="s">
        <v>12</v>
      </c>
      <c r="E2231" t="s">
        <v>26</v>
      </c>
      <c r="F2231" t="s">
        <v>27</v>
      </c>
      <c r="G2231" t="s">
        <v>28</v>
      </c>
      <c r="H2231">
        <v>9</v>
      </c>
      <c r="I2231">
        <v>4149</v>
      </c>
      <c r="J2231">
        <v>605.52</v>
      </c>
    </row>
    <row r="2232" spans="1:10" x14ac:dyDescent="0.25">
      <c r="A2232" s="1">
        <v>45265</v>
      </c>
      <c r="B2232" t="s">
        <v>49</v>
      </c>
      <c r="C2232" t="s">
        <v>17</v>
      </c>
      <c r="D2232" t="s">
        <v>12</v>
      </c>
      <c r="E2232" t="s">
        <v>26</v>
      </c>
      <c r="F2232" t="s">
        <v>27</v>
      </c>
      <c r="G2232" t="s">
        <v>28</v>
      </c>
      <c r="H2232">
        <v>2</v>
      </c>
      <c r="I2232">
        <v>1446</v>
      </c>
      <c r="J2232">
        <v>171.73</v>
      </c>
    </row>
    <row r="2233" spans="1:10" x14ac:dyDescent="0.25">
      <c r="A2233" s="1">
        <v>45497</v>
      </c>
      <c r="B2233" t="s">
        <v>55</v>
      </c>
      <c r="C2233" t="s">
        <v>19</v>
      </c>
      <c r="D2233" t="s">
        <v>12</v>
      </c>
      <c r="E2233" t="s">
        <v>26</v>
      </c>
      <c r="F2233" t="s">
        <v>27</v>
      </c>
      <c r="G2233" t="s">
        <v>28</v>
      </c>
      <c r="H2233">
        <v>1</v>
      </c>
      <c r="I2233">
        <v>225</v>
      </c>
      <c r="J2233">
        <v>48.82</v>
      </c>
    </row>
    <row r="2234" spans="1:10" x14ac:dyDescent="0.25">
      <c r="A2234" s="1">
        <v>44904</v>
      </c>
      <c r="B2234" t="s">
        <v>29</v>
      </c>
      <c r="C2234" t="s">
        <v>17</v>
      </c>
      <c r="D2234" t="s">
        <v>12</v>
      </c>
      <c r="E2234" t="s">
        <v>43</v>
      </c>
      <c r="F2234" t="s">
        <v>44</v>
      </c>
      <c r="G2234" t="s">
        <v>35</v>
      </c>
      <c r="H2234">
        <v>1</v>
      </c>
      <c r="I2234">
        <v>355</v>
      </c>
      <c r="J2234">
        <v>26.8</v>
      </c>
    </row>
    <row r="2235" spans="1:10" x14ac:dyDescent="0.25">
      <c r="A2235" s="1">
        <v>45184</v>
      </c>
      <c r="B2235" t="s">
        <v>18</v>
      </c>
      <c r="C2235" t="s">
        <v>19</v>
      </c>
      <c r="D2235" t="s">
        <v>12</v>
      </c>
      <c r="E2235" t="s">
        <v>43</v>
      </c>
      <c r="F2235" t="s">
        <v>44</v>
      </c>
      <c r="G2235" t="s">
        <v>35</v>
      </c>
      <c r="H2235">
        <v>7</v>
      </c>
      <c r="I2235">
        <v>3164</v>
      </c>
      <c r="J2235">
        <v>166.4</v>
      </c>
    </row>
    <row r="2236" spans="1:10" x14ac:dyDescent="0.25">
      <c r="A2236" s="1">
        <v>44862</v>
      </c>
      <c r="B2236" t="s">
        <v>32</v>
      </c>
      <c r="C2236" t="s">
        <v>19</v>
      </c>
      <c r="D2236" t="s">
        <v>12</v>
      </c>
      <c r="E2236" t="s">
        <v>52</v>
      </c>
      <c r="F2236" t="s">
        <v>42</v>
      </c>
      <c r="G2236" t="s">
        <v>28</v>
      </c>
      <c r="H2236">
        <v>1</v>
      </c>
      <c r="I2236">
        <v>498</v>
      </c>
      <c r="J2236">
        <v>38.67</v>
      </c>
    </row>
    <row r="2237" spans="1:10" x14ac:dyDescent="0.25">
      <c r="A2237" s="1">
        <v>45044</v>
      </c>
      <c r="B2237" t="s">
        <v>29</v>
      </c>
      <c r="C2237" t="s">
        <v>17</v>
      </c>
      <c r="D2237" t="s">
        <v>12</v>
      </c>
      <c r="E2237" t="s">
        <v>22</v>
      </c>
      <c r="F2237" t="s">
        <v>23</v>
      </c>
      <c r="G2237" t="s">
        <v>24</v>
      </c>
      <c r="H2237">
        <v>5</v>
      </c>
      <c r="I2237">
        <v>1315</v>
      </c>
      <c r="J2237">
        <v>217.79</v>
      </c>
    </row>
    <row r="2238" spans="1:10" x14ac:dyDescent="0.25">
      <c r="A2238" s="1">
        <v>45548</v>
      </c>
      <c r="B2238" t="s">
        <v>29</v>
      </c>
      <c r="C2238" t="s">
        <v>17</v>
      </c>
      <c r="D2238" t="s">
        <v>12</v>
      </c>
      <c r="E2238" t="s">
        <v>22</v>
      </c>
      <c r="F2238" t="s">
        <v>23</v>
      </c>
      <c r="G2238" t="s">
        <v>24</v>
      </c>
      <c r="H2238">
        <v>5</v>
      </c>
      <c r="I2238">
        <v>2805</v>
      </c>
      <c r="J2238">
        <v>438.89</v>
      </c>
    </row>
    <row r="2239" spans="1:10" x14ac:dyDescent="0.25">
      <c r="A2239" s="1">
        <v>44866</v>
      </c>
      <c r="B2239" t="s">
        <v>36</v>
      </c>
      <c r="C2239" t="s">
        <v>17</v>
      </c>
      <c r="D2239" t="s">
        <v>12</v>
      </c>
      <c r="E2239" t="s">
        <v>70</v>
      </c>
      <c r="F2239" t="s">
        <v>71</v>
      </c>
      <c r="G2239" t="s">
        <v>35</v>
      </c>
      <c r="H2239">
        <v>5</v>
      </c>
      <c r="I2239">
        <v>5180</v>
      </c>
      <c r="J2239">
        <v>726.62</v>
      </c>
    </row>
    <row r="2240" spans="1:10" x14ac:dyDescent="0.25">
      <c r="A2240" s="1">
        <v>44719</v>
      </c>
      <c r="B2240" t="s">
        <v>25</v>
      </c>
      <c r="C2240" t="s">
        <v>19</v>
      </c>
      <c r="D2240" t="s">
        <v>12</v>
      </c>
      <c r="E2240" t="s">
        <v>262</v>
      </c>
      <c r="F2240" t="s">
        <v>34</v>
      </c>
      <c r="G2240" t="s">
        <v>35</v>
      </c>
      <c r="H2240">
        <v>5</v>
      </c>
      <c r="I2240">
        <v>4045</v>
      </c>
      <c r="J2240">
        <v>203.35</v>
      </c>
    </row>
    <row r="2241" spans="1:10" x14ac:dyDescent="0.25">
      <c r="A2241" s="1">
        <v>45465</v>
      </c>
      <c r="B2241" t="s">
        <v>55</v>
      </c>
      <c r="C2241" t="s">
        <v>19</v>
      </c>
      <c r="D2241" t="s">
        <v>12</v>
      </c>
      <c r="E2241" t="s">
        <v>130</v>
      </c>
      <c r="F2241" t="s">
        <v>14</v>
      </c>
      <c r="G2241" t="s">
        <v>15</v>
      </c>
      <c r="H2241">
        <v>9</v>
      </c>
      <c r="I2241">
        <v>8793</v>
      </c>
      <c r="J2241">
        <v>2262.4299999999998</v>
      </c>
    </row>
    <row r="2242" spans="1:10" x14ac:dyDescent="0.25">
      <c r="A2242" s="1">
        <v>45512</v>
      </c>
      <c r="B2242" t="s">
        <v>29</v>
      </c>
      <c r="C2242" t="s">
        <v>17</v>
      </c>
      <c r="D2242" t="s">
        <v>12</v>
      </c>
      <c r="E2242" t="s">
        <v>130</v>
      </c>
      <c r="F2242" t="s">
        <v>14</v>
      </c>
      <c r="G2242" t="s">
        <v>15</v>
      </c>
      <c r="H2242">
        <v>8</v>
      </c>
      <c r="I2242">
        <v>2592</v>
      </c>
      <c r="J2242">
        <v>526.38</v>
      </c>
    </row>
    <row r="2243" spans="1:10" x14ac:dyDescent="0.25">
      <c r="A2243" s="1">
        <v>44600</v>
      </c>
      <c r="B2243" t="s">
        <v>49</v>
      </c>
      <c r="C2243" t="s">
        <v>17</v>
      </c>
      <c r="D2243" t="s">
        <v>12</v>
      </c>
      <c r="E2243" t="s">
        <v>130</v>
      </c>
      <c r="F2243" t="s">
        <v>14</v>
      </c>
      <c r="G2243" t="s">
        <v>15</v>
      </c>
      <c r="H2243">
        <v>7</v>
      </c>
      <c r="I2243">
        <v>7819</v>
      </c>
      <c r="J2243">
        <v>1708.84</v>
      </c>
    </row>
    <row r="2244" spans="1:10" x14ac:dyDescent="0.25">
      <c r="A2244" s="1">
        <v>45484</v>
      </c>
      <c r="B2244" t="s">
        <v>32</v>
      </c>
      <c r="C2244" t="s">
        <v>19</v>
      </c>
      <c r="D2244" t="s">
        <v>12</v>
      </c>
      <c r="E2244" t="s">
        <v>62</v>
      </c>
      <c r="F2244" t="s">
        <v>59</v>
      </c>
      <c r="G2244" t="s">
        <v>28</v>
      </c>
      <c r="H2244">
        <v>7</v>
      </c>
      <c r="I2244">
        <v>2919</v>
      </c>
      <c r="J2244">
        <v>325.35000000000002</v>
      </c>
    </row>
    <row r="2245" spans="1:10" x14ac:dyDescent="0.25">
      <c r="A2245" s="1">
        <v>45080</v>
      </c>
      <c r="B2245" t="s">
        <v>10</v>
      </c>
      <c r="C2245" t="s">
        <v>11</v>
      </c>
      <c r="D2245" t="s">
        <v>12</v>
      </c>
      <c r="E2245" t="s">
        <v>22</v>
      </c>
      <c r="F2245" t="s">
        <v>23</v>
      </c>
      <c r="G2245" t="s">
        <v>24</v>
      </c>
      <c r="H2245">
        <v>3</v>
      </c>
      <c r="I2245">
        <v>768</v>
      </c>
      <c r="J2245">
        <v>85.37</v>
      </c>
    </row>
    <row r="2246" spans="1:10" x14ac:dyDescent="0.25">
      <c r="A2246" s="1">
        <v>45262</v>
      </c>
      <c r="B2246" t="s">
        <v>40</v>
      </c>
      <c r="C2246" t="s">
        <v>19</v>
      </c>
      <c r="D2246" t="s">
        <v>12</v>
      </c>
      <c r="E2246" t="s">
        <v>74</v>
      </c>
      <c r="F2246" t="s">
        <v>23</v>
      </c>
      <c r="G2246" t="s">
        <v>24</v>
      </c>
      <c r="H2246">
        <v>2</v>
      </c>
      <c r="I2246">
        <v>1736</v>
      </c>
      <c r="J2246">
        <v>388.09</v>
      </c>
    </row>
    <row r="2247" spans="1:10" x14ac:dyDescent="0.25">
      <c r="A2247" s="1">
        <v>45125</v>
      </c>
      <c r="B2247" t="s">
        <v>32</v>
      </c>
      <c r="C2247" t="s">
        <v>19</v>
      </c>
      <c r="D2247" t="s">
        <v>12</v>
      </c>
      <c r="E2247" t="s">
        <v>215</v>
      </c>
      <c r="F2247" t="s">
        <v>63</v>
      </c>
      <c r="G2247" t="s">
        <v>28</v>
      </c>
      <c r="H2247">
        <v>7</v>
      </c>
      <c r="I2247">
        <v>6293</v>
      </c>
      <c r="J2247">
        <v>389.22</v>
      </c>
    </row>
    <row r="2248" spans="1:10" x14ac:dyDescent="0.25">
      <c r="A2248" s="1">
        <v>45372</v>
      </c>
      <c r="B2248" t="s">
        <v>29</v>
      </c>
      <c r="C2248" t="s">
        <v>17</v>
      </c>
      <c r="D2248" t="s">
        <v>12</v>
      </c>
      <c r="E2248" t="s">
        <v>275</v>
      </c>
      <c r="F2248" t="s">
        <v>173</v>
      </c>
      <c r="G2248" t="s">
        <v>24</v>
      </c>
      <c r="H2248">
        <v>6</v>
      </c>
      <c r="I2248">
        <v>3684</v>
      </c>
      <c r="J2248">
        <v>477.02</v>
      </c>
    </row>
    <row r="2249" spans="1:10" x14ac:dyDescent="0.25">
      <c r="A2249" s="1">
        <v>45650</v>
      </c>
      <c r="B2249" t="s">
        <v>10</v>
      </c>
      <c r="C2249" t="s">
        <v>11</v>
      </c>
      <c r="D2249" t="s">
        <v>12</v>
      </c>
      <c r="E2249" t="s">
        <v>22</v>
      </c>
      <c r="F2249" t="s">
        <v>23</v>
      </c>
      <c r="G2249" t="s">
        <v>24</v>
      </c>
      <c r="H2249">
        <v>9</v>
      </c>
      <c r="I2249">
        <v>8370</v>
      </c>
      <c r="J2249">
        <v>1064.6500000000001</v>
      </c>
    </row>
    <row r="2250" spans="1:10" x14ac:dyDescent="0.25">
      <c r="A2250" s="1">
        <v>45162</v>
      </c>
      <c r="B2250" t="s">
        <v>49</v>
      </c>
      <c r="C2250" t="s">
        <v>17</v>
      </c>
      <c r="D2250" t="s">
        <v>12</v>
      </c>
      <c r="E2250" t="s">
        <v>224</v>
      </c>
      <c r="F2250" t="s">
        <v>34</v>
      </c>
      <c r="G2250" t="s">
        <v>35</v>
      </c>
      <c r="H2250">
        <v>4</v>
      </c>
      <c r="I2250">
        <v>3788</v>
      </c>
      <c r="J2250">
        <v>875.54</v>
      </c>
    </row>
    <row r="2251" spans="1:10" x14ac:dyDescent="0.25">
      <c r="A2251" s="1">
        <v>45160</v>
      </c>
      <c r="B2251" t="s">
        <v>55</v>
      </c>
      <c r="C2251" t="s">
        <v>19</v>
      </c>
      <c r="D2251" t="s">
        <v>12</v>
      </c>
      <c r="E2251" t="s">
        <v>405</v>
      </c>
      <c r="F2251" t="s">
        <v>183</v>
      </c>
      <c r="G2251" t="s">
        <v>15</v>
      </c>
      <c r="H2251">
        <v>8</v>
      </c>
      <c r="I2251">
        <v>8296</v>
      </c>
      <c r="J2251">
        <v>1884.18</v>
      </c>
    </row>
    <row r="2252" spans="1:10" x14ac:dyDescent="0.25">
      <c r="A2252" s="1">
        <v>44844</v>
      </c>
      <c r="B2252" t="s">
        <v>18</v>
      </c>
      <c r="C2252" t="s">
        <v>19</v>
      </c>
      <c r="D2252" t="s">
        <v>12</v>
      </c>
      <c r="E2252" t="s">
        <v>176</v>
      </c>
      <c r="F2252" t="s">
        <v>84</v>
      </c>
      <c r="G2252" t="s">
        <v>28</v>
      </c>
      <c r="H2252">
        <v>5</v>
      </c>
      <c r="I2252">
        <v>325</v>
      </c>
      <c r="J2252">
        <v>21.01</v>
      </c>
    </row>
    <row r="2253" spans="1:10" x14ac:dyDescent="0.25">
      <c r="A2253" s="1">
        <v>45520</v>
      </c>
      <c r="B2253" t="s">
        <v>25</v>
      </c>
      <c r="C2253" t="s">
        <v>19</v>
      </c>
      <c r="D2253" t="s">
        <v>12</v>
      </c>
      <c r="E2253" t="s">
        <v>176</v>
      </c>
      <c r="F2253" t="s">
        <v>84</v>
      </c>
      <c r="G2253" t="s">
        <v>28</v>
      </c>
      <c r="H2253">
        <v>2</v>
      </c>
      <c r="I2253">
        <v>2216</v>
      </c>
      <c r="J2253">
        <v>444.36</v>
      </c>
    </row>
    <row r="2254" spans="1:10" x14ac:dyDescent="0.25">
      <c r="A2254" s="1">
        <v>44592</v>
      </c>
      <c r="B2254" t="s">
        <v>55</v>
      </c>
      <c r="C2254" t="s">
        <v>19</v>
      </c>
      <c r="D2254" t="s">
        <v>12</v>
      </c>
      <c r="E2254" t="s">
        <v>176</v>
      </c>
      <c r="F2254" t="s">
        <v>84</v>
      </c>
      <c r="G2254" t="s">
        <v>28</v>
      </c>
      <c r="H2254">
        <v>8</v>
      </c>
      <c r="I2254">
        <v>7064</v>
      </c>
      <c r="J2254">
        <v>1873.02</v>
      </c>
    </row>
    <row r="2255" spans="1:10" x14ac:dyDescent="0.25">
      <c r="A2255" s="1">
        <v>45512</v>
      </c>
      <c r="B2255" t="s">
        <v>16</v>
      </c>
      <c r="C2255" t="s">
        <v>17</v>
      </c>
      <c r="D2255" t="s">
        <v>12</v>
      </c>
      <c r="E2255" t="s">
        <v>199</v>
      </c>
      <c r="F2255" t="s">
        <v>200</v>
      </c>
      <c r="G2255" t="s">
        <v>28</v>
      </c>
      <c r="H2255">
        <v>9</v>
      </c>
      <c r="I2255">
        <v>2538</v>
      </c>
      <c r="J2255">
        <v>575.41</v>
      </c>
    </row>
    <row r="2256" spans="1:10" x14ac:dyDescent="0.25">
      <c r="A2256" s="1">
        <v>45364</v>
      </c>
      <c r="B2256" t="s">
        <v>29</v>
      </c>
      <c r="C2256" t="s">
        <v>17</v>
      </c>
      <c r="D2256" t="s">
        <v>12</v>
      </c>
      <c r="E2256" t="s">
        <v>199</v>
      </c>
      <c r="F2256" t="s">
        <v>200</v>
      </c>
      <c r="G2256" t="s">
        <v>28</v>
      </c>
      <c r="H2256">
        <v>1</v>
      </c>
      <c r="I2256">
        <v>1151</v>
      </c>
      <c r="J2256">
        <v>77.22</v>
      </c>
    </row>
    <row r="2257" spans="1:10" x14ac:dyDescent="0.25">
      <c r="A2257" s="1">
        <v>44579</v>
      </c>
      <c r="B2257" t="s">
        <v>49</v>
      </c>
      <c r="C2257" t="s">
        <v>17</v>
      </c>
      <c r="D2257" t="s">
        <v>12</v>
      </c>
      <c r="E2257" t="s">
        <v>87</v>
      </c>
      <c r="F2257" t="s">
        <v>71</v>
      </c>
      <c r="G2257" t="s">
        <v>35</v>
      </c>
      <c r="H2257">
        <v>1</v>
      </c>
      <c r="I2257">
        <v>717</v>
      </c>
      <c r="J2257">
        <v>137.27000000000001</v>
      </c>
    </row>
    <row r="2258" spans="1:10" x14ac:dyDescent="0.25">
      <c r="A2258" s="1">
        <v>44573</v>
      </c>
      <c r="B2258" t="s">
        <v>32</v>
      </c>
      <c r="C2258" t="s">
        <v>19</v>
      </c>
      <c r="D2258" t="s">
        <v>12</v>
      </c>
      <c r="E2258" t="s">
        <v>185</v>
      </c>
      <c r="F2258" t="s">
        <v>115</v>
      </c>
      <c r="G2258" t="s">
        <v>15</v>
      </c>
      <c r="H2258">
        <v>8</v>
      </c>
      <c r="I2258">
        <v>3048</v>
      </c>
      <c r="J2258">
        <v>444.3</v>
      </c>
    </row>
    <row r="2259" spans="1:10" x14ac:dyDescent="0.25">
      <c r="A2259" s="1">
        <v>45341</v>
      </c>
      <c r="B2259" t="s">
        <v>49</v>
      </c>
      <c r="C2259" t="s">
        <v>17</v>
      </c>
      <c r="D2259" t="s">
        <v>12</v>
      </c>
      <c r="E2259" t="s">
        <v>56</v>
      </c>
      <c r="F2259" t="s">
        <v>57</v>
      </c>
      <c r="G2259" t="s">
        <v>24</v>
      </c>
      <c r="H2259">
        <v>3</v>
      </c>
      <c r="I2259">
        <v>2070</v>
      </c>
      <c r="J2259">
        <v>163.22999999999999</v>
      </c>
    </row>
    <row r="2260" spans="1:10" x14ac:dyDescent="0.25">
      <c r="A2260" s="1">
        <v>45152</v>
      </c>
      <c r="B2260" t="s">
        <v>25</v>
      </c>
      <c r="C2260" t="s">
        <v>19</v>
      </c>
      <c r="D2260" t="s">
        <v>12</v>
      </c>
      <c r="E2260" t="s">
        <v>86</v>
      </c>
      <c r="F2260" t="s">
        <v>84</v>
      </c>
      <c r="G2260" t="s">
        <v>28</v>
      </c>
      <c r="H2260">
        <v>5</v>
      </c>
      <c r="I2260">
        <v>3630</v>
      </c>
      <c r="J2260">
        <v>537.92999999999995</v>
      </c>
    </row>
    <row r="2261" spans="1:10" x14ac:dyDescent="0.25">
      <c r="A2261" s="1">
        <v>44664</v>
      </c>
      <c r="B2261" t="s">
        <v>18</v>
      </c>
      <c r="C2261" t="s">
        <v>19</v>
      </c>
      <c r="D2261" t="s">
        <v>12</v>
      </c>
      <c r="E2261" t="s">
        <v>70</v>
      </c>
      <c r="F2261" t="s">
        <v>71</v>
      </c>
      <c r="G2261" t="s">
        <v>35</v>
      </c>
      <c r="H2261">
        <v>7</v>
      </c>
      <c r="I2261">
        <v>896</v>
      </c>
      <c r="J2261">
        <v>219.98</v>
      </c>
    </row>
    <row r="2262" spans="1:10" x14ac:dyDescent="0.25">
      <c r="A2262" s="1">
        <v>45351</v>
      </c>
      <c r="B2262" t="s">
        <v>18</v>
      </c>
      <c r="C2262" t="s">
        <v>19</v>
      </c>
      <c r="D2262" t="s">
        <v>12</v>
      </c>
      <c r="E2262" t="s">
        <v>229</v>
      </c>
      <c r="F2262" t="s">
        <v>149</v>
      </c>
      <c r="G2262" t="s">
        <v>15</v>
      </c>
      <c r="H2262">
        <v>7</v>
      </c>
      <c r="I2262">
        <v>1981</v>
      </c>
      <c r="J2262">
        <v>311.44</v>
      </c>
    </row>
    <row r="2263" spans="1:10" x14ac:dyDescent="0.25">
      <c r="A2263" s="1">
        <v>45123</v>
      </c>
      <c r="B2263" t="s">
        <v>29</v>
      </c>
      <c r="C2263" t="s">
        <v>17</v>
      </c>
      <c r="D2263" t="s">
        <v>12</v>
      </c>
      <c r="E2263" t="s">
        <v>268</v>
      </c>
      <c r="F2263" t="s">
        <v>34</v>
      </c>
      <c r="G2263" t="s">
        <v>35</v>
      </c>
      <c r="H2263">
        <v>6</v>
      </c>
      <c r="I2263">
        <v>7140</v>
      </c>
      <c r="J2263">
        <v>605.22</v>
      </c>
    </row>
    <row r="2264" spans="1:10" x14ac:dyDescent="0.25">
      <c r="A2264" s="1">
        <v>45029</v>
      </c>
      <c r="B2264" t="s">
        <v>36</v>
      </c>
      <c r="C2264" t="s">
        <v>17</v>
      </c>
      <c r="D2264" t="s">
        <v>12</v>
      </c>
      <c r="E2264" t="s">
        <v>56</v>
      </c>
      <c r="F2264" t="s">
        <v>57</v>
      </c>
      <c r="G2264" t="s">
        <v>24</v>
      </c>
      <c r="H2264">
        <v>5</v>
      </c>
      <c r="I2264">
        <v>1015</v>
      </c>
      <c r="J2264">
        <v>85.06</v>
      </c>
    </row>
    <row r="2265" spans="1:10" x14ac:dyDescent="0.25">
      <c r="A2265" s="1">
        <v>45516</v>
      </c>
      <c r="B2265" t="s">
        <v>29</v>
      </c>
      <c r="C2265" t="s">
        <v>17</v>
      </c>
      <c r="D2265" t="s">
        <v>12</v>
      </c>
      <c r="E2265" t="s">
        <v>111</v>
      </c>
      <c r="F2265" t="s">
        <v>115</v>
      </c>
      <c r="G2265" t="s">
        <v>15</v>
      </c>
      <c r="H2265">
        <v>4</v>
      </c>
      <c r="I2265">
        <v>524</v>
      </c>
      <c r="J2265">
        <v>52.31</v>
      </c>
    </row>
    <row r="2266" spans="1:10" x14ac:dyDescent="0.25">
      <c r="A2266" s="1">
        <v>45126</v>
      </c>
      <c r="B2266" t="s">
        <v>32</v>
      </c>
      <c r="C2266" t="s">
        <v>19</v>
      </c>
      <c r="D2266" t="s">
        <v>12</v>
      </c>
      <c r="E2266" t="s">
        <v>103</v>
      </c>
      <c r="F2266" t="s">
        <v>149</v>
      </c>
      <c r="G2266" t="s">
        <v>15</v>
      </c>
      <c r="H2266">
        <v>2</v>
      </c>
      <c r="I2266">
        <v>1678</v>
      </c>
      <c r="J2266">
        <v>372.78</v>
      </c>
    </row>
    <row r="2267" spans="1:10" x14ac:dyDescent="0.25">
      <c r="A2267" s="1">
        <v>45072</v>
      </c>
      <c r="B2267" t="s">
        <v>18</v>
      </c>
      <c r="C2267" t="s">
        <v>19</v>
      </c>
      <c r="D2267" t="s">
        <v>12</v>
      </c>
      <c r="E2267" t="s">
        <v>322</v>
      </c>
      <c r="F2267" t="s">
        <v>42</v>
      </c>
      <c r="G2267" t="s">
        <v>28</v>
      </c>
      <c r="H2267">
        <v>4</v>
      </c>
      <c r="I2267">
        <v>3260</v>
      </c>
      <c r="J2267">
        <v>969.76</v>
      </c>
    </row>
    <row r="2268" spans="1:10" x14ac:dyDescent="0.25">
      <c r="A2268" s="1">
        <v>45583</v>
      </c>
      <c r="B2268" t="s">
        <v>29</v>
      </c>
      <c r="C2268" t="s">
        <v>17</v>
      </c>
      <c r="D2268" t="s">
        <v>12</v>
      </c>
      <c r="E2268" t="s">
        <v>47</v>
      </c>
      <c r="F2268" t="s">
        <v>156</v>
      </c>
      <c r="G2268" t="s">
        <v>28</v>
      </c>
      <c r="H2268">
        <v>5</v>
      </c>
      <c r="I2268">
        <v>720</v>
      </c>
      <c r="J2268">
        <v>214.31</v>
      </c>
    </row>
    <row r="2269" spans="1:10" x14ac:dyDescent="0.25">
      <c r="A2269" s="1">
        <v>45416</v>
      </c>
      <c r="B2269" t="s">
        <v>10</v>
      </c>
      <c r="C2269" t="s">
        <v>11</v>
      </c>
      <c r="D2269" t="s">
        <v>12</v>
      </c>
      <c r="E2269" t="s">
        <v>192</v>
      </c>
      <c r="F2269" t="s">
        <v>149</v>
      </c>
      <c r="G2269" t="s">
        <v>15</v>
      </c>
      <c r="H2269">
        <v>4</v>
      </c>
      <c r="I2269">
        <v>1792</v>
      </c>
      <c r="J2269">
        <v>417.99</v>
      </c>
    </row>
    <row r="2270" spans="1:10" x14ac:dyDescent="0.25">
      <c r="A2270" s="1">
        <v>44730</v>
      </c>
      <c r="B2270" t="s">
        <v>18</v>
      </c>
      <c r="C2270" t="s">
        <v>19</v>
      </c>
      <c r="D2270" t="s">
        <v>12</v>
      </c>
      <c r="E2270" t="s">
        <v>43</v>
      </c>
      <c r="F2270" t="s">
        <v>44</v>
      </c>
      <c r="G2270" t="s">
        <v>35</v>
      </c>
      <c r="H2270">
        <v>9</v>
      </c>
      <c r="I2270">
        <v>3096</v>
      </c>
      <c r="J2270">
        <v>505.08</v>
      </c>
    </row>
    <row r="2271" spans="1:10" x14ac:dyDescent="0.25">
      <c r="A2271" s="1">
        <v>45541</v>
      </c>
      <c r="B2271" t="s">
        <v>49</v>
      </c>
      <c r="C2271" t="s">
        <v>17</v>
      </c>
      <c r="D2271" t="s">
        <v>12</v>
      </c>
      <c r="E2271" t="s">
        <v>52</v>
      </c>
      <c r="F2271" t="s">
        <v>42</v>
      </c>
      <c r="G2271" t="s">
        <v>28</v>
      </c>
      <c r="H2271">
        <v>5</v>
      </c>
      <c r="I2271">
        <v>1400</v>
      </c>
      <c r="J2271">
        <v>273.39</v>
      </c>
    </row>
    <row r="2272" spans="1:10" x14ac:dyDescent="0.25">
      <c r="A2272" s="1">
        <v>44962</v>
      </c>
      <c r="B2272" t="s">
        <v>32</v>
      </c>
      <c r="C2272" t="s">
        <v>19</v>
      </c>
      <c r="D2272" t="s">
        <v>12</v>
      </c>
      <c r="E2272" t="s">
        <v>159</v>
      </c>
      <c r="F2272" t="s">
        <v>23</v>
      </c>
      <c r="G2272" t="s">
        <v>24</v>
      </c>
      <c r="H2272">
        <v>4</v>
      </c>
      <c r="I2272">
        <v>508</v>
      </c>
      <c r="J2272">
        <v>37.94</v>
      </c>
    </row>
    <row r="2273" spans="1:10" x14ac:dyDescent="0.25">
      <c r="A2273" s="1">
        <v>44820</v>
      </c>
      <c r="B2273" t="s">
        <v>18</v>
      </c>
      <c r="C2273" t="s">
        <v>19</v>
      </c>
      <c r="D2273" t="s">
        <v>12</v>
      </c>
      <c r="E2273" t="s">
        <v>288</v>
      </c>
      <c r="F2273" t="s">
        <v>156</v>
      </c>
      <c r="G2273" t="s">
        <v>28</v>
      </c>
      <c r="H2273">
        <v>7</v>
      </c>
      <c r="I2273">
        <v>2646</v>
      </c>
      <c r="J2273">
        <v>380.83</v>
      </c>
    </row>
    <row r="2274" spans="1:10" x14ac:dyDescent="0.25">
      <c r="A2274" s="1">
        <v>45358</v>
      </c>
      <c r="B2274" t="s">
        <v>16</v>
      </c>
      <c r="C2274" t="s">
        <v>17</v>
      </c>
      <c r="D2274" t="s">
        <v>12</v>
      </c>
      <c r="E2274" t="s">
        <v>288</v>
      </c>
      <c r="F2274" t="s">
        <v>156</v>
      </c>
      <c r="G2274" t="s">
        <v>28</v>
      </c>
      <c r="H2274">
        <v>1</v>
      </c>
      <c r="I2274">
        <v>357</v>
      </c>
      <c r="J2274">
        <v>79.86</v>
      </c>
    </row>
    <row r="2275" spans="1:10" x14ac:dyDescent="0.25">
      <c r="A2275" s="1">
        <v>45288</v>
      </c>
      <c r="B2275" t="s">
        <v>18</v>
      </c>
      <c r="C2275" t="s">
        <v>19</v>
      </c>
      <c r="D2275" t="s">
        <v>12</v>
      </c>
      <c r="E2275" t="s">
        <v>22</v>
      </c>
      <c r="F2275" t="s">
        <v>23</v>
      </c>
      <c r="G2275" t="s">
        <v>24</v>
      </c>
      <c r="H2275">
        <v>1</v>
      </c>
      <c r="I2275">
        <v>373</v>
      </c>
      <c r="J2275">
        <v>53.15</v>
      </c>
    </row>
    <row r="2276" spans="1:10" x14ac:dyDescent="0.25">
      <c r="A2276" s="1">
        <v>45009</v>
      </c>
      <c r="B2276" t="s">
        <v>40</v>
      </c>
      <c r="C2276" t="s">
        <v>19</v>
      </c>
      <c r="D2276" t="s">
        <v>12</v>
      </c>
      <c r="E2276" t="s">
        <v>22</v>
      </c>
      <c r="F2276" t="s">
        <v>23</v>
      </c>
      <c r="G2276" t="s">
        <v>24</v>
      </c>
      <c r="H2276">
        <v>1</v>
      </c>
      <c r="I2276">
        <v>266</v>
      </c>
      <c r="J2276">
        <v>55.52</v>
      </c>
    </row>
    <row r="2277" spans="1:10" x14ac:dyDescent="0.25">
      <c r="A2277" s="1">
        <v>45572</v>
      </c>
      <c r="B2277" t="s">
        <v>40</v>
      </c>
      <c r="C2277" t="s">
        <v>19</v>
      </c>
      <c r="D2277" t="s">
        <v>12</v>
      </c>
      <c r="E2277" t="s">
        <v>318</v>
      </c>
      <c r="F2277" t="s">
        <v>42</v>
      </c>
      <c r="G2277" t="s">
        <v>28</v>
      </c>
      <c r="H2277">
        <v>4</v>
      </c>
      <c r="I2277">
        <v>344</v>
      </c>
      <c r="J2277">
        <v>25.7</v>
      </c>
    </row>
    <row r="2278" spans="1:10" x14ac:dyDescent="0.25">
      <c r="A2278" s="1">
        <v>45460</v>
      </c>
      <c r="B2278" t="s">
        <v>40</v>
      </c>
      <c r="C2278" t="s">
        <v>19</v>
      </c>
      <c r="D2278" t="s">
        <v>12</v>
      </c>
      <c r="E2278" t="s">
        <v>105</v>
      </c>
      <c r="F2278" t="s">
        <v>23</v>
      </c>
      <c r="G2278" t="s">
        <v>24</v>
      </c>
      <c r="H2278">
        <v>7</v>
      </c>
      <c r="I2278">
        <v>1806</v>
      </c>
      <c r="J2278">
        <v>308.92</v>
      </c>
    </row>
    <row r="2279" spans="1:10" x14ac:dyDescent="0.25">
      <c r="A2279" s="1">
        <v>44995</v>
      </c>
      <c r="B2279" t="s">
        <v>10</v>
      </c>
      <c r="C2279" t="s">
        <v>11</v>
      </c>
      <c r="D2279" t="s">
        <v>12</v>
      </c>
      <c r="E2279" t="s">
        <v>22</v>
      </c>
      <c r="F2279" t="s">
        <v>23</v>
      </c>
      <c r="G2279" t="s">
        <v>24</v>
      </c>
      <c r="H2279">
        <v>9</v>
      </c>
      <c r="I2279">
        <v>7281</v>
      </c>
      <c r="J2279">
        <v>396.28</v>
      </c>
    </row>
    <row r="2280" spans="1:10" x14ac:dyDescent="0.25">
      <c r="A2280" s="1">
        <v>45471</v>
      </c>
      <c r="B2280" t="s">
        <v>32</v>
      </c>
      <c r="C2280" t="s">
        <v>19</v>
      </c>
      <c r="D2280" t="s">
        <v>12</v>
      </c>
      <c r="E2280" t="s">
        <v>56</v>
      </c>
      <c r="F2280" t="s">
        <v>57</v>
      </c>
      <c r="G2280" t="s">
        <v>24</v>
      </c>
      <c r="H2280">
        <v>7</v>
      </c>
      <c r="I2280">
        <v>3094</v>
      </c>
      <c r="J2280">
        <v>463.72</v>
      </c>
    </row>
    <row r="2281" spans="1:10" x14ac:dyDescent="0.25">
      <c r="A2281" s="1">
        <v>45445</v>
      </c>
      <c r="B2281" t="s">
        <v>49</v>
      </c>
      <c r="C2281" t="s">
        <v>17</v>
      </c>
      <c r="D2281" t="s">
        <v>12</v>
      </c>
      <c r="E2281" t="s">
        <v>121</v>
      </c>
      <c r="F2281" t="s">
        <v>122</v>
      </c>
      <c r="G2281" t="s">
        <v>35</v>
      </c>
      <c r="H2281">
        <v>2</v>
      </c>
      <c r="I2281">
        <v>252</v>
      </c>
      <c r="J2281">
        <v>67.37</v>
      </c>
    </row>
    <row r="2282" spans="1:10" x14ac:dyDescent="0.25">
      <c r="A2282" s="1">
        <v>44678</v>
      </c>
      <c r="B2282" t="s">
        <v>25</v>
      </c>
      <c r="C2282" t="s">
        <v>19</v>
      </c>
      <c r="D2282" t="s">
        <v>12</v>
      </c>
      <c r="E2282" t="s">
        <v>260</v>
      </c>
      <c r="F2282" t="s">
        <v>34</v>
      </c>
      <c r="G2282" t="s">
        <v>35</v>
      </c>
      <c r="H2282">
        <v>9</v>
      </c>
      <c r="I2282">
        <v>2691</v>
      </c>
      <c r="J2282">
        <v>761.16</v>
      </c>
    </row>
    <row r="2283" spans="1:10" x14ac:dyDescent="0.25">
      <c r="A2283" s="1">
        <v>45408</v>
      </c>
      <c r="B2283" t="s">
        <v>10</v>
      </c>
      <c r="C2283" t="s">
        <v>11</v>
      </c>
      <c r="D2283" t="s">
        <v>12</v>
      </c>
      <c r="E2283" t="s">
        <v>37</v>
      </c>
      <c r="F2283" t="s">
        <v>34</v>
      </c>
      <c r="G2283" t="s">
        <v>35</v>
      </c>
      <c r="H2283">
        <v>6</v>
      </c>
      <c r="I2283">
        <v>990</v>
      </c>
      <c r="J2283">
        <v>102.83</v>
      </c>
    </row>
    <row r="2284" spans="1:10" x14ac:dyDescent="0.25">
      <c r="A2284" s="1">
        <v>44717</v>
      </c>
      <c r="B2284" t="s">
        <v>32</v>
      </c>
      <c r="C2284" t="s">
        <v>19</v>
      </c>
      <c r="D2284" t="s">
        <v>12</v>
      </c>
      <c r="E2284" t="s">
        <v>138</v>
      </c>
      <c r="F2284" t="s">
        <v>94</v>
      </c>
      <c r="G2284" t="s">
        <v>24</v>
      </c>
      <c r="H2284">
        <v>4</v>
      </c>
      <c r="I2284">
        <v>3236</v>
      </c>
      <c r="J2284">
        <v>655.17999999999995</v>
      </c>
    </row>
    <row r="2285" spans="1:10" x14ac:dyDescent="0.25">
      <c r="A2285" s="1">
        <v>44678</v>
      </c>
      <c r="B2285" t="s">
        <v>55</v>
      </c>
      <c r="C2285" t="s">
        <v>19</v>
      </c>
      <c r="D2285" t="s">
        <v>12</v>
      </c>
      <c r="E2285" t="s">
        <v>138</v>
      </c>
      <c r="F2285" t="s">
        <v>94</v>
      </c>
      <c r="G2285" t="s">
        <v>24</v>
      </c>
      <c r="H2285">
        <v>4</v>
      </c>
      <c r="I2285">
        <v>1076</v>
      </c>
      <c r="J2285">
        <v>124.56</v>
      </c>
    </row>
    <row r="2286" spans="1:10" x14ac:dyDescent="0.25">
      <c r="A2286" s="1">
        <v>44783</v>
      </c>
      <c r="B2286" t="s">
        <v>18</v>
      </c>
      <c r="C2286" t="s">
        <v>19</v>
      </c>
      <c r="D2286" t="s">
        <v>12</v>
      </c>
      <c r="E2286" t="s">
        <v>356</v>
      </c>
      <c r="F2286" t="s">
        <v>23</v>
      </c>
      <c r="G2286" t="s">
        <v>24</v>
      </c>
      <c r="H2286">
        <v>4</v>
      </c>
      <c r="I2286">
        <v>1428</v>
      </c>
      <c r="J2286">
        <v>160.54</v>
      </c>
    </row>
    <row r="2287" spans="1:10" x14ac:dyDescent="0.25">
      <c r="A2287" s="1">
        <v>44673</v>
      </c>
      <c r="B2287" t="s">
        <v>49</v>
      </c>
      <c r="C2287" t="s">
        <v>17</v>
      </c>
      <c r="D2287" t="s">
        <v>12</v>
      </c>
      <c r="E2287" t="s">
        <v>53</v>
      </c>
      <c r="F2287" t="s">
        <v>44</v>
      </c>
      <c r="G2287" t="s">
        <v>35</v>
      </c>
      <c r="H2287">
        <v>5</v>
      </c>
      <c r="I2287">
        <v>1000</v>
      </c>
      <c r="J2287">
        <v>292.04000000000002</v>
      </c>
    </row>
    <row r="2288" spans="1:10" x14ac:dyDescent="0.25">
      <c r="A2288" s="1">
        <v>44722</v>
      </c>
      <c r="B2288" t="s">
        <v>32</v>
      </c>
      <c r="C2288" t="s">
        <v>19</v>
      </c>
      <c r="D2288" t="s">
        <v>12</v>
      </c>
      <c r="E2288" t="s">
        <v>26</v>
      </c>
      <c r="F2288" t="s">
        <v>27</v>
      </c>
      <c r="G2288" t="s">
        <v>28</v>
      </c>
      <c r="H2288">
        <v>9</v>
      </c>
      <c r="I2288">
        <v>3429</v>
      </c>
      <c r="J2288">
        <v>998.82</v>
      </c>
    </row>
    <row r="2289" spans="1:10" x14ac:dyDescent="0.25">
      <c r="A2289" s="1">
        <v>45216</v>
      </c>
      <c r="B2289" t="s">
        <v>36</v>
      </c>
      <c r="C2289" t="s">
        <v>17</v>
      </c>
      <c r="D2289" t="s">
        <v>12</v>
      </c>
      <c r="E2289" t="s">
        <v>406</v>
      </c>
      <c r="F2289" t="s">
        <v>54</v>
      </c>
      <c r="G2289" t="s">
        <v>24</v>
      </c>
      <c r="H2289">
        <v>5</v>
      </c>
      <c r="I2289">
        <v>4730</v>
      </c>
      <c r="J2289">
        <v>1416.1</v>
      </c>
    </row>
    <row r="2290" spans="1:10" x14ac:dyDescent="0.25">
      <c r="A2290" s="1">
        <v>45234</v>
      </c>
      <c r="B2290" t="s">
        <v>36</v>
      </c>
      <c r="C2290" t="s">
        <v>17</v>
      </c>
      <c r="D2290" t="s">
        <v>12</v>
      </c>
      <c r="E2290" t="s">
        <v>406</v>
      </c>
      <c r="F2290" t="s">
        <v>54</v>
      </c>
      <c r="G2290" t="s">
        <v>24</v>
      </c>
      <c r="H2290">
        <v>6</v>
      </c>
      <c r="I2290">
        <v>6630</v>
      </c>
      <c r="J2290">
        <v>512.6</v>
      </c>
    </row>
    <row r="2291" spans="1:10" x14ac:dyDescent="0.25">
      <c r="A2291" s="1">
        <v>45587</v>
      </c>
      <c r="B2291" t="s">
        <v>25</v>
      </c>
      <c r="C2291" t="s">
        <v>19</v>
      </c>
      <c r="D2291" t="s">
        <v>12</v>
      </c>
      <c r="E2291" t="s">
        <v>406</v>
      </c>
      <c r="F2291" t="s">
        <v>54</v>
      </c>
      <c r="G2291" t="s">
        <v>24</v>
      </c>
      <c r="H2291">
        <v>7</v>
      </c>
      <c r="I2291">
        <v>2296</v>
      </c>
      <c r="J2291">
        <v>138.93</v>
      </c>
    </row>
    <row r="2292" spans="1:10" x14ac:dyDescent="0.25">
      <c r="A2292" s="1">
        <v>44941</v>
      </c>
      <c r="B2292" t="s">
        <v>36</v>
      </c>
      <c r="C2292" t="s">
        <v>17</v>
      </c>
      <c r="D2292" t="s">
        <v>12</v>
      </c>
      <c r="E2292" t="s">
        <v>229</v>
      </c>
      <c r="F2292" t="s">
        <v>152</v>
      </c>
      <c r="G2292" t="s">
        <v>15</v>
      </c>
      <c r="H2292">
        <v>7</v>
      </c>
      <c r="I2292">
        <v>7420</v>
      </c>
      <c r="J2292">
        <v>1107.31</v>
      </c>
    </row>
    <row r="2293" spans="1:10" x14ac:dyDescent="0.25">
      <c r="A2293" s="1">
        <v>44674</v>
      </c>
      <c r="B2293" t="s">
        <v>10</v>
      </c>
      <c r="C2293" t="s">
        <v>11</v>
      </c>
      <c r="D2293" t="s">
        <v>12</v>
      </c>
      <c r="E2293" t="s">
        <v>45</v>
      </c>
      <c r="F2293" t="s">
        <v>46</v>
      </c>
      <c r="G2293" t="s">
        <v>15</v>
      </c>
      <c r="H2293">
        <v>7</v>
      </c>
      <c r="I2293">
        <v>2338</v>
      </c>
      <c r="J2293">
        <v>531.5</v>
      </c>
    </row>
    <row r="2294" spans="1:10" x14ac:dyDescent="0.25">
      <c r="A2294" s="1">
        <v>44723</v>
      </c>
      <c r="B2294" t="s">
        <v>49</v>
      </c>
      <c r="C2294" t="s">
        <v>17</v>
      </c>
      <c r="D2294" t="s">
        <v>12</v>
      </c>
      <c r="E2294" t="s">
        <v>45</v>
      </c>
      <c r="F2294" t="s">
        <v>46</v>
      </c>
      <c r="G2294" t="s">
        <v>15</v>
      </c>
      <c r="H2294">
        <v>7</v>
      </c>
      <c r="I2294">
        <v>4039</v>
      </c>
      <c r="J2294">
        <v>420.29</v>
      </c>
    </row>
    <row r="2295" spans="1:10" x14ac:dyDescent="0.25">
      <c r="A2295" s="1">
        <v>45065</v>
      </c>
      <c r="B2295" t="s">
        <v>55</v>
      </c>
      <c r="C2295" t="s">
        <v>19</v>
      </c>
      <c r="D2295" t="s">
        <v>12</v>
      </c>
      <c r="E2295" t="s">
        <v>407</v>
      </c>
      <c r="F2295" t="s">
        <v>23</v>
      </c>
      <c r="G2295" t="s">
        <v>24</v>
      </c>
      <c r="H2295">
        <v>2</v>
      </c>
      <c r="I2295">
        <v>990</v>
      </c>
      <c r="J2295">
        <v>76.87</v>
      </c>
    </row>
    <row r="2296" spans="1:10" x14ac:dyDescent="0.25">
      <c r="A2296" s="1">
        <v>45143</v>
      </c>
      <c r="B2296" t="s">
        <v>55</v>
      </c>
      <c r="C2296" t="s">
        <v>19</v>
      </c>
      <c r="D2296" t="s">
        <v>12</v>
      </c>
      <c r="E2296" t="s">
        <v>407</v>
      </c>
      <c r="F2296" t="s">
        <v>23</v>
      </c>
      <c r="G2296" t="s">
        <v>24</v>
      </c>
      <c r="H2296">
        <v>1</v>
      </c>
      <c r="I2296">
        <v>733</v>
      </c>
      <c r="J2296">
        <v>54.11</v>
      </c>
    </row>
    <row r="2297" spans="1:10" x14ac:dyDescent="0.25">
      <c r="A2297" s="1">
        <v>45315</v>
      </c>
      <c r="B2297" t="s">
        <v>40</v>
      </c>
      <c r="C2297" t="s">
        <v>19</v>
      </c>
      <c r="D2297" t="s">
        <v>12</v>
      </c>
      <c r="E2297" t="s">
        <v>390</v>
      </c>
      <c r="F2297" t="s">
        <v>44</v>
      </c>
      <c r="G2297" t="s">
        <v>35</v>
      </c>
      <c r="H2297">
        <v>3</v>
      </c>
      <c r="I2297">
        <v>2421</v>
      </c>
      <c r="J2297">
        <v>334.61</v>
      </c>
    </row>
    <row r="2298" spans="1:10" x14ac:dyDescent="0.25">
      <c r="A2298" s="1">
        <v>45365</v>
      </c>
      <c r="B2298" t="s">
        <v>49</v>
      </c>
      <c r="C2298" t="s">
        <v>17</v>
      </c>
      <c r="D2298" t="s">
        <v>12</v>
      </c>
      <c r="E2298" t="s">
        <v>26</v>
      </c>
      <c r="F2298" t="s">
        <v>27</v>
      </c>
      <c r="G2298" t="s">
        <v>28</v>
      </c>
      <c r="H2298">
        <v>8</v>
      </c>
      <c r="I2298">
        <v>832</v>
      </c>
      <c r="J2298">
        <v>214.81</v>
      </c>
    </row>
    <row r="2299" spans="1:10" x14ac:dyDescent="0.25">
      <c r="A2299" s="1">
        <v>44694</v>
      </c>
      <c r="B2299" t="s">
        <v>32</v>
      </c>
      <c r="C2299" t="s">
        <v>19</v>
      </c>
      <c r="D2299" t="s">
        <v>12</v>
      </c>
      <c r="E2299" t="s">
        <v>52</v>
      </c>
      <c r="F2299" t="s">
        <v>42</v>
      </c>
      <c r="G2299" t="s">
        <v>28</v>
      </c>
      <c r="H2299">
        <v>1</v>
      </c>
      <c r="I2299">
        <v>483</v>
      </c>
      <c r="J2299">
        <v>98.15</v>
      </c>
    </row>
    <row r="2300" spans="1:10" x14ac:dyDescent="0.25">
      <c r="A2300" s="1">
        <v>44984</v>
      </c>
      <c r="B2300" t="s">
        <v>49</v>
      </c>
      <c r="C2300" t="s">
        <v>17</v>
      </c>
      <c r="D2300" t="s">
        <v>12</v>
      </c>
      <c r="E2300" t="s">
        <v>210</v>
      </c>
      <c r="F2300" t="s">
        <v>34</v>
      </c>
      <c r="G2300" t="s">
        <v>35</v>
      </c>
      <c r="H2300">
        <v>6</v>
      </c>
      <c r="I2300">
        <v>2508</v>
      </c>
      <c r="J2300">
        <v>480.48</v>
      </c>
    </row>
    <row r="2301" spans="1:10" x14ac:dyDescent="0.25">
      <c r="A2301" s="1">
        <v>45200</v>
      </c>
      <c r="B2301" t="s">
        <v>49</v>
      </c>
      <c r="C2301" t="s">
        <v>17</v>
      </c>
      <c r="D2301" t="s">
        <v>12</v>
      </c>
      <c r="E2301" t="s">
        <v>368</v>
      </c>
      <c r="F2301" t="s">
        <v>189</v>
      </c>
      <c r="G2301" t="s">
        <v>24</v>
      </c>
      <c r="H2301">
        <v>7</v>
      </c>
      <c r="I2301">
        <v>4032</v>
      </c>
      <c r="J2301">
        <v>426.13</v>
      </c>
    </row>
    <row r="2302" spans="1:10" x14ac:dyDescent="0.25">
      <c r="A2302" s="1">
        <v>44666</v>
      </c>
      <c r="B2302" t="s">
        <v>49</v>
      </c>
      <c r="C2302" t="s">
        <v>17</v>
      </c>
      <c r="D2302" t="s">
        <v>12</v>
      </c>
      <c r="E2302" t="s">
        <v>105</v>
      </c>
      <c r="F2302" t="s">
        <v>23</v>
      </c>
      <c r="G2302" t="s">
        <v>24</v>
      </c>
      <c r="H2302">
        <v>8</v>
      </c>
      <c r="I2302">
        <v>3208</v>
      </c>
      <c r="J2302">
        <v>840.97</v>
      </c>
    </row>
    <row r="2303" spans="1:10" x14ac:dyDescent="0.25">
      <c r="A2303" s="1">
        <v>45422</v>
      </c>
      <c r="B2303" t="s">
        <v>32</v>
      </c>
      <c r="C2303" t="s">
        <v>19</v>
      </c>
      <c r="D2303" t="s">
        <v>12</v>
      </c>
      <c r="E2303" t="s">
        <v>178</v>
      </c>
      <c r="F2303" t="s">
        <v>34</v>
      </c>
      <c r="G2303" t="s">
        <v>35</v>
      </c>
      <c r="H2303">
        <v>6</v>
      </c>
      <c r="I2303">
        <v>3402</v>
      </c>
      <c r="J2303">
        <v>857.61</v>
      </c>
    </row>
    <row r="2304" spans="1:10" x14ac:dyDescent="0.25">
      <c r="A2304" s="1">
        <v>45632</v>
      </c>
      <c r="B2304" t="s">
        <v>29</v>
      </c>
      <c r="C2304" t="s">
        <v>17</v>
      </c>
      <c r="D2304" t="s">
        <v>12</v>
      </c>
      <c r="E2304" t="s">
        <v>178</v>
      </c>
      <c r="F2304" t="s">
        <v>34</v>
      </c>
      <c r="G2304" t="s">
        <v>35</v>
      </c>
      <c r="H2304">
        <v>1</v>
      </c>
      <c r="I2304">
        <v>541</v>
      </c>
      <c r="J2304">
        <v>52.5</v>
      </c>
    </row>
    <row r="2305" spans="1:10" x14ac:dyDescent="0.25">
      <c r="A2305" s="1">
        <v>44600</v>
      </c>
      <c r="B2305" t="s">
        <v>32</v>
      </c>
      <c r="C2305" t="s">
        <v>19</v>
      </c>
      <c r="D2305" t="s">
        <v>12</v>
      </c>
      <c r="E2305" t="s">
        <v>370</v>
      </c>
      <c r="F2305" t="s">
        <v>23</v>
      </c>
      <c r="G2305" t="s">
        <v>24</v>
      </c>
      <c r="H2305">
        <v>7</v>
      </c>
      <c r="I2305">
        <v>1806</v>
      </c>
      <c r="J2305">
        <v>129.6</v>
      </c>
    </row>
    <row r="2306" spans="1:10" x14ac:dyDescent="0.25">
      <c r="A2306" s="1">
        <v>45507</v>
      </c>
      <c r="B2306" t="s">
        <v>29</v>
      </c>
      <c r="C2306" t="s">
        <v>17</v>
      </c>
      <c r="D2306" t="s">
        <v>12</v>
      </c>
      <c r="E2306" t="s">
        <v>370</v>
      </c>
      <c r="F2306" t="s">
        <v>23</v>
      </c>
      <c r="G2306" t="s">
        <v>24</v>
      </c>
      <c r="H2306">
        <v>3</v>
      </c>
      <c r="I2306">
        <v>2433</v>
      </c>
      <c r="J2306">
        <v>515.28</v>
      </c>
    </row>
    <row r="2307" spans="1:10" x14ac:dyDescent="0.25">
      <c r="A2307" s="1">
        <v>45240</v>
      </c>
      <c r="B2307" t="s">
        <v>49</v>
      </c>
      <c r="C2307" t="s">
        <v>17</v>
      </c>
      <c r="D2307" t="s">
        <v>12</v>
      </c>
      <c r="E2307" t="s">
        <v>370</v>
      </c>
      <c r="F2307" t="s">
        <v>23</v>
      </c>
      <c r="G2307" t="s">
        <v>24</v>
      </c>
      <c r="H2307">
        <v>6</v>
      </c>
      <c r="I2307">
        <v>5880</v>
      </c>
      <c r="J2307">
        <v>454.19</v>
      </c>
    </row>
    <row r="2308" spans="1:10" x14ac:dyDescent="0.25">
      <c r="A2308" s="1">
        <v>45070</v>
      </c>
      <c r="B2308" t="s">
        <v>16</v>
      </c>
      <c r="C2308" t="s">
        <v>17</v>
      </c>
      <c r="D2308" t="s">
        <v>12</v>
      </c>
      <c r="E2308" t="s">
        <v>67</v>
      </c>
      <c r="F2308" t="s">
        <v>54</v>
      </c>
      <c r="G2308" t="s">
        <v>24</v>
      </c>
      <c r="H2308">
        <v>3</v>
      </c>
      <c r="I2308">
        <v>3375</v>
      </c>
      <c r="J2308">
        <v>451.5</v>
      </c>
    </row>
    <row r="2309" spans="1:10" x14ac:dyDescent="0.25">
      <c r="A2309" s="1">
        <v>45442</v>
      </c>
      <c r="B2309" t="s">
        <v>18</v>
      </c>
      <c r="C2309" t="s">
        <v>19</v>
      </c>
      <c r="D2309" t="s">
        <v>12</v>
      </c>
      <c r="E2309" t="s">
        <v>67</v>
      </c>
      <c r="F2309" t="s">
        <v>54</v>
      </c>
      <c r="G2309" t="s">
        <v>24</v>
      </c>
      <c r="H2309">
        <v>8</v>
      </c>
      <c r="I2309">
        <v>6960</v>
      </c>
      <c r="J2309">
        <v>1913.58</v>
      </c>
    </row>
    <row r="2310" spans="1:10" x14ac:dyDescent="0.25">
      <c r="A2310" s="1">
        <v>45510</v>
      </c>
      <c r="B2310" t="s">
        <v>49</v>
      </c>
      <c r="C2310" t="s">
        <v>17</v>
      </c>
      <c r="D2310" t="s">
        <v>12</v>
      </c>
      <c r="E2310" t="s">
        <v>26</v>
      </c>
      <c r="F2310" t="s">
        <v>27</v>
      </c>
      <c r="G2310" t="s">
        <v>28</v>
      </c>
      <c r="H2310">
        <v>4</v>
      </c>
      <c r="I2310">
        <v>316</v>
      </c>
      <c r="J2310">
        <v>32.79</v>
      </c>
    </row>
    <row r="2311" spans="1:10" x14ac:dyDescent="0.25">
      <c r="A2311" s="1">
        <v>44844</v>
      </c>
      <c r="B2311" t="s">
        <v>18</v>
      </c>
      <c r="C2311" t="s">
        <v>19</v>
      </c>
      <c r="D2311" t="s">
        <v>12</v>
      </c>
      <c r="E2311" t="s">
        <v>408</v>
      </c>
      <c r="F2311" t="s">
        <v>78</v>
      </c>
      <c r="G2311" t="s">
        <v>28</v>
      </c>
      <c r="H2311">
        <v>9</v>
      </c>
      <c r="I2311">
        <v>1404</v>
      </c>
      <c r="J2311">
        <v>89.43</v>
      </c>
    </row>
    <row r="2312" spans="1:10" x14ac:dyDescent="0.25">
      <c r="A2312" s="1">
        <v>45359</v>
      </c>
      <c r="B2312" t="s">
        <v>49</v>
      </c>
      <c r="C2312" t="s">
        <v>17</v>
      </c>
      <c r="D2312" t="s">
        <v>12</v>
      </c>
      <c r="E2312" t="s">
        <v>53</v>
      </c>
      <c r="F2312" t="s">
        <v>54</v>
      </c>
      <c r="G2312" t="s">
        <v>24</v>
      </c>
      <c r="H2312">
        <v>9</v>
      </c>
      <c r="I2312">
        <v>5823</v>
      </c>
      <c r="J2312">
        <v>478.22</v>
      </c>
    </row>
    <row r="2313" spans="1:10" x14ac:dyDescent="0.25">
      <c r="A2313" s="1">
        <v>45428</v>
      </c>
      <c r="B2313" t="s">
        <v>29</v>
      </c>
      <c r="C2313" t="s">
        <v>17</v>
      </c>
      <c r="D2313" t="s">
        <v>12</v>
      </c>
      <c r="E2313" t="s">
        <v>105</v>
      </c>
      <c r="F2313" t="s">
        <v>23</v>
      </c>
      <c r="G2313" t="s">
        <v>24</v>
      </c>
      <c r="H2313">
        <v>6</v>
      </c>
      <c r="I2313">
        <v>2790</v>
      </c>
      <c r="J2313">
        <v>719.15</v>
      </c>
    </row>
    <row r="2314" spans="1:10" x14ac:dyDescent="0.25">
      <c r="A2314" s="1">
        <v>45443</v>
      </c>
      <c r="B2314" t="s">
        <v>18</v>
      </c>
      <c r="C2314" t="s">
        <v>19</v>
      </c>
      <c r="D2314" t="s">
        <v>12</v>
      </c>
      <c r="E2314" t="s">
        <v>56</v>
      </c>
      <c r="F2314" t="s">
        <v>57</v>
      </c>
      <c r="G2314" t="s">
        <v>24</v>
      </c>
      <c r="H2314">
        <v>7</v>
      </c>
      <c r="I2314">
        <v>1169</v>
      </c>
      <c r="J2314">
        <v>69.41</v>
      </c>
    </row>
    <row r="2315" spans="1:10" x14ac:dyDescent="0.25">
      <c r="A2315" s="1">
        <v>45225</v>
      </c>
      <c r="B2315" t="s">
        <v>10</v>
      </c>
      <c r="C2315" t="s">
        <v>11</v>
      </c>
      <c r="D2315" t="s">
        <v>12</v>
      </c>
      <c r="E2315" t="s">
        <v>241</v>
      </c>
      <c r="F2315" t="s">
        <v>84</v>
      </c>
      <c r="G2315" t="s">
        <v>28</v>
      </c>
      <c r="H2315">
        <v>8</v>
      </c>
      <c r="I2315">
        <v>6016</v>
      </c>
      <c r="J2315">
        <v>406.13</v>
      </c>
    </row>
    <row r="2316" spans="1:10" x14ac:dyDescent="0.25">
      <c r="A2316" s="1">
        <v>44849</v>
      </c>
      <c r="B2316" t="s">
        <v>32</v>
      </c>
      <c r="C2316" t="s">
        <v>19</v>
      </c>
      <c r="D2316" t="s">
        <v>12</v>
      </c>
      <c r="E2316" t="s">
        <v>241</v>
      </c>
      <c r="F2316" t="s">
        <v>84</v>
      </c>
      <c r="G2316" t="s">
        <v>28</v>
      </c>
      <c r="H2316">
        <v>7</v>
      </c>
      <c r="I2316">
        <v>7154</v>
      </c>
      <c r="J2316">
        <v>1177.51</v>
      </c>
    </row>
    <row r="2317" spans="1:10" x14ac:dyDescent="0.25">
      <c r="A2317" s="1">
        <v>45320</v>
      </c>
      <c r="B2317" t="s">
        <v>49</v>
      </c>
      <c r="C2317" t="s">
        <v>17</v>
      </c>
      <c r="D2317" t="s">
        <v>12</v>
      </c>
      <c r="E2317" t="s">
        <v>328</v>
      </c>
      <c r="F2317" t="s">
        <v>191</v>
      </c>
      <c r="G2317" t="s">
        <v>35</v>
      </c>
      <c r="H2317">
        <v>2</v>
      </c>
      <c r="I2317">
        <v>370</v>
      </c>
      <c r="J2317">
        <v>102.74</v>
      </c>
    </row>
    <row r="2318" spans="1:10" x14ac:dyDescent="0.25">
      <c r="A2318" s="1">
        <v>45367</v>
      </c>
      <c r="B2318" t="s">
        <v>36</v>
      </c>
      <c r="C2318" t="s">
        <v>17</v>
      </c>
      <c r="D2318" t="s">
        <v>12</v>
      </c>
      <c r="E2318" t="s">
        <v>52</v>
      </c>
      <c r="F2318" t="s">
        <v>42</v>
      </c>
      <c r="G2318" t="s">
        <v>28</v>
      </c>
      <c r="H2318">
        <v>1</v>
      </c>
      <c r="I2318">
        <v>430</v>
      </c>
      <c r="J2318">
        <v>113.57</v>
      </c>
    </row>
    <row r="2319" spans="1:10" x14ac:dyDescent="0.25">
      <c r="A2319" s="1">
        <v>44679</v>
      </c>
      <c r="B2319" t="s">
        <v>32</v>
      </c>
      <c r="C2319" t="s">
        <v>19</v>
      </c>
      <c r="D2319" t="s">
        <v>12</v>
      </c>
      <c r="E2319" t="s">
        <v>123</v>
      </c>
      <c r="F2319" t="s">
        <v>63</v>
      </c>
      <c r="G2319" t="s">
        <v>28</v>
      </c>
      <c r="H2319">
        <v>1</v>
      </c>
      <c r="I2319">
        <v>946</v>
      </c>
      <c r="J2319">
        <v>280.52999999999997</v>
      </c>
    </row>
    <row r="2320" spans="1:10" x14ac:dyDescent="0.25">
      <c r="A2320" s="1">
        <v>45432</v>
      </c>
      <c r="B2320" t="s">
        <v>18</v>
      </c>
      <c r="C2320" t="s">
        <v>19</v>
      </c>
      <c r="D2320" t="s">
        <v>12</v>
      </c>
      <c r="E2320" t="s">
        <v>210</v>
      </c>
      <c r="F2320" t="s">
        <v>34</v>
      </c>
      <c r="G2320" t="s">
        <v>35</v>
      </c>
      <c r="H2320">
        <v>8</v>
      </c>
      <c r="I2320">
        <v>984</v>
      </c>
      <c r="J2320">
        <v>73.84</v>
      </c>
    </row>
    <row r="2321" spans="1:10" x14ac:dyDescent="0.25">
      <c r="A2321" s="1">
        <v>44891</v>
      </c>
      <c r="B2321" t="s">
        <v>49</v>
      </c>
      <c r="C2321" t="s">
        <v>17</v>
      </c>
      <c r="D2321" t="s">
        <v>12</v>
      </c>
      <c r="E2321" t="s">
        <v>52</v>
      </c>
      <c r="F2321" t="s">
        <v>42</v>
      </c>
      <c r="G2321" t="s">
        <v>28</v>
      </c>
      <c r="H2321">
        <v>9</v>
      </c>
      <c r="I2321">
        <v>1467</v>
      </c>
      <c r="J2321">
        <v>372.17</v>
      </c>
    </row>
    <row r="2322" spans="1:10" x14ac:dyDescent="0.25">
      <c r="A2322" s="1">
        <v>45154</v>
      </c>
      <c r="B2322" t="s">
        <v>40</v>
      </c>
      <c r="C2322" t="s">
        <v>19</v>
      </c>
      <c r="D2322" t="s">
        <v>12</v>
      </c>
      <c r="E2322" t="s">
        <v>96</v>
      </c>
      <c r="F2322" t="s">
        <v>34</v>
      </c>
      <c r="G2322" t="s">
        <v>35</v>
      </c>
      <c r="H2322">
        <v>4</v>
      </c>
      <c r="I2322">
        <v>2444</v>
      </c>
      <c r="J2322">
        <v>155.41999999999999</v>
      </c>
    </row>
    <row r="2323" spans="1:10" x14ac:dyDescent="0.25">
      <c r="A2323" s="1">
        <v>45232</v>
      </c>
      <c r="B2323" t="s">
        <v>16</v>
      </c>
      <c r="C2323" t="s">
        <v>17</v>
      </c>
      <c r="D2323" t="s">
        <v>12</v>
      </c>
      <c r="E2323" t="s">
        <v>37</v>
      </c>
      <c r="F2323" t="s">
        <v>34</v>
      </c>
      <c r="G2323" t="s">
        <v>35</v>
      </c>
      <c r="H2323">
        <v>9</v>
      </c>
      <c r="I2323">
        <v>8640</v>
      </c>
      <c r="J2323">
        <v>1254.3</v>
      </c>
    </row>
    <row r="2324" spans="1:10" x14ac:dyDescent="0.25">
      <c r="A2324" s="1">
        <v>45124</v>
      </c>
      <c r="B2324" t="s">
        <v>32</v>
      </c>
      <c r="C2324" t="s">
        <v>19</v>
      </c>
      <c r="D2324" t="s">
        <v>12</v>
      </c>
      <c r="E2324" t="s">
        <v>22</v>
      </c>
      <c r="F2324" t="s">
        <v>23</v>
      </c>
      <c r="G2324" t="s">
        <v>24</v>
      </c>
      <c r="H2324">
        <v>9</v>
      </c>
      <c r="I2324">
        <v>3861</v>
      </c>
      <c r="J2324">
        <v>536.04</v>
      </c>
    </row>
    <row r="2325" spans="1:10" x14ac:dyDescent="0.25">
      <c r="A2325" s="1">
        <v>44766</v>
      </c>
      <c r="B2325" t="s">
        <v>49</v>
      </c>
      <c r="C2325" t="s">
        <v>17</v>
      </c>
      <c r="D2325" t="s">
        <v>12</v>
      </c>
      <c r="E2325" t="s">
        <v>56</v>
      </c>
      <c r="F2325" t="s">
        <v>57</v>
      </c>
      <c r="G2325" t="s">
        <v>24</v>
      </c>
      <c r="H2325">
        <v>1</v>
      </c>
      <c r="I2325">
        <v>868</v>
      </c>
      <c r="J2325">
        <v>60.12</v>
      </c>
    </row>
    <row r="2326" spans="1:10" x14ac:dyDescent="0.25">
      <c r="A2326" s="1">
        <v>45599</v>
      </c>
      <c r="B2326" t="s">
        <v>55</v>
      </c>
      <c r="C2326" t="s">
        <v>19</v>
      </c>
      <c r="D2326" t="s">
        <v>12</v>
      </c>
      <c r="E2326" t="s">
        <v>409</v>
      </c>
      <c r="F2326" t="s">
        <v>84</v>
      </c>
      <c r="G2326" t="s">
        <v>28</v>
      </c>
      <c r="H2326">
        <v>9</v>
      </c>
      <c r="I2326">
        <v>1746</v>
      </c>
      <c r="J2326">
        <v>260.5</v>
      </c>
    </row>
    <row r="2327" spans="1:10" x14ac:dyDescent="0.25">
      <c r="A2327" s="1">
        <v>45523</v>
      </c>
      <c r="B2327" t="s">
        <v>10</v>
      </c>
      <c r="C2327" t="s">
        <v>11</v>
      </c>
      <c r="D2327" t="s">
        <v>12</v>
      </c>
      <c r="E2327" t="s">
        <v>26</v>
      </c>
      <c r="F2327" t="s">
        <v>27</v>
      </c>
      <c r="G2327" t="s">
        <v>28</v>
      </c>
      <c r="H2327">
        <v>1</v>
      </c>
      <c r="I2327">
        <v>915</v>
      </c>
      <c r="J2327">
        <v>129.08000000000001</v>
      </c>
    </row>
    <row r="2328" spans="1:10" x14ac:dyDescent="0.25">
      <c r="A2328" s="1">
        <v>45550</v>
      </c>
      <c r="B2328" t="s">
        <v>32</v>
      </c>
      <c r="C2328" t="s">
        <v>19</v>
      </c>
      <c r="D2328" t="s">
        <v>12</v>
      </c>
      <c r="E2328" t="s">
        <v>22</v>
      </c>
      <c r="F2328" t="s">
        <v>23</v>
      </c>
      <c r="G2328" t="s">
        <v>24</v>
      </c>
      <c r="H2328">
        <v>9</v>
      </c>
      <c r="I2328">
        <v>3591</v>
      </c>
      <c r="J2328">
        <v>423</v>
      </c>
    </row>
    <row r="2329" spans="1:10" x14ac:dyDescent="0.25">
      <c r="A2329" s="1">
        <v>44954</v>
      </c>
      <c r="B2329" t="s">
        <v>25</v>
      </c>
      <c r="C2329" t="s">
        <v>19</v>
      </c>
      <c r="D2329" t="s">
        <v>12</v>
      </c>
      <c r="E2329" t="s">
        <v>22</v>
      </c>
      <c r="F2329" t="s">
        <v>23</v>
      </c>
      <c r="G2329" t="s">
        <v>24</v>
      </c>
      <c r="H2329">
        <v>6</v>
      </c>
      <c r="I2329">
        <v>2562</v>
      </c>
      <c r="J2329">
        <v>612.36</v>
      </c>
    </row>
    <row r="2330" spans="1:10" x14ac:dyDescent="0.25">
      <c r="A2330" s="1">
        <v>44893</v>
      </c>
      <c r="B2330" t="s">
        <v>32</v>
      </c>
      <c r="C2330" t="s">
        <v>19</v>
      </c>
      <c r="D2330" t="s">
        <v>12</v>
      </c>
      <c r="E2330" t="s">
        <v>74</v>
      </c>
      <c r="F2330" t="s">
        <v>23</v>
      </c>
      <c r="G2330" t="s">
        <v>24</v>
      </c>
      <c r="H2330">
        <v>9</v>
      </c>
      <c r="I2330">
        <v>5382</v>
      </c>
      <c r="J2330">
        <v>1037.04</v>
      </c>
    </row>
    <row r="2331" spans="1:10" x14ac:dyDescent="0.25">
      <c r="A2331" s="1">
        <v>45614</v>
      </c>
      <c r="B2331" t="s">
        <v>32</v>
      </c>
      <c r="C2331" t="s">
        <v>19</v>
      </c>
      <c r="D2331" t="s">
        <v>12</v>
      </c>
      <c r="E2331" t="s">
        <v>224</v>
      </c>
      <c r="F2331" t="s">
        <v>34</v>
      </c>
      <c r="G2331" t="s">
        <v>35</v>
      </c>
      <c r="H2331">
        <v>4</v>
      </c>
      <c r="I2331">
        <v>2792</v>
      </c>
      <c r="J2331">
        <v>170.96</v>
      </c>
    </row>
    <row r="2332" spans="1:10" x14ac:dyDescent="0.25">
      <c r="A2332" s="1">
        <v>44674</v>
      </c>
      <c r="B2332" t="s">
        <v>29</v>
      </c>
      <c r="C2332" t="s">
        <v>17</v>
      </c>
      <c r="D2332" t="s">
        <v>12</v>
      </c>
      <c r="E2332" t="s">
        <v>224</v>
      </c>
      <c r="F2332" t="s">
        <v>34</v>
      </c>
      <c r="G2332" t="s">
        <v>35</v>
      </c>
      <c r="H2332">
        <v>4</v>
      </c>
      <c r="I2332">
        <v>2160</v>
      </c>
      <c r="J2332">
        <v>631.9</v>
      </c>
    </row>
    <row r="2333" spans="1:10" x14ac:dyDescent="0.25">
      <c r="A2333" s="1">
        <v>45069</v>
      </c>
      <c r="B2333" t="s">
        <v>36</v>
      </c>
      <c r="C2333" t="s">
        <v>17</v>
      </c>
      <c r="D2333" t="s">
        <v>12</v>
      </c>
      <c r="E2333" t="s">
        <v>410</v>
      </c>
      <c r="F2333" t="s">
        <v>108</v>
      </c>
      <c r="G2333" t="s">
        <v>15</v>
      </c>
      <c r="H2333">
        <v>7</v>
      </c>
      <c r="I2333">
        <v>6377</v>
      </c>
      <c r="J2333">
        <v>1332.86</v>
      </c>
    </row>
    <row r="2334" spans="1:10" x14ac:dyDescent="0.25">
      <c r="A2334" s="1">
        <v>45429</v>
      </c>
      <c r="B2334" t="s">
        <v>40</v>
      </c>
      <c r="C2334" t="s">
        <v>19</v>
      </c>
      <c r="D2334" t="s">
        <v>12</v>
      </c>
      <c r="E2334" t="s">
        <v>111</v>
      </c>
      <c r="F2334" t="s">
        <v>115</v>
      </c>
      <c r="G2334" t="s">
        <v>15</v>
      </c>
      <c r="H2334">
        <v>8</v>
      </c>
      <c r="I2334">
        <v>5264</v>
      </c>
      <c r="J2334">
        <v>1051.5</v>
      </c>
    </row>
    <row r="2335" spans="1:10" x14ac:dyDescent="0.25">
      <c r="A2335" s="1">
        <v>45278</v>
      </c>
      <c r="B2335" t="s">
        <v>55</v>
      </c>
      <c r="C2335" t="s">
        <v>19</v>
      </c>
      <c r="D2335" t="s">
        <v>12</v>
      </c>
      <c r="E2335" t="s">
        <v>56</v>
      </c>
      <c r="F2335" t="s">
        <v>57</v>
      </c>
      <c r="G2335" t="s">
        <v>24</v>
      </c>
      <c r="H2335">
        <v>2</v>
      </c>
      <c r="I2335">
        <v>1346</v>
      </c>
      <c r="J2335">
        <v>196.5</v>
      </c>
    </row>
    <row r="2336" spans="1:10" x14ac:dyDescent="0.25">
      <c r="A2336" s="1">
        <v>45157</v>
      </c>
      <c r="B2336" t="s">
        <v>25</v>
      </c>
      <c r="C2336" t="s">
        <v>19</v>
      </c>
      <c r="D2336" t="s">
        <v>12</v>
      </c>
      <c r="E2336" t="s">
        <v>37</v>
      </c>
      <c r="F2336" t="s">
        <v>34</v>
      </c>
      <c r="G2336" t="s">
        <v>35</v>
      </c>
      <c r="H2336">
        <v>7</v>
      </c>
      <c r="I2336">
        <v>7301</v>
      </c>
      <c r="J2336">
        <v>1311.65</v>
      </c>
    </row>
    <row r="2337" spans="1:10" x14ac:dyDescent="0.25">
      <c r="A2337" s="1">
        <v>45036</v>
      </c>
      <c r="B2337" t="s">
        <v>49</v>
      </c>
      <c r="C2337" t="s">
        <v>17</v>
      </c>
      <c r="D2337" t="s">
        <v>12</v>
      </c>
      <c r="E2337" t="s">
        <v>26</v>
      </c>
      <c r="F2337" t="s">
        <v>27</v>
      </c>
      <c r="G2337" t="s">
        <v>28</v>
      </c>
      <c r="H2337">
        <v>2</v>
      </c>
      <c r="I2337">
        <v>2016</v>
      </c>
      <c r="J2337">
        <v>198.26</v>
      </c>
    </row>
    <row r="2338" spans="1:10" x14ac:dyDescent="0.25">
      <c r="A2338" s="1">
        <v>44742</v>
      </c>
      <c r="B2338" t="s">
        <v>55</v>
      </c>
      <c r="C2338" t="s">
        <v>19</v>
      </c>
      <c r="D2338" t="s">
        <v>12</v>
      </c>
      <c r="E2338" t="s">
        <v>43</v>
      </c>
      <c r="F2338" t="s">
        <v>44</v>
      </c>
      <c r="G2338" t="s">
        <v>35</v>
      </c>
      <c r="H2338">
        <v>6</v>
      </c>
      <c r="I2338">
        <v>1266</v>
      </c>
      <c r="J2338">
        <v>220.5</v>
      </c>
    </row>
    <row r="2339" spans="1:10" x14ac:dyDescent="0.25">
      <c r="A2339" s="1">
        <v>45027</v>
      </c>
      <c r="B2339" t="s">
        <v>16</v>
      </c>
      <c r="C2339" t="s">
        <v>17</v>
      </c>
      <c r="D2339" t="s">
        <v>12</v>
      </c>
      <c r="E2339" t="s">
        <v>213</v>
      </c>
      <c r="F2339" t="s">
        <v>34</v>
      </c>
      <c r="G2339" t="s">
        <v>35</v>
      </c>
      <c r="H2339">
        <v>2</v>
      </c>
      <c r="I2339">
        <v>140</v>
      </c>
      <c r="J2339">
        <v>35.18</v>
      </c>
    </row>
    <row r="2340" spans="1:10" x14ac:dyDescent="0.25">
      <c r="A2340" s="1">
        <v>45495</v>
      </c>
      <c r="B2340" t="s">
        <v>25</v>
      </c>
      <c r="C2340" t="s">
        <v>19</v>
      </c>
      <c r="D2340" t="s">
        <v>12</v>
      </c>
      <c r="E2340" t="s">
        <v>213</v>
      </c>
      <c r="F2340" t="s">
        <v>34</v>
      </c>
      <c r="G2340" t="s">
        <v>35</v>
      </c>
      <c r="H2340">
        <v>8</v>
      </c>
      <c r="I2340">
        <v>6520</v>
      </c>
      <c r="J2340">
        <v>1073.6199999999999</v>
      </c>
    </row>
    <row r="2341" spans="1:10" x14ac:dyDescent="0.25">
      <c r="A2341" s="1">
        <v>44611</v>
      </c>
      <c r="B2341" t="s">
        <v>49</v>
      </c>
      <c r="C2341" t="s">
        <v>17</v>
      </c>
      <c r="D2341" t="s">
        <v>12</v>
      </c>
      <c r="E2341" t="s">
        <v>22</v>
      </c>
      <c r="F2341" t="s">
        <v>23</v>
      </c>
      <c r="G2341" t="s">
        <v>24</v>
      </c>
      <c r="H2341">
        <v>1</v>
      </c>
      <c r="I2341">
        <v>582</v>
      </c>
      <c r="J2341">
        <v>29.91</v>
      </c>
    </row>
    <row r="2342" spans="1:10" x14ac:dyDescent="0.25">
      <c r="A2342" s="1">
        <v>45361</v>
      </c>
      <c r="B2342" t="s">
        <v>10</v>
      </c>
      <c r="C2342" t="s">
        <v>11</v>
      </c>
      <c r="D2342" t="s">
        <v>12</v>
      </c>
      <c r="E2342" t="s">
        <v>43</v>
      </c>
      <c r="F2342" t="s">
        <v>44</v>
      </c>
      <c r="G2342" t="s">
        <v>35</v>
      </c>
      <c r="H2342">
        <v>1</v>
      </c>
      <c r="I2342">
        <v>245</v>
      </c>
      <c r="J2342">
        <v>14.5</v>
      </c>
    </row>
    <row r="2343" spans="1:10" x14ac:dyDescent="0.25">
      <c r="A2343" s="1">
        <v>45409</v>
      </c>
      <c r="B2343" t="s">
        <v>16</v>
      </c>
      <c r="C2343" t="s">
        <v>17</v>
      </c>
      <c r="D2343" t="s">
        <v>12</v>
      </c>
      <c r="E2343" t="s">
        <v>74</v>
      </c>
      <c r="F2343" t="s">
        <v>23</v>
      </c>
      <c r="G2343" t="s">
        <v>24</v>
      </c>
      <c r="H2343">
        <v>1</v>
      </c>
      <c r="I2343">
        <v>504</v>
      </c>
      <c r="J2343">
        <v>143.12</v>
      </c>
    </row>
    <row r="2344" spans="1:10" x14ac:dyDescent="0.25">
      <c r="A2344" s="1">
        <v>44840</v>
      </c>
      <c r="B2344" t="s">
        <v>36</v>
      </c>
      <c r="C2344" t="s">
        <v>17</v>
      </c>
      <c r="D2344" t="s">
        <v>12</v>
      </c>
      <c r="E2344" t="s">
        <v>74</v>
      </c>
      <c r="F2344" t="s">
        <v>23</v>
      </c>
      <c r="G2344" t="s">
        <v>24</v>
      </c>
      <c r="H2344">
        <v>6</v>
      </c>
      <c r="I2344">
        <v>6834</v>
      </c>
      <c r="J2344">
        <v>1211.75</v>
      </c>
    </row>
    <row r="2345" spans="1:10" x14ac:dyDescent="0.25">
      <c r="A2345" s="1">
        <v>44835</v>
      </c>
      <c r="B2345" t="s">
        <v>29</v>
      </c>
      <c r="C2345" t="s">
        <v>17</v>
      </c>
      <c r="D2345" t="s">
        <v>12</v>
      </c>
      <c r="E2345" t="s">
        <v>411</v>
      </c>
      <c r="F2345" t="s">
        <v>23</v>
      </c>
      <c r="G2345" t="s">
        <v>24</v>
      </c>
      <c r="H2345">
        <v>8</v>
      </c>
      <c r="I2345">
        <v>5712</v>
      </c>
      <c r="J2345">
        <v>1191.02</v>
      </c>
    </row>
    <row r="2346" spans="1:10" x14ac:dyDescent="0.25">
      <c r="A2346" s="1">
        <v>45055</v>
      </c>
      <c r="B2346" t="s">
        <v>55</v>
      </c>
      <c r="C2346" t="s">
        <v>19</v>
      </c>
      <c r="D2346" t="s">
        <v>12</v>
      </c>
      <c r="E2346" t="s">
        <v>43</v>
      </c>
      <c r="F2346" t="s">
        <v>44</v>
      </c>
      <c r="G2346" t="s">
        <v>35</v>
      </c>
      <c r="H2346">
        <v>5</v>
      </c>
      <c r="I2346">
        <v>4485</v>
      </c>
      <c r="J2346">
        <v>347.99</v>
      </c>
    </row>
    <row r="2347" spans="1:10" x14ac:dyDescent="0.25">
      <c r="A2347" s="1">
        <v>45445</v>
      </c>
      <c r="B2347" t="s">
        <v>29</v>
      </c>
      <c r="C2347" t="s">
        <v>17</v>
      </c>
      <c r="D2347" t="s">
        <v>12</v>
      </c>
      <c r="E2347" t="s">
        <v>210</v>
      </c>
      <c r="F2347" t="s">
        <v>34</v>
      </c>
      <c r="G2347" t="s">
        <v>35</v>
      </c>
      <c r="H2347">
        <v>8</v>
      </c>
      <c r="I2347">
        <v>2304</v>
      </c>
      <c r="J2347">
        <v>291.45999999999998</v>
      </c>
    </row>
    <row r="2348" spans="1:10" x14ac:dyDescent="0.25">
      <c r="A2348" s="1">
        <v>45466</v>
      </c>
      <c r="B2348" t="s">
        <v>16</v>
      </c>
      <c r="C2348" t="s">
        <v>17</v>
      </c>
      <c r="D2348" t="s">
        <v>12</v>
      </c>
      <c r="E2348" t="s">
        <v>101</v>
      </c>
      <c r="F2348" t="s">
        <v>21</v>
      </c>
      <c r="G2348" t="s">
        <v>15</v>
      </c>
      <c r="H2348">
        <v>6</v>
      </c>
      <c r="I2348">
        <v>6576</v>
      </c>
      <c r="J2348">
        <v>815.56</v>
      </c>
    </row>
    <row r="2349" spans="1:10" x14ac:dyDescent="0.25">
      <c r="A2349" s="1">
        <v>44881</v>
      </c>
      <c r="B2349" t="s">
        <v>49</v>
      </c>
      <c r="C2349" t="s">
        <v>17</v>
      </c>
      <c r="D2349" t="s">
        <v>12</v>
      </c>
      <c r="E2349" t="s">
        <v>52</v>
      </c>
      <c r="F2349" t="s">
        <v>42</v>
      </c>
      <c r="G2349" t="s">
        <v>28</v>
      </c>
      <c r="H2349">
        <v>9</v>
      </c>
      <c r="I2349">
        <v>10629</v>
      </c>
      <c r="J2349">
        <v>2843.54</v>
      </c>
    </row>
    <row r="2350" spans="1:10" x14ac:dyDescent="0.25">
      <c r="A2350" s="1">
        <v>44632</v>
      </c>
      <c r="B2350" t="s">
        <v>25</v>
      </c>
      <c r="C2350" t="s">
        <v>19</v>
      </c>
      <c r="D2350" t="s">
        <v>12</v>
      </c>
      <c r="E2350" t="s">
        <v>105</v>
      </c>
      <c r="F2350" t="s">
        <v>23</v>
      </c>
      <c r="G2350" t="s">
        <v>24</v>
      </c>
      <c r="H2350">
        <v>1</v>
      </c>
      <c r="I2350">
        <v>706</v>
      </c>
      <c r="J2350">
        <v>153.59</v>
      </c>
    </row>
    <row r="2351" spans="1:10" x14ac:dyDescent="0.25">
      <c r="A2351" s="1">
        <v>44667</v>
      </c>
      <c r="B2351" t="s">
        <v>29</v>
      </c>
      <c r="C2351" t="s">
        <v>17</v>
      </c>
      <c r="D2351" t="s">
        <v>12</v>
      </c>
      <c r="E2351" t="s">
        <v>412</v>
      </c>
      <c r="F2351" t="s">
        <v>222</v>
      </c>
      <c r="G2351" t="s">
        <v>35</v>
      </c>
      <c r="H2351">
        <v>1</v>
      </c>
      <c r="I2351">
        <v>977</v>
      </c>
      <c r="J2351">
        <v>103.82</v>
      </c>
    </row>
    <row r="2352" spans="1:10" x14ac:dyDescent="0.25">
      <c r="A2352" s="1">
        <v>45032</v>
      </c>
      <c r="B2352" t="s">
        <v>32</v>
      </c>
      <c r="C2352" t="s">
        <v>19</v>
      </c>
      <c r="D2352" t="s">
        <v>12</v>
      </c>
      <c r="E2352" t="s">
        <v>307</v>
      </c>
      <c r="F2352" t="s">
        <v>156</v>
      </c>
      <c r="G2352" t="s">
        <v>28</v>
      </c>
      <c r="H2352">
        <v>4</v>
      </c>
      <c r="I2352">
        <v>776</v>
      </c>
      <c r="J2352">
        <v>73.16</v>
      </c>
    </row>
    <row r="2353" spans="1:10" x14ac:dyDescent="0.25">
      <c r="A2353" s="1">
        <v>44846</v>
      </c>
      <c r="B2353" t="s">
        <v>18</v>
      </c>
      <c r="C2353" t="s">
        <v>19</v>
      </c>
      <c r="D2353" t="s">
        <v>12</v>
      </c>
      <c r="E2353" t="s">
        <v>77</v>
      </c>
      <c r="F2353" t="s">
        <v>78</v>
      </c>
      <c r="G2353" t="s">
        <v>28</v>
      </c>
      <c r="H2353">
        <v>4</v>
      </c>
      <c r="I2353">
        <v>3932</v>
      </c>
      <c r="J2353">
        <v>309.43</v>
      </c>
    </row>
    <row r="2354" spans="1:10" x14ac:dyDescent="0.25">
      <c r="A2354" s="1">
        <v>44863</v>
      </c>
      <c r="B2354" t="s">
        <v>49</v>
      </c>
      <c r="C2354" t="s">
        <v>17</v>
      </c>
      <c r="D2354" t="s">
        <v>12</v>
      </c>
      <c r="E2354" t="s">
        <v>105</v>
      </c>
      <c r="F2354" t="s">
        <v>23</v>
      </c>
      <c r="G2354" t="s">
        <v>24</v>
      </c>
      <c r="H2354">
        <v>3</v>
      </c>
      <c r="I2354">
        <v>1263</v>
      </c>
      <c r="J2354">
        <v>368.46</v>
      </c>
    </row>
    <row r="2355" spans="1:10" x14ac:dyDescent="0.25">
      <c r="A2355" s="1">
        <v>44774</v>
      </c>
      <c r="B2355" t="s">
        <v>49</v>
      </c>
      <c r="C2355" t="s">
        <v>17</v>
      </c>
      <c r="D2355" t="s">
        <v>12</v>
      </c>
      <c r="E2355" t="s">
        <v>105</v>
      </c>
      <c r="F2355" t="s">
        <v>23</v>
      </c>
      <c r="G2355" t="s">
        <v>24</v>
      </c>
      <c r="H2355">
        <v>8</v>
      </c>
      <c r="I2355">
        <v>7064</v>
      </c>
      <c r="J2355">
        <v>745.24</v>
      </c>
    </row>
    <row r="2356" spans="1:10" x14ac:dyDescent="0.25">
      <c r="A2356" s="1">
        <v>45036</v>
      </c>
      <c r="B2356" t="s">
        <v>49</v>
      </c>
      <c r="C2356" t="s">
        <v>17</v>
      </c>
      <c r="D2356" t="s">
        <v>12</v>
      </c>
      <c r="E2356" t="s">
        <v>74</v>
      </c>
      <c r="F2356" t="s">
        <v>23</v>
      </c>
      <c r="G2356" t="s">
        <v>24</v>
      </c>
      <c r="H2356">
        <v>4</v>
      </c>
      <c r="I2356">
        <v>4740</v>
      </c>
      <c r="J2356">
        <v>746.77</v>
      </c>
    </row>
    <row r="2357" spans="1:10" x14ac:dyDescent="0.25">
      <c r="A2357" s="1">
        <v>45376</v>
      </c>
      <c r="B2357" t="s">
        <v>10</v>
      </c>
      <c r="C2357" t="s">
        <v>11</v>
      </c>
      <c r="D2357" t="s">
        <v>12</v>
      </c>
      <c r="E2357" t="s">
        <v>56</v>
      </c>
      <c r="F2357" t="s">
        <v>57</v>
      </c>
      <c r="G2357" t="s">
        <v>24</v>
      </c>
      <c r="H2357">
        <v>7</v>
      </c>
      <c r="I2357">
        <v>4522</v>
      </c>
      <c r="J2357">
        <v>1137.23</v>
      </c>
    </row>
    <row r="2358" spans="1:10" x14ac:dyDescent="0.25">
      <c r="A2358" s="1">
        <v>45288</v>
      </c>
      <c r="B2358" t="s">
        <v>18</v>
      </c>
      <c r="C2358" t="s">
        <v>19</v>
      </c>
      <c r="D2358" t="s">
        <v>12</v>
      </c>
      <c r="E2358" t="s">
        <v>56</v>
      </c>
      <c r="F2358" t="s">
        <v>57</v>
      </c>
      <c r="G2358" t="s">
        <v>24</v>
      </c>
      <c r="H2358">
        <v>7</v>
      </c>
      <c r="I2358">
        <v>2009</v>
      </c>
      <c r="J2358">
        <v>183.19</v>
      </c>
    </row>
    <row r="2359" spans="1:10" x14ac:dyDescent="0.25">
      <c r="A2359" s="1">
        <v>45400</v>
      </c>
      <c r="B2359" t="s">
        <v>40</v>
      </c>
      <c r="C2359" t="s">
        <v>19</v>
      </c>
      <c r="D2359" t="s">
        <v>12</v>
      </c>
      <c r="E2359" t="s">
        <v>132</v>
      </c>
      <c r="F2359" t="s">
        <v>189</v>
      </c>
      <c r="G2359" t="s">
        <v>24</v>
      </c>
      <c r="H2359">
        <v>2</v>
      </c>
      <c r="I2359">
        <v>2110</v>
      </c>
      <c r="J2359">
        <v>548.12</v>
      </c>
    </row>
    <row r="2360" spans="1:10" x14ac:dyDescent="0.25">
      <c r="A2360" s="1">
        <v>45561</v>
      </c>
      <c r="B2360" t="s">
        <v>16</v>
      </c>
      <c r="C2360" t="s">
        <v>17</v>
      </c>
      <c r="D2360" t="s">
        <v>12</v>
      </c>
      <c r="E2360" t="s">
        <v>26</v>
      </c>
      <c r="F2360" t="s">
        <v>27</v>
      </c>
      <c r="G2360" t="s">
        <v>28</v>
      </c>
      <c r="H2360">
        <v>1</v>
      </c>
      <c r="I2360">
        <v>95</v>
      </c>
      <c r="J2360">
        <v>6.97</v>
      </c>
    </row>
    <row r="2361" spans="1:10" x14ac:dyDescent="0.25">
      <c r="A2361" s="1">
        <v>45249</v>
      </c>
      <c r="B2361" t="s">
        <v>32</v>
      </c>
      <c r="C2361" t="s">
        <v>19</v>
      </c>
      <c r="D2361" t="s">
        <v>12</v>
      </c>
      <c r="E2361" t="s">
        <v>43</v>
      </c>
      <c r="F2361" t="s">
        <v>44</v>
      </c>
      <c r="G2361" t="s">
        <v>35</v>
      </c>
      <c r="H2361">
        <v>1</v>
      </c>
      <c r="I2361">
        <v>384</v>
      </c>
      <c r="J2361">
        <v>83.58</v>
      </c>
    </row>
    <row r="2362" spans="1:10" x14ac:dyDescent="0.25">
      <c r="A2362" s="1">
        <v>45039</v>
      </c>
      <c r="B2362" t="s">
        <v>18</v>
      </c>
      <c r="C2362" t="s">
        <v>19</v>
      </c>
      <c r="D2362" t="s">
        <v>12</v>
      </c>
      <c r="E2362" t="s">
        <v>43</v>
      </c>
      <c r="F2362" t="s">
        <v>44</v>
      </c>
      <c r="G2362" t="s">
        <v>35</v>
      </c>
      <c r="H2362">
        <v>3</v>
      </c>
      <c r="I2362">
        <v>3471</v>
      </c>
      <c r="J2362">
        <v>200.08</v>
      </c>
    </row>
    <row r="2363" spans="1:10" x14ac:dyDescent="0.25">
      <c r="A2363" s="1">
        <v>45097</v>
      </c>
      <c r="B2363" t="s">
        <v>18</v>
      </c>
      <c r="C2363" t="s">
        <v>19</v>
      </c>
      <c r="D2363" t="s">
        <v>12</v>
      </c>
      <c r="E2363" t="s">
        <v>43</v>
      </c>
      <c r="F2363" t="s">
        <v>44</v>
      </c>
      <c r="G2363" t="s">
        <v>35</v>
      </c>
      <c r="H2363">
        <v>4</v>
      </c>
      <c r="I2363">
        <v>2048</v>
      </c>
      <c r="J2363">
        <v>507.01</v>
      </c>
    </row>
    <row r="2364" spans="1:10" x14ac:dyDescent="0.25">
      <c r="A2364" s="1">
        <v>44778</v>
      </c>
      <c r="B2364" t="s">
        <v>36</v>
      </c>
      <c r="C2364" t="s">
        <v>17</v>
      </c>
      <c r="D2364" t="s">
        <v>12</v>
      </c>
      <c r="E2364" t="s">
        <v>52</v>
      </c>
      <c r="F2364" t="s">
        <v>42</v>
      </c>
      <c r="G2364" t="s">
        <v>28</v>
      </c>
      <c r="H2364">
        <v>8</v>
      </c>
      <c r="I2364">
        <v>9296</v>
      </c>
      <c r="J2364">
        <v>2581.06</v>
      </c>
    </row>
    <row r="2365" spans="1:10" x14ac:dyDescent="0.25">
      <c r="A2365" s="1">
        <v>44709</v>
      </c>
      <c r="B2365" t="s">
        <v>55</v>
      </c>
      <c r="C2365" t="s">
        <v>19</v>
      </c>
      <c r="D2365" t="s">
        <v>12</v>
      </c>
      <c r="E2365" t="s">
        <v>413</v>
      </c>
      <c r="F2365" t="s">
        <v>149</v>
      </c>
      <c r="G2365" t="s">
        <v>15</v>
      </c>
      <c r="H2365">
        <v>8</v>
      </c>
      <c r="I2365">
        <v>5272</v>
      </c>
      <c r="J2365">
        <v>1188.1600000000001</v>
      </c>
    </row>
    <row r="2366" spans="1:10" x14ac:dyDescent="0.25">
      <c r="A2366" s="1">
        <v>45309</v>
      </c>
      <c r="B2366" t="s">
        <v>29</v>
      </c>
      <c r="C2366" t="s">
        <v>17</v>
      </c>
      <c r="D2366" t="s">
        <v>12</v>
      </c>
      <c r="E2366" t="s">
        <v>52</v>
      </c>
      <c r="F2366" t="s">
        <v>42</v>
      </c>
      <c r="G2366" t="s">
        <v>28</v>
      </c>
      <c r="H2366">
        <v>1</v>
      </c>
      <c r="I2366">
        <v>619</v>
      </c>
      <c r="J2366">
        <v>127.58</v>
      </c>
    </row>
    <row r="2367" spans="1:10" x14ac:dyDescent="0.25">
      <c r="A2367" s="1">
        <v>45043</v>
      </c>
      <c r="B2367" t="s">
        <v>55</v>
      </c>
      <c r="C2367" t="s">
        <v>19</v>
      </c>
      <c r="D2367" t="s">
        <v>12</v>
      </c>
      <c r="E2367" t="s">
        <v>52</v>
      </c>
      <c r="F2367" t="s">
        <v>42</v>
      </c>
      <c r="G2367" t="s">
        <v>28</v>
      </c>
      <c r="H2367">
        <v>1</v>
      </c>
      <c r="I2367">
        <v>448</v>
      </c>
      <c r="J2367">
        <v>53.2</v>
      </c>
    </row>
    <row r="2368" spans="1:10" x14ac:dyDescent="0.25">
      <c r="A2368" s="1">
        <v>44722</v>
      </c>
      <c r="B2368" t="s">
        <v>49</v>
      </c>
      <c r="C2368" t="s">
        <v>17</v>
      </c>
      <c r="D2368" t="s">
        <v>12</v>
      </c>
      <c r="E2368" t="s">
        <v>414</v>
      </c>
      <c r="F2368" t="s">
        <v>21</v>
      </c>
      <c r="G2368" t="s">
        <v>15</v>
      </c>
      <c r="H2368">
        <v>9</v>
      </c>
      <c r="I2368">
        <v>5004</v>
      </c>
      <c r="J2368">
        <v>1313.13</v>
      </c>
    </row>
    <row r="2369" spans="1:10" x14ac:dyDescent="0.25">
      <c r="A2369" s="1">
        <v>45265</v>
      </c>
      <c r="B2369" t="s">
        <v>49</v>
      </c>
      <c r="C2369" t="s">
        <v>17</v>
      </c>
      <c r="D2369" t="s">
        <v>12</v>
      </c>
      <c r="E2369" t="s">
        <v>210</v>
      </c>
      <c r="F2369" t="s">
        <v>34</v>
      </c>
      <c r="G2369" t="s">
        <v>35</v>
      </c>
      <c r="H2369">
        <v>4</v>
      </c>
      <c r="I2369">
        <v>4716</v>
      </c>
      <c r="J2369">
        <v>704.99</v>
      </c>
    </row>
    <row r="2370" spans="1:10" x14ac:dyDescent="0.25">
      <c r="A2370" s="1">
        <v>44692</v>
      </c>
      <c r="B2370" t="s">
        <v>10</v>
      </c>
      <c r="C2370" t="s">
        <v>11</v>
      </c>
      <c r="D2370" t="s">
        <v>12</v>
      </c>
      <c r="E2370" t="s">
        <v>210</v>
      </c>
      <c r="F2370" t="s">
        <v>34</v>
      </c>
      <c r="G2370" t="s">
        <v>35</v>
      </c>
      <c r="H2370">
        <v>9</v>
      </c>
      <c r="I2370">
        <v>7506</v>
      </c>
      <c r="J2370">
        <v>827.17</v>
      </c>
    </row>
    <row r="2371" spans="1:10" x14ac:dyDescent="0.25">
      <c r="A2371" s="1">
        <v>45302</v>
      </c>
      <c r="B2371" t="s">
        <v>49</v>
      </c>
      <c r="C2371" t="s">
        <v>17</v>
      </c>
      <c r="D2371" t="s">
        <v>12</v>
      </c>
      <c r="E2371" t="s">
        <v>41</v>
      </c>
      <c r="F2371" t="s">
        <v>42</v>
      </c>
      <c r="G2371" t="s">
        <v>28</v>
      </c>
      <c r="H2371">
        <v>7</v>
      </c>
      <c r="I2371">
        <v>4095</v>
      </c>
      <c r="J2371">
        <v>883.56</v>
      </c>
    </row>
    <row r="2372" spans="1:10" x14ac:dyDescent="0.25">
      <c r="A2372" s="1">
        <v>45504</v>
      </c>
      <c r="B2372" t="s">
        <v>32</v>
      </c>
      <c r="C2372" t="s">
        <v>19</v>
      </c>
      <c r="D2372" t="s">
        <v>12</v>
      </c>
      <c r="E2372" t="s">
        <v>314</v>
      </c>
      <c r="F2372" t="s">
        <v>108</v>
      </c>
      <c r="G2372" t="s">
        <v>15</v>
      </c>
      <c r="H2372">
        <v>7</v>
      </c>
      <c r="I2372">
        <v>4459</v>
      </c>
      <c r="J2372">
        <v>1037.27</v>
      </c>
    </row>
    <row r="2373" spans="1:10" x14ac:dyDescent="0.25">
      <c r="A2373" s="1">
        <v>44865</v>
      </c>
      <c r="B2373" t="s">
        <v>18</v>
      </c>
      <c r="C2373" t="s">
        <v>19</v>
      </c>
      <c r="D2373" t="s">
        <v>12</v>
      </c>
      <c r="E2373" t="s">
        <v>103</v>
      </c>
      <c r="F2373" t="s">
        <v>21</v>
      </c>
      <c r="G2373" t="s">
        <v>15</v>
      </c>
      <c r="H2373">
        <v>5</v>
      </c>
      <c r="I2373">
        <v>620</v>
      </c>
      <c r="J2373">
        <v>62.49</v>
      </c>
    </row>
    <row r="2374" spans="1:10" x14ac:dyDescent="0.25">
      <c r="A2374" s="1">
        <v>44790</v>
      </c>
      <c r="B2374" t="s">
        <v>32</v>
      </c>
      <c r="C2374" t="s">
        <v>19</v>
      </c>
      <c r="D2374" t="s">
        <v>12</v>
      </c>
      <c r="E2374" t="s">
        <v>103</v>
      </c>
      <c r="F2374" t="s">
        <v>21</v>
      </c>
      <c r="G2374" t="s">
        <v>15</v>
      </c>
      <c r="H2374">
        <v>2</v>
      </c>
      <c r="I2374">
        <v>2362</v>
      </c>
      <c r="J2374">
        <v>185.89</v>
      </c>
    </row>
    <row r="2375" spans="1:10" x14ac:dyDescent="0.25">
      <c r="A2375" s="1">
        <v>44648</v>
      </c>
      <c r="B2375" t="s">
        <v>10</v>
      </c>
      <c r="C2375" t="s">
        <v>11</v>
      </c>
      <c r="D2375" t="s">
        <v>12</v>
      </c>
      <c r="E2375" t="s">
        <v>103</v>
      </c>
      <c r="F2375" t="s">
        <v>21</v>
      </c>
      <c r="G2375" t="s">
        <v>15</v>
      </c>
      <c r="H2375">
        <v>2</v>
      </c>
      <c r="I2375">
        <v>606</v>
      </c>
      <c r="J2375">
        <v>154.99</v>
      </c>
    </row>
    <row r="2376" spans="1:10" x14ac:dyDescent="0.25">
      <c r="A2376" s="1">
        <v>45499</v>
      </c>
      <c r="B2376" t="s">
        <v>25</v>
      </c>
      <c r="C2376" t="s">
        <v>19</v>
      </c>
      <c r="D2376" t="s">
        <v>12</v>
      </c>
      <c r="E2376" t="s">
        <v>74</v>
      </c>
      <c r="F2376" t="s">
        <v>23</v>
      </c>
      <c r="G2376" t="s">
        <v>24</v>
      </c>
      <c r="H2376">
        <v>4</v>
      </c>
      <c r="I2376">
        <v>1084</v>
      </c>
      <c r="J2376">
        <v>134.41999999999999</v>
      </c>
    </row>
    <row r="2377" spans="1:10" x14ac:dyDescent="0.25">
      <c r="A2377" s="1">
        <v>44596</v>
      </c>
      <c r="B2377" t="s">
        <v>55</v>
      </c>
      <c r="C2377" t="s">
        <v>19</v>
      </c>
      <c r="D2377" t="s">
        <v>12</v>
      </c>
      <c r="E2377" t="s">
        <v>43</v>
      </c>
      <c r="F2377" t="s">
        <v>44</v>
      </c>
      <c r="G2377" t="s">
        <v>35</v>
      </c>
      <c r="H2377">
        <v>8</v>
      </c>
      <c r="I2377">
        <v>2880</v>
      </c>
      <c r="J2377">
        <v>315.87</v>
      </c>
    </row>
    <row r="2378" spans="1:10" x14ac:dyDescent="0.25">
      <c r="A2378" s="1">
        <v>45036</v>
      </c>
      <c r="B2378" t="s">
        <v>55</v>
      </c>
      <c r="C2378" t="s">
        <v>19</v>
      </c>
      <c r="D2378" t="s">
        <v>12</v>
      </c>
      <c r="E2378" t="s">
        <v>53</v>
      </c>
      <c r="F2378" t="s">
        <v>44</v>
      </c>
      <c r="G2378" t="s">
        <v>35</v>
      </c>
      <c r="H2378">
        <v>8</v>
      </c>
      <c r="I2378">
        <v>4544</v>
      </c>
      <c r="J2378">
        <v>727.05</v>
      </c>
    </row>
    <row r="2379" spans="1:10" x14ac:dyDescent="0.25">
      <c r="A2379" s="1">
        <v>45543</v>
      </c>
      <c r="B2379" t="s">
        <v>16</v>
      </c>
      <c r="C2379" t="s">
        <v>17</v>
      </c>
      <c r="D2379" t="s">
        <v>12</v>
      </c>
      <c r="E2379" t="s">
        <v>52</v>
      </c>
      <c r="F2379" t="s">
        <v>42</v>
      </c>
      <c r="G2379" t="s">
        <v>28</v>
      </c>
      <c r="H2379">
        <v>4</v>
      </c>
      <c r="I2379">
        <v>556</v>
      </c>
      <c r="J2379">
        <v>85.63</v>
      </c>
    </row>
    <row r="2380" spans="1:10" x14ac:dyDescent="0.25">
      <c r="A2380" s="1">
        <v>45260</v>
      </c>
      <c r="B2380" t="s">
        <v>55</v>
      </c>
      <c r="C2380" t="s">
        <v>19</v>
      </c>
      <c r="D2380" t="s">
        <v>12</v>
      </c>
      <c r="E2380" t="s">
        <v>384</v>
      </c>
      <c r="F2380" t="s">
        <v>23</v>
      </c>
      <c r="G2380" t="s">
        <v>24</v>
      </c>
      <c r="H2380">
        <v>5</v>
      </c>
      <c r="I2380">
        <v>505</v>
      </c>
      <c r="J2380">
        <v>71.97</v>
      </c>
    </row>
    <row r="2381" spans="1:10" x14ac:dyDescent="0.25">
      <c r="A2381" s="1">
        <v>44988</v>
      </c>
      <c r="B2381" t="s">
        <v>18</v>
      </c>
      <c r="C2381" t="s">
        <v>19</v>
      </c>
      <c r="D2381" t="s">
        <v>12</v>
      </c>
      <c r="E2381" t="s">
        <v>103</v>
      </c>
      <c r="F2381" t="s">
        <v>149</v>
      </c>
      <c r="G2381" t="s">
        <v>15</v>
      </c>
      <c r="H2381">
        <v>5</v>
      </c>
      <c r="I2381">
        <v>2595</v>
      </c>
      <c r="J2381">
        <v>774.2</v>
      </c>
    </row>
    <row r="2382" spans="1:10" x14ac:dyDescent="0.25">
      <c r="A2382" s="1">
        <v>44950</v>
      </c>
      <c r="B2382" t="s">
        <v>29</v>
      </c>
      <c r="C2382" t="s">
        <v>17</v>
      </c>
      <c r="D2382" t="s">
        <v>12</v>
      </c>
      <c r="E2382" t="s">
        <v>390</v>
      </c>
      <c r="F2382" t="s">
        <v>44</v>
      </c>
      <c r="G2382" t="s">
        <v>35</v>
      </c>
      <c r="H2382">
        <v>5</v>
      </c>
      <c r="I2382">
        <v>2820</v>
      </c>
      <c r="J2382">
        <v>737.68</v>
      </c>
    </row>
    <row r="2383" spans="1:10" x14ac:dyDescent="0.25">
      <c r="A2383" s="1">
        <v>45228</v>
      </c>
      <c r="B2383" t="s">
        <v>49</v>
      </c>
      <c r="C2383" t="s">
        <v>17</v>
      </c>
      <c r="D2383" t="s">
        <v>12</v>
      </c>
      <c r="E2383" t="s">
        <v>192</v>
      </c>
      <c r="F2383" t="s">
        <v>149</v>
      </c>
      <c r="G2383" t="s">
        <v>15</v>
      </c>
      <c r="H2383">
        <v>2</v>
      </c>
      <c r="I2383">
        <v>1018</v>
      </c>
      <c r="J2383">
        <v>297.20999999999998</v>
      </c>
    </row>
    <row r="2384" spans="1:10" x14ac:dyDescent="0.25">
      <c r="A2384" s="1">
        <v>44989</v>
      </c>
      <c r="B2384" t="s">
        <v>55</v>
      </c>
      <c r="C2384" t="s">
        <v>19</v>
      </c>
      <c r="D2384" t="s">
        <v>12</v>
      </c>
      <c r="E2384" t="s">
        <v>22</v>
      </c>
      <c r="F2384" t="s">
        <v>23</v>
      </c>
      <c r="G2384" t="s">
        <v>24</v>
      </c>
      <c r="H2384">
        <v>4</v>
      </c>
      <c r="I2384">
        <v>944</v>
      </c>
      <c r="J2384">
        <v>176.56</v>
      </c>
    </row>
    <row r="2385" spans="1:10" x14ac:dyDescent="0.25">
      <c r="A2385" s="1">
        <v>45168</v>
      </c>
      <c r="B2385" t="s">
        <v>18</v>
      </c>
      <c r="C2385" t="s">
        <v>19</v>
      </c>
      <c r="D2385" t="s">
        <v>12</v>
      </c>
      <c r="E2385" t="s">
        <v>244</v>
      </c>
      <c r="F2385" t="s">
        <v>23</v>
      </c>
      <c r="G2385" t="s">
        <v>24</v>
      </c>
      <c r="H2385">
        <v>1</v>
      </c>
      <c r="I2385">
        <v>610</v>
      </c>
      <c r="J2385">
        <v>44.99</v>
      </c>
    </row>
    <row r="2386" spans="1:10" x14ac:dyDescent="0.25">
      <c r="A2386" s="1">
        <v>45437</v>
      </c>
      <c r="B2386" t="s">
        <v>25</v>
      </c>
      <c r="C2386" t="s">
        <v>19</v>
      </c>
      <c r="D2386" t="s">
        <v>12</v>
      </c>
      <c r="E2386" t="s">
        <v>37</v>
      </c>
      <c r="F2386" t="s">
        <v>34</v>
      </c>
      <c r="G2386" t="s">
        <v>35</v>
      </c>
      <c r="H2386">
        <v>4</v>
      </c>
      <c r="I2386">
        <v>912</v>
      </c>
      <c r="J2386">
        <v>81.650000000000006</v>
      </c>
    </row>
    <row r="2387" spans="1:10" x14ac:dyDescent="0.25">
      <c r="A2387" s="1">
        <v>45018</v>
      </c>
      <c r="B2387" t="s">
        <v>36</v>
      </c>
      <c r="C2387" t="s">
        <v>17</v>
      </c>
      <c r="D2387" t="s">
        <v>12</v>
      </c>
      <c r="E2387" t="s">
        <v>75</v>
      </c>
      <c r="F2387" t="s">
        <v>108</v>
      </c>
      <c r="G2387" t="s">
        <v>15</v>
      </c>
      <c r="H2387">
        <v>9</v>
      </c>
      <c r="I2387">
        <v>10413</v>
      </c>
      <c r="J2387">
        <v>1738.63</v>
      </c>
    </row>
    <row r="2388" spans="1:10" x14ac:dyDescent="0.25">
      <c r="A2388" s="1">
        <v>45134</v>
      </c>
      <c r="B2388" t="s">
        <v>10</v>
      </c>
      <c r="C2388" t="s">
        <v>11</v>
      </c>
      <c r="D2388" t="s">
        <v>12</v>
      </c>
      <c r="E2388" t="s">
        <v>326</v>
      </c>
      <c r="F2388" t="s">
        <v>34</v>
      </c>
      <c r="G2388" t="s">
        <v>35</v>
      </c>
      <c r="H2388">
        <v>8</v>
      </c>
      <c r="I2388">
        <v>2176</v>
      </c>
      <c r="J2388">
        <v>398.29</v>
      </c>
    </row>
    <row r="2389" spans="1:10" x14ac:dyDescent="0.25">
      <c r="A2389" s="1">
        <v>44565</v>
      </c>
      <c r="B2389" t="s">
        <v>10</v>
      </c>
      <c r="C2389" t="s">
        <v>11</v>
      </c>
      <c r="D2389" t="s">
        <v>12</v>
      </c>
      <c r="E2389" t="s">
        <v>415</v>
      </c>
      <c r="F2389" t="s">
        <v>84</v>
      </c>
      <c r="G2389" t="s">
        <v>28</v>
      </c>
      <c r="H2389">
        <v>6</v>
      </c>
      <c r="I2389">
        <v>6108</v>
      </c>
      <c r="J2389">
        <v>1488.4</v>
      </c>
    </row>
    <row r="2390" spans="1:10" x14ac:dyDescent="0.25">
      <c r="A2390" s="1">
        <v>45336</v>
      </c>
      <c r="B2390" t="s">
        <v>16</v>
      </c>
      <c r="C2390" t="s">
        <v>17</v>
      </c>
      <c r="D2390" t="s">
        <v>12</v>
      </c>
      <c r="E2390" t="s">
        <v>239</v>
      </c>
      <c r="F2390" t="s">
        <v>23</v>
      </c>
      <c r="G2390" t="s">
        <v>24</v>
      </c>
      <c r="H2390">
        <v>2</v>
      </c>
      <c r="I2390">
        <v>1148</v>
      </c>
      <c r="J2390">
        <v>173.89</v>
      </c>
    </row>
    <row r="2391" spans="1:10" x14ac:dyDescent="0.25">
      <c r="A2391" s="1">
        <v>45413</v>
      </c>
      <c r="B2391" t="s">
        <v>36</v>
      </c>
      <c r="C2391" t="s">
        <v>17</v>
      </c>
      <c r="D2391" t="s">
        <v>12</v>
      </c>
      <c r="E2391" t="s">
        <v>341</v>
      </c>
      <c r="F2391" t="s">
        <v>46</v>
      </c>
      <c r="G2391" t="s">
        <v>15</v>
      </c>
      <c r="H2391">
        <v>8</v>
      </c>
      <c r="I2391">
        <v>8824</v>
      </c>
      <c r="J2391">
        <v>597.1</v>
      </c>
    </row>
    <row r="2392" spans="1:10" x14ac:dyDescent="0.25">
      <c r="A2392" s="1">
        <v>44729</v>
      </c>
      <c r="B2392" t="s">
        <v>29</v>
      </c>
      <c r="C2392" t="s">
        <v>17</v>
      </c>
      <c r="D2392" t="s">
        <v>12</v>
      </c>
      <c r="E2392" t="s">
        <v>341</v>
      </c>
      <c r="F2392" t="s">
        <v>46</v>
      </c>
      <c r="G2392" t="s">
        <v>15</v>
      </c>
      <c r="H2392">
        <v>5</v>
      </c>
      <c r="I2392">
        <v>2240</v>
      </c>
      <c r="J2392">
        <v>159.58000000000001</v>
      </c>
    </row>
    <row r="2393" spans="1:10" x14ac:dyDescent="0.25">
      <c r="A2393" s="1">
        <v>44609</v>
      </c>
      <c r="B2393" t="s">
        <v>25</v>
      </c>
      <c r="C2393" t="s">
        <v>19</v>
      </c>
      <c r="D2393" t="s">
        <v>12</v>
      </c>
      <c r="E2393" t="s">
        <v>86</v>
      </c>
      <c r="F2393" t="s">
        <v>84</v>
      </c>
      <c r="G2393" t="s">
        <v>28</v>
      </c>
      <c r="H2393">
        <v>2</v>
      </c>
      <c r="I2393">
        <v>1312</v>
      </c>
      <c r="J2393">
        <v>386.79</v>
      </c>
    </row>
    <row r="2394" spans="1:10" x14ac:dyDescent="0.25">
      <c r="A2394" s="1">
        <v>44959</v>
      </c>
      <c r="B2394" t="s">
        <v>55</v>
      </c>
      <c r="C2394" t="s">
        <v>19</v>
      </c>
      <c r="D2394" t="s">
        <v>12</v>
      </c>
      <c r="E2394" t="s">
        <v>86</v>
      </c>
      <c r="F2394" t="s">
        <v>84</v>
      </c>
      <c r="G2394" t="s">
        <v>28</v>
      </c>
      <c r="H2394">
        <v>9</v>
      </c>
      <c r="I2394">
        <v>10620</v>
      </c>
      <c r="J2394">
        <v>2946.93</v>
      </c>
    </row>
    <row r="2395" spans="1:10" x14ac:dyDescent="0.25">
      <c r="A2395" s="1">
        <v>45565</v>
      </c>
      <c r="B2395" t="s">
        <v>18</v>
      </c>
      <c r="C2395" t="s">
        <v>19</v>
      </c>
      <c r="D2395" t="s">
        <v>12</v>
      </c>
      <c r="E2395" t="s">
        <v>86</v>
      </c>
      <c r="F2395" t="s">
        <v>84</v>
      </c>
      <c r="G2395" t="s">
        <v>28</v>
      </c>
      <c r="H2395">
        <v>2</v>
      </c>
      <c r="I2395">
        <v>2178</v>
      </c>
      <c r="J2395">
        <v>574.4</v>
      </c>
    </row>
    <row r="2396" spans="1:10" x14ac:dyDescent="0.25">
      <c r="A2396" s="1">
        <v>45424</v>
      </c>
      <c r="B2396" t="s">
        <v>36</v>
      </c>
      <c r="C2396" t="s">
        <v>17</v>
      </c>
      <c r="D2396" t="s">
        <v>12</v>
      </c>
      <c r="E2396" t="s">
        <v>26</v>
      </c>
      <c r="F2396" t="s">
        <v>27</v>
      </c>
      <c r="G2396" t="s">
        <v>28</v>
      </c>
      <c r="H2396">
        <v>3</v>
      </c>
      <c r="I2396">
        <v>1671</v>
      </c>
      <c r="J2396">
        <v>94.52</v>
      </c>
    </row>
    <row r="2397" spans="1:10" x14ac:dyDescent="0.25">
      <c r="A2397" s="1">
        <v>45501</v>
      </c>
      <c r="B2397" t="s">
        <v>36</v>
      </c>
      <c r="C2397" t="s">
        <v>17</v>
      </c>
      <c r="D2397" t="s">
        <v>12</v>
      </c>
      <c r="E2397" t="s">
        <v>26</v>
      </c>
      <c r="F2397" t="s">
        <v>27</v>
      </c>
      <c r="G2397" t="s">
        <v>28</v>
      </c>
      <c r="H2397">
        <v>3</v>
      </c>
      <c r="I2397">
        <v>2025</v>
      </c>
      <c r="J2397">
        <v>355.59</v>
      </c>
    </row>
    <row r="2398" spans="1:10" x14ac:dyDescent="0.25">
      <c r="A2398" s="1">
        <v>45597</v>
      </c>
      <c r="B2398" t="s">
        <v>16</v>
      </c>
      <c r="C2398" t="s">
        <v>17</v>
      </c>
      <c r="D2398" t="s">
        <v>12</v>
      </c>
      <c r="E2398" t="s">
        <v>416</v>
      </c>
      <c r="F2398" t="s">
        <v>108</v>
      </c>
      <c r="G2398" t="s">
        <v>15</v>
      </c>
      <c r="H2398">
        <v>6</v>
      </c>
      <c r="I2398">
        <v>2886</v>
      </c>
      <c r="J2398">
        <v>355.32</v>
      </c>
    </row>
    <row r="2399" spans="1:10" x14ac:dyDescent="0.25">
      <c r="A2399" s="1">
        <v>45500</v>
      </c>
      <c r="B2399" t="s">
        <v>10</v>
      </c>
      <c r="C2399" t="s">
        <v>11</v>
      </c>
      <c r="D2399" t="s">
        <v>12</v>
      </c>
      <c r="E2399" t="s">
        <v>178</v>
      </c>
      <c r="F2399" t="s">
        <v>34</v>
      </c>
      <c r="G2399" t="s">
        <v>35</v>
      </c>
      <c r="H2399">
        <v>2</v>
      </c>
      <c r="I2399">
        <v>1868</v>
      </c>
      <c r="J2399">
        <v>307.32</v>
      </c>
    </row>
    <row r="2400" spans="1:10" x14ac:dyDescent="0.25">
      <c r="A2400" s="1">
        <v>44934</v>
      </c>
      <c r="B2400" t="s">
        <v>29</v>
      </c>
      <c r="C2400" t="s">
        <v>17</v>
      </c>
      <c r="D2400" t="s">
        <v>12</v>
      </c>
      <c r="E2400" t="s">
        <v>22</v>
      </c>
      <c r="F2400" t="s">
        <v>23</v>
      </c>
      <c r="G2400" t="s">
        <v>24</v>
      </c>
      <c r="H2400">
        <v>4</v>
      </c>
      <c r="I2400">
        <v>3280</v>
      </c>
      <c r="J2400">
        <v>826.94</v>
      </c>
    </row>
    <row r="2401" spans="1:10" x14ac:dyDescent="0.25">
      <c r="A2401" s="1">
        <v>44699</v>
      </c>
      <c r="B2401" t="s">
        <v>18</v>
      </c>
      <c r="C2401" t="s">
        <v>19</v>
      </c>
      <c r="D2401" t="s">
        <v>12</v>
      </c>
      <c r="E2401" t="s">
        <v>159</v>
      </c>
      <c r="F2401" t="s">
        <v>23</v>
      </c>
      <c r="G2401" t="s">
        <v>24</v>
      </c>
      <c r="H2401">
        <v>2</v>
      </c>
      <c r="I2401">
        <v>1768</v>
      </c>
      <c r="J2401">
        <v>375.86</v>
      </c>
    </row>
    <row r="2402" spans="1:10" x14ac:dyDescent="0.25">
      <c r="A2402" s="1">
        <v>44914</v>
      </c>
      <c r="B2402" t="s">
        <v>25</v>
      </c>
      <c r="C2402" t="s">
        <v>19</v>
      </c>
      <c r="D2402" t="s">
        <v>12</v>
      </c>
      <c r="E2402" t="s">
        <v>56</v>
      </c>
      <c r="F2402" t="s">
        <v>57</v>
      </c>
      <c r="G2402" t="s">
        <v>24</v>
      </c>
      <c r="H2402">
        <v>7</v>
      </c>
      <c r="I2402">
        <v>6937</v>
      </c>
      <c r="J2402">
        <v>1753.02</v>
      </c>
    </row>
    <row r="2403" spans="1:10" x14ac:dyDescent="0.25">
      <c r="A2403" s="1">
        <v>45556</v>
      </c>
      <c r="B2403" t="s">
        <v>32</v>
      </c>
      <c r="C2403" t="s">
        <v>19</v>
      </c>
      <c r="D2403" t="s">
        <v>12</v>
      </c>
      <c r="E2403" t="s">
        <v>37</v>
      </c>
      <c r="F2403" t="s">
        <v>34</v>
      </c>
      <c r="G2403" t="s">
        <v>35</v>
      </c>
      <c r="H2403">
        <v>6</v>
      </c>
      <c r="I2403">
        <v>3012</v>
      </c>
      <c r="J2403">
        <v>307.47000000000003</v>
      </c>
    </row>
    <row r="2404" spans="1:10" x14ac:dyDescent="0.25">
      <c r="A2404" s="1">
        <v>45554</v>
      </c>
      <c r="B2404" t="s">
        <v>29</v>
      </c>
      <c r="C2404" t="s">
        <v>17</v>
      </c>
      <c r="D2404" t="s">
        <v>12</v>
      </c>
      <c r="E2404" t="s">
        <v>417</v>
      </c>
      <c r="F2404" t="s">
        <v>83</v>
      </c>
      <c r="G2404" t="s">
        <v>28</v>
      </c>
      <c r="H2404">
        <v>3</v>
      </c>
      <c r="I2404">
        <v>777</v>
      </c>
      <c r="J2404">
        <v>147.93</v>
      </c>
    </row>
    <row r="2405" spans="1:10" x14ac:dyDescent="0.25">
      <c r="A2405" s="1">
        <v>45338</v>
      </c>
      <c r="B2405" t="s">
        <v>40</v>
      </c>
      <c r="C2405" t="s">
        <v>19</v>
      </c>
      <c r="D2405" t="s">
        <v>12</v>
      </c>
      <c r="E2405" t="s">
        <v>64</v>
      </c>
      <c r="F2405" t="s">
        <v>84</v>
      </c>
      <c r="G2405" t="s">
        <v>28</v>
      </c>
      <c r="H2405">
        <v>6</v>
      </c>
      <c r="I2405">
        <v>4056</v>
      </c>
      <c r="J2405">
        <v>452.14</v>
      </c>
    </row>
    <row r="2406" spans="1:10" x14ac:dyDescent="0.25">
      <c r="A2406" s="1">
        <v>45625</v>
      </c>
      <c r="B2406" t="s">
        <v>10</v>
      </c>
      <c r="C2406" t="s">
        <v>11</v>
      </c>
      <c r="D2406" t="s">
        <v>12</v>
      </c>
      <c r="E2406" t="s">
        <v>64</v>
      </c>
      <c r="F2406" t="s">
        <v>84</v>
      </c>
      <c r="G2406" t="s">
        <v>28</v>
      </c>
      <c r="H2406">
        <v>4</v>
      </c>
      <c r="I2406">
        <v>3212</v>
      </c>
      <c r="J2406">
        <v>514.91999999999996</v>
      </c>
    </row>
    <row r="2407" spans="1:10" x14ac:dyDescent="0.25">
      <c r="A2407" s="1">
        <v>45507</v>
      </c>
      <c r="B2407" t="s">
        <v>32</v>
      </c>
      <c r="C2407" t="s">
        <v>19</v>
      </c>
      <c r="D2407" t="s">
        <v>12</v>
      </c>
      <c r="E2407" t="s">
        <v>132</v>
      </c>
      <c r="F2407" t="s">
        <v>63</v>
      </c>
      <c r="G2407" t="s">
        <v>28</v>
      </c>
      <c r="H2407">
        <v>1</v>
      </c>
      <c r="I2407">
        <v>952</v>
      </c>
      <c r="J2407">
        <v>179.4</v>
      </c>
    </row>
    <row r="2408" spans="1:10" x14ac:dyDescent="0.25">
      <c r="A2408" s="1">
        <v>44710</v>
      </c>
      <c r="B2408" t="s">
        <v>40</v>
      </c>
      <c r="C2408" t="s">
        <v>19</v>
      </c>
      <c r="D2408" t="s">
        <v>12</v>
      </c>
      <c r="E2408" t="s">
        <v>52</v>
      </c>
      <c r="F2408" t="s">
        <v>42</v>
      </c>
      <c r="G2408" t="s">
        <v>28</v>
      </c>
      <c r="H2408">
        <v>3</v>
      </c>
      <c r="I2408">
        <v>1674</v>
      </c>
      <c r="J2408">
        <v>106.24</v>
      </c>
    </row>
    <row r="2409" spans="1:10" x14ac:dyDescent="0.25">
      <c r="A2409" s="1">
        <v>45335</v>
      </c>
      <c r="B2409" t="s">
        <v>32</v>
      </c>
      <c r="C2409" t="s">
        <v>19</v>
      </c>
      <c r="D2409" t="s">
        <v>12</v>
      </c>
      <c r="E2409" t="s">
        <v>62</v>
      </c>
      <c r="F2409" t="s">
        <v>59</v>
      </c>
      <c r="G2409" t="s">
        <v>28</v>
      </c>
      <c r="H2409">
        <v>5</v>
      </c>
      <c r="I2409">
        <v>4315</v>
      </c>
      <c r="J2409">
        <v>1019.91</v>
      </c>
    </row>
    <row r="2410" spans="1:10" x14ac:dyDescent="0.25">
      <c r="A2410" s="1">
        <v>45275</v>
      </c>
      <c r="B2410" t="s">
        <v>16</v>
      </c>
      <c r="C2410" t="s">
        <v>17</v>
      </c>
      <c r="D2410" t="s">
        <v>12</v>
      </c>
      <c r="E2410" t="s">
        <v>62</v>
      </c>
      <c r="F2410" t="s">
        <v>59</v>
      </c>
      <c r="G2410" t="s">
        <v>28</v>
      </c>
      <c r="H2410">
        <v>7</v>
      </c>
      <c r="I2410">
        <v>1722</v>
      </c>
      <c r="J2410">
        <v>162.38999999999999</v>
      </c>
    </row>
    <row r="2411" spans="1:10" x14ac:dyDescent="0.25">
      <c r="A2411" s="1">
        <v>44818</v>
      </c>
      <c r="B2411" t="s">
        <v>49</v>
      </c>
      <c r="C2411" t="s">
        <v>17</v>
      </c>
      <c r="D2411" t="s">
        <v>12</v>
      </c>
      <c r="E2411" t="s">
        <v>329</v>
      </c>
      <c r="F2411" t="s">
        <v>149</v>
      </c>
      <c r="G2411" t="s">
        <v>15</v>
      </c>
      <c r="H2411">
        <v>5</v>
      </c>
      <c r="I2411">
        <v>2895</v>
      </c>
      <c r="J2411">
        <v>334.35</v>
      </c>
    </row>
    <row r="2412" spans="1:10" x14ac:dyDescent="0.25">
      <c r="A2412" s="1">
        <v>45135</v>
      </c>
      <c r="B2412" t="s">
        <v>18</v>
      </c>
      <c r="C2412" t="s">
        <v>19</v>
      </c>
      <c r="D2412" t="s">
        <v>12</v>
      </c>
      <c r="E2412" t="s">
        <v>210</v>
      </c>
      <c r="F2412" t="s">
        <v>34</v>
      </c>
      <c r="G2412" t="s">
        <v>35</v>
      </c>
      <c r="H2412">
        <v>2</v>
      </c>
      <c r="I2412">
        <v>1280</v>
      </c>
      <c r="J2412">
        <v>335.22</v>
      </c>
    </row>
    <row r="2413" spans="1:10" x14ac:dyDescent="0.25">
      <c r="A2413" s="1">
        <v>44661</v>
      </c>
      <c r="B2413" t="s">
        <v>29</v>
      </c>
      <c r="C2413" t="s">
        <v>17</v>
      </c>
      <c r="D2413" t="s">
        <v>12</v>
      </c>
      <c r="E2413" t="s">
        <v>56</v>
      </c>
      <c r="F2413" t="s">
        <v>57</v>
      </c>
      <c r="G2413" t="s">
        <v>24</v>
      </c>
      <c r="H2413">
        <v>5</v>
      </c>
      <c r="I2413">
        <v>4295</v>
      </c>
      <c r="J2413">
        <v>414.42</v>
      </c>
    </row>
    <row r="2414" spans="1:10" x14ac:dyDescent="0.25">
      <c r="A2414" s="1">
        <v>44780</v>
      </c>
      <c r="B2414" t="s">
        <v>10</v>
      </c>
      <c r="C2414" t="s">
        <v>11</v>
      </c>
      <c r="D2414" t="s">
        <v>12</v>
      </c>
      <c r="E2414" t="s">
        <v>243</v>
      </c>
      <c r="F2414" t="s">
        <v>78</v>
      </c>
      <c r="G2414" t="s">
        <v>28</v>
      </c>
      <c r="H2414">
        <v>6</v>
      </c>
      <c r="I2414">
        <v>4434</v>
      </c>
      <c r="J2414">
        <v>306.63</v>
      </c>
    </row>
    <row r="2415" spans="1:10" x14ac:dyDescent="0.25">
      <c r="A2415" s="1">
        <v>44751</v>
      </c>
      <c r="B2415" t="s">
        <v>49</v>
      </c>
      <c r="C2415" t="s">
        <v>17</v>
      </c>
      <c r="D2415" t="s">
        <v>12</v>
      </c>
      <c r="E2415" t="s">
        <v>243</v>
      </c>
      <c r="F2415" t="s">
        <v>78</v>
      </c>
      <c r="G2415" t="s">
        <v>28</v>
      </c>
      <c r="H2415">
        <v>6</v>
      </c>
      <c r="I2415">
        <v>3816</v>
      </c>
      <c r="J2415">
        <v>623.78</v>
      </c>
    </row>
    <row r="2416" spans="1:10" x14ac:dyDescent="0.25">
      <c r="A2416" s="1">
        <v>45391</v>
      </c>
      <c r="B2416" t="s">
        <v>29</v>
      </c>
      <c r="C2416" t="s">
        <v>17</v>
      </c>
      <c r="D2416" t="s">
        <v>12</v>
      </c>
      <c r="E2416" t="s">
        <v>361</v>
      </c>
      <c r="F2416" t="s">
        <v>27</v>
      </c>
      <c r="G2416" t="s">
        <v>28</v>
      </c>
      <c r="H2416">
        <v>7</v>
      </c>
      <c r="I2416">
        <v>6335</v>
      </c>
      <c r="J2416">
        <v>1137.08</v>
      </c>
    </row>
    <row r="2417" spans="1:10" x14ac:dyDescent="0.25">
      <c r="A2417" s="1">
        <v>45607</v>
      </c>
      <c r="B2417" t="s">
        <v>16</v>
      </c>
      <c r="C2417" t="s">
        <v>17</v>
      </c>
      <c r="D2417" t="s">
        <v>12</v>
      </c>
      <c r="E2417" t="s">
        <v>307</v>
      </c>
      <c r="F2417" t="s">
        <v>156</v>
      </c>
      <c r="G2417" t="s">
        <v>28</v>
      </c>
      <c r="H2417">
        <v>3</v>
      </c>
      <c r="I2417">
        <v>315</v>
      </c>
      <c r="J2417">
        <v>78.41</v>
      </c>
    </row>
    <row r="2418" spans="1:10" x14ac:dyDescent="0.25">
      <c r="A2418" s="1">
        <v>45623</v>
      </c>
      <c r="B2418" t="s">
        <v>25</v>
      </c>
      <c r="C2418" t="s">
        <v>19</v>
      </c>
      <c r="D2418" t="s">
        <v>12</v>
      </c>
      <c r="E2418" t="s">
        <v>246</v>
      </c>
      <c r="F2418" t="s">
        <v>34</v>
      </c>
      <c r="G2418" t="s">
        <v>35</v>
      </c>
      <c r="H2418">
        <v>2</v>
      </c>
      <c r="I2418">
        <v>626</v>
      </c>
      <c r="J2418">
        <v>168.82</v>
      </c>
    </row>
    <row r="2419" spans="1:10" x14ac:dyDescent="0.25">
      <c r="A2419" s="1">
        <v>45435</v>
      </c>
      <c r="B2419" t="s">
        <v>32</v>
      </c>
      <c r="C2419" t="s">
        <v>19</v>
      </c>
      <c r="D2419" t="s">
        <v>12</v>
      </c>
      <c r="E2419" t="s">
        <v>306</v>
      </c>
      <c r="F2419" t="s">
        <v>200</v>
      </c>
      <c r="G2419" t="s">
        <v>28</v>
      </c>
      <c r="H2419">
        <v>1</v>
      </c>
      <c r="I2419">
        <v>1140</v>
      </c>
      <c r="J2419">
        <v>85.75</v>
      </c>
    </row>
    <row r="2420" spans="1:10" x14ac:dyDescent="0.25">
      <c r="A2420" s="1">
        <v>44881</v>
      </c>
      <c r="B2420" t="s">
        <v>40</v>
      </c>
      <c r="C2420" t="s">
        <v>19</v>
      </c>
      <c r="D2420" t="s">
        <v>12</v>
      </c>
      <c r="E2420" t="s">
        <v>306</v>
      </c>
      <c r="F2420" t="s">
        <v>200</v>
      </c>
      <c r="G2420" t="s">
        <v>28</v>
      </c>
      <c r="H2420">
        <v>5</v>
      </c>
      <c r="I2420">
        <v>590</v>
      </c>
      <c r="J2420">
        <v>52.55</v>
      </c>
    </row>
    <row r="2421" spans="1:10" x14ac:dyDescent="0.25">
      <c r="A2421" s="1">
        <v>44672</v>
      </c>
      <c r="B2421" t="s">
        <v>18</v>
      </c>
      <c r="C2421" t="s">
        <v>19</v>
      </c>
      <c r="D2421" t="s">
        <v>12</v>
      </c>
      <c r="E2421" t="s">
        <v>306</v>
      </c>
      <c r="F2421" t="s">
        <v>200</v>
      </c>
      <c r="G2421" t="s">
        <v>28</v>
      </c>
      <c r="H2421">
        <v>1</v>
      </c>
      <c r="I2421">
        <v>631</v>
      </c>
      <c r="J2421">
        <v>99.31</v>
      </c>
    </row>
    <row r="2422" spans="1:10" x14ac:dyDescent="0.25">
      <c r="A2422" s="1">
        <v>45539</v>
      </c>
      <c r="B2422" t="s">
        <v>36</v>
      </c>
      <c r="C2422" t="s">
        <v>17</v>
      </c>
      <c r="D2422" t="s">
        <v>12</v>
      </c>
      <c r="E2422" t="s">
        <v>306</v>
      </c>
      <c r="F2422" t="s">
        <v>200</v>
      </c>
      <c r="G2422" t="s">
        <v>28</v>
      </c>
      <c r="H2422">
        <v>8</v>
      </c>
      <c r="I2422">
        <v>1944</v>
      </c>
      <c r="J2422">
        <v>134.94</v>
      </c>
    </row>
    <row r="2423" spans="1:10" x14ac:dyDescent="0.25">
      <c r="A2423" s="1">
        <v>45375</v>
      </c>
      <c r="B2423" t="s">
        <v>40</v>
      </c>
      <c r="C2423" t="s">
        <v>19</v>
      </c>
      <c r="D2423" t="s">
        <v>12</v>
      </c>
      <c r="E2423" t="s">
        <v>37</v>
      </c>
      <c r="F2423" t="s">
        <v>34</v>
      </c>
      <c r="G2423" t="s">
        <v>35</v>
      </c>
      <c r="H2423">
        <v>6</v>
      </c>
      <c r="I2423">
        <v>5100</v>
      </c>
      <c r="J2423">
        <v>1461.79</v>
      </c>
    </row>
    <row r="2424" spans="1:10" x14ac:dyDescent="0.25">
      <c r="A2424" s="1">
        <v>45559</v>
      </c>
      <c r="B2424" t="s">
        <v>49</v>
      </c>
      <c r="C2424" t="s">
        <v>17</v>
      </c>
      <c r="D2424" t="s">
        <v>12</v>
      </c>
      <c r="E2424" t="s">
        <v>37</v>
      </c>
      <c r="F2424" t="s">
        <v>34</v>
      </c>
      <c r="G2424" t="s">
        <v>35</v>
      </c>
      <c r="H2424">
        <v>6</v>
      </c>
      <c r="I2424">
        <v>1092</v>
      </c>
      <c r="J2424">
        <v>176.52</v>
      </c>
    </row>
    <row r="2425" spans="1:10" x14ac:dyDescent="0.25">
      <c r="A2425" s="1">
        <v>45150</v>
      </c>
      <c r="B2425" t="s">
        <v>36</v>
      </c>
      <c r="C2425" t="s">
        <v>17</v>
      </c>
      <c r="D2425" t="s">
        <v>12</v>
      </c>
      <c r="E2425" t="s">
        <v>43</v>
      </c>
      <c r="F2425" t="s">
        <v>44</v>
      </c>
      <c r="G2425" t="s">
        <v>35</v>
      </c>
      <c r="H2425">
        <v>7</v>
      </c>
      <c r="I2425">
        <v>4662</v>
      </c>
      <c r="J2425">
        <v>1007.43</v>
      </c>
    </row>
    <row r="2426" spans="1:10" x14ac:dyDescent="0.25">
      <c r="A2426" s="1">
        <v>44944</v>
      </c>
      <c r="B2426" t="s">
        <v>29</v>
      </c>
      <c r="C2426" t="s">
        <v>17</v>
      </c>
      <c r="D2426" t="s">
        <v>12</v>
      </c>
      <c r="E2426" t="s">
        <v>418</v>
      </c>
      <c r="F2426" t="s">
        <v>39</v>
      </c>
      <c r="G2426" t="s">
        <v>35</v>
      </c>
      <c r="H2426">
        <v>7</v>
      </c>
      <c r="I2426">
        <v>4312</v>
      </c>
      <c r="J2426">
        <v>1088.3399999999999</v>
      </c>
    </row>
    <row r="2427" spans="1:10" x14ac:dyDescent="0.25">
      <c r="A2427" s="1">
        <v>44854</v>
      </c>
      <c r="B2427" t="s">
        <v>16</v>
      </c>
      <c r="C2427" t="s">
        <v>17</v>
      </c>
      <c r="D2427" t="s">
        <v>12</v>
      </c>
      <c r="E2427" t="s">
        <v>419</v>
      </c>
      <c r="F2427" t="s">
        <v>46</v>
      </c>
      <c r="G2427" t="s">
        <v>15</v>
      </c>
      <c r="H2427">
        <v>6</v>
      </c>
      <c r="I2427">
        <v>4056</v>
      </c>
      <c r="J2427">
        <v>815.1</v>
      </c>
    </row>
    <row r="2428" spans="1:10" x14ac:dyDescent="0.25">
      <c r="A2428" s="1">
        <v>45253</v>
      </c>
      <c r="B2428" t="s">
        <v>29</v>
      </c>
      <c r="C2428" t="s">
        <v>17</v>
      </c>
      <c r="D2428" t="s">
        <v>12</v>
      </c>
      <c r="E2428" t="s">
        <v>419</v>
      </c>
      <c r="F2428" t="s">
        <v>46</v>
      </c>
      <c r="G2428" t="s">
        <v>15</v>
      </c>
      <c r="H2428">
        <v>3</v>
      </c>
      <c r="I2428">
        <v>534</v>
      </c>
      <c r="J2428">
        <v>120.53</v>
      </c>
    </row>
    <row r="2429" spans="1:10" x14ac:dyDescent="0.25">
      <c r="A2429" s="1">
        <v>45077</v>
      </c>
      <c r="B2429" t="s">
        <v>10</v>
      </c>
      <c r="C2429" t="s">
        <v>11</v>
      </c>
      <c r="D2429" t="s">
        <v>12</v>
      </c>
      <c r="E2429" t="s">
        <v>56</v>
      </c>
      <c r="F2429" t="s">
        <v>57</v>
      </c>
      <c r="G2429" t="s">
        <v>24</v>
      </c>
      <c r="H2429">
        <v>5</v>
      </c>
      <c r="I2429">
        <v>3475</v>
      </c>
      <c r="J2429">
        <v>991.47</v>
      </c>
    </row>
    <row r="2430" spans="1:10" x14ac:dyDescent="0.25">
      <c r="A2430" s="1">
        <v>45118</v>
      </c>
      <c r="B2430" t="s">
        <v>18</v>
      </c>
      <c r="C2430" t="s">
        <v>19</v>
      </c>
      <c r="D2430" t="s">
        <v>12</v>
      </c>
      <c r="E2430" t="s">
        <v>111</v>
      </c>
      <c r="F2430" t="s">
        <v>115</v>
      </c>
      <c r="G2430" t="s">
        <v>15</v>
      </c>
      <c r="H2430">
        <v>5</v>
      </c>
      <c r="I2430">
        <v>4880</v>
      </c>
      <c r="J2430">
        <v>829.03</v>
      </c>
    </row>
    <row r="2431" spans="1:10" x14ac:dyDescent="0.25">
      <c r="A2431" s="1">
        <v>45590</v>
      </c>
      <c r="B2431" t="s">
        <v>18</v>
      </c>
      <c r="C2431" t="s">
        <v>19</v>
      </c>
      <c r="D2431" t="s">
        <v>12</v>
      </c>
      <c r="E2431" t="s">
        <v>22</v>
      </c>
      <c r="F2431" t="s">
        <v>23</v>
      </c>
      <c r="G2431" t="s">
        <v>24</v>
      </c>
      <c r="H2431">
        <v>8</v>
      </c>
      <c r="I2431">
        <v>8336</v>
      </c>
      <c r="J2431">
        <v>782.8</v>
      </c>
    </row>
    <row r="2432" spans="1:10" x14ac:dyDescent="0.25">
      <c r="A2432" s="1">
        <v>45054</v>
      </c>
      <c r="B2432" t="s">
        <v>16</v>
      </c>
      <c r="C2432" t="s">
        <v>17</v>
      </c>
      <c r="D2432" t="s">
        <v>12</v>
      </c>
      <c r="E2432" t="s">
        <v>96</v>
      </c>
      <c r="F2432" t="s">
        <v>34</v>
      </c>
      <c r="G2432" t="s">
        <v>35</v>
      </c>
      <c r="H2432">
        <v>8</v>
      </c>
      <c r="I2432">
        <v>9232</v>
      </c>
      <c r="J2432">
        <v>490.66</v>
      </c>
    </row>
    <row r="2433" spans="1:10" x14ac:dyDescent="0.25">
      <c r="A2433" s="1">
        <v>44568</v>
      </c>
      <c r="B2433" t="s">
        <v>40</v>
      </c>
      <c r="C2433" t="s">
        <v>19</v>
      </c>
      <c r="D2433" t="s">
        <v>12</v>
      </c>
      <c r="E2433" t="s">
        <v>37</v>
      </c>
      <c r="F2433" t="s">
        <v>34</v>
      </c>
      <c r="G2433" t="s">
        <v>35</v>
      </c>
      <c r="H2433">
        <v>3</v>
      </c>
      <c r="I2433">
        <v>2031</v>
      </c>
      <c r="J2433">
        <v>466.25</v>
      </c>
    </row>
    <row r="2434" spans="1:10" x14ac:dyDescent="0.25">
      <c r="A2434" s="1">
        <v>44571</v>
      </c>
      <c r="B2434" t="s">
        <v>32</v>
      </c>
      <c r="C2434" t="s">
        <v>19</v>
      </c>
      <c r="D2434" t="s">
        <v>12</v>
      </c>
      <c r="E2434" t="s">
        <v>420</v>
      </c>
      <c r="F2434" t="s">
        <v>34</v>
      </c>
      <c r="G2434" t="s">
        <v>35</v>
      </c>
      <c r="H2434">
        <v>3</v>
      </c>
      <c r="I2434">
        <v>2412</v>
      </c>
      <c r="J2434">
        <v>640.35</v>
      </c>
    </row>
    <row r="2435" spans="1:10" x14ac:dyDescent="0.25">
      <c r="A2435" s="1">
        <v>45263</v>
      </c>
      <c r="B2435" t="s">
        <v>40</v>
      </c>
      <c r="C2435" t="s">
        <v>19</v>
      </c>
      <c r="D2435" t="s">
        <v>12</v>
      </c>
      <c r="E2435" t="s">
        <v>382</v>
      </c>
      <c r="F2435" t="s">
        <v>78</v>
      </c>
      <c r="G2435" t="s">
        <v>28</v>
      </c>
      <c r="H2435">
        <v>1</v>
      </c>
      <c r="I2435">
        <v>1039</v>
      </c>
      <c r="J2435">
        <v>137.24</v>
      </c>
    </row>
    <row r="2436" spans="1:10" x14ac:dyDescent="0.25">
      <c r="A2436" s="1">
        <v>44929</v>
      </c>
      <c r="B2436" t="s">
        <v>25</v>
      </c>
      <c r="C2436" t="s">
        <v>19</v>
      </c>
      <c r="D2436" t="s">
        <v>12</v>
      </c>
      <c r="E2436" t="s">
        <v>382</v>
      </c>
      <c r="F2436" t="s">
        <v>78</v>
      </c>
      <c r="G2436" t="s">
        <v>28</v>
      </c>
      <c r="H2436">
        <v>6</v>
      </c>
      <c r="I2436">
        <v>696</v>
      </c>
      <c r="J2436">
        <v>100.78</v>
      </c>
    </row>
    <row r="2437" spans="1:10" x14ac:dyDescent="0.25">
      <c r="A2437" s="1">
        <v>45469</v>
      </c>
      <c r="B2437" t="s">
        <v>55</v>
      </c>
      <c r="C2437" t="s">
        <v>19</v>
      </c>
      <c r="D2437" t="s">
        <v>12</v>
      </c>
      <c r="E2437" t="s">
        <v>382</v>
      </c>
      <c r="F2437" t="s">
        <v>78</v>
      </c>
      <c r="G2437" t="s">
        <v>28</v>
      </c>
      <c r="H2437">
        <v>8</v>
      </c>
      <c r="I2437">
        <v>6160</v>
      </c>
      <c r="J2437">
        <v>1617.32</v>
      </c>
    </row>
    <row r="2438" spans="1:10" x14ac:dyDescent="0.25">
      <c r="A2438" s="1">
        <v>44910</v>
      </c>
      <c r="B2438" t="s">
        <v>25</v>
      </c>
      <c r="C2438" t="s">
        <v>19</v>
      </c>
      <c r="D2438" t="s">
        <v>12</v>
      </c>
      <c r="E2438" t="s">
        <v>75</v>
      </c>
      <c r="F2438" t="s">
        <v>63</v>
      </c>
      <c r="G2438" t="s">
        <v>28</v>
      </c>
      <c r="H2438">
        <v>3</v>
      </c>
      <c r="I2438">
        <v>447</v>
      </c>
      <c r="J2438">
        <v>58.4</v>
      </c>
    </row>
    <row r="2439" spans="1:10" x14ac:dyDescent="0.25">
      <c r="A2439" s="1">
        <v>45045</v>
      </c>
      <c r="B2439" t="s">
        <v>49</v>
      </c>
      <c r="C2439" t="s">
        <v>17</v>
      </c>
      <c r="D2439" t="s">
        <v>12</v>
      </c>
      <c r="E2439" t="s">
        <v>75</v>
      </c>
      <c r="F2439" t="s">
        <v>63</v>
      </c>
      <c r="G2439" t="s">
        <v>28</v>
      </c>
      <c r="H2439">
        <v>6</v>
      </c>
      <c r="I2439">
        <v>6102</v>
      </c>
      <c r="J2439">
        <v>364.82</v>
      </c>
    </row>
    <row r="2440" spans="1:10" x14ac:dyDescent="0.25">
      <c r="A2440" s="1">
        <v>45385</v>
      </c>
      <c r="B2440" t="s">
        <v>25</v>
      </c>
      <c r="C2440" t="s">
        <v>19</v>
      </c>
      <c r="D2440" t="s">
        <v>12</v>
      </c>
      <c r="E2440" t="s">
        <v>22</v>
      </c>
      <c r="F2440" t="s">
        <v>23</v>
      </c>
      <c r="G2440" t="s">
        <v>24</v>
      </c>
      <c r="H2440">
        <v>9</v>
      </c>
      <c r="I2440">
        <v>5085</v>
      </c>
      <c r="J2440">
        <v>1372.83</v>
      </c>
    </row>
    <row r="2441" spans="1:10" x14ac:dyDescent="0.25">
      <c r="A2441" s="1">
        <v>45520</v>
      </c>
      <c r="B2441" t="s">
        <v>55</v>
      </c>
      <c r="C2441" t="s">
        <v>19</v>
      </c>
      <c r="D2441" t="s">
        <v>12</v>
      </c>
      <c r="E2441" t="s">
        <v>70</v>
      </c>
      <c r="F2441" t="s">
        <v>71</v>
      </c>
      <c r="G2441" t="s">
        <v>35</v>
      </c>
      <c r="H2441">
        <v>7</v>
      </c>
      <c r="I2441">
        <v>3038</v>
      </c>
      <c r="J2441">
        <v>158.82</v>
      </c>
    </row>
    <row r="2442" spans="1:10" x14ac:dyDescent="0.25">
      <c r="A2442" s="1">
        <v>45362</v>
      </c>
      <c r="B2442" t="s">
        <v>29</v>
      </c>
      <c r="C2442" t="s">
        <v>17</v>
      </c>
      <c r="D2442" t="s">
        <v>12</v>
      </c>
      <c r="E2442" t="s">
        <v>26</v>
      </c>
      <c r="F2442" t="s">
        <v>27</v>
      </c>
      <c r="G2442" t="s">
        <v>28</v>
      </c>
      <c r="H2442">
        <v>1</v>
      </c>
      <c r="I2442">
        <v>882</v>
      </c>
      <c r="J2442">
        <v>215.24</v>
      </c>
    </row>
    <row r="2443" spans="1:10" x14ac:dyDescent="0.25">
      <c r="A2443" s="1">
        <v>45000</v>
      </c>
      <c r="B2443" t="s">
        <v>36</v>
      </c>
      <c r="C2443" t="s">
        <v>17</v>
      </c>
      <c r="D2443" t="s">
        <v>12</v>
      </c>
      <c r="E2443" t="s">
        <v>75</v>
      </c>
      <c r="F2443" t="s">
        <v>108</v>
      </c>
      <c r="G2443" t="s">
        <v>15</v>
      </c>
      <c r="H2443">
        <v>6</v>
      </c>
      <c r="I2443">
        <v>2490</v>
      </c>
      <c r="J2443">
        <v>720.06</v>
      </c>
    </row>
    <row r="2444" spans="1:10" x14ac:dyDescent="0.25">
      <c r="A2444" s="1">
        <v>45509</v>
      </c>
      <c r="B2444" t="s">
        <v>25</v>
      </c>
      <c r="C2444" t="s">
        <v>19</v>
      </c>
      <c r="D2444" t="s">
        <v>12</v>
      </c>
      <c r="E2444" t="s">
        <v>75</v>
      </c>
      <c r="F2444" t="s">
        <v>108</v>
      </c>
      <c r="G2444" t="s">
        <v>15</v>
      </c>
      <c r="H2444">
        <v>1</v>
      </c>
      <c r="I2444">
        <v>635</v>
      </c>
      <c r="J2444">
        <v>101.09</v>
      </c>
    </row>
    <row r="2445" spans="1:10" x14ac:dyDescent="0.25">
      <c r="A2445" s="1">
        <v>45478</v>
      </c>
      <c r="B2445" t="s">
        <v>55</v>
      </c>
      <c r="C2445" t="s">
        <v>19</v>
      </c>
      <c r="D2445" t="s">
        <v>12</v>
      </c>
      <c r="E2445" t="s">
        <v>53</v>
      </c>
      <c r="F2445" t="s">
        <v>54</v>
      </c>
      <c r="G2445" t="s">
        <v>24</v>
      </c>
      <c r="H2445">
        <v>1</v>
      </c>
      <c r="I2445">
        <v>1083</v>
      </c>
      <c r="J2445">
        <v>152.5</v>
      </c>
    </row>
    <row r="2446" spans="1:10" x14ac:dyDescent="0.25">
      <c r="A2446" s="1">
        <v>45148</v>
      </c>
      <c r="B2446" t="s">
        <v>49</v>
      </c>
      <c r="C2446" t="s">
        <v>17</v>
      </c>
      <c r="D2446" t="s">
        <v>12</v>
      </c>
      <c r="E2446" t="s">
        <v>132</v>
      </c>
      <c r="F2446" t="s">
        <v>115</v>
      </c>
      <c r="G2446" t="s">
        <v>15</v>
      </c>
      <c r="H2446">
        <v>6</v>
      </c>
      <c r="I2446">
        <v>720</v>
      </c>
      <c r="J2446">
        <v>144.26</v>
      </c>
    </row>
    <row r="2447" spans="1:10" x14ac:dyDescent="0.25">
      <c r="A2447" s="1">
        <v>44821</v>
      </c>
      <c r="B2447" t="s">
        <v>10</v>
      </c>
      <c r="C2447" t="s">
        <v>11</v>
      </c>
      <c r="D2447" t="s">
        <v>12</v>
      </c>
      <c r="E2447" t="s">
        <v>37</v>
      </c>
      <c r="F2447" t="s">
        <v>34</v>
      </c>
      <c r="G2447" t="s">
        <v>35</v>
      </c>
      <c r="H2447">
        <v>3</v>
      </c>
      <c r="I2447">
        <v>3111</v>
      </c>
      <c r="J2447">
        <v>382.52</v>
      </c>
    </row>
    <row r="2448" spans="1:10" x14ac:dyDescent="0.25">
      <c r="A2448" s="1">
        <v>44660</v>
      </c>
      <c r="B2448" t="s">
        <v>32</v>
      </c>
      <c r="C2448" t="s">
        <v>19</v>
      </c>
      <c r="D2448" t="s">
        <v>12</v>
      </c>
      <c r="E2448" t="s">
        <v>136</v>
      </c>
      <c r="F2448" t="s">
        <v>65</v>
      </c>
      <c r="G2448" t="s">
        <v>35</v>
      </c>
      <c r="H2448">
        <v>6</v>
      </c>
      <c r="I2448">
        <v>1242</v>
      </c>
      <c r="J2448">
        <v>87.37</v>
      </c>
    </row>
    <row r="2449" spans="1:10" x14ac:dyDescent="0.25">
      <c r="A2449" s="1">
        <v>45140</v>
      </c>
      <c r="B2449" t="s">
        <v>32</v>
      </c>
      <c r="C2449" t="s">
        <v>19</v>
      </c>
      <c r="D2449" t="s">
        <v>12</v>
      </c>
      <c r="E2449" t="s">
        <v>421</v>
      </c>
      <c r="F2449" t="s">
        <v>21</v>
      </c>
      <c r="G2449" t="s">
        <v>15</v>
      </c>
      <c r="H2449">
        <v>5</v>
      </c>
      <c r="I2449">
        <v>5845</v>
      </c>
      <c r="J2449">
        <v>978.75</v>
      </c>
    </row>
    <row r="2450" spans="1:10" x14ac:dyDescent="0.25">
      <c r="A2450" s="1">
        <v>45014</v>
      </c>
      <c r="B2450" t="s">
        <v>32</v>
      </c>
      <c r="C2450" t="s">
        <v>19</v>
      </c>
      <c r="D2450" t="s">
        <v>12</v>
      </c>
      <c r="E2450" t="s">
        <v>91</v>
      </c>
      <c r="F2450" t="s">
        <v>133</v>
      </c>
      <c r="G2450" t="s">
        <v>28</v>
      </c>
      <c r="H2450">
        <v>1</v>
      </c>
      <c r="I2450">
        <v>835</v>
      </c>
      <c r="J2450">
        <v>131.69999999999999</v>
      </c>
    </row>
    <row r="2451" spans="1:10" x14ac:dyDescent="0.25">
      <c r="A2451" s="1">
        <v>44697</v>
      </c>
      <c r="B2451" t="s">
        <v>36</v>
      </c>
      <c r="C2451" t="s">
        <v>17</v>
      </c>
      <c r="D2451" t="s">
        <v>12</v>
      </c>
      <c r="E2451" t="s">
        <v>134</v>
      </c>
      <c r="F2451" t="s">
        <v>51</v>
      </c>
      <c r="G2451" t="s">
        <v>35</v>
      </c>
      <c r="H2451">
        <v>2</v>
      </c>
      <c r="I2451">
        <v>2314</v>
      </c>
      <c r="J2451">
        <v>305.42</v>
      </c>
    </row>
    <row r="2452" spans="1:10" x14ac:dyDescent="0.25">
      <c r="A2452" s="1">
        <v>44961</v>
      </c>
      <c r="B2452" t="s">
        <v>32</v>
      </c>
      <c r="C2452" t="s">
        <v>19</v>
      </c>
      <c r="D2452" t="s">
        <v>12</v>
      </c>
      <c r="E2452" t="s">
        <v>422</v>
      </c>
      <c r="F2452" t="s">
        <v>34</v>
      </c>
      <c r="G2452" t="s">
        <v>35</v>
      </c>
      <c r="H2452">
        <v>7</v>
      </c>
      <c r="I2452">
        <v>6041</v>
      </c>
      <c r="J2452">
        <v>776.09</v>
      </c>
    </row>
    <row r="2453" spans="1:10" x14ac:dyDescent="0.25">
      <c r="A2453" s="1">
        <v>44643</v>
      </c>
      <c r="B2453" t="s">
        <v>16</v>
      </c>
      <c r="C2453" t="s">
        <v>17</v>
      </c>
      <c r="D2453" t="s">
        <v>12</v>
      </c>
      <c r="E2453" t="s">
        <v>423</v>
      </c>
      <c r="F2453" t="s">
        <v>54</v>
      </c>
      <c r="G2453" t="s">
        <v>24</v>
      </c>
      <c r="H2453">
        <v>3</v>
      </c>
      <c r="I2453">
        <v>369</v>
      </c>
      <c r="J2453">
        <v>19.22</v>
      </c>
    </row>
    <row r="2454" spans="1:10" x14ac:dyDescent="0.25">
      <c r="A2454" s="1">
        <v>44785</v>
      </c>
      <c r="B2454" t="s">
        <v>18</v>
      </c>
      <c r="C2454" t="s">
        <v>19</v>
      </c>
      <c r="D2454" t="s">
        <v>12</v>
      </c>
      <c r="E2454" t="s">
        <v>52</v>
      </c>
      <c r="F2454" t="s">
        <v>42</v>
      </c>
      <c r="G2454" t="s">
        <v>28</v>
      </c>
      <c r="H2454">
        <v>5</v>
      </c>
      <c r="I2454">
        <v>1635</v>
      </c>
      <c r="J2454">
        <v>321.83999999999997</v>
      </c>
    </row>
    <row r="2455" spans="1:10" x14ac:dyDescent="0.25">
      <c r="A2455" s="1">
        <v>44658</v>
      </c>
      <c r="B2455" t="s">
        <v>49</v>
      </c>
      <c r="C2455" t="s">
        <v>17</v>
      </c>
      <c r="D2455" t="s">
        <v>12</v>
      </c>
      <c r="E2455" t="s">
        <v>52</v>
      </c>
      <c r="F2455" t="s">
        <v>42</v>
      </c>
      <c r="G2455" t="s">
        <v>28</v>
      </c>
      <c r="H2455">
        <v>3</v>
      </c>
      <c r="I2455">
        <v>2067</v>
      </c>
      <c r="J2455">
        <v>465.39</v>
      </c>
    </row>
    <row r="2456" spans="1:10" x14ac:dyDescent="0.25">
      <c r="A2456" s="1">
        <v>44624</v>
      </c>
      <c r="B2456" t="s">
        <v>40</v>
      </c>
      <c r="C2456" t="s">
        <v>19</v>
      </c>
      <c r="D2456" t="s">
        <v>12</v>
      </c>
      <c r="E2456" t="s">
        <v>52</v>
      </c>
      <c r="F2456" t="s">
        <v>42</v>
      </c>
      <c r="G2456" t="s">
        <v>28</v>
      </c>
      <c r="H2456">
        <v>6</v>
      </c>
      <c r="I2456">
        <v>7128</v>
      </c>
      <c r="J2456">
        <v>544.54</v>
      </c>
    </row>
    <row r="2457" spans="1:10" x14ac:dyDescent="0.25">
      <c r="A2457" s="1">
        <v>45406</v>
      </c>
      <c r="B2457" t="s">
        <v>10</v>
      </c>
      <c r="C2457" t="s">
        <v>11</v>
      </c>
      <c r="D2457" t="s">
        <v>12</v>
      </c>
      <c r="E2457" t="s">
        <v>22</v>
      </c>
      <c r="F2457" t="s">
        <v>23</v>
      </c>
      <c r="G2457" t="s">
        <v>24</v>
      </c>
      <c r="H2457">
        <v>2</v>
      </c>
      <c r="I2457">
        <v>944</v>
      </c>
      <c r="J2457">
        <v>94.4</v>
      </c>
    </row>
    <row r="2458" spans="1:10" x14ac:dyDescent="0.25">
      <c r="A2458" s="1">
        <v>44722</v>
      </c>
      <c r="B2458" t="s">
        <v>18</v>
      </c>
      <c r="C2458" t="s">
        <v>19</v>
      </c>
      <c r="D2458" t="s">
        <v>12</v>
      </c>
      <c r="E2458" t="s">
        <v>210</v>
      </c>
      <c r="F2458" t="s">
        <v>34</v>
      </c>
      <c r="G2458" t="s">
        <v>35</v>
      </c>
      <c r="H2458">
        <v>5</v>
      </c>
      <c r="I2458">
        <v>5160</v>
      </c>
      <c r="J2458">
        <v>698.15</v>
      </c>
    </row>
    <row r="2459" spans="1:10" x14ac:dyDescent="0.25">
      <c r="A2459" s="1">
        <v>44730</v>
      </c>
      <c r="B2459" t="s">
        <v>40</v>
      </c>
      <c r="C2459" t="s">
        <v>19</v>
      </c>
      <c r="D2459" t="s">
        <v>12</v>
      </c>
      <c r="E2459" t="s">
        <v>52</v>
      </c>
      <c r="F2459" t="s">
        <v>42</v>
      </c>
      <c r="G2459" t="s">
        <v>28</v>
      </c>
      <c r="H2459">
        <v>8</v>
      </c>
      <c r="I2459">
        <v>8032</v>
      </c>
      <c r="J2459">
        <v>1987.82</v>
      </c>
    </row>
    <row r="2460" spans="1:10" x14ac:dyDescent="0.25">
      <c r="A2460" s="1">
        <v>45642</v>
      </c>
      <c r="B2460" t="s">
        <v>25</v>
      </c>
      <c r="C2460" t="s">
        <v>19</v>
      </c>
      <c r="D2460" t="s">
        <v>12</v>
      </c>
      <c r="E2460" t="s">
        <v>338</v>
      </c>
      <c r="F2460" t="s">
        <v>27</v>
      </c>
      <c r="G2460" t="s">
        <v>28</v>
      </c>
      <c r="H2460">
        <v>2</v>
      </c>
      <c r="I2460">
        <v>376</v>
      </c>
      <c r="J2460">
        <v>99.16</v>
      </c>
    </row>
    <row r="2461" spans="1:10" x14ac:dyDescent="0.25">
      <c r="A2461" s="1">
        <v>45465</v>
      </c>
      <c r="B2461" t="s">
        <v>40</v>
      </c>
      <c r="C2461" t="s">
        <v>19</v>
      </c>
      <c r="D2461" t="s">
        <v>12</v>
      </c>
      <c r="E2461" t="s">
        <v>26</v>
      </c>
      <c r="F2461" t="s">
        <v>27</v>
      </c>
      <c r="G2461" t="s">
        <v>28</v>
      </c>
      <c r="H2461">
        <v>7</v>
      </c>
      <c r="I2461">
        <v>4144</v>
      </c>
      <c r="J2461">
        <v>426.39</v>
      </c>
    </row>
    <row r="2462" spans="1:10" x14ac:dyDescent="0.25">
      <c r="A2462" s="1">
        <v>45600</v>
      </c>
      <c r="B2462" t="s">
        <v>25</v>
      </c>
      <c r="C2462" t="s">
        <v>19</v>
      </c>
      <c r="D2462" t="s">
        <v>12</v>
      </c>
      <c r="E2462" t="s">
        <v>56</v>
      </c>
      <c r="F2462" t="s">
        <v>57</v>
      </c>
      <c r="G2462" t="s">
        <v>24</v>
      </c>
      <c r="H2462">
        <v>4</v>
      </c>
      <c r="I2462">
        <v>2228</v>
      </c>
      <c r="J2462">
        <v>293.25</v>
      </c>
    </row>
    <row r="2463" spans="1:10" x14ac:dyDescent="0.25">
      <c r="A2463" s="1">
        <v>44880</v>
      </c>
      <c r="B2463" t="s">
        <v>18</v>
      </c>
      <c r="C2463" t="s">
        <v>19</v>
      </c>
      <c r="D2463" t="s">
        <v>12</v>
      </c>
      <c r="E2463" t="s">
        <v>103</v>
      </c>
      <c r="F2463" t="s">
        <v>149</v>
      </c>
      <c r="G2463" t="s">
        <v>15</v>
      </c>
      <c r="H2463">
        <v>1</v>
      </c>
      <c r="I2463">
        <v>1178</v>
      </c>
      <c r="J2463">
        <v>182.76</v>
      </c>
    </row>
    <row r="2464" spans="1:10" x14ac:dyDescent="0.25">
      <c r="A2464" s="1">
        <v>45409</v>
      </c>
      <c r="B2464" t="s">
        <v>16</v>
      </c>
      <c r="C2464" t="s">
        <v>17</v>
      </c>
      <c r="D2464" t="s">
        <v>12</v>
      </c>
      <c r="E2464" t="s">
        <v>22</v>
      </c>
      <c r="F2464" t="s">
        <v>23</v>
      </c>
      <c r="G2464" t="s">
        <v>24</v>
      </c>
      <c r="H2464">
        <v>5</v>
      </c>
      <c r="I2464">
        <v>2505</v>
      </c>
      <c r="J2464">
        <v>303.61</v>
      </c>
    </row>
    <row r="2465" spans="1:10" x14ac:dyDescent="0.25">
      <c r="A2465" s="1">
        <v>45350</v>
      </c>
      <c r="B2465" t="s">
        <v>32</v>
      </c>
      <c r="C2465" t="s">
        <v>19</v>
      </c>
      <c r="D2465" t="s">
        <v>12</v>
      </c>
      <c r="E2465" t="s">
        <v>298</v>
      </c>
      <c r="F2465" t="s">
        <v>46</v>
      </c>
      <c r="G2465" t="s">
        <v>15</v>
      </c>
      <c r="H2465">
        <v>4</v>
      </c>
      <c r="I2465">
        <v>1872</v>
      </c>
      <c r="J2465">
        <v>418.05</v>
      </c>
    </row>
    <row r="2466" spans="1:10" x14ac:dyDescent="0.25">
      <c r="A2466" s="1">
        <v>45289</v>
      </c>
      <c r="B2466" t="s">
        <v>10</v>
      </c>
      <c r="C2466" t="s">
        <v>11</v>
      </c>
      <c r="D2466" t="s">
        <v>12</v>
      </c>
      <c r="E2466" t="s">
        <v>56</v>
      </c>
      <c r="F2466" t="s">
        <v>57</v>
      </c>
      <c r="G2466" t="s">
        <v>24</v>
      </c>
      <c r="H2466">
        <v>2</v>
      </c>
      <c r="I2466">
        <v>340</v>
      </c>
      <c r="J2466">
        <v>59.56</v>
      </c>
    </row>
    <row r="2467" spans="1:10" x14ac:dyDescent="0.25">
      <c r="A2467" s="1">
        <v>44993</v>
      </c>
      <c r="B2467" t="s">
        <v>55</v>
      </c>
      <c r="C2467" t="s">
        <v>19</v>
      </c>
      <c r="D2467" t="s">
        <v>12</v>
      </c>
      <c r="E2467" t="s">
        <v>20</v>
      </c>
      <c r="F2467" t="s">
        <v>21</v>
      </c>
      <c r="G2467" t="s">
        <v>15</v>
      </c>
      <c r="H2467">
        <v>1</v>
      </c>
      <c r="I2467">
        <v>589</v>
      </c>
      <c r="J2467">
        <v>158.85</v>
      </c>
    </row>
    <row r="2468" spans="1:10" x14ac:dyDescent="0.25">
      <c r="A2468" s="1">
        <v>45272</v>
      </c>
      <c r="B2468" t="s">
        <v>55</v>
      </c>
      <c r="C2468" t="s">
        <v>19</v>
      </c>
      <c r="D2468" t="s">
        <v>12</v>
      </c>
      <c r="E2468" t="s">
        <v>37</v>
      </c>
      <c r="F2468" t="s">
        <v>34</v>
      </c>
      <c r="G2468" t="s">
        <v>35</v>
      </c>
      <c r="H2468">
        <v>3</v>
      </c>
      <c r="I2468">
        <v>2598</v>
      </c>
      <c r="J2468">
        <v>560.82000000000005</v>
      </c>
    </row>
    <row r="2469" spans="1:10" x14ac:dyDescent="0.25">
      <c r="A2469" s="1">
        <v>44609</v>
      </c>
      <c r="B2469" t="s">
        <v>18</v>
      </c>
      <c r="C2469" t="s">
        <v>19</v>
      </c>
      <c r="D2469" t="s">
        <v>12</v>
      </c>
      <c r="E2469" t="s">
        <v>243</v>
      </c>
      <c r="F2469" t="s">
        <v>23</v>
      </c>
      <c r="G2469" t="s">
        <v>24</v>
      </c>
      <c r="H2469">
        <v>1</v>
      </c>
      <c r="I2469">
        <v>502</v>
      </c>
      <c r="J2469">
        <v>92.31</v>
      </c>
    </row>
    <row r="2470" spans="1:10" x14ac:dyDescent="0.25">
      <c r="A2470" s="1">
        <v>45315</v>
      </c>
      <c r="B2470" t="s">
        <v>55</v>
      </c>
      <c r="C2470" t="s">
        <v>19</v>
      </c>
      <c r="D2470" t="s">
        <v>12</v>
      </c>
      <c r="E2470" t="s">
        <v>112</v>
      </c>
      <c r="F2470" t="s">
        <v>63</v>
      </c>
      <c r="G2470" t="s">
        <v>28</v>
      </c>
      <c r="H2470">
        <v>3</v>
      </c>
      <c r="I2470">
        <v>3576</v>
      </c>
      <c r="J2470">
        <v>546.44000000000005</v>
      </c>
    </row>
    <row r="2471" spans="1:10" x14ac:dyDescent="0.25">
      <c r="A2471" s="1">
        <v>44964</v>
      </c>
      <c r="B2471" t="s">
        <v>49</v>
      </c>
      <c r="C2471" t="s">
        <v>17</v>
      </c>
      <c r="D2471" t="s">
        <v>12</v>
      </c>
      <c r="E2471" t="s">
        <v>92</v>
      </c>
      <c r="F2471" t="s">
        <v>44</v>
      </c>
      <c r="G2471" t="s">
        <v>35</v>
      </c>
      <c r="H2471">
        <v>3</v>
      </c>
      <c r="I2471">
        <v>2412</v>
      </c>
      <c r="J2471">
        <v>468.27</v>
      </c>
    </row>
    <row r="2472" spans="1:10" x14ac:dyDescent="0.25">
      <c r="A2472" s="1">
        <v>45504</v>
      </c>
      <c r="B2472" t="s">
        <v>10</v>
      </c>
      <c r="C2472" t="s">
        <v>11</v>
      </c>
      <c r="D2472" t="s">
        <v>12</v>
      </c>
      <c r="E2472" t="s">
        <v>92</v>
      </c>
      <c r="F2472" t="s">
        <v>44</v>
      </c>
      <c r="G2472" t="s">
        <v>35</v>
      </c>
      <c r="H2472">
        <v>5</v>
      </c>
      <c r="I2472">
        <v>1145</v>
      </c>
      <c r="J2472">
        <v>244.72</v>
      </c>
    </row>
    <row r="2473" spans="1:10" x14ac:dyDescent="0.25">
      <c r="A2473" s="1">
        <v>44595</v>
      </c>
      <c r="B2473" t="s">
        <v>49</v>
      </c>
      <c r="C2473" t="s">
        <v>17</v>
      </c>
      <c r="D2473" t="s">
        <v>12</v>
      </c>
      <c r="E2473" t="s">
        <v>424</v>
      </c>
      <c r="F2473" t="s">
        <v>34</v>
      </c>
      <c r="G2473" t="s">
        <v>35</v>
      </c>
      <c r="H2473">
        <v>2</v>
      </c>
      <c r="I2473">
        <v>2116</v>
      </c>
      <c r="J2473">
        <v>159.30000000000001</v>
      </c>
    </row>
    <row r="2474" spans="1:10" x14ac:dyDescent="0.25">
      <c r="A2474" s="1">
        <v>45642</v>
      </c>
      <c r="B2474" t="s">
        <v>55</v>
      </c>
      <c r="C2474" t="s">
        <v>19</v>
      </c>
      <c r="D2474" t="s">
        <v>12</v>
      </c>
      <c r="E2474" t="s">
        <v>74</v>
      </c>
      <c r="F2474" t="s">
        <v>23</v>
      </c>
      <c r="G2474" t="s">
        <v>24</v>
      </c>
      <c r="H2474">
        <v>1</v>
      </c>
      <c r="I2474">
        <v>707</v>
      </c>
      <c r="J2474">
        <v>100.16</v>
      </c>
    </row>
    <row r="2475" spans="1:10" x14ac:dyDescent="0.25">
      <c r="A2475" s="1">
        <v>44876</v>
      </c>
      <c r="B2475" t="s">
        <v>16</v>
      </c>
      <c r="C2475" t="s">
        <v>17</v>
      </c>
      <c r="D2475" t="s">
        <v>12</v>
      </c>
      <c r="E2475" t="s">
        <v>298</v>
      </c>
      <c r="F2475" t="s">
        <v>46</v>
      </c>
      <c r="G2475" t="s">
        <v>15</v>
      </c>
      <c r="H2475">
        <v>9</v>
      </c>
      <c r="I2475">
        <v>657</v>
      </c>
      <c r="J2475">
        <v>109.39</v>
      </c>
    </row>
    <row r="2476" spans="1:10" x14ac:dyDescent="0.25">
      <c r="A2476" s="1">
        <v>45579</v>
      </c>
      <c r="B2476" t="s">
        <v>55</v>
      </c>
      <c r="C2476" t="s">
        <v>19</v>
      </c>
      <c r="D2476" t="s">
        <v>12</v>
      </c>
      <c r="E2476" t="s">
        <v>298</v>
      </c>
      <c r="F2476" t="s">
        <v>46</v>
      </c>
      <c r="G2476" t="s">
        <v>15</v>
      </c>
      <c r="H2476">
        <v>5</v>
      </c>
      <c r="I2476">
        <v>5345</v>
      </c>
      <c r="J2476">
        <v>1060.46</v>
      </c>
    </row>
    <row r="2477" spans="1:10" x14ac:dyDescent="0.25">
      <c r="A2477" s="1">
        <v>45318</v>
      </c>
      <c r="B2477" t="s">
        <v>18</v>
      </c>
      <c r="C2477" t="s">
        <v>19</v>
      </c>
      <c r="D2477" t="s">
        <v>12</v>
      </c>
      <c r="E2477" t="s">
        <v>52</v>
      </c>
      <c r="F2477" t="s">
        <v>42</v>
      </c>
      <c r="G2477" t="s">
        <v>28</v>
      </c>
      <c r="H2477">
        <v>8</v>
      </c>
      <c r="I2477">
        <v>4032</v>
      </c>
      <c r="J2477">
        <v>251.05</v>
      </c>
    </row>
    <row r="2478" spans="1:10" x14ac:dyDescent="0.25">
      <c r="A2478" s="1">
        <v>44803</v>
      </c>
      <c r="B2478" t="s">
        <v>25</v>
      </c>
      <c r="C2478" t="s">
        <v>19</v>
      </c>
      <c r="D2478" t="s">
        <v>12</v>
      </c>
      <c r="E2478" t="s">
        <v>22</v>
      </c>
      <c r="F2478" t="s">
        <v>23</v>
      </c>
      <c r="G2478" t="s">
        <v>24</v>
      </c>
      <c r="H2478">
        <v>4</v>
      </c>
      <c r="I2478">
        <v>3840</v>
      </c>
      <c r="J2478">
        <v>552.57000000000005</v>
      </c>
    </row>
    <row r="2479" spans="1:10" x14ac:dyDescent="0.25">
      <c r="A2479" s="1">
        <v>44949</v>
      </c>
      <c r="B2479" t="s">
        <v>36</v>
      </c>
      <c r="C2479" t="s">
        <v>17</v>
      </c>
      <c r="D2479" t="s">
        <v>12</v>
      </c>
      <c r="E2479" t="s">
        <v>105</v>
      </c>
      <c r="F2479" t="s">
        <v>23</v>
      </c>
      <c r="G2479" t="s">
        <v>24</v>
      </c>
      <c r="H2479">
        <v>5</v>
      </c>
      <c r="I2479">
        <v>575</v>
      </c>
      <c r="J2479">
        <v>47.35</v>
      </c>
    </row>
    <row r="2480" spans="1:10" x14ac:dyDescent="0.25">
      <c r="A2480" s="1">
        <v>44928</v>
      </c>
      <c r="B2480" t="s">
        <v>55</v>
      </c>
      <c r="C2480" t="s">
        <v>19</v>
      </c>
      <c r="D2480" t="s">
        <v>12</v>
      </c>
      <c r="E2480" t="s">
        <v>74</v>
      </c>
      <c r="F2480" t="s">
        <v>23</v>
      </c>
      <c r="G2480" t="s">
        <v>24</v>
      </c>
      <c r="H2480">
        <v>9</v>
      </c>
      <c r="I2480">
        <v>9315</v>
      </c>
      <c r="J2480">
        <v>1808.68</v>
      </c>
    </row>
    <row r="2481" spans="1:10" x14ac:dyDescent="0.25">
      <c r="A2481" s="1">
        <v>45621</v>
      </c>
      <c r="B2481" t="s">
        <v>16</v>
      </c>
      <c r="C2481" t="s">
        <v>17</v>
      </c>
      <c r="D2481" t="s">
        <v>12</v>
      </c>
      <c r="E2481" t="s">
        <v>37</v>
      </c>
      <c r="F2481" t="s">
        <v>34</v>
      </c>
      <c r="G2481" t="s">
        <v>35</v>
      </c>
      <c r="H2481">
        <v>7</v>
      </c>
      <c r="I2481">
        <v>3423</v>
      </c>
      <c r="J2481">
        <v>435.06</v>
      </c>
    </row>
    <row r="2482" spans="1:10" x14ac:dyDescent="0.25">
      <c r="A2482" s="1">
        <v>45237</v>
      </c>
      <c r="B2482" t="s">
        <v>36</v>
      </c>
      <c r="C2482" t="s">
        <v>17</v>
      </c>
      <c r="D2482" t="s">
        <v>12</v>
      </c>
      <c r="E2482" t="s">
        <v>37</v>
      </c>
      <c r="F2482" t="s">
        <v>34</v>
      </c>
      <c r="G2482" t="s">
        <v>35</v>
      </c>
      <c r="H2482">
        <v>6</v>
      </c>
      <c r="I2482">
        <v>3942</v>
      </c>
      <c r="J2482">
        <v>748.74</v>
      </c>
    </row>
    <row r="2483" spans="1:10" x14ac:dyDescent="0.25">
      <c r="A2483" s="1">
        <v>45488</v>
      </c>
      <c r="B2483" t="s">
        <v>55</v>
      </c>
      <c r="C2483" t="s">
        <v>19</v>
      </c>
      <c r="D2483" t="s">
        <v>12</v>
      </c>
      <c r="E2483" t="s">
        <v>81</v>
      </c>
      <c r="F2483" t="s">
        <v>46</v>
      </c>
      <c r="G2483" t="s">
        <v>15</v>
      </c>
      <c r="H2483">
        <v>2</v>
      </c>
      <c r="I2483">
        <v>574</v>
      </c>
      <c r="J2483">
        <v>70.16</v>
      </c>
    </row>
    <row r="2484" spans="1:10" x14ac:dyDescent="0.25">
      <c r="A2484" s="1">
        <v>45447</v>
      </c>
      <c r="B2484" t="s">
        <v>29</v>
      </c>
      <c r="C2484" t="s">
        <v>17</v>
      </c>
      <c r="D2484" t="s">
        <v>12</v>
      </c>
      <c r="E2484" t="s">
        <v>81</v>
      </c>
      <c r="F2484" t="s">
        <v>46</v>
      </c>
      <c r="G2484" t="s">
        <v>15</v>
      </c>
      <c r="H2484">
        <v>6</v>
      </c>
      <c r="I2484">
        <v>3024</v>
      </c>
      <c r="J2484">
        <v>336.28</v>
      </c>
    </row>
    <row r="2485" spans="1:10" x14ac:dyDescent="0.25">
      <c r="A2485" s="1">
        <v>44622</v>
      </c>
      <c r="B2485" t="s">
        <v>29</v>
      </c>
      <c r="C2485" t="s">
        <v>17</v>
      </c>
      <c r="D2485" t="s">
        <v>12</v>
      </c>
      <c r="E2485" t="s">
        <v>56</v>
      </c>
      <c r="F2485" t="s">
        <v>57</v>
      </c>
      <c r="G2485" t="s">
        <v>24</v>
      </c>
      <c r="H2485">
        <v>7</v>
      </c>
      <c r="I2485">
        <v>952</v>
      </c>
      <c r="J2485">
        <v>215.51</v>
      </c>
    </row>
    <row r="2486" spans="1:10" x14ac:dyDescent="0.25">
      <c r="A2486" s="1">
        <v>45255</v>
      </c>
      <c r="B2486" t="s">
        <v>40</v>
      </c>
      <c r="C2486" t="s">
        <v>19</v>
      </c>
      <c r="D2486" t="s">
        <v>12</v>
      </c>
      <c r="E2486" t="s">
        <v>425</v>
      </c>
      <c r="F2486" t="s">
        <v>189</v>
      </c>
      <c r="G2486" t="s">
        <v>24</v>
      </c>
      <c r="H2486">
        <v>9</v>
      </c>
      <c r="I2486">
        <v>9090</v>
      </c>
      <c r="J2486">
        <v>937.69</v>
      </c>
    </row>
    <row r="2487" spans="1:10" x14ac:dyDescent="0.25">
      <c r="A2487" s="1">
        <v>44691</v>
      </c>
      <c r="B2487" t="s">
        <v>18</v>
      </c>
      <c r="C2487" t="s">
        <v>19</v>
      </c>
      <c r="D2487" t="s">
        <v>12</v>
      </c>
      <c r="E2487" t="s">
        <v>105</v>
      </c>
      <c r="F2487" t="s">
        <v>23</v>
      </c>
      <c r="G2487" t="s">
        <v>24</v>
      </c>
      <c r="H2487">
        <v>2</v>
      </c>
      <c r="I2487">
        <v>1166</v>
      </c>
      <c r="J2487">
        <v>170.11</v>
      </c>
    </row>
    <row r="2488" spans="1:10" x14ac:dyDescent="0.25">
      <c r="A2488" s="1">
        <v>45300</v>
      </c>
      <c r="B2488" t="s">
        <v>49</v>
      </c>
      <c r="C2488" t="s">
        <v>17</v>
      </c>
      <c r="D2488" t="s">
        <v>12</v>
      </c>
      <c r="E2488" t="s">
        <v>47</v>
      </c>
      <c r="F2488" t="s">
        <v>156</v>
      </c>
      <c r="G2488" t="s">
        <v>28</v>
      </c>
      <c r="H2488">
        <v>3</v>
      </c>
      <c r="I2488">
        <v>2925</v>
      </c>
      <c r="J2488">
        <v>433.95</v>
      </c>
    </row>
    <row r="2489" spans="1:10" x14ac:dyDescent="0.25">
      <c r="A2489" s="1">
        <v>45285</v>
      </c>
      <c r="B2489" t="s">
        <v>25</v>
      </c>
      <c r="C2489" t="s">
        <v>19</v>
      </c>
      <c r="D2489" t="s">
        <v>12</v>
      </c>
      <c r="E2489" t="s">
        <v>130</v>
      </c>
      <c r="F2489" t="s">
        <v>54</v>
      </c>
      <c r="G2489" t="s">
        <v>24</v>
      </c>
      <c r="H2489">
        <v>5</v>
      </c>
      <c r="I2489">
        <v>3455</v>
      </c>
      <c r="J2489">
        <v>867.55</v>
      </c>
    </row>
    <row r="2490" spans="1:10" x14ac:dyDescent="0.25">
      <c r="A2490" s="1">
        <v>44901</v>
      </c>
      <c r="B2490" t="s">
        <v>40</v>
      </c>
      <c r="C2490" t="s">
        <v>19</v>
      </c>
      <c r="D2490" t="s">
        <v>12</v>
      </c>
      <c r="E2490" t="s">
        <v>224</v>
      </c>
      <c r="F2490" t="s">
        <v>34</v>
      </c>
      <c r="G2490" t="s">
        <v>35</v>
      </c>
      <c r="H2490">
        <v>2</v>
      </c>
      <c r="I2490">
        <v>1614</v>
      </c>
      <c r="J2490">
        <v>331.3</v>
      </c>
    </row>
    <row r="2491" spans="1:10" x14ac:dyDescent="0.25">
      <c r="A2491" s="1">
        <v>45511</v>
      </c>
      <c r="B2491" t="s">
        <v>16</v>
      </c>
      <c r="C2491" t="s">
        <v>17</v>
      </c>
      <c r="D2491" t="s">
        <v>12</v>
      </c>
      <c r="E2491" t="s">
        <v>52</v>
      </c>
      <c r="F2491" t="s">
        <v>42</v>
      </c>
      <c r="G2491" t="s">
        <v>28</v>
      </c>
      <c r="H2491">
        <v>7</v>
      </c>
      <c r="I2491">
        <v>1771</v>
      </c>
      <c r="J2491">
        <v>171.26</v>
      </c>
    </row>
    <row r="2492" spans="1:10" x14ac:dyDescent="0.25">
      <c r="A2492" s="1">
        <v>44932</v>
      </c>
      <c r="B2492" t="s">
        <v>10</v>
      </c>
      <c r="C2492" t="s">
        <v>11</v>
      </c>
      <c r="D2492" t="s">
        <v>12</v>
      </c>
      <c r="E2492" t="s">
        <v>37</v>
      </c>
      <c r="F2492" t="s">
        <v>34</v>
      </c>
      <c r="G2492" t="s">
        <v>35</v>
      </c>
      <c r="H2492">
        <v>6</v>
      </c>
      <c r="I2492">
        <v>5658</v>
      </c>
      <c r="J2492">
        <v>1504.97</v>
      </c>
    </row>
    <row r="2493" spans="1:10" x14ac:dyDescent="0.25">
      <c r="A2493" s="1">
        <v>45560</v>
      </c>
      <c r="B2493" t="s">
        <v>16</v>
      </c>
      <c r="C2493" t="s">
        <v>17</v>
      </c>
      <c r="D2493" t="s">
        <v>12</v>
      </c>
      <c r="E2493" t="s">
        <v>426</v>
      </c>
      <c r="F2493" t="s">
        <v>267</v>
      </c>
      <c r="G2493" t="s">
        <v>24</v>
      </c>
      <c r="H2493">
        <v>9</v>
      </c>
      <c r="I2493">
        <v>8460</v>
      </c>
      <c r="J2493">
        <v>1515.06</v>
      </c>
    </row>
    <row r="2494" spans="1:10" x14ac:dyDescent="0.25">
      <c r="A2494" s="1">
        <v>45256</v>
      </c>
      <c r="B2494" t="s">
        <v>10</v>
      </c>
      <c r="C2494" t="s">
        <v>11</v>
      </c>
      <c r="D2494" t="s">
        <v>12</v>
      </c>
      <c r="E2494" t="s">
        <v>148</v>
      </c>
      <c r="F2494" t="s">
        <v>149</v>
      </c>
      <c r="G2494" t="s">
        <v>15</v>
      </c>
      <c r="H2494">
        <v>5</v>
      </c>
      <c r="I2494">
        <v>1925</v>
      </c>
      <c r="J2494">
        <v>570.92999999999995</v>
      </c>
    </row>
    <row r="2495" spans="1:10" x14ac:dyDescent="0.25">
      <c r="A2495" s="1">
        <v>45324</v>
      </c>
      <c r="B2495" t="s">
        <v>55</v>
      </c>
      <c r="C2495" t="s">
        <v>19</v>
      </c>
      <c r="D2495" t="s">
        <v>12</v>
      </c>
      <c r="E2495" t="s">
        <v>148</v>
      </c>
      <c r="F2495" t="s">
        <v>149</v>
      </c>
      <c r="G2495" t="s">
        <v>15</v>
      </c>
      <c r="H2495">
        <v>6</v>
      </c>
      <c r="I2495">
        <v>2196</v>
      </c>
      <c r="J2495">
        <v>572.16999999999996</v>
      </c>
    </row>
    <row r="2496" spans="1:10" x14ac:dyDescent="0.25">
      <c r="A2496" s="1">
        <v>45478</v>
      </c>
      <c r="B2496" t="s">
        <v>49</v>
      </c>
      <c r="C2496" t="s">
        <v>17</v>
      </c>
      <c r="D2496" t="s">
        <v>12</v>
      </c>
      <c r="E2496" t="s">
        <v>328</v>
      </c>
      <c r="F2496" t="s">
        <v>191</v>
      </c>
      <c r="G2496" t="s">
        <v>35</v>
      </c>
      <c r="H2496">
        <v>2</v>
      </c>
      <c r="I2496">
        <v>1696</v>
      </c>
      <c r="J2496">
        <v>500.56</v>
      </c>
    </row>
    <row r="2497" spans="1:10" x14ac:dyDescent="0.25">
      <c r="A2497" s="1">
        <v>45246</v>
      </c>
      <c r="B2497" t="s">
        <v>10</v>
      </c>
      <c r="C2497" t="s">
        <v>11</v>
      </c>
      <c r="D2497" t="s">
        <v>12</v>
      </c>
      <c r="E2497" t="s">
        <v>427</v>
      </c>
      <c r="F2497" t="s">
        <v>42</v>
      </c>
      <c r="G2497" t="s">
        <v>28</v>
      </c>
      <c r="H2497">
        <v>9</v>
      </c>
      <c r="I2497">
        <v>6813</v>
      </c>
      <c r="J2497">
        <v>1966.66</v>
      </c>
    </row>
    <row r="2498" spans="1:10" x14ac:dyDescent="0.25">
      <c r="A2498" s="1">
        <v>45584</v>
      </c>
      <c r="B2498" t="s">
        <v>49</v>
      </c>
      <c r="C2498" t="s">
        <v>17</v>
      </c>
      <c r="D2498" t="s">
        <v>12</v>
      </c>
      <c r="E2498" t="s">
        <v>171</v>
      </c>
      <c r="F2498" t="s">
        <v>94</v>
      </c>
      <c r="G2498" t="s">
        <v>24</v>
      </c>
      <c r="H2498">
        <v>5</v>
      </c>
      <c r="I2498">
        <v>3670</v>
      </c>
      <c r="J2498">
        <v>790.67</v>
      </c>
    </row>
    <row r="2499" spans="1:10" x14ac:dyDescent="0.25">
      <c r="A2499" s="1">
        <v>45575</v>
      </c>
      <c r="B2499" t="s">
        <v>49</v>
      </c>
      <c r="C2499" t="s">
        <v>17</v>
      </c>
      <c r="D2499" t="s">
        <v>12</v>
      </c>
      <c r="E2499" t="s">
        <v>154</v>
      </c>
      <c r="F2499" t="s">
        <v>115</v>
      </c>
      <c r="G2499" t="s">
        <v>15</v>
      </c>
      <c r="H2499">
        <v>4</v>
      </c>
      <c r="I2499">
        <v>2936</v>
      </c>
      <c r="J2499">
        <v>204.55</v>
      </c>
    </row>
    <row r="2500" spans="1:10" x14ac:dyDescent="0.25">
      <c r="A2500" s="1">
        <v>45320</v>
      </c>
      <c r="B2500" t="s">
        <v>36</v>
      </c>
      <c r="C2500" t="s">
        <v>17</v>
      </c>
      <c r="D2500" t="s">
        <v>12</v>
      </c>
      <c r="E2500" t="s">
        <v>237</v>
      </c>
      <c r="F2500" t="s">
        <v>149</v>
      </c>
      <c r="G2500" t="s">
        <v>15</v>
      </c>
      <c r="H2500">
        <v>5</v>
      </c>
      <c r="I2500">
        <v>5165</v>
      </c>
      <c r="J2500">
        <v>283.60000000000002</v>
      </c>
    </row>
    <row r="2501" spans="1:10" x14ac:dyDescent="0.25">
      <c r="A2501" s="1">
        <v>45541</v>
      </c>
      <c r="B2501" t="s">
        <v>25</v>
      </c>
      <c r="C2501" t="s">
        <v>19</v>
      </c>
      <c r="D2501" t="s">
        <v>12</v>
      </c>
      <c r="E2501" t="s">
        <v>382</v>
      </c>
      <c r="F2501" t="s">
        <v>78</v>
      </c>
      <c r="G2501" t="s">
        <v>28</v>
      </c>
      <c r="H2501">
        <v>5</v>
      </c>
      <c r="I2501">
        <v>5940</v>
      </c>
      <c r="J2501">
        <v>467.31</v>
      </c>
    </row>
    <row r="2502" spans="1:10" x14ac:dyDescent="0.25">
      <c r="A2502" s="1">
        <v>45084</v>
      </c>
      <c r="B2502" t="s">
        <v>32</v>
      </c>
      <c r="C2502" t="s">
        <v>19</v>
      </c>
      <c r="D2502" t="s">
        <v>12</v>
      </c>
      <c r="E2502" t="s">
        <v>43</v>
      </c>
      <c r="F2502" t="s">
        <v>44</v>
      </c>
      <c r="G2502" t="s">
        <v>35</v>
      </c>
      <c r="H2502">
        <v>6</v>
      </c>
      <c r="I2502">
        <v>2664</v>
      </c>
      <c r="J2502">
        <v>520.29999999999995</v>
      </c>
    </row>
    <row r="2503" spans="1:10" x14ac:dyDescent="0.25">
      <c r="A2503" s="1">
        <v>45394</v>
      </c>
      <c r="B2503" t="s">
        <v>29</v>
      </c>
      <c r="C2503" t="s">
        <v>17</v>
      </c>
      <c r="D2503" t="s">
        <v>12</v>
      </c>
      <c r="E2503" t="s">
        <v>56</v>
      </c>
      <c r="F2503" t="s">
        <v>57</v>
      </c>
      <c r="G2503" t="s">
        <v>24</v>
      </c>
      <c r="H2503">
        <v>2</v>
      </c>
      <c r="I2503">
        <v>1198</v>
      </c>
      <c r="J2503">
        <v>134.38999999999999</v>
      </c>
    </row>
    <row r="2504" spans="1:10" x14ac:dyDescent="0.25">
      <c r="A2504" s="1">
        <v>45526</v>
      </c>
      <c r="B2504" t="s">
        <v>29</v>
      </c>
      <c r="C2504" t="s">
        <v>17</v>
      </c>
      <c r="D2504" t="s">
        <v>12</v>
      </c>
      <c r="E2504" t="s">
        <v>428</v>
      </c>
      <c r="F2504" t="s">
        <v>23</v>
      </c>
      <c r="G2504" t="s">
        <v>24</v>
      </c>
      <c r="H2504">
        <v>4</v>
      </c>
      <c r="I2504">
        <v>1340</v>
      </c>
      <c r="J2504">
        <v>309.8</v>
      </c>
    </row>
    <row r="2505" spans="1:10" x14ac:dyDescent="0.25">
      <c r="A2505" s="1">
        <v>44849</v>
      </c>
      <c r="B2505" t="s">
        <v>36</v>
      </c>
      <c r="C2505" t="s">
        <v>17</v>
      </c>
      <c r="D2505" t="s">
        <v>12</v>
      </c>
      <c r="E2505" t="s">
        <v>75</v>
      </c>
      <c r="F2505" t="s">
        <v>108</v>
      </c>
      <c r="G2505" t="s">
        <v>15</v>
      </c>
      <c r="H2505">
        <v>9</v>
      </c>
      <c r="I2505">
        <v>9657</v>
      </c>
      <c r="J2505">
        <v>1233.47</v>
      </c>
    </row>
    <row r="2506" spans="1:10" x14ac:dyDescent="0.25">
      <c r="A2506" s="1">
        <v>44740</v>
      </c>
      <c r="B2506" t="s">
        <v>25</v>
      </c>
      <c r="C2506" t="s">
        <v>19</v>
      </c>
      <c r="D2506" t="s">
        <v>12</v>
      </c>
      <c r="E2506" t="s">
        <v>105</v>
      </c>
      <c r="F2506" t="s">
        <v>23</v>
      </c>
      <c r="G2506" t="s">
        <v>24</v>
      </c>
      <c r="H2506">
        <v>8</v>
      </c>
      <c r="I2506">
        <v>2592</v>
      </c>
      <c r="J2506">
        <v>191.66</v>
      </c>
    </row>
    <row r="2507" spans="1:10" x14ac:dyDescent="0.25">
      <c r="A2507" s="1">
        <v>45087</v>
      </c>
      <c r="B2507" t="s">
        <v>25</v>
      </c>
      <c r="C2507" t="s">
        <v>19</v>
      </c>
      <c r="D2507" t="s">
        <v>12</v>
      </c>
      <c r="E2507" t="s">
        <v>376</v>
      </c>
      <c r="F2507" t="s">
        <v>34</v>
      </c>
      <c r="G2507" t="s">
        <v>35</v>
      </c>
      <c r="H2507">
        <v>4</v>
      </c>
      <c r="I2507">
        <v>1168</v>
      </c>
      <c r="J2507">
        <v>135.36000000000001</v>
      </c>
    </row>
    <row r="2508" spans="1:10" x14ac:dyDescent="0.25">
      <c r="A2508" s="1">
        <v>45008</v>
      </c>
      <c r="B2508" t="s">
        <v>29</v>
      </c>
      <c r="C2508" t="s">
        <v>17</v>
      </c>
      <c r="D2508" t="s">
        <v>12</v>
      </c>
      <c r="E2508" t="s">
        <v>22</v>
      </c>
      <c r="F2508" t="s">
        <v>23</v>
      </c>
      <c r="G2508" t="s">
        <v>24</v>
      </c>
      <c r="H2508">
        <v>8</v>
      </c>
      <c r="I2508">
        <v>5920</v>
      </c>
      <c r="J2508">
        <v>1241.27</v>
      </c>
    </row>
    <row r="2509" spans="1:10" x14ac:dyDescent="0.25">
      <c r="A2509" s="1">
        <v>44609</v>
      </c>
      <c r="B2509" t="s">
        <v>40</v>
      </c>
      <c r="C2509" t="s">
        <v>19</v>
      </c>
      <c r="D2509" t="s">
        <v>12</v>
      </c>
      <c r="E2509" t="s">
        <v>92</v>
      </c>
      <c r="F2509" t="s">
        <v>44</v>
      </c>
      <c r="G2509" t="s">
        <v>35</v>
      </c>
      <c r="H2509">
        <v>2</v>
      </c>
      <c r="I2509">
        <v>2260</v>
      </c>
      <c r="J2509">
        <v>268.47000000000003</v>
      </c>
    </row>
    <row r="2510" spans="1:10" x14ac:dyDescent="0.25">
      <c r="A2510" s="1">
        <v>45188</v>
      </c>
      <c r="B2510" t="s">
        <v>10</v>
      </c>
      <c r="C2510" t="s">
        <v>11</v>
      </c>
      <c r="D2510" t="s">
        <v>12</v>
      </c>
      <c r="E2510" t="s">
        <v>92</v>
      </c>
      <c r="F2510" t="s">
        <v>44</v>
      </c>
      <c r="G2510" t="s">
        <v>35</v>
      </c>
      <c r="H2510">
        <v>8</v>
      </c>
      <c r="I2510">
        <v>7016</v>
      </c>
      <c r="J2510">
        <v>1490.07</v>
      </c>
    </row>
    <row r="2511" spans="1:10" x14ac:dyDescent="0.25">
      <c r="A2511" s="1">
        <v>45380</v>
      </c>
      <c r="B2511" t="s">
        <v>29</v>
      </c>
      <c r="C2511" t="s">
        <v>17</v>
      </c>
      <c r="D2511" t="s">
        <v>12</v>
      </c>
      <c r="E2511" t="s">
        <v>377</v>
      </c>
      <c r="F2511" t="s">
        <v>115</v>
      </c>
      <c r="G2511" t="s">
        <v>15</v>
      </c>
      <c r="H2511">
        <v>6</v>
      </c>
      <c r="I2511">
        <v>546</v>
      </c>
      <c r="J2511">
        <v>79.94</v>
      </c>
    </row>
    <row r="2512" spans="1:10" x14ac:dyDescent="0.25">
      <c r="A2512" s="1">
        <v>45628</v>
      </c>
      <c r="B2512" t="s">
        <v>55</v>
      </c>
      <c r="C2512" t="s">
        <v>19</v>
      </c>
      <c r="D2512" t="s">
        <v>12</v>
      </c>
      <c r="E2512" t="s">
        <v>429</v>
      </c>
      <c r="F2512" t="s">
        <v>21</v>
      </c>
      <c r="G2512" t="s">
        <v>15</v>
      </c>
      <c r="H2512">
        <v>1</v>
      </c>
      <c r="I2512">
        <v>839</v>
      </c>
      <c r="J2512">
        <v>228.72</v>
      </c>
    </row>
    <row r="2513" spans="1:10" x14ac:dyDescent="0.25">
      <c r="A2513" s="1">
        <v>45497</v>
      </c>
      <c r="B2513" t="s">
        <v>18</v>
      </c>
      <c r="C2513" t="s">
        <v>19</v>
      </c>
      <c r="D2513" t="s">
        <v>12</v>
      </c>
      <c r="E2513" t="s">
        <v>145</v>
      </c>
      <c r="F2513" t="s">
        <v>44</v>
      </c>
      <c r="G2513" t="s">
        <v>35</v>
      </c>
      <c r="H2513">
        <v>8</v>
      </c>
      <c r="I2513">
        <v>5176</v>
      </c>
      <c r="J2513">
        <v>619.45000000000005</v>
      </c>
    </row>
    <row r="2514" spans="1:10" x14ac:dyDescent="0.25">
      <c r="A2514" s="1">
        <v>45018</v>
      </c>
      <c r="B2514" t="s">
        <v>55</v>
      </c>
      <c r="C2514" t="s">
        <v>19</v>
      </c>
      <c r="D2514" t="s">
        <v>12</v>
      </c>
      <c r="E2514" t="s">
        <v>224</v>
      </c>
      <c r="F2514" t="s">
        <v>34</v>
      </c>
      <c r="G2514" t="s">
        <v>35</v>
      </c>
      <c r="H2514">
        <v>4</v>
      </c>
      <c r="I2514">
        <v>280</v>
      </c>
      <c r="J2514">
        <v>24.9</v>
      </c>
    </row>
    <row r="2515" spans="1:10" x14ac:dyDescent="0.25">
      <c r="A2515" s="1">
        <v>45654</v>
      </c>
      <c r="B2515" t="s">
        <v>36</v>
      </c>
      <c r="C2515" t="s">
        <v>17</v>
      </c>
      <c r="D2515" t="s">
        <v>12</v>
      </c>
      <c r="E2515" t="s">
        <v>224</v>
      </c>
      <c r="F2515" t="s">
        <v>34</v>
      </c>
      <c r="G2515" t="s">
        <v>35</v>
      </c>
      <c r="H2515">
        <v>9</v>
      </c>
      <c r="I2515">
        <v>2097</v>
      </c>
      <c r="J2515">
        <v>210.59</v>
      </c>
    </row>
    <row r="2516" spans="1:10" x14ac:dyDescent="0.25">
      <c r="A2516" s="1">
        <v>45436</v>
      </c>
      <c r="B2516" t="s">
        <v>16</v>
      </c>
      <c r="C2516" t="s">
        <v>17</v>
      </c>
      <c r="D2516" t="s">
        <v>12</v>
      </c>
      <c r="E2516" t="s">
        <v>136</v>
      </c>
      <c r="F2516" t="s">
        <v>65</v>
      </c>
      <c r="G2516" t="s">
        <v>35</v>
      </c>
      <c r="H2516">
        <v>6</v>
      </c>
      <c r="I2516">
        <v>4632</v>
      </c>
      <c r="J2516">
        <v>799.16</v>
      </c>
    </row>
    <row r="2517" spans="1:10" x14ac:dyDescent="0.25">
      <c r="A2517" s="1">
        <v>44966</v>
      </c>
      <c r="B2517" t="s">
        <v>49</v>
      </c>
      <c r="C2517" t="s">
        <v>17</v>
      </c>
      <c r="D2517" t="s">
        <v>12</v>
      </c>
      <c r="E2517" t="s">
        <v>430</v>
      </c>
      <c r="F2517" t="s">
        <v>65</v>
      </c>
      <c r="G2517" t="s">
        <v>35</v>
      </c>
      <c r="H2517">
        <v>4</v>
      </c>
      <c r="I2517">
        <v>1088</v>
      </c>
      <c r="J2517">
        <v>283.61</v>
      </c>
    </row>
    <row r="2518" spans="1:10" x14ac:dyDescent="0.25">
      <c r="A2518" s="1">
        <v>45186</v>
      </c>
      <c r="B2518" t="s">
        <v>25</v>
      </c>
      <c r="C2518" t="s">
        <v>19</v>
      </c>
      <c r="D2518" t="s">
        <v>12</v>
      </c>
      <c r="E2518" t="s">
        <v>53</v>
      </c>
      <c r="F2518" t="s">
        <v>44</v>
      </c>
      <c r="G2518" t="s">
        <v>35</v>
      </c>
      <c r="H2518">
        <v>2</v>
      </c>
      <c r="I2518">
        <v>1314</v>
      </c>
      <c r="J2518">
        <v>391.55</v>
      </c>
    </row>
    <row r="2519" spans="1:10" x14ac:dyDescent="0.25">
      <c r="A2519" s="1">
        <v>45053</v>
      </c>
      <c r="B2519" t="s">
        <v>16</v>
      </c>
      <c r="C2519" t="s">
        <v>17</v>
      </c>
      <c r="D2519" t="s">
        <v>12</v>
      </c>
      <c r="E2519" t="s">
        <v>87</v>
      </c>
      <c r="F2519" t="s">
        <v>46</v>
      </c>
      <c r="G2519" t="s">
        <v>15</v>
      </c>
      <c r="H2519">
        <v>8</v>
      </c>
      <c r="I2519">
        <v>7960</v>
      </c>
      <c r="J2519">
        <v>804.11</v>
      </c>
    </row>
    <row r="2520" spans="1:10" x14ac:dyDescent="0.25">
      <c r="A2520" s="1">
        <v>45252</v>
      </c>
      <c r="B2520" t="s">
        <v>10</v>
      </c>
      <c r="C2520" t="s">
        <v>11</v>
      </c>
      <c r="D2520" t="s">
        <v>12</v>
      </c>
      <c r="E2520" t="s">
        <v>103</v>
      </c>
      <c r="F2520" t="s">
        <v>21</v>
      </c>
      <c r="G2520" t="s">
        <v>15</v>
      </c>
      <c r="H2520">
        <v>8</v>
      </c>
      <c r="I2520">
        <v>2856</v>
      </c>
      <c r="J2520">
        <v>350.32</v>
      </c>
    </row>
    <row r="2521" spans="1:10" x14ac:dyDescent="0.25">
      <c r="A2521" s="1">
        <v>44728</v>
      </c>
      <c r="B2521" t="s">
        <v>32</v>
      </c>
      <c r="C2521" t="s">
        <v>19</v>
      </c>
      <c r="D2521" t="s">
        <v>12</v>
      </c>
      <c r="E2521" t="s">
        <v>242</v>
      </c>
      <c r="F2521" t="s">
        <v>21</v>
      </c>
      <c r="G2521" t="s">
        <v>15</v>
      </c>
      <c r="H2521">
        <v>4</v>
      </c>
      <c r="I2521">
        <v>1680</v>
      </c>
      <c r="J2521">
        <v>385.92</v>
      </c>
    </row>
    <row r="2522" spans="1:10" x14ac:dyDescent="0.25">
      <c r="A2522" s="1">
        <v>45616</v>
      </c>
      <c r="B2522" t="s">
        <v>36</v>
      </c>
      <c r="C2522" t="s">
        <v>17</v>
      </c>
      <c r="D2522" t="s">
        <v>12</v>
      </c>
      <c r="E2522" t="s">
        <v>37</v>
      </c>
      <c r="F2522" t="s">
        <v>34</v>
      </c>
      <c r="G2522" t="s">
        <v>35</v>
      </c>
      <c r="H2522">
        <v>4</v>
      </c>
      <c r="I2522">
        <v>4464</v>
      </c>
      <c r="J2522">
        <v>1069.6300000000001</v>
      </c>
    </row>
    <row r="2523" spans="1:10" x14ac:dyDescent="0.25">
      <c r="A2523" s="1">
        <v>45085</v>
      </c>
      <c r="B2523" t="s">
        <v>40</v>
      </c>
      <c r="C2523" t="s">
        <v>19</v>
      </c>
      <c r="D2523" t="s">
        <v>12</v>
      </c>
      <c r="E2523" t="s">
        <v>377</v>
      </c>
      <c r="F2523" t="s">
        <v>115</v>
      </c>
      <c r="G2523" t="s">
        <v>15</v>
      </c>
      <c r="H2523">
        <v>6</v>
      </c>
      <c r="I2523">
        <v>2940</v>
      </c>
      <c r="J2523">
        <v>184.97</v>
      </c>
    </row>
    <row r="2524" spans="1:10" x14ac:dyDescent="0.25">
      <c r="A2524" s="1">
        <v>44724</v>
      </c>
      <c r="B2524" t="s">
        <v>36</v>
      </c>
      <c r="C2524" t="s">
        <v>17</v>
      </c>
      <c r="D2524" t="s">
        <v>12</v>
      </c>
      <c r="E2524" t="s">
        <v>377</v>
      </c>
      <c r="F2524" t="s">
        <v>115</v>
      </c>
      <c r="G2524" t="s">
        <v>15</v>
      </c>
      <c r="H2524">
        <v>8</v>
      </c>
      <c r="I2524">
        <v>1272</v>
      </c>
      <c r="J2524">
        <v>344.45</v>
      </c>
    </row>
    <row r="2525" spans="1:10" x14ac:dyDescent="0.25">
      <c r="A2525" s="1">
        <v>45617</v>
      </c>
      <c r="B2525" t="s">
        <v>10</v>
      </c>
      <c r="C2525" t="s">
        <v>11</v>
      </c>
      <c r="D2525" t="s">
        <v>12</v>
      </c>
      <c r="E2525" t="s">
        <v>26</v>
      </c>
      <c r="F2525" t="s">
        <v>27</v>
      </c>
      <c r="G2525" t="s">
        <v>28</v>
      </c>
      <c r="H2525">
        <v>6</v>
      </c>
      <c r="I2525">
        <v>1728</v>
      </c>
      <c r="J2525">
        <v>247.86</v>
      </c>
    </row>
    <row r="2526" spans="1:10" x14ac:dyDescent="0.25">
      <c r="A2526" s="1">
        <v>44810</v>
      </c>
      <c r="B2526" t="s">
        <v>36</v>
      </c>
      <c r="C2526" t="s">
        <v>17</v>
      </c>
      <c r="D2526" t="s">
        <v>12</v>
      </c>
      <c r="E2526" t="s">
        <v>52</v>
      </c>
      <c r="F2526" t="s">
        <v>42</v>
      </c>
      <c r="G2526" t="s">
        <v>28</v>
      </c>
      <c r="H2526">
        <v>3</v>
      </c>
      <c r="I2526">
        <v>3153</v>
      </c>
      <c r="J2526">
        <v>563.55999999999995</v>
      </c>
    </row>
    <row r="2527" spans="1:10" x14ac:dyDescent="0.25">
      <c r="A2527" s="1">
        <v>45374</v>
      </c>
      <c r="B2527" t="s">
        <v>40</v>
      </c>
      <c r="C2527" t="s">
        <v>19</v>
      </c>
      <c r="D2527" t="s">
        <v>12</v>
      </c>
      <c r="E2527" t="s">
        <v>22</v>
      </c>
      <c r="F2527" t="s">
        <v>23</v>
      </c>
      <c r="G2527" t="s">
        <v>24</v>
      </c>
      <c r="H2527">
        <v>4</v>
      </c>
      <c r="I2527">
        <v>2536</v>
      </c>
      <c r="J2527">
        <v>285.72000000000003</v>
      </c>
    </row>
    <row r="2528" spans="1:10" x14ac:dyDescent="0.25">
      <c r="A2528" s="1">
        <v>44636</v>
      </c>
      <c r="B2528" t="s">
        <v>18</v>
      </c>
      <c r="C2528" t="s">
        <v>19</v>
      </c>
      <c r="D2528" t="s">
        <v>12</v>
      </c>
      <c r="E2528" t="s">
        <v>210</v>
      </c>
      <c r="F2528" t="s">
        <v>34</v>
      </c>
      <c r="G2528" t="s">
        <v>35</v>
      </c>
      <c r="H2528">
        <v>3</v>
      </c>
      <c r="I2528">
        <v>2508</v>
      </c>
      <c r="J2528">
        <v>431.53</v>
      </c>
    </row>
    <row r="2529" spans="1:10" x14ac:dyDescent="0.25">
      <c r="A2529" s="1">
        <v>45583</v>
      </c>
      <c r="B2529" t="s">
        <v>18</v>
      </c>
      <c r="C2529" t="s">
        <v>19</v>
      </c>
      <c r="D2529" t="s">
        <v>12</v>
      </c>
      <c r="E2529" t="s">
        <v>43</v>
      </c>
      <c r="F2529" t="s">
        <v>44</v>
      </c>
      <c r="G2529" t="s">
        <v>35</v>
      </c>
      <c r="H2529">
        <v>1</v>
      </c>
      <c r="I2529">
        <v>123</v>
      </c>
      <c r="J2529">
        <v>12.36</v>
      </c>
    </row>
    <row r="2530" spans="1:10" x14ac:dyDescent="0.25">
      <c r="A2530" s="1">
        <v>45137</v>
      </c>
      <c r="B2530" t="s">
        <v>40</v>
      </c>
      <c r="C2530" t="s">
        <v>19</v>
      </c>
      <c r="D2530" t="s">
        <v>12</v>
      </c>
      <c r="E2530" t="s">
        <v>43</v>
      </c>
      <c r="F2530" t="s">
        <v>44</v>
      </c>
      <c r="G2530" t="s">
        <v>35</v>
      </c>
      <c r="H2530">
        <v>3</v>
      </c>
      <c r="I2530">
        <v>2379</v>
      </c>
      <c r="J2530">
        <v>148.68</v>
      </c>
    </row>
    <row r="2531" spans="1:10" x14ac:dyDescent="0.25">
      <c r="A2531" s="1">
        <v>44930</v>
      </c>
      <c r="B2531" t="s">
        <v>10</v>
      </c>
      <c r="C2531" t="s">
        <v>11</v>
      </c>
      <c r="D2531" t="s">
        <v>12</v>
      </c>
      <c r="E2531" t="s">
        <v>103</v>
      </c>
      <c r="F2531" t="s">
        <v>149</v>
      </c>
      <c r="G2531" t="s">
        <v>15</v>
      </c>
      <c r="H2531">
        <v>6</v>
      </c>
      <c r="I2531">
        <v>6924</v>
      </c>
      <c r="J2531">
        <v>1693.77</v>
      </c>
    </row>
    <row r="2532" spans="1:10" x14ac:dyDescent="0.25">
      <c r="A2532" s="1">
        <v>45077</v>
      </c>
      <c r="B2532" t="s">
        <v>32</v>
      </c>
      <c r="C2532" t="s">
        <v>19</v>
      </c>
      <c r="D2532" t="s">
        <v>12</v>
      </c>
      <c r="E2532" t="s">
        <v>132</v>
      </c>
      <c r="F2532" t="s">
        <v>100</v>
      </c>
      <c r="G2532" t="s">
        <v>35</v>
      </c>
      <c r="H2532">
        <v>9</v>
      </c>
      <c r="I2532">
        <v>9054</v>
      </c>
      <c r="J2532">
        <v>644.36</v>
      </c>
    </row>
    <row r="2533" spans="1:10" x14ac:dyDescent="0.25">
      <c r="A2533" s="1">
        <v>45268</v>
      </c>
      <c r="B2533" t="s">
        <v>25</v>
      </c>
      <c r="C2533" t="s">
        <v>19</v>
      </c>
      <c r="D2533" t="s">
        <v>12</v>
      </c>
      <c r="E2533" t="s">
        <v>47</v>
      </c>
      <c r="F2533" t="s">
        <v>46</v>
      </c>
      <c r="G2533" t="s">
        <v>15</v>
      </c>
      <c r="H2533">
        <v>9</v>
      </c>
      <c r="I2533">
        <v>9936</v>
      </c>
      <c r="J2533">
        <v>2797.45</v>
      </c>
    </row>
    <row r="2534" spans="1:10" x14ac:dyDescent="0.25">
      <c r="A2534" s="1">
        <v>44916</v>
      </c>
      <c r="B2534" t="s">
        <v>40</v>
      </c>
      <c r="C2534" t="s">
        <v>19</v>
      </c>
      <c r="D2534" t="s">
        <v>12</v>
      </c>
      <c r="E2534" t="s">
        <v>26</v>
      </c>
      <c r="F2534" t="s">
        <v>27</v>
      </c>
      <c r="G2534" t="s">
        <v>28</v>
      </c>
      <c r="H2534">
        <v>1</v>
      </c>
      <c r="I2534">
        <v>393</v>
      </c>
      <c r="J2534">
        <v>41.05</v>
      </c>
    </row>
    <row r="2535" spans="1:10" x14ac:dyDescent="0.25">
      <c r="A2535" s="1">
        <v>45523</v>
      </c>
      <c r="B2535" t="s">
        <v>10</v>
      </c>
      <c r="C2535" t="s">
        <v>11</v>
      </c>
      <c r="D2535" t="s">
        <v>12</v>
      </c>
      <c r="E2535" t="s">
        <v>136</v>
      </c>
      <c r="F2535" t="s">
        <v>65</v>
      </c>
      <c r="G2535" t="s">
        <v>35</v>
      </c>
      <c r="H2535">
        <v>2</v>
      </c>
      <c r="I2535">
        <v>308</v>
      </c>
      <c r="J2535">
        <v>35.32</v>
      </c>
    </row>
    <row r="2536" spans="1:10" x14ac:dyDescent="0.25">
      <c r="A2536" s="1">
        <v>45591</v>
      </c>
      <c r="B2536" t="s">
        <v>18</v>
      </c>
      <c r="C2536" t="s">
        <v>19</v>
      </c>
      <c r="D2536" t="s">
        <v>12</v>
      </c>
      <c r="E2536" t="s">
        <v>52</v>
      </c>
      <c r="F2536" t="s">
        <v>42</v>
      </c>
      <c r="G2536" t="s">
        <v>28</v>
      </c>
      <c r="H2536">
        <v>5</v>
      </c>
      <c r="I2536">
        <v>4900</v>
      </c>
      <c r="J2536">
        <v>347.25</v>
      </c>
    </row>
    <row r="2537" spans="1:10" x14ac:dyDescent="0.25">
      <c r="A2537" s="1">
        <v>45528</v>
      </c>
      <c r="B2537" t="s">
        <v>55</v>
      </c>
      <c r="C2537" t="s">
        <v>19</v>
      </c>
      <c r="D2537" t="s">
        <v>12</v>
      </c>
      <c r="E2537" t="s">
        <v>132</v>
      </c>
      <c r="F2537" t="s">
        <v>115</v>
      </c>
      <c r="G2537" t="s">
        <v>15</v>
      </c>
      <c r="H2537">
        <v>1</v>
      </c>
      <c r="I2537">
        <v>927</v>
      </c>
      <c r="J2537">
        <v>103.95</v>
      </c>
    </row>
    <row r="2538" spans="1:10" x14ac:dyDescent="0.25">
      <c r="A2538" s="1">
        <v>45253</v>
      </c>
      <c r="B2538" t="s">
        <v>49</v>
      </c>
      <c r="C2538" t="s">
        <v>17</v>
      </c>
      <c r="D2538" t="s">
        <v>12</v>
      </c>
      <c r="E2538" t="s">
        <v>270</v>
      </c>
      <c r="F2538" t="s">
        <v>54</v>
      </c>
      <c r="G2538" t="s">
        <v>24</v>
      </c>
      <c r="H2538">
        <v>1</v>
      </c>
      <c r="I2538">
        <v>266</v>
      </c>
      <c r="J2538">
        <v>22.42</v>
      </c>
    </row>
    <row r="2539" spans="1:10" x14ac:dyDescent="0.25">
      <c r="A2539" s="1">
        <v>44869</v>
      </c>
      <c r="B2539" t="s">
        <v>10</v>
      </c>
      <c r="C2539" t="s">
        <v>11</v>
      </c>
      <c r="D2539" t="s">
        <v>12</v>
      </c>
      <c r="E2539" t="s">
        <v>52</v>
      </c>
      <c r="F2539" t="s">
        <v>42</v>
      </c>
      <c r="G2539" t="s">
        <v>28</v>
      </c>
      <c r="H2539">
        <v>5</v>
      </c>
      <c r="I2539">
        <v>4750</v>
      </c>
      <c r="J2539">
        <v>1179.56</v>
      </c>
    </row>
    <row r="2540" spans="1:10" x14ac:dyDescent="0.25">
      <c r="A2540" s="1">
        <v>45493</v>
      </c>
      <c r="B2540" t="s">
        <v>32</v>
      </c>
      <c r="C2540" t="s">
        <v>19</v>
      </c>
      <c r="D2540" t="s">
        <v>12</v>
      </c>
      <c r="E2540" t="s">
        <v>52</v>
      </c>
      <c r="F2540" t="s">
        <v>42</v>
      </c>
      <c r="G2540" t="s">
        <v>28</v>
      </c>
      <c r="H2540">
        <v>8</v>
      </c>
      <c r="I2540">
        <v>3272</v>
      </c>
      <c r="J2540">
        <v>460.82</v>
      </c>
    </row>
    <row r="2541" spans="1:10" x14ac:dyDescent="0.25">
      <c r="A2541" s="1">
        <v>44905</v>
      </c>
      <c r="B2541" t="s">
        <v>16</v>
      </c>
      <c r="C2541" t="s">
        <v>17</v>
      </c>
      <c r="D2541" t="s">
        <v>12</v>
      </c>
      <c r="E2541" t="s">
        <v>431</v>
      </c>
      <c r="F2541" t="s">
        <v>84</v>
      </c>
      <c r="G2541" t="s">
        <v>28</v>
      </c>
      <c r="H2541">
        <v>5</v>
      </c>
      <c r="I2541">
        <v>4350</v>
      </c>
      <c r="J2541">
        <v>688.77</v>
      </c>
    </row>
    <row r="2542" spans="1:10" x14ac:dyDescent="0.25">
      <c r="A2542" s="1">
        <v>45500</v>
      </c>
      <c r="B2542" t="s">
        <v>49</v>
      </c>
      <c r="C2542" t="s">
        <v>17</v>
      </c>
      <c r="D2542" t="s">
        <v>12</v>
      </c>
      <c r="E2542" t="s">
        <v>431</v>
      </c>
      <c r="F2542" t="s">
        <v>84</v>
      </c>
      <c r="G2542" t="s">
        <v>28</v>
      </c>
      <c r="H2542">
        <v>1</v>
      </c>
      <c r="I2542">
        <v>706</v>
      </c>
      <c r="J2542">
        <v>63.82</v>
      </c>
    </row>
    <row r="2543" spans="1:10" x14ac:dyDescent="0.25">
      <c r="A2543" s="1">
        <v>45436</v>
      </c>
      <c r="B2543" t="s">
        <v>55</v>
      </c>
      <c r="C2543" t="s">
        <v>19</v>
      </c>
      <c r="D2543" t="s">
        <v>12</v>
      </c>
      <c r="E2543" t="s">
        <v>56</v>
      </c>
      <c r="F2543" t="s">
        <v>57</v>
      </c>
      <c r="G2543" t="s">
        <v>24</v>
      </c>
      <c r="H2543">
        <v>3</v>
      </c>
      <c r="I2543">
        <v>213</v>
      </c>
      <c r="J2543">
        <v>30.68</v>
      </c>
    </row>
    <row r="2544" spans="1:10" x14ac:dyDescent="0.25">
      <c r="A2544" s="1">
        <v>45224</v>
      </c>
      <c r="B2544" t="s">
        <v>40</v>
      </c>
      <c r="C2544" t="s">
        <v>19</v>
      </c>
      <c r="D2544" t="s">
        <v>12</v>
      </c>
      <c r="E2544" t="s">
        <v>70</v>
      </c>
      <c r="F2544" t="s">
        <v>71</v>
      </c>
      <c r="G2544" t="s">
        <v>35</v>
      </c>
      <c r="H2544">
        <v>2</v>
      </c>
      <c r="I2544">
        <v>1614</v>
      </c>
      <c r="J2544">
        <v>376.31</v>
      </c>
    </row>
    <row r="2545" spans="1:10" x14ac:dyDescent="0.25">
      <c r="A2545" s="1">
        <v>44966</v>
      </c>
      <c r="B2545" t="s">
        <v>16</v>
      </c>
      <c r="C2545" t="s">
        <v>17</v>
      </c>
      <c r="D2545" t="s">
        <v>12</v>
      </c>
      <c r="E2545" t="s">
        <v>332</v>
      </c>
      <c r="F2545" t="s">
        <v>94</v>
      </c>
      <c r="G2545" t="s">
        <v>24</v>
      </c>
      <c r="H2545">
        <v>8</v>
      </c>
      <c r="I2545">
        <v>6232</v>
      </c>
      <c r="J2545">
        <v>499.63</v>
      </c>
    </row>
    <row r="2546" spans="1:10" x14ac:dyDescent="0.25">
      <c r="A2546" s="1">
        <v>44960</v>
      </c>
      <c r="B2546" t="s">
        <v>10</v>
      </c>
      <c r="C2546" t="s">
        <v>11</v>
      </c>
      <c r="D2546" t="s">
        <v>12</v>
      </c>
      <c r="E2546" t="s">
        <v>432</v>
      </c>
      <c r="F2546" t="s">
        <v>21</v>
      </c>
      <c r="G2546" t="s">
        <v>15</v>
      </c>
      <c r="H2546">
        <v>4</v>
      </c>
      <c r="I2546">
        <v>3864</v>
      </c>
      <c r="J2546">
        <v>717.45</v>
      </c>
    </row>
    <row r="2547" spans="1:10" x14ac:dyDescent="0.25">
      <c r="A2547" s="1">
        <v>45634</v>
      </c>
      <c r="B2547" t="s">
        <v>29</v>
      </c>
      <c r="C2547" t="s">
        <v>17</v>
      </c>
      <c r="D2547" t="s">
        <v>12</v>
      </c>
      <c r="E2547" t="s">
        <v>52</v>
      </c>
      <c r="F2547" t="s">
        <v>42</v>
      </c>
      <c r="G2547" t="s">
        <v>28</v>
      </c>
      <c r="H2547">
        <v>3</v>
      </c>
      <c r="I2547">
        <v>2601</v>
      </c>
      <c r="J2547">
        <v>363.64</v>
      </c>
    </row>
    <row r="2548" spans="1:10" x14ac:dyDescent="0.25">
      <c r="A2548" s="1">
        <v>44958</v>
      </c>
      <c r="B2548" t="s">
        <v>16</v>
      </c>
      <c r="C2548" t="s">
        <v>17</v>
      </c>
      <c r="D2548" t="s">
        <v>12</v>
      </c>
      <c r="E2548" t="s">
        <v>22</v>
      </c>
      <c r="F2548" t="s">
        <v>23</v>
      </c>
      <c r="G2548" t="s">
        <v>24</v>
      </c>
      <c r="H2548">
        <v>6</v>
      </c>
      <c r="I2548">
        <v>4944</v>
      </c>
      <c r="J2548">
        <v>758.46</v>
      </c>
    </row>
    <row r="2549" spans="1:10" x14ac:dyDescent="0.25">
      <c r="A2549" s="1">
        <v>45246</v>
      </c>
      <c r="B2549" t="s">
        <v>10</v>
      </c>
      <c r="C2549" t="s">
        <v>11</v>
      </c>
      <c r="D2549" t="s">
        <v>12</v>
      </c>
      <c r="E2549" t="s">
        <v>22</v>
      </c>
      <c r="F2549" t="s">
        <v>23</v>
      </c>
      <c r="G2549" t="s">
        <v>24</v>
      </c>
      <c r="H2549">
        <v>4</v>
      </c>
      <c r="I2549">
        <v>4680</v>
      </c>
      <c r="J2549">
        <v>301.91000000000003</v>
      </c>
    </row>
    <row r="2550" spans="1:10" x14ac:dyDescent="0.25">
      <c r="A2550" s="1">
        <v>44590</v>
      </c>
      <c r="B2550" t="s">
        <v>16</v>
      </c>
      <c r="C2550" t="s">
        <v>17</v>
      </c>
      <c r="D2550" t="s">
        <v>12</v>
      </c>
      <c r="E2550" t="s">
        <v>56</v>
      </c>
      <c r="F2550" t="s">
        <v>57</v>
      </c>
      <c r="G2550" t="s">
        <v>24</v>
      </c>
      <c r="H2550">
        <v>8</v>
      </c>
      <c r="I2550">
        <v>2112</v>
      </c>
      <c r="J2550">
        <v>418.58</v>
      </c>
    </row>
    <row r="2551" spans="1:10" x14ac:dyDescent="0.25">
      <c r="A2551" s="1">
        <v>44675</v>
      </c>
      <c r="B2551" t="s">
        <v>36</v>
      </c>
      <c r="C2551" t="s">
        <v>17</v>
      </c>
      <c r="D2551" t="s">
        <v>12</v>
      </c>
      <c r="E2551" t="s">
        <v>121</v>
      </c>
      <c r="F2551" t="s">
        <v>57</v>
      </c>
      <c r="G2551" t="s">
        <v>24</v>
      </c>
      <c r="H2551">
        <v>6</v>
      </c>
      <c r="I2551">
        <v>7140</v>
      </c>
      <c r="J2551">
        <v>869.93</v>
      </c>
    </row>
    <row r="2552" spans="1:10" x14ac:dyDescent="0.25">
      <c r="A2552" s="1">
        <v>44853</v>
      </c>
      <c r="B2552" t="s">
        <v>49</v>
      </c>
      <c r="C2552" t="s">
        <v>17</v>
      </c>
      <c r="D2552" t="s">
        <v>12</v>
      </c>
      <c r="E2552" t="s">
        <v>26</v>
      </c>
      <c r="F2552" t="s">
        <v>27</v>
      </c>
      <c r="G2552" t="s">
        <v>28</v>
      </c>
      <c r="H2552">
        <v>1</v>
      </c>
      <c r="I2552">
        <v>750</v>
      </c>
      <c r="J2552">
        <v>37.97</v>
      </c>
    </row>
    <row r="2553" spans="1:10" x14ac:dyDescent="0.25">
      <c r="A2553" s="1">
        <v>44785</v>
      </c>
      <c r="B2553" t="s">
        <v>16</v>
      </c>
      <c r="C2553" t="s">
        <v>17</v>
      </c>
      <c r="D2553" t="s">
        <v>12</v>
      </c>
      <c r="E2553" t="s">
        <v>13</v>
      </c>
      <c r="F2553" t="s">
        <v>14</v>
      </c>
      <c r="G2553" t="s">
        <v>15</v>
      </c>
      <c r="H2553">
        <v>4</v>
      </c>
      <c r="I2553">
        <v>392</v>
      </c>
      <c r="J2553">
        <v>39.229999999999997</v>
      </c>
    </row>
    <row r="2554" spans="1:10" x14ac:dyDescent="0.25">
      <c r="A2554" s="1">
        <v>45567</v>
      </c>
      <c r="B2554" t="s">
        <v>55</v>
      </c>
      <c r="C2554" t="s">
        <v>19</v>
      </c>
      <c r="D2554" t="s">
        <v>12</v>
      </c>
      <c r="E2554" t="s">
        <v>37</v>
      </c>
      <c r="F2554" t="s">
        <v>34</v>
      </c>
      <c r="G2554" t="s">
        <v>35</v>
      </c>
      <c r="H2554">
        <v>4</v>
      </c>
      <c r="I2554">
        <v>2408</v>
      </c>
      <c r="J2554">
        <v>721.8</v>
      </c>
    </row>
    <row r="2555" spans="1:10" x14ac:dyDescent="0.25">
      <c r="A2555" s="1">
        <v>45182</v>
      </c>
      <c r="B2555" t="s">
        <v>36</v>
      </c>
      <c r="C2555" t="s">
        <v>17</v>
      </c>
      <c r="D2555" t="s">
        <v>12</v>
      </c>
      <c r="E2555" t="s">
        <v>41</v>
      </c>
      <c r="F2555" t="s">
        <v>63</v>
      </c>
      <c r="G2555" t="s">
        <v>28</v>
      </c>
      <c r="H2555">
        <v>2</v>
      </c>
      <c r="I2555">
        <v>2016</v>
      </c>
      <c r="J2555">
        <v>151.4</v>
      </c>
    </row>
    <row r="2556" spans="1:10" x14ac:dyDescent="0.25">
      <c r="A2556" s="1">
        <v>44767</v>
      </c>
      <c r="B2556" t="s">
        <v>36</v>
      </c>
      <c r="C2556" t="s">
        <v>17</v>
      </c>
      <c r="D2556" t="s">
        <v>12</v>
      </c>
      <c r="E2556" t="s">
        <v>37</v>
      </c>
      <c r="F2556" t="s">
        <v>34</v>
      </c>
      <c r="G2556" t="s">
        <v>35</v>
      </c>
      <c r="H2556">
        <v>4</v>
      </c>
      <c r="I2556">
        <v>464</v>
      </c>
      <c r="J2556">
        <v>47.93</v>
      </c>
    </row>
    <row r="2557" spans="1:10" x14ac:dyDescent="0.25">
      <c r="A2557" s="1">
        <v>45269</v>
      </c>
      <c r="B2557" t="s">
        <v>29</v>
      </c>
      <c r="C2557" t="s">
        <v>17</v>
      </c>
      <c r="D2557" t="s">
        <v>12</v>
      </c>
      <c r="E2557" t="s">
        <v>26</v>
      </c>
      <c r="F2557" t="s">
        <v>27</v>
      </c>
      <c r="G2557" t="s">
        <v>28</v>
      </c>
      <c r="H2557">
        <v>1</v>
      </c>
      <c r="I2557">
        <v>832</v>
      </c>
      <c r="J2557">
        <v>227.11</v>
      </c>
    </row>
    <row r="2558" spans="1:10" x14ac:dyDescent="0.25">
      <c r="A2558" s="1">
        <v>45382</v>
      </c>
      <c r="B2558" t="s">
        <v>29</v>
      </c>
      <c r="C2558" t="s">
        <v>17</v>
      </c>
      <c r="D2558" t="s">
        <v>12</v>
      </c>
      <c r="E2558" t="s">
        <v>26</v>
      </c>
      <c r="F2558" t="s">
        <v>27</v>
      </c>
      <c r="G2558" t="s">
        <v>28</v>
      </c>
      <c r="H2558">
        <v>8</v>
      </c>
      <c r="I2558">
        <v>1296</v>
      </c>
      <c r="J2558">
        <v>374.8</v>
      </c>
    </row>
    <row r="2559" spans="1:10" x14ac:dyDescent="0.25">
      <c r="A2559" s="1">
        <v>44674</v>
      </c>
      <c r="B2559" t="s">
        <v>40</v>
      </c>
      <c r="C2559" t="s">
        <v>19</v>
      </c>
      <c r="D2559" t="s">
        <v>12</v>
      </c>
      <c r="E2559" t="s">
        <v>37</v>
      </c>
      <c r="F2559" t="s">
        <v>34</v>
      </c>
      <c r="G2559" t="s">
        <v>35</v>
      </c>
      <c r="H2559">
        <v>1</v>
      </c>
      <c r="I2559">
        <v>300</v>
      </c>
      <c r="J2559">
        <v>45.81</v>
      </c>
    </row>
    <row r="2560" spans="1:10" x14ac:dyDescent="0.25">
      <c r="A2560" s="1">
        <v>45479</v>
      </c>
      <c r="B2560" t="s">
        <v>36</v>
      </c>
      <c r="C2560" t="s">
        <v>17</v>
      </c>
      <c r="D2560" t="s">
        <v>12</v>
      </c>
      <c r="E2560" t="s">
        <v>37</v>
      </c>
      <c r="F2560" t="s">
        <v>34</v>
      </c>
      <c r="G2560" t="s">
        <v>35</v>
      </c>
      <c r="H2560">
        <v>6</v>
      </c>
      <c r="I2560">
        <v>2856</v>
      </c>
      <c r="J2560">
        <v>226.53</v>
      </c>
    </row>
    <row r="2561" spans="1:10" x14ac:dyDescent="0.25">
      <c r="A2561" s="1">
        <v>44905</v>
      </c>
      <c r="B2561" t="s">
        <v>18</v>
      </c>
      <c r="C2561" t="s">
        <v>19</v>
      </c>
      <c r="D2561" t="s">
        <v>12</v>
      </c>
      <c r="E2561" t="s">
        <v>112</v>
      </c>
      <c r="F2561" t="s">
        <v>63</v>
      </c>
      <c r="G2561" t="s">
        <v>28</v>
      </c>
      <c r="H2561">
        <v>5</v>
      </c>
      <c r="I2561">
        <v>3380</v>
      </c>
      <c r="J2561">
        <v>287.05</v>
      </c>
    </row>
    <row r="2562" spans="1:10" x14ac:dyDescent="0.25">
      <c r="A2562" s="1">
        <v>44588</v>
      </c>
      <c r="B2562" t="s">
        <v>18</v>
      </c>
      <c r="C2562" t="s">
        <v>19</v>
      </c>
      <c r="D2562" t="s">
        <v>12</v>
      </c>
      <c r="E2562" t="s">
        <v>433</v>
      </c>
      <c r="F2562" t="s">
        <v>156</v>
      </c>
      <c r="G2562" t="s">
        <v>28</v>
      </c>
      <c r="H2562">
        <v>5</v>
      </c>
      <c r="I2562">
        <v>400</v>
      </c>
      <c r="J2562">
        <v>86.52</v>
      </c>
    </row>
    <row r="2563" spans="1:10" x14ac:dyDescent="0.25">
      <c r="A2563" s="1">
        <v>44848</v>
      </c>
      <c r="B2563" t="s">
        <v>25</v>
      </c>
      <c r="C2563" t="s">
        <v>19</v>
      </c>
      <c r="D2563" t="s">
        <v>12</v>
      </c>
      <c r="E2563" t="s">
        <v>26</v>
      </c>
      <c r="F2563" t="s">
        <v>27</v>
      </c>
      <c r="G2563" t="s">
        <v>28</v>
      </c>
      <c r="H2563">
        <v>1</v>
      </c>
      <c r="I2563">
        <v>722</v>
      </c>
      <c r="J2563">
        <v>49.7</v>
      </c>
    </row>
    <row r="2564" spans="1:10" x14ac:dyDescent="0.25">
      <c r="A2564" s="1">
        <v>45619</v>
      </c>
      <c r="B2564" t="s">
        <v>55</v>
      </c>
      <c r="C2564" t="s">
        <v>19</v>
      </c>
      <c r="D2564" t="s">
        <v>12</v>
      </c>
      <c r="E2564" t="s">
        <v>434</v>
      </c>
      <c r="F2564" t="s">
        <v>65</v>
      </c>
      <c r="G2564" t="s">
        <v>35</v>
      </c>
      <c r="H2564">
        <v>4</v>
      </c>
      <c r="I2564">
        <v>4596</v>
      </c>
      <c r="J2564">
        <v>947.45</v>
      </c>
    </row>
    <row r="2565" spans="1:10" x14ac:dyDescent="0.25">
      <c r="A2565" s="1">
        <v>45024</v>
      </c>
      <c r="B2565" t="s">
        <v>49</v>
      </c>
      <c r="C2565" t="s">
        <v>17</v>
      </c>
      <c r="D2565" t="s">
        <v>12</v>
      </c>
      <c r="E2565" t="s">
        <v>434</v>
      </c>
      <c r="F2565" t="s">
        <v>65</v>
      </c>
      <c r="G2565" t="s">
        <v>35</v>
      </c>
      <c r="H2565">
        <v>8</v>
      </c>
      <c r="I2565">
        <v>1176</v>
      </c>
      <c r="J2565">
        <v>313.58</v>
      </c>
    </row>
    <row r="2566" spans="1:10" x14ac:dyDescent="0.25">
      <c r="A2566" s="1">
        <v>44763</v>
      </c>
      <c r="B2566" t="s">
        <v>25</v>
      </c>
      <c r="C2566" t="s">
        <v>19</v>
      </c>
      <c r="D2566" t="s">
        <v>12</v>
      </c>
      <c r="E2566" t="s">
        <v>372</v>
      </c>
      <c r="F2566" t="s">
        <v>23</v>
      </c>
      <c r="G2566" t="s">
        <v>24</v>
      </c>
      <c r="H2566">
        <v>2</v>
      </c>
      <c r="I2566">
        <v>644</v>
      </c>
      <c r="J2566">
        <v>45.72</v>
      </c>
    </row>
    <row r="2567" spans="1:10" x14ac:dyDescent="0.25">
      <c r="A2567" s="1">
        <v>44872</v>
      </c>
      <c r="B2567" t="s">
        <v>40</v>
      </c>
      <c r="C2567" t="s">
        <v>19</v>
      </c>
      <c r="D2567" t="s">
        <v>12</v>
      </c>
      <c r="E2567" t="s">
        <v>401</v>
      </c>
      <c r="F2567" t="s">
        <v>23</v>
      </c>
      <c r="G2567" t="s">
        <v>24</v>
      </c>
      <c r="H2567">
        <v>8</v>
      </c>
      <c r="I2567">
        <v>544</v>
      </c>
      <c r="J2567">
        <v>40.78</v>
      </c>
    </row>
    <row r="2568" spans="1:10" x14ac:dyDescent="0.25">
      <c r="A2568" s="1">
        <v>45076</v>
      </c>
      <c r="B2568" t="s">
        <v>36</v>
      </c>
      <c r="C2568" t="s">
        <v>17</v>
      </c>
      <c r="D2568" t="s">
        <v>12</v>
      </c>
      <c r="E2568" t="s">
        <v>401</v>
      </c>
      <c r="F2568" t="s">
        <v>23</v>
      </c>
      <c r="G2568" t="s">
        <v>24</v>
      </c>
      <c r="H2568">
        <v>2</v>
      </c>
      <c r="I2568">
        <v>586</v>
      </c>
      <c r="J2568">
        <v>101.64</v>
      </c>
    </row>
    <row r="2569" spans="1:10" x14ac:dyDescent="0.25">
      <c r="A2569" s="1">
        <v>44681</v>
      </c>
      <c r="B2569" t="s">
        <v>49</v>
      </c>
      <c r="C2569" t="s">
        <v>17</v>
      </c>
      <c r="D2569" t="s">
        <v>12</v>
      </c>
      <c r="E2569" t="s">
        <v>187</v>
      </c>
      <c r="F2569" t="s">
        <v>23</v>
      </c>
      <c r="G2569" t="s">
        <v>24</v>
      </c>
      <c r="H2569">
        <v>5</v>
      </c>
      <c r="I2569">
        <v>3835</v>
      </c>
      <c r="J2569">
        <v>229.11</v>
      </c>
    </row>
    <row r="2570" spans="1:10" x14ac:dyDescent="0.25">
      <c r="A2570" s="1">
        <v>45273</v>
      </c>
      <c r="B2570" t="s">
        <v>10</v>
      </c>
      <c r="C2570" t="s">
        <v>11</v>
      </c>
      <c r="D2570" t="s">
        <v>12</v>
      </c>
      <c r="E2570" t="s">
        <v>435</v>
      </c>
      <c r="F2570" t="s">
        <v>78</v>
      </c>
      <c r="G2570" t="s">
        <v>28</v>
      </c>
      <c r="H2570">
        <v>5</v>
      </c>
      <c r="I2570">
        <v>1415</v>
      </c>
      <c r="J2570">
        <v>358.39</v>
      </c>
    </row>
    <row r="2571" spans="1:10" x14ac:dyDescent="0.25">
      <c r="A2571" s="1">
        <v>45057</v>
      </c>
      <c r="B2571" t="s">
        <v>49</v>
      </c>
      <c r="C2571" t="s">
        <v>17</v>
      </c>
      <c r="D2571" t="s">
        <v>12</v>
      </c>
      <c r="E2571" t="s">
        <v>74</v>
      </c>
      <c r="F2571" t="s">
        <v>23</v>
      </c>
      <c r="G2571" t="s">
        <v>24</v>
      </c>
      <c r="H2571">
        <v>9</v>
      </c>
      <c r="I2571">
        <v>1125</v>
      </c>
      <c r="J2571">
        <v>138.49</v>
      </c>
    </row>
    <row r="2572" spans="1:10" x14ac:dyDescent="0.25">
      <c r="A2572" s="1">
        <v>45180</v>
      </c>
      <c r="B2572" t="s">
        <v>25</v>
      </c>
      <c r="C2572" t="s">
        <v>19</v>
      </c>
      <c r="D2572" t="s">
        <v>12</v>
      </c>
      <c r="E2572" t="s">
        <v>74</v>
      </c>
      <c r="F2572" t="s">
        <v>23</v>
      </c>
      <c r="G2572" t="s">
        <v>24</v>
      </c>
      <c r="H2572">
        <v>3</v>
      </c>
      <c r="I2572">
        <v>3399</v>
      </c>
      <c r="J2572">
        <v>489.36</v>
      </c>
    </row>
    <row r="2573" spans="1:10" x14ac:dyDescent="0.25">
      <c r="A2573" s="1">
        <v>44623</v>
      </c>
      <c r="B2573" t="s">
        <v>36</v>
      </c>
      <c r="C2573" t="s">
        <v>17</v>
      </c>
      <c r="D2573" t="s">
        <v>12</v>
      </c>
      <c r="E2573" t="s">
        <v>26</v>
      </c>
      <c r="F2573" t="s">
        <v>27</v>
      </c>
      <c r="G2573" t="s">
        <v>28</v>
      </c>
      <c r="H2573">
        <v>6</v>
      </c>
      <c r="I2573">
        <v>5370</v>
      </c>
      <c r="J2573">
        <v>1501.06</v>
      </c>
    </row>
    <row r="2574" spans="1:10" x14ac:dyDescent="0.25">
      <c r="A2574" s="1">
        <v>45381</v>
      </c>
      <c r="B2574" t="s">
        <v>49</v>
      </c>
      <c r="C2574" t="s">
        <v>17</v>
      </c>
      <c r="D2574" t="s">
        <v>12</v>
      </c>
      <c r="E2574" t="s">
        <v>182</v>
      </c>
      <c r="F2574" t="s">
        <v>183</v>
      </c>
      <c r="G2574" t="s">
        <v>15</v>
      </c>
      <c r="H2574">
        <v>3</v>
      </c>
      <c r="I2574">
        <v>2331</v>
      </c>
      <c r="J2574">
        <v>419.26</v>
      </c>
    </row>
    <row r="2575" spans="1:10" x14ac:dyDescent="0.25">
      <c r="A2575" s="1">
        <v>44739</v>
      </c>
      <c r="B2575" t="s">
        <v>55</v>
      </c>
      <c r="C2575" t="s">
        <v>19</v>
      </c>
      <c r="D2575" t="s">
        <v>12</v>
      </c>
      <c r="E2575" t="s">
        <v>22</v>
      </c>
      <c r="F2575" t="s">
        <v>23</v>
      </c>
      <c r="G2575" t="s">
        <v>24</v>
      </c>
      <c r="H2575">
        <v>9</v>
      </c>
      <c r="I2575">
        <v>10728</v>
      </c>
      <c r="J2575">
        <v>1967.84</v>
      </c>
    </row>
    <row r="2576" spans="1:10" x14ac:dyDescent="0.25">
      <c r="A2576" s="1">
        <v>44987</v>
      </c>
      <c r="B2576" t="s">
        <v>36</v>
      </c>
      <c r="C2576" t="s">
        <v>17</v>
      </c>
      <c r="D2576" t="s">
        <v>12</v>
      </c>
      <c r="E2576" t="s">
        <v>22</v>
      </c>
      <c r="F2576" t="s">
        <v>23</v>
      </c>
      <c r="G2576" t="s">
        <v>24</v>
      </c>
      <c r="H2576">
        <v>8</v>
      </c>
      <c r="I2576">
        <v>9056</v>
      </c>
      <c r="J2576">
        <v>1860.37</v>
      </c>
    </row>
    <row r="2577" spans="1:10" x14ac:dyDescent="0.25">
      <c r="A2577" s="1">
        <v>45600</v>
      </c>
      <c r="B2577" t="s">
        <v>36</v>
      </c>
      <c r="C2577" t="s">
        <v>17</v>
      </c>
      <c r="D2577" t="s">
        <v>12</v>
      </c>
      <c r="E2577" t="s">
        <v>75</v>
      </c>
      <c r="F2577" t="s">
        <v>63</v>
      </c>
      <c r="G2577" t="s">
        <v>28</v>
      </c>
      <c r="H2577">
        <v>9</v>
      </c>
      <c r="I2577">
        <v>4581</v>
      </c>
      <c r="J2577">
        <v>250.06</v>
      </c>
    </row>
    <row r="2578" spans="1:10" x14ac:dyDescent="0.25">
      <c r="A2578" s="1">
        <v>45566</v>
      </c>
      <c r="B2578" t="s">
        <v>25</v>
      </c>
      <c r="C2578" t="s">
        <v>19</v>
      </c>
      <c r="D2578" t="s">
        <v>12</v>
      </c>
      <c r="E2578" t="s">
        <v>74</v>
      </c>
      <c r="F2578" t="s">
        <v>23</v>
      </c>
      <c r="G2578" t="s">
        <v>24</v>
      </c>
      <c r="H2578">
        <v>3</v>
      </c>
      <c r="I2578">
        <v>1074</v>
      </c>
      <c r="J2578">
        <v>240.44</v>
      </c>
    </row>
    <row r="2579" spans="1:10" x14ac:dyDescent="0.25">
      <c r="A2579" s="1">
        <v>45094</v>
      </c>
      <c r="B2579" t="s">
        <v>18</v>
      </c>
      <c r="C2579" t="s">
        <v>19</v>
      </c>
      <c r="D2579" t="s">
        <v>12</v>
      </c>
      <c r="E2579" t="s">
        <v>47</v>
      </c>
      <c r="F2579" t="s">
        <v>100</v>
      </c>
      <c r="G2579" t="s">
        <v>35</v>
      </c>
      <c r="H2579">
        <v>4</v>
      </c>
      <c r="I2579">
        <v>4572</v>
      </c>
      <c r="J2579">
        <v>1199.49</v>
      </c>
    </row>
    <row r="2580" spans="1:10" x14ac:dyDescent="0.25">
      <c r="A2580" s="1">
        <v>45250</v>
      </c>
      <c r="B2580" t="s">
        <v>55</v>
      </c>
      <c r="C2580" t="s">
        <v>19</v>
      </c>
      <c r="D2580" t="s">
        <v>12</v>
      </c>
      <c r="E2580" t="s">
        <v>47</v>
      </c>
      <c r="F2580" t="s">
        <v>100</v>
      </c>
      <c r="G2580" t="s">
        <v>35</v>
      </c>
      <c r="H2580">
        <v>7</v>
      </c>
      <c r="I2580">
        <v>8141</v>
      </c>
      <c r="J2580">
        <v>651.16</v>
      </c>
    </row>
    <row r="2581" spans="1:10" x14ac:dyDescent="0.25">
      <c r="A2581" s="1">
        <v>45254</v>
      </c>
      <c r="B2581" t="s">
        <v>10</v>
      </c>
      <c r="C2581" t="s">
        <v>11</v>
      </c>
      <c r="D2581" t="s">
        <v>12</v>
      </c>
      <c r="E2581" t="s">
        <v>56</v>
      </c>
      <c r="F2581" t="s">
        <v>57</v>
      </c>
      <c r="G2581" t="s">
        <v>24</v>
      </c>
      <c r="H2581">
        <v>4</v>
      </c>
      <c r="I2581">
        <v>604</v>
      </c>
      <c r="J2581">
        <v>180.93</v>
      </c>
    </row>
    <row r="2582" spans="1:10" x14ac:dyDescent="0.25">
      <c r="A2582" s="1">
        <v>45416</v>
      </c>
      <c r="B2582" t="s">
        <v>16</v>
      </c>
      <c r="C2582" t="s">
        <v>17</v>
      </c>
      <c r="D2582" t="s">
        <v>12</v>
      </c>
      <c r="E2582" t="s">
        <v>70</v>
      </c>
      <c r="F2582" t="s">
        <v>71</v>
      </c>
      <c r="G2582" t="s">
        <v>35</v>
      </c>
      <c r="H2582">
        <v>2</v>
      </c>
      <c r="I2582">
        <v>906</v>
      </c>
      <c r="J2582">
        <v>59.06</v>
      </c>
    </row>
    <row r="2583" spans="1:10" x14ac:dyDescent="0.25">
      <c r="A2583" s="1">
        <v>45038</v>
      </c>
      <c r="B2583" t="s">
        <v>29</v>
      </c>
      <c r="C2583" t="s">
        <v>17</v>
      </c>
      <c r="D2583" t="s">
        <v>12</v>
      </c>
      <c r="E2583" t="s">
        <v>172</v>
      </c>
      <c r="F2583" t="s">
        <v>173</v>
      </c>
      <c r="G2583" t="s">
        <v>24</v>
      </c>
      <c r="H2583">
        <v>7</v>
      </c>
      <c r="I2583">
        <v>1582</v>
      </c>
      <c r="J2583">
        <v>278.14</v>
      </c>
    </row>
    <row r="2584" spans="1:10" x14ac:dyDescent="0.25">
      <c r="A2584" s="1">
        <v>45322</v>
      </c>
      <c r="B2584" t="s">
        <v>16</v>
      </c>
      <c r="C2584" t="s">
        <v>17</v>
      </c>
      <c r="D2584" t="s">
        <v>12</v>
      </c>
      <c r="E2584" t="s">
        <v>304</v>
      </c>
      <c r="F2584" t="s">
        <v>42</v>
      </c>
      <c r="G2584" t="s">
        <v>28</v>
      </c>
      <c r="H2584">
        <v>6</v>
      </c>
      <c r="I2584">
        <v>3306</v>
      </c>
      <c r="J2584">
        <v>216.91</v>
      </c>
    </row>
    <row r="2585" spans="1:10" x14ac:dyDescent="0.25">
      <c r="A2585" s="1">
        <v>45284</v>
      </c>
      <c r="B2585" t="s">
        <v>29</v>
      </c>
      <c r="C2585" t="s">
        <v>17</v>
      </c>
      <c r="D2585" t="s">
        <v>12</v>
      </c>
      <c r="E2585" t="s">
        <v>52</v>
      </c>
      <c r="F2585" t="s">
        <v>42</v>
      </c>
      <c r="G2585" t="s">
        <v>28</v>
      </c>
      <c r="H2585">
        <v>1</v>
      </c>
      <c r="I2585">
        <v>847</v>
      </c>
      <c r="J2585">
        <v>237.41</v>
      </c>
    </row>
    <row r="2586" spans="1:10" x14ac:dyDescent="0.25">
      <c r="A2586" s="1">
        <v>44874</v>
      </c>
      <c r="B2586" t="s">
        <v>10</v>
      </c>
      <c r="C2586" t="s">
        <v>11</v>
      </c>
      <c r="D2586" t="s">
        <v>12</v>
      </c>
      <c r="E2586" t="s">
        <v>26</v>
      </c>
      <c r="F2586" t="s">
        <v>27</v>
      </c>
      <c r="G2586" t="s">
        <v>28</v>
      </c>
      <c r="H2586">
        <v>6</v>
      </c>
      <c r="I2586">
        <v>3222</v>
      </c>
      <c r="J2586">
        <v>846.27</v>
      </c>
    </row>
    <row r="2587" spans="1:10" x14ac:dyDescent="0.25">
      <c r="A2587" s="1">
        <v>45599</v>
      </c>
      <c r="B2587" t="s">
        <v>49</v>
      </c>
      <c r="C2587" t="s">
        <v>17</v>
      </c>
      <c r="D2587" t="s">
        <v>12</v>
      </c>
      <c r="E2587" t="s">
        <v>56</v>
      </c>
      <c r="F2587" t="s">
        <v>57</v>
      </c>
      <c r="G2587" t="s">
        <v>24</v>
      </c>
      <c r="H2587">
        <v>3</v>
      </c>
      <c r="I2587">
        <v>189</v>
      </c>
      <c r="J2587">
        <v>33.94</v>
      </c>
    </row>
    <row r="2588" spans="1:10" x14ac:dyDescent="0.25">
      <c r="A2588" s="1">
        <v>45150</v>
      </c>
      <c r="B2588" t="s">
        <v>55</v>
      </c>
      <c r="C2588" t="s">
        <v>19</v>
      </c>
      <c r="D2588" t="s">
        <v>12</v>
      </c>
      <c r="E2588" t="s">
        <v>64</v>
      </c>
      <c r="F2588" t="s">
        <v>65</v>
      </c>
      <c r="G2588" t="s">
        <v>35</v>
      </c>
      <c r="H2588">
        <v>4</v>
      </c>
      <c r="I2588">
        <v>1224</v>
      </c>
      <c r="J2588">
        <v>348.91</v>
      </c>
    </row>
    <row r="2589" spans="1:10" x14ac:dyDescent="0.25">
      <c r="A2589" s="1">
        <v>44965</v>
      </c>
      <c r="B2589" t="s">
        <v>25</v>
      </c>
      <c r="C2589" t="s">
        <v>19</v>
      </c>
      <c r="D2589" t="s">
        <v>12</v>
      </c>
      <c r="E2589" t="s">
        <v>148</v>
      </c>
      <c r="F2589" t="s">
        <v>149</v>
      </c>
      <c r="G2589" t="s">
        <v>15</v>
      </c>
      <c r="H2589">
        <v>7</v>
      </c>
      <c r="I2589">
        <v>5621</v>
      </c>
      <c r="J2589">
        <v>1390.73</v>
      </c>
    </row>
    <row r="2590" spans="1:10" x14ac:dyDescent="0.25">
      <c r="A2590" s="1">
        <v>45307</v>
      </c>
      <c r="B2590" t="s">
        <v>18</v>
      </c>
      <c r="C2590" t="s">
        <v>19</v>
      </c>
      <c r="D2590" t="s">
        <v>12</v>
      </c>
      <c r="E2590" t="s">
        <v>210</v>
      </c>
      <c r="F2590" t="s">
        <v>34</v>
      </c>
      <c r="G2590" t="s">
        <v>35</v>
      </c>
      <c r="H2590">
        <v>6</v>
      </c>
      <c r="I2590">
        <v>966</v>
      </c>
      <c r="J2590">
        <v>246.21</v>
      </c>
    </row>
    <row r="2591" spans="1:10" x14ac:dyDescent="0.25">
      <c r="A2591" s="1">
        <v>45140</v>
      </c>
      <c r="B2591" t="s">
        <v>18</v>
      </c>
      <c r="C2591" t="s">
        <v>19</v>
      </c>
      <c r="D2591" t="s">
        <v>12</v>
      </c>
      <c r="E2591" t="s">
        <v>26</v>
      </c>
      <c r="F2591" t="s">
        <v>27</v>
      </c>
      <c r="G2591" t="s">
        <v>28</v>
      </c>
      <c r="H2591">
        <v>9</v>
      </c>
      <c r="I2591">
        <v>1728</v>
      </c>
      <c r="J2591">
        <v>179.64</v>
      </c>
    </row>
    <row r="2592" spans="1:10" x14ac:dyDescent="0.25">
      <c r="A2592" s="1">
        <v>45304</v>
      </c>
      <c r="B2592" t="s">
        <v>16</v>
      </c>
      <c r="C2592" t="s">
        <v>17</v>
      </c>
      <c r="D2592" t="s">
        <v>12</v>
      </c>
      <c r="E2592" t="s">
        <v>112</v>
      </c>
      <c r="F2592" t="s">
        <v>63</v>
      </c>
      <c r="G2592" t="s">
        <v>28</v>
      </c>
      <c r="H2592">
        <v>9</v>
      </c>
      <c r="I2592">
        <v>6138</v>
      </c>
      <c r="J2592">
        <v>1478.57</v>
      </c>
    </row>
    <row r="2593" spans="1:10" x14ac:dyDescent="0.25">
      <c r="A2593" s="1">
        <v>45616</v>
      </c>
      <c r="B2593" t="s">
        <v>36</v>
      </c>
      <c r="C2593" t="s">
        <v>17</v>
      </c>
      <c r="D2593" t="s">
        <v>12</v>
      </c>
      <c r="E2593" t="s">
        <v>436</v>
      </c>
      <c r="F2593" t="s">
        <v>34</v>
      </c>
      <c r="G2593" t="s">
        <v>35</v>
      </c>
      <c r="H2593">
        <v>4</v>
      </c>
      <c r="I2593">
        <v>964</v>
      </c>
      <c r="J2593">
        <v>184.03</v>
      </c>
    </row>
    <row r="2594" spans="1:10" x14ac:dyDescent="0.25">
      <c r="A2594" s="1">
        <v>45212</v>
      </c>
      <c r="B2594" t="s">
        <v>40</v>
      </c>
      <c r="C2594" t="s">
        <v>19</v>
      </c>
      <c r="D2594" t="s">
        <v>12</v>
      </c>
      <c r="E2594" t="s">
        <v>52</v>
      </c>
      <c r="F2594" t="s">
        <v>42</v>
      </c>
      <c r="G2594" t="s">
        <v>28</v>
      </c>
      <c r="H2594">
        <v>7</v>
      </c>
      <c r="I2594">
        <v>4697</v>
      </c>
      <c r="J2594">
        <v>976.26</v>
      </c>
    </row>
    <row r="2595" spans="1:10" x14ac:dyDescent="0.25">
      <c r="A2595" s="1">
        <v>44690</v>
      </c>
      <c r="B2595" t="s">
        <v>40</v>
      </c>
      <c r="C2595" t="s">
        <v>19</v>
      </c>
      <c r="D2595" t="s">
        <v>12</v>
      </c>
      <c r="E2595" t="s">
        <v>52</v>
      </c>
      <c r="F2595" t="s">
        <v>42</v>
      </c>
      <c r="G2595" t="s">
        <v>28</v>
      </c>
      <c r="H2595">
        <v>2</v>
      </c>
      <c r="I2595">
        <v>1232</v>
      </c>
      <c r="J2595">
        <v>155.52000000000001</v>
      </c>
    </row>
    <row r="2596" spans="1:10" x14ac:dyDescent="0.25">
      <c r="A2596" s="1">
        <v>44916</v>
      </c>
      <c r="B2596" t="s">
        <v>36</v>
      </c>
      <c r="C2596" t="s">
        <v>17</v>
      </c>
      <c r="D2596" t="s">
        <v>12</v>
      </c>
      <c r="E2596" t="s">
        <v>37</v>
      </c>
      <c r="F2596" t="s">
        <v>34</v>
      </c>
      <c r="G2596" t="s">
        <v>35</v>
      </c>
      <c r="H2596">
        <v>7</v>
      </c>
      <c r="I2596">
        <v>6384</v>
      </c>
      <c r="J2596">
        <v>734.79</v>
      </c>
    </row>
    <row r="2597" spans="1:10" x14ac:dyDescent="0.25">
      <c r="A2597" s="1">
        <v>45618</v>
      </c>
      <c r="B2597" t="s">
        <v>16</v>
      </c>
      <c r="C2597" t="s">
        <v>17</v>
      </c>
      <c r="D2597" t="s">
        <v>12</v>
      </c>
      <c r="E2597" t="s">
        <v>37</v>
      </c>
      <c r="F2597" t="s">
        <v>34</v>
      </c>
      <c r="G2597" t="s">
        <v>35</v>
      </c>
      <c r="H2597">
        <v>4</v>
      </c>
      <c r="I2597">
        <v>780</v>
      </c>
      <c r="J2597">
        <v>162.72</v>
      </c>
    </row>
    <row r="2598" spans="1:10" x14ac:dyDescent="0.25">
      <c r="A2598" s="1">
        <v>44953</v>
      </c>
      <c r="B2598" t="s">
        <v>10</v>
      </c>
      <c r="C2598" t="s">
        <v>11</v>
      </c>
      <c r="D2598" t="s">
        <v>12</v>
      </c>
      <c r="E2598" t="s">
        <v>22</v>
      </c>
      <c r="F2598" t="s">
        <v>23</v>
      </c>
      <c r="G2598" t="s">
        <v>24</v>
      </c>
      <c r="H2598">
        <v>4</v>
      </c>
      <c r="I2598">
        <v>1256</v>
      </c>
      <c r="J2598">
        <v>362.22</v>
      </c>
    </row>
    <row r="2599" spans="1:10" x14ac:dyDescent="0.25">
      <c r="A2599" s="1">
        <v>44689</v>
      </c>
      <c r="B2599" t="s">
        <v>16</v>
      </c>
      <c r="C2599" t="s">
        <v>17</v>
      </c>
      <c r="D2599" t="s">
        <v>12</v>
      </c>
      <c r="E2599" t="s">
        <v>127</v>
      </c>
      <c r="F2599" t="s">
        <v>57</v>
      </c>
      <c r="G2599" t="s">
        <v>24</v>
      </c>
      <c r="H2599">
        <v>1</v>
      </c>
      <c r="I2599">
        <v>1162</v>
      </c>
      <c r="J2599">
        <v>220.93</v>
      </c>
    </row>
    <row r="2600" spans="1:10" x14ac:dyDescent="0.25">
      <c r="A2600" s="1">
        <v>44967</v>
      </c>
      <c r="B2600" t="s">
        <v>16</v>
      </c>
      <c r="C2600" t="s">
        <v>17</v>
      </c>
      <c r="D2600" t="s">
        <v>12</v>
      </c>
      <c r="E2600" t="s">
        <v>157</v>
      </c>
      <c r="F2600" t="s">
        <v>21</v>
      </c>
      <c r="G2600" t="s">
        <v>15</v>
      </c>
      <c r="H2600">
        <v>8</v>
      </c>
      <c r="I2600">
        <v>7520</v>
      </c>
      <c r="J2600">
        <v>995.03</v>
      </c>
    </row>
    <row r="2601" spans="1:10" x14ac:dyDescent="0.25">
      <c r="A2601" s="1">
        <v>45377</v>
      </c>
      <c r="B2601" t="s">
        <v>29</v>
      </c>
      <c r="C2601" t="s">
        <v>17</v>
      </c>
      <c r="D2601" t="s">
        <v>12</v>
      </c>
      <c r="E2601" t="s">
        <v>41</v>
      </c>
      <c r="F2601" t="s">
        <v>63</v>
      </c>
      <c r="G2601" t="s">
        <v>28</v>
      </c>
      <c r="H2601">
        <v>7</v>
      </c>
      <c r="I2601">
        <v>2387</v>
      </c>
      <c r="J2601">
        <v>463.92</v>
      </c>
    </row>
    <row r="2602" spans="1:10" x14ac:dyDescent="0.25">
      <c r="A2602" s="1">
        <v>45219</v>
      </c>
      <c r="B2602" t="s">
        <v>49</v>
      </c>
      <c r="C2602" t="s">
        <v>17</v>
      </c>
      <c r="D2602" t="s">
        <v>12</v>
      </c>
      <c r="E2602" t="s">
        <v>41</v>
      </c>
      <c r="F2602" t="s">
        <v>63</v>
      </c>
      <c r="G2602" t="s">
        <v>28</v>
      </c>
      <c r="H2602">
        <v>8</v>
      </c>
      <c r="I2602">
        <v>2256</v>
      </c>
      <c r="J2602">
        <v>316.77</v>
      </c>
    </row>
    <row r="2603" spans="1:10" x14ac:dyDescent="0.25">
      <c r="A2603" s="1">
        <v>45449</v>
      </c>
      <c r="B2603" t="s">
        <v>36</v>
      </c>
      <c r="C2603" t="s">
        <v>17</v>
      </c>
      <c r="D2603" t="s">
        <v>12</v>
      </c>
      <c r="E2603" t="s">
        <v>41</v>
      </c>
      <c r="F2603" t="s">
        <v>63</v>
      </c>
      <c r="G2603" t="s">
        <v>28</v>
      </c>
      <c r="H2603">
        <v>8</v>
      </c>
      <c r="I2603">
        <v>7792</v>
      </c>
      <c r="J2603">
        <v>913.12</v>
      </c>
    </row>
    <row r="2604" spans="1:10" x14ac:dyDescent="0.25">
      <c r="A2604" s="1">
        <v>45070</v>
      </c>
      <c r="B2604" t="s">
        <v>55</v>
      </c>
      <c r="C2604" t="s">
        <v>19</v>
      </c>
      <c r="D2604" t="s">
        <v>12</v>
      </c>
      <c r="E2604" t="s">
        <v>437</v>
      </c>
      <c r="F2604" t="s">
        <v>23</v>
      </c>
      <c r="G2604" t="s">
        <v>24</v>
      </c>
      <c r="H2604">
        <v>8</v>
      </c>
      <c r="I2604">
        <v>3944</v>
      </c>
      <c r="J2604">
        <v>296.35000000000002</v>
      </c>
    </row>
    <row r="2605" spans="1:10" x14ac:dyDescent="0.25">
      <c r="A2605" s="1">
        <v>45277</v>
      </c>
      <c r="B2605" t="s">
        <v>40</v>
      </c>
      <c r="C2605" t="s">
        <v>19</v>
      </c>
      <c r="D2605" t="s">
        <v>12</v>
      </c>
      <c r="E2605" t="s">
        <v>437</v>
      </c>
      <c r="F2605" t="s">
        <v>23</v>
      </c>
      <c r="G2605" t="s">
        <v>24</v>
      </c>
      <c r="H2605">
        <v>2</v>
      </c>
      <c r="I2605">
        <v>822</v>
      </c>
      <c r="J2605">
        <v>183.45</v>
      </c>
    </row>
    <row r="2606" spans="1:10" x14ac:dyDescent="0.25">
      <c r="A2606" s="1">
        <v>45463</v>
      </c>
      <c r="B2606" t="s">
        <v>29</v>
      </c>
      <c r="C2606" t="s">
        <v>17</v>
      </c>
      <c r="D2606" t="s">
        <v>12</v>
      </c>
      <c r="E2606" t="s">
        <v>56</v>
      </c>
      <c r="F2606" t="s">
        <v>57</v>
      </c>
      <c r="G2606" t="s">
        <v>24</v>
      </c>
      <c r="H2606">
        <v>3</v>
      </c>
      <c r="I2606">
        <v>1962</v>
      </c>
      <c r="J2606">
        <v>469.94</v>
      </c>
    </row>
    <row r="2607" spans="1:10" x14ac:dyDescent="0.25">
      <c r="A2607" s="1">
        <v>44916</v>
      </c>
      <c r="B2607" t="s">
        <v>10</v>
      </c>
      <c r="C2607" t="s">
        <v>11</v>
      </c>
      <c r="D2607" t="s">
        <v>12</v>
      </c>
      <c r="E2607" t="s">
        <v>43</v>
      </c>
      <c r="F2607" t="s">
        <v>44</v>
      </c>
      <c r="G2607" t="s">
        <v>35</v>
      </c>
      <c r="H2607">
        <v>4</v>
      </c>
      <c r="I2607">
        <v>1016</v>
      </c>
      <c r="J2607">
        <v>269.88</v>
      </c>
    </row>
    <row r="2608" spans="1:10" x14ac:dyDescent="0.25">
      <c r="A2608" s="1">
        <v>45097</v>
      </c>
      <c r="B2608" t="s">
        <v>18</v>
      </c>
      <c r="C2608" t="s">
        <v>19</v>
      </c>
      <c r="D2608" t="s">
        <v>12</v>
      </c>
      <c r="E2608" t="s">
        <v>52</v>
      </c>
      <c r="F2608" t="s">
        <v>42</v>
      </c>
      <c r="G2608" t="s">
        <v>28</v>
      </c>
      <c r="H2608">
        <v>2</v>
      </c>
      <c r="I2608">
        <v>1980</v>
      </c>
      <c r="J2608">
        <v>125.99</v>
      </c>
    </row>
    <row r="2609" spans="1:10" x14ac:dyDescent="0.25">
      <c r="A2609" s="1">
        <v>45634</v>
      </c>
      <c r="B2609" t="s">
        <v>29</v>
      </c>
      <c r="C2609" t="s">
        <v>17</v>
      </c>
      <c r="D2609" t="s">
        <v>12</v>
      </c>
      <c r="E2609" t="s">
        <v>52</v>
      </c>
      <c r="F2609" t="s">
        <v>42</v>
      </c>
      <c r="G2609" t="s">
        <v>28</v>
      </c>
      <c r="H2609">
        <v>4</v>
      </c>
      <c r="I2609">
        <v>3996</v>
      </c>
      <c r="J2609">
        <v>965.26</v>
      </c>
    </row>
    <row r="2610" spans="1:10" x14ac:dyDescent="0.25">
      <c r="A2610" s="1">
        <v>44760</v>
      </c>
      <c r="B2610" t="s">
        <v>32</v>
      </c>
      <c r="C2610" t="s">
        <v>19</v>
      </c>
      <c r="D2610" t="s">
        <v>12</v>
      </c>
      <c r="E2610" t="s">
        <v>56</v>
      </c>
      <c r="F2610" t="s">
        <v>57</v>
      </c>
      <c r="G2610" t="s">
        <v>24</v>
      </c>
      <c r="H2610">
        <v>1</v>
      </c>
      <c r="I2610">
        <v>663</v>
      </c>
      <c r="J2610">
        <v>183.82</v>
      </c>
    </row>
    <row r="2611" spans="1:10" x14ac:dyDescent="0.25">
      <c r="A2611" s="1">
        <v>45204</v>
      </c>
      <c r="B2611" t="s">
        <v>55</v>
      </c>
      <c r="C2611" t="s">
        <v>19</v>
      </c>
      <c r="D2611" t="s">
        <v>12</v>
      </c>
      <c r="E2611" t="s">
        <v>288</v>
      </c>
      <c r="F2611" t="s">
        <v>156</v>
      </c>
      <c r="G2611" t="s">
        <v>28</v>
      </c>
      <c r="H2611">
        <v>1</v>
      </c>
      <c r="I2611">
        <v>575</v>
      </c>
      <c r="J2611">
        <v>104.31</v>
      </c>
    </row>
    <row r="2612" spans="1:10" x14ac:dyDescent="0.25">
      <c r="A2612" s="1">
        <v>45173</v>
      </c>
      <c r="B2612" t="s">
        <v>18</v>
      </c>
      <c r="C2612" t="s">
        <v>19</v>
      </c>
      <c r="D2612" t="s">
        <v>12</v>
      </c>
      <c r="E2612" t="s">
        <v>75</v>
      </c>
      <c r="F2612" t="s">
        <v>63</v>
      </c>
      <c r="G2612" t="s">
        <v>28</v>
      </c>
      <c r="H2612">
        <v>1</v>
      </c>
      <c r="I2612">
        <v>187</v>
      </c>
      <c r="J2612">
        <v>33.76</v>
      </c>
    </row>
    <row r="2613" spans="1:10" x14ac:dyDescent="0.25">
      <c r="A2613" s="1">
        <v>45139</v>
      </c>
      <c r="B2613" t="s">
        <v>18</v>
      </c>
      <c r="C2613" t="s">
        <v>19</v>
      </c>
      <c r="D2613" t="s">
        <v>12</v>
      </c>
      <c r="E2613" t="s">
        <v>75</v>
      </c>
      <c r="F2613" t="s">
        <v>63</v>
      </c>
      <c r="G2613" t="s">
        <v>28</v>
      </c>
      <c r="H2613">
        <v>7</v>
      </c>
      <c r="I2613">
        <v>6216</v>
      </c>
      <c r="J2613">
        <v>378.24</v>
      </c>
    </row>
    <row r="2614" spans="1:10" x14ac:dyDescent="0.25">
      <c r="A2614" s="1">
        <v>44625</v>
      </c>
      <c r="B2614" t="s">
        <v>25</v>
      </c>
      <c r="C2614" t="s">
        <v>19</v>
      </c>
      <c r="D2614" t="s">
        <v>12</v>
      </c>
      <c r="E2614" t="s">
        <v>72</v>
      </c>
      <c r="F2614" t="s">
        <v>21</v>
      </c>
      <c r="G2614" t="s">
        <v>15</v>
      </c>
      <c r="H2614">
        <v>1</v>
      </c>
      <c r="I2614">
        <v>189</v>
      </c>
      <c r="J2614">
        <v>19.02</v>
      </c>
    </row>
    <row r="2615" spans="1:10" x14ac:dyDescent="0.25">
      <c r="A2615" s="1">
        <v>44786</v>
      </c>
      <c r="B2615" t="s">
        <v>18</v>
      </c>
      <c r="C2615" t="s">
        <v>19</v>
      </c>
      <c r="D2615" t="s">
        <v>12</v>
      </c>
      <c r="E2615" t="s">
        <v>138</v>
      </c>
      <c r="F2615" t="s">
        <v>94</v>
      </c>
      <c r="G2615" t="s">
        <v>24</v>
      </c>
      <c r="H2615">
        <v>2</v>
      </c>
      <c r="I2615">
        <v>358</v>
      </c>
      <c r="J2615">
        <v>41.46</v>
      </c>
    </row>
    <row r="2616" spans="1:10" x14ac:dyDescent="0.25">
      <c r="A2616" s="1">
        <v>44668</v>
      </c>
      <c r="B2616" t="s">
        <v>49</v>
      </c>
      <c r="C2616" t="s">
        <v>17</v>
      </c>
      <c r="D2616" t="s">
        <v>12</v>
      </c>
      <c r="E2616" t="s">
        <v>67</v>
      </c>
      <c r="F2616" t="s">
        <v>54</v>
      </c>
      <c r="G2616" t="s">
        <v>24</v>
      </c>
      <c r="H2616">
        <v>6</v>
      </c>
      <c r="I2616">
        <v>6192</v>
      </c>
      <c r="J2616">
        <v>316.23</v>
      </c>
    </row>
    <row r="2617" spans="1:10" x14ac:dyDescent="0.25">
      <c r="A2617" s="1">
        <v>45071</v>
      </c>
      <c r="B2617" t="s">
        <v>18</v>
      </c>
      <c r="C2617" t="s">
        <v>19</v>
      </c>
      <c r="D2617" t="s">
        <v>12</v>
      </c>
      <c r="E2617" t="s">
        <v>52</v>
      </c>
      <c r="F2617" t="s">
        <v>42</v>
      </c>
      <c r="G2617" t="s">
        <v>28</v>
      </c>
      <c r="H2617">
        <v>7</v>
      </c>
      <c r="I2617">
        <v>4382</v>
      </c>
      <c r="J2617">
        <v>592.46</v>
      </c>
    </row>
    <row r="2618" spans="1:10" x14ac:dyDescent="0.25">
      <c r="A2618" s="1">
        <v>45585</v>
      </c>
      <c r="B2618" t="s">
        <v>49</v>
      </c>
      <c r="C2618" t="s">
        <v>17</v>
      </c>
      <c r="D2618" t="s">
        <v>12</v>
      </c>
      <c r="E2618" t="s">
        <v>52</v>
      </c>
      <c r="F2618" t="s">
        <v>42</v>
      </c>
      <c r="G2618" t="s">
        <v>28</v>
      </c>
      <c r="H2618">
        <v>2</v>
      </c>
      <c r="I2618">
        <v>1122</v>
      </c>
      <c r="J2618">
        <v>100.78</v>
      </c>
    </row>
    <row r="2619" spans="1:10" x14ac:dyDescent="0.25">
      <c r="A2619" s="1">
        <v>44733</v>
      </c>
      <c r="B2619" t="s">
        <v>55</v>
      </c>
      <c r="C2619" t="s">
        <v>19</v>
      </c>
      <c r="D2619" t="s">
        <v>12</v>
      </c>
      <c r="E2619" t="s">
        <v>164</v>
      </c>
      <c r="F2619" t="s">
        <v>94</v>
      </c>
      <c r="G2619" t="s">
        <v>24</v>
      </c>
      <c r="H2619">
        <v>8</v>
      </c>
      <c r="I2619">
        <v>8192</v>
      </c>
      <c r="J2619">
        <v>2081.7199999999998</v>
      </c>
    </row>
    <row r="2620" spans="1:10" x14ac:dyDescent="0.25">
      <c r="A2620" s="1">
        <v>44795</v>
      </c>
      <c r="B2620" t="s">
        <v>55</v>
      </c>
      <c r="C2620" t="s">
        <v>19</v>
      </c>
      <c r="D2620" t="s">
        <v>12</v>
      </c>
      <c r="E2620" t="s">
        <v>52</v>
      </c>
      <c r="F2620" t="s">
        <v>42</v>
      </c>
      <c r="G2620" t="s">
        <v>28</v>
      </c>
      <c r="H2620">
        <v>6</v>
      </c>
      <c r="I2620">
        <v>2658</v>
      </c>
      <c r="J2620">
        <v>200.79</v>
      </c>
    </row>
    <row r="2621" spans="1:10" x14ac:dyDescent="0.25">
      <c r="A2621" s="1">
        <v>45002</v>
      </c>
      <c r="B2621" t="s">
        <v>18</v>
      </c>
      <c r="C2621" t="s">
        <v>19</v>
      </c>
      <c r="D2621" t="s">
        <v>12</v>
      </c>
      <c r="E2621" t="s">
        <v>52</v>
      </c>
      <c r="F2621" t="s">
        <v>42</v>
      </c>
      <c r="G2621" t="s">
        <v>28</v>
      </c>
      <c r="H2621">
        <v>6</v>
      </c>
      <c r="I2621">
        <v>606</v>
      </c>
      <c r="J2621">
        <v>127.68</v>
      </c>
    </row>
    <row r="2622" spans="1:10" x14ac:dyDescent="0.25">
      <c r="A2622" s="1">
        <v>45598</v>
      </c>
      <c r="B2622" t="s">
        <v>36</v>
      </c>
      <c r="C2622" t="s">
        <v>17</v>
      </c>
      <c r="D2622" t="s">
        <v>12</v>
      </c>
      <c r="E2622" t="s">
        <v>26</v>
      </c>
      <c r="F2622" t="s">
        <v>27</v>
      </c>
      <c r="G2622" t="s">
        <v>28</v>
      </c>
      <c r="H2622">
        <v>8</v>
      </c>
      <c r="I2622">
        <v>448</v>
      </c>
      <c r="J2622">
        <v>45.43</v>
      </c>
    </row>
    <row r="2623" spans="1:10" x14ac:dyDescent="0.25">
      <c r="A2623" s="1">
        <v>44943</v>
      </c>
      <c r="B2623" t="s">
        <v>10</v>
      </c>
      <c r="C2623" t="s">
        <v>11</v>
      </c>
      <c r="D2623" t="s">
        <v>12</v>
      </c>
      <c r="E2623" t="s">
        <v>22</v>
      </c>
      <c r="F2623" t="s">
        <v>23</v>
      </c>
      <c r="G2623" t="s">
        <v>24</v>
      </c>
      <c r="H2623">
        <v>3</v>
      </c>
      <c r="I2623">
        <v>1674</v>
      </c>
      <c r="J2623">
        <v>435.95</v>
      </c>
    </row>
    <row r="2624" spans="1:10" x14ac:dyDescent="0.25">
      <c r="A2624" s="1">
        <v>44605</v>
      </c>
      <c r="B2624" t="s">
        <v>18</v>
      </c>
      <c r="C2624" t="s">
        <v>19</v>
      </c>
      <c r="D2624" t="s">
        <v>12</v>
      </c>
      <c r="E2624" t="s">
        <v>56</v>
      </c>
      <c r="F2624" t="s">
        <v>57</v>
      </c>
      <c r="G2624" t="s">
        <v>24</v>
      </c>
      <c r="H2624">
        <v>6</v>
      </c>
      <c r="I2624">
        <v>1944</v>
      </c>
      <c r="J2624">
        <v>366.18</v>
      </c>
    </row>
    <row r="2625" spans="1:10" x14ac:dyDescent="0.25">
      <c r="A2625" s="1">
        <v>44599</v>
      </c>
      <c r="B2625" t="s">
        <v>36</v>
      </c>
      <c r="C2625" t="s">
        <v>17</v>
      </c>
      <c r="D2625" t="s">
        <v>12</v>
      </c>
      <c r="E2625" t="s">
        <v>52</v>
      </c>
      <c r="F2625" t="s">
        <v>42</v>
      </c>
      <c r="G2625" t="s">
        <v>28</v>
      </c>
      <c r="H2625">
        <v>6</v>
      </c>
      <c r="I2625">
        <v>1716</v>
      </c>
      <c r="J2625">
        <v>302.08999999999997</v>
      </c>
    </row>
    <row r="2626" spans="1:10" x14ac:dyDescent="0.25">
      <c r="A2626" s="1">
        <v>44686</v>
      </c>
      <c r="B2626" t="s">
        <v>25</v>
      </c>
      <c r="C2626" t="s">
        <v>19</v>
      </c>
      <c r="D2626" t="s">
        <v>12</v>
      </c>
      <c r="E2626" t="s">
        <v>322</v>
      </c>
      <c r="F2626" t="s">
        <v>42</v>
      </c>
      <c r="G2626" t="s">
        <v>28</v>
      </c>
      <c r="H2626">
        <v>6</v>
      </c>
      <c r="I2626">
        <v>2982</v>
      </c>
      <c r="J2626">
        <v>445.01</v>
      </c>
    </row>
    <row r="2627" spans="1:10" x14ac:dyDescent="0.25">
      <c r="A2627" s="1">
        <v>44787</v>
      </c>
      <c r="B2627" t="s">
        <v>55</v>
      </c>
      <c r="C2627" t="s">
        <v>19</v>
      </c>
      <c r="D2627" t="s">
        <v>12</v>
      </c>
      <c r="E2627" t="s">
        <v>224</v>
      </c>
      <c r="F2627" t="s">
        <v>34</v>
      </c>
      <c r="G2627" t="s">
        <v>35</v>
      </c>
      <c r="H2627">
        <v>9</v>
      </c>
      <c r="I2627">
        <v>7497</v>
      </c>
      <c r="J2627">
        <v>2241.59</v>
      </c>
    </row>
    <row r="2628" spans="1:10" x14ac:dyDescent="0.25">
      <c r="A2628" s="1">
        <v>45317</v>
      </c>
      <c r="B2628" t="s">
        <v>29</v>
      </c>
      <c r="C2628" t="s">
        <v>17</v>
      </c>
      <c r="D2628" t="s">
        <v>12</v>
      </c>
      <c r="E2628" t="s">
        <v>210</v>
      </c>
      <c r="F2628" t="s">
        <v>34</v>
      </c>
      <c r="G2628" t="s">
        <v>35</v>
      </c>
      <c r="H2628">
        <v>3</v>
      </c>
      <c r="I2628">
        <v>1026</v>
      </c>
      <c r="J2628">
        <v>142.71</v>
      </c>
    </row>
    <row r="2629" spans="1:10" x14ac:dyDescent="0.25">
      <c r="A2629" s="1">
        <v>45637</v>
      </c>
      <c r="B2629" t="s">
        <v>55</v>
      </c>
      <c r="C2629" t="s">
        <v>19</v>
      </c>
      <c r="D2629" t="s">
        <v>12</v>
      </c>
      <c r="E2629" t="s">
        <v>238</v>
      </c>
      <c r="F2629" t="s">
        <v>191</v>
      </c>
      <c r="G2629" t="s">
        <v>35</v>
      </c>
      <c r="H2629">
        <v>7</v>
      </c>
      <c r="I2629">
        <v>7392</v>
      </c>
      <c r="J2629">
        <v>2063.23</v>
      </c>
    </row>
    <row r="2630" spans="1:10" x14ac:dyDescent="0.25">
      <c r="A2630" s="1">
        <v>45466</v>
      </c>
      <c r="B2630" t="s">
        <v>10</v>
      </c>
      <c r="C2630" t="s">
        <v>11</v>
      </c>
      <c r="D2630" t="s">
        <v>12</v>
      </c>
      <c r="E2630" t="s">
        <v>130</v>
      </c>
      <c r="F2630" t="s">
        <v>14</v>
      </c>
      <c r="G2630" t="s">
        <v>15</v>
      </c>
      <c r="H2630">
        <v>4</v>
      </c>
      <c r="I2630">
        <v>2604</v>
      </c>
      <c r="J2630">
        <v>271.22000000000003</v>
      </c>
    </row>
    <row r="2631" spans="1:10" x14ac:dyDescent="0.25">
      <c r="A2631" s="1">
        <v>45253</v>
      </c>
      <c r="B2631" t="s">
        <v>32</v>
      </c>
      <c r="C2631" t="s">
        <v>19</v>
      </c>
      <c r="D2631" t="s">
        <v>12</v>
      </c>
      <c r="E2631" t="s">
        <v>56</v>
      </c>
      <c r="F2631" t="s">
        <v>57</v>
      </c>
      <c r="G2631" t="s">
        <v>24</v>
      </c>
      <c r="H2631">
        <v>6</v>
      </c>
      <c r="I2631">
        <v>1746</v>
      </c>
      <c r="J2631">
        <v>289.2</v>
      </c>
    </row>
    <row r="2632" spans="1:10" x14ac:dyDescent="0.25">
      <c r="A2632" s="1">
        <v>45345</v>
      </c>
      <c r="B2632" t="s">
        <v>29</v>
      </c>
      <c r="C2632" t="s">
        <v>17</v>
      </c>
      <c r="D2632" t="s">
        <v>12</v>
      </c>
      <c r="E2632" t="s">
        <v>52</v>
      </c>
      <c r="F2632" t="s">
        <v>42</v>
      </c>
      <c r="G2632" t="s">
        <v>28</v>
      </c>
      <c r="H2632">
        <v>6</v>
      </c>
      <c r="I2632">
        <v>5682</v>
      </c>
      <c r="J2632">
        <v>1365.87</v>
      </c>
    </row>
    <row r="2633" spans="1:10" x14ac:dyDescent="0.25">
      <c r="A2633" s="1">
        <v>45467</v>
      </c>
      <c r="B2633" t="s">
        <v>16</v>
      </c>
      <c r="C2633" t="s">
        <v>17</v>
      </c>
      <c r="D2633" t="s">
        <v>12</v>
      </c>
      <c r="E2633" t="s">
        <v>52</v>
      </c>
      <c r="F2633" t="s">
        <v>42</v>
      </c>
      <c r="G2633" t="s">
        <v>28</v>
      </c>
      <c r="H2633">
        <v>8</v>
      </c>
      <c r="I2633">
        <v>8664</v>
      </c>
      <c r="J2633">
        <v>2131.16</v>
      </c>
    </row>
    <row r="2634" spans="1:10" x14ac:dyDescent="0.25">
      <c r="A2634" s="1">
        <v>45115</v>
      </c>
      <c r="B2634" t="s">
        <v>18</v>
      </c>
      <c r="C2634" t="s">
        <v>19</v>
      </c>
      <c r="D2634" t="s">
        <v>12</v>
      </c>
      <c r="E2634" t="s">
        <v>52</v>
      </c>
      <c r="F2634" t="s">
        <v>42</v>
      </c>
      <c r="G2634" t="s">
        <v>28</v>
      </c>
      <c r="H2634">
        <v>3</v>
      </c>
      <c r="I2634">
        <v>1887</v>
      </c>
      <c r="J2634">
        <v>363.42</v>
      </c>
    </row>
    <row r="2635" spans="1:10" x14ac:dyDescent="0.25">
      <c r="A2635" s="1">
        <v>45594</v>
      </c>
      <c r="B2635" t="s">
        <v>40</v>
      </c>
      <c r="C2635" t="s">
        <v>19</v>
      </c>
      <c r="D2635" t="s">
        <v>12</v>
      </c>
      <c r="E2635" t="s">
        <v>43</v>
      </c>
      <c r="F2635" t="s">
        <v>44</v>
      </c>
      <c r="G2635" t="s">
        <v>35</v>
      </c>
      <c r="H2635">
        <v>7</v>
      </c>
      <c r="I2635">
        <v>6013</v>
      </c>
      <c r="J2635">
        <v>1544.51</v>
      </c>
    </row>
    <row r="2636" spans="1:10" x14ac:dyDescent="0.25">
      <c r="A2636" s="1">
        <v>45296</v>
      </c>
      <c r="B2636" t="s">
        <v>32</v>
      </c>
      <c r="C2636" t="s">
        <v>19</v>
      </c>
      <c r="D2636" t="s">
        <v>12</v>
      </c>
      <c r="E2636" t="s">
        <v>37</v>
      </c>
      <c r="F2636" t="s">
        <v>34</v>
      </c>
      <c r="G2636" t="s">
        <v>35</v>
      </c>
      <c r="H2636">
        <v>2</v>
      </c>
      <c r="I2636">
        <v>1578</v>
      </c>
      <c r="J2636">
        <v>463.58</v>
      </c>
    </row>
    <row r="2637" spans="1:10" x14ac:dyDescent="0.25">
      <c r="A2637" s="1">
        <v>44792</v>
      </c>
      <c r="B2637" t="s">
        <v>25</v>
      </c>
      <c r="C2637" t="s">
        <v>19</v>
      </c>
      <c r="D2637" t="s">
        <v>12</v>
      </c>
      <c r="E2637" t="s">
        <v>236</v>
      </c>
      <c r="F2637" t="s">
        <v>438</v>
      </c>
      <c r="G2637" t="s">
        <v>28</v>
      </c>
      <c r="H2637">
        <v>3</v>
      </c>
      <c r="I2637">
        <v>285</v>
      </c>
      <c r="J2637">
        <v>38.369999999999997</v>
      </c>
    </row>
    <row r="2638" spans="1:10" x14ac:dyDescent="0.25">
      <c r="A2638" s="1">
        <v>44953</v>
      </c>
      <c r="B2638" t="s">
        <v>55</v>
      </c>
      <c r="C2638" t="s">
        <v>19</v>
      </c>
      <c r="D2638" t="s">
        <v>12</v>
      </c>
      <c r="E2638" t="s">
        <v>439</v>
      </c>
      <c r="F2638" t="s">
        <v>191</v>
      </c>
      <c r="G2638" t="s">
        <v>35</v>
      </c>
      <c r="H2638">
        <v>6</v>
      </c>
      <c r="I2638">
        <v>5448</v>
      </c>
      <c r="J2638">
        <v>963.82</v>
      </c>
    </row>
    <row r="2639" spans="1:10" x14ac:dyDescent="0.25">
      <c r="A2639" s="1">
        <v>45513</v>
      </c>
      <c r="B2639" t="s">
        <v>10</v>
      </c>
      <c r="C2639" t="s">
        <v>11</v>
      </c>
      <c r="D2639" t="s">
        <v>12</v>
      </c>
      <c r="E2639" t="s">
        <v>136</v>
      </c>
      <c r="F2639" t="s">
        <v>65</v>
      </c>
      <c r="G2639" t="s">
        <v>35</v>
      </c>
      <c r="H2639">
        <v>2</v>
      </c>
      <c r="I2639">
        <v>1710</v>
      </c>
      <c r="J2639">
        <v>468.76</v>
      </c>
    </row>
    <row r="2640" spans="1:10" x14ac:dyDescent="0.25">
      <c r="A2640" s="1">
        <v>44868</v>
      </c>
      <c r="B2640" t="s">
        <v>49</v>
      </c>
      <c r="C2640" t="s">
        <v>17</v>
      </c>
      <c r="D2640" t="s">
        <v>12</v>
      </c>
      <c r="E2640" t="s">
        <v>74</v>
      </c>
      <c r="F2640" t="s">
        <v>23</v>
      </c>
      <c r="G2640" t="s">
        <v>24</v>
      </c>
      <c r="H2640">
        <v>9</v>
      </c>
      <c r="I2640">
        <v>2817</v>
      </c>
      <c r="J2640">
        <v>432.67</v>
      </c>
    </row>
    <row r="2641" spans="1:10" x14ac:dyDescent="0.25">
      <c r="A2641" s="1">
        <v>44660</v>
      </c>
      <c r="B2641" t="s">
        <v>40</v>
      </c>
      <c r="C2641" t="s">
        <v>19</v>
      </c>
      <c r="D2641" t="s">
        <v>12</v>
      </c>
      <c r="E2641" t="s">
        <v>210</v>
      </c>
      <c r="F2641" t="s">
        <v>34</v>
      </c>
      <c r="G2641" t="s">
        <v>35</v>
      </c>
      <c r="H2641">
        <v>9</v>
      </c>
      <c r="I2641">
        <v>9117</v>
      </c>
      <c r="J2641">
        <v>1780.52</v>
      </c>
    </row>
    <row r="2642" spans="1:10" x14ac:dyDescent="0.25">
      <c r="A2642" s="1">
        <v>45147</v>
      </c>
      <c r="B2642" t="s">
        <v>32</v>
      </c>
      <c r="C2642" t="s">
        <v>19</v>
      </c>
      <c r="D2642" t="s">
        <v>12</v>
      </c>
      <c r="E2642" t="s">
        <v>56</v>
      </c>
      <c r="F2642" t="s">
        <v>57</v>
      </c>
      <c r="G2642" t="s">
        <v>24</v>
      </c>
      <c r="H2642">
        <v>2</v>
      </c>
      <c r="I2642">
        <v>274</v>
      </c>
      <c r="J2642">
        <v>42.37</v>
      </c>
    </row>
    <row r="2643" spans="1:10" x14ac:dyDescent="0.25">
      <c r="A2643" s="1">
        <v>45194</v>
      </c>
      <c r="B2643" t="s">
        <v>49</v>
      </c>
      <c r="C2643" t="s">
        <v>17</v>
      </c>
      <c r="D2643" t="s">
        <v>12</v>
      </c>
      <c r="E2643" t="s">
        <v>52</v>
      </c>
      <c r="F2643" t="s">
        <v>42</v>
      </c>
      <c r="G2643" t="s">
        <v>28</v>
      </c>
      <c r="H2643">
        <v>6</v>
      </c>
      <c r="I2643">
        <v>6408</v>
      </c>
      <c r="J2643">
        <v>885.71</v>
      </c>
    </row>
    <row r="2644" spans="1:10" x14ac:dyDescent="0.25">
      <c r="A2644" s="1">
        <v>44697</v>
      </c>
      <c r="B2644" t="s">
        <v>49</v>
      </c>
      <c r="C2644" t="s">
        <v>17</v>
      </c>
      <c r="D2644" t="s">
        <v>12</v>
      </c>
      <c r="E2644" t="s">
        <v>43</v>
      </c>
      <c r="F2644" t="s">
        <v>44</v>
      </c>
      <c r="G2644" t="s">
        <v>35</v>
      </c>
      <c r="H2644">
        <v>5</v>
      </c>
      <c r="I2644">
        <v>5755</v>
      </c>
      <c r="J2644">
        <v>1441.84</v>
      </c>
    </row>
    <row r="2645" spans="1:10" x14ac:dyDescent="0.25">
      <c r="A2645" s="1">
        <v>45636</v>
      </c>
      <c r="B2645" t="s">
        <v>18</v>
      </c>
      <c r="C2645" t="s">
        <v>19</v>
      </c>
      <c r="D2645" t="s">
        <v>12</v>
      </c>
      <c r="E2645" t="s">
        <v>74</v>
      </c>
      <c r="F2645" t="s">
        <v>23</v>
      </c>
      <c r="G2645" t="s">
        <v>24</v>
      </c>
      <c r="H2645">
        <v>3</v>
      </c>
      <c r="I2645">
        <v>2262</v>
      </c>
      <c r="J2645">
        <v>245.66</v>
      </c>
    </row>
    <row r="2646" spans="1:10" x14ac:dyDescent="0.25">
      <c r="A2646" s="1">
        <v>45442</v>
      </c>
      <c r="B2646" t="s">
        <v>29</v>
      </c>
      <c r="C2646" t="s">
        <v>17</v>
      </c>
      <c r="D2646" t="s">
        <v>12</v>
      </c>
      <c r="E2646" t="s">
        <v>93</v>
      </c>
      <c r="F2646" t="s">
        <v>94</v>
      </c>
      <c r="G2646" t="s">
        <v>24</v>
      </c>
      <c r="H2646">
        <v>7</v>
      </c>
      <c r="I2646">
        <v>1785</v>
      </c>
      <c r="J2646">
        <v>233.77</v>
      </c>
    </row>
    <row r="2647" spans="1:10" x14ac:dyDescent="0.25">
      <c r="A2647" s="1">
        <v>45083</v>
      </c>
      <c r="B2647" t="s">
        <v>10</v>
      </c>
      <c r="C2647" t="s">
        <v>11</v>
      </c>
      <c r="D2647" t="s">
        <v>12</v>
      </c>
      <c r="E2647" t="s">
        <v>37</v>
      </c>
      <c r="F2647" t="s">
        <v>34</v>
      </c>
      <c r="G2647" t="s">
        <v>35</v>
      </c>
      <c r="H2647">
        <v>8</v>
      </c>
      <c r="I2647">
        <v>5128</v>
      </c>
      <c r="J2647">
        <v>657.87</v>
      </c>
    </row>
    <row r="2648" spans="1:10" x14ac:dyDescent="0.25">
      <c r="A2648" s="1">
        <v>45295</v>
      </c>
      <c r="B2648" t="s">
        <v>25</v>
      </c>
      <c r="C2648" t="s">
        <v>19</v>
      </c>
      <c r="D2648" t="s">
        <v>12</v>
      </c>
      <c r="E2648" t="s">
        <v>196</v>
      </c>
      <c r="F2648" t="s">
        <v>54</v>
      </c>
      <c r="G2648" t="s">
        <v>24</v>
      </c>
      <c r="H2648">
        <v>8</v>
      </c>
      <c r="I2648">
        <v>5176</v>
      </c>
      <c r="J2648">
        <v>1400.82</v>
      </c>
    </row>
    <row r="2649" spans="1:10" x14ac:dyDescent="0.25">
      <c r="A2649" s="1">
        <v>45185</v>
      </c>
      <c r="B2649" t="s">
        <v>49</v>
      </c>
      <c r="C2649" t="s">
        <v>17</v>
      </c>
      <c r="D2649" t="s">
        <v>12</v>
      </c>
      <c r="E2649" t="s">
        <v>75</v>
      </c>
      <c r="F2649" t="s">
        <v>63</v>
      </c>
      <c r="G2649" t="s">
        <v>28</v>
      </c>
      <c r="H2649">
        <v>5</v>
      </c>
      <c r="I2649">
        <v>1510</v>
      </c>
      <c r="J2649">
        <v>331.76</v>
      </c>
    </row>
    <row r="2650" spans="1:10" x14ac:dyDescent="0.25">
      <c r="A2650" s="1">
        <v>45002</v>
      </c>
      <c r="B2650" t="s">
        <v>49</v>
      </c>
      <c r="C2650" t="s">
        <v>17</v>
      </c>
      <c r="D2650" t="s">
        <v>12</v>
      </c>
      <c r="E2650" t="s">
        <v>37</v>
      </c>
      <c r="F2650" t="s">
        <v>34</v>
      </c>
      <c r="G2650" t="s">
        <v>35</v>
      </c>
      <c r="H2650">
        <v>1</v>
      </c>
      <c r="I2650">
        <v>947</v>
      </c>
      <c r="J2650">
        <v>77.209999999999994</v>
      </c>
    </row>
    <row r="2651" spans="1:10" x14ac:dyDescent="0.25">
      <c r="A2651" s="1">
        <v>45291</v>
      </c>
      <c r="B2651" t="s">
        <v>40</v>
      </c>
      <c r="C2651" t="s">
        <v>19</v>
      </c>
      <c r="D2651" t="s">
        <v>12</v>
      </c>
      <c r="E2651" t="s">
        <v>62</v>
      </c>
      <c r="F2651" t="s">
        <v>63</v>
      </c>
      <c r="G2651" t="s">
        <v>28</v>
      </c>
      <c r="H2651">
        <v>9</v>
      </c>
      <c r="I2651">
        <v>5427</v>
      </c>
      <c r="J2651">
        <v>731.33</v>
      </c>
    </row>
    <row r="2652" spans="1:10" x14ac:dyDescent="0.25">
      <c r="A2652" s="1">
        <v>44660</v>
      </c>
      <c r="B2652" t="s">
        <v>32</v>
      </c>
      <c r="C2652" t="s">
        <v>19</v>
      </c>
      <c r="D2652" t="s">
        <v>12</v>
      </c>
      <c r="E2652" t="s">
        <v>72</v>
      </c>
      <c r="F2652" t="s">
        <v>21</v>
      </c>
      <c r="G2652" t="s">
        <v>15</v>
      </c>
      <c r="H2652">
        <v>4</v>
      </c>
      <c r="I2652">
        <v>4560</v>
      </c>
      <c r="J2652">
        <v>507.87</v>
      </c>
    </row>
    <row r="2653" spans="1:10" x14ac:dyDescent="0.25">
      <c r="A2653" s="1">
        <v>45049</v>
      </c>
      <c r="B2653" t="s">
        <v>18</v>
      </c>
      <c r="C2653" t="s">
        <v>19</v>
      </c>
      <c r="D2653" t="s">
        <v>12</v>
      </c>
      <c r="E2653" t="s">
        <v>201</v>
      </c>
      <c r="F2653" t="s">
        <v>23</v>
      </c>
      <c r="G2653" t="s">
        <v>24</v>
      </c>
      <c r="H2653">
        <v>6</v>
      </c>
      <c r="I2653">
        <v>2100</v>
      </c>
      <c r="J2653">
        <v>268.39999999999998</v>
      </c>
    </row>
    <row r="2654" spans="1:10" x14ac:dyDescent="0.25">
      <c r="A2654" s="1">
        <v>45422</v>
      </c>
      <c r="B2654" t="s">
        <v>55</v>
      </c>
      <c r="C2654" t="s">
        <v>19</v>
      </c>
      <c r="D2654" t="s">
        <v>12</v>
      </c>
      <c r="E2654" t="s">
        <v>66</v>
      </c>
      <c r="F2654" t="s">
        <v>34</v>
      </c>
      <c r="G2654" t="s">
        <v>35</v>
      </c>
      <c r="H2654">
        <v>1</v>
      </c>
      <c r="I2654">
        <v>1054</v>
      </c>
      <c r="J2654">
        <v>288.14999999999998</v>
      </c>
    </row>
    <row r="2655" spans="1:10" x14ac:dyDescent="0.25">
      <c r="A2655" s="1">
        <v>44791</v>
      </c>
      <c r="B2655" t="s">
        <v>32</v>
      </c>
      <c r="C2655" t="s">
        <v>19</v>
      </c>
      <c r="D2655" t="s">
        <v>12</v>
      </c>
      <c r="E2655" t="s">
        <v>66</v>
      </c>
      <c r="F2655" t="s">
        <v>34</v>
      </c>
      <c r="G2655" t="s">
        <v>35</v>
      </c>
      <c r="H2655">
        <v>6</v>
      </c>
      <c r="I2655">
        <v>7026</v>
      </c>
      <c r="J2655">
        <v>1814.21</v>
      </c>
    </row>
    <row r="2656" spans="1:10" x14ac:dyDescent="0.25">
      <c r="A2656" s="1">
        <v>44756</v>
      </c>
      <c r="B2656" t="s">
        <v>25</v>
      </c>
      <c r="C2656" t="s">
        <v>19</v>
      </c>
      <c r="D2656" t="s">
        <v>12</v>
      </c>
      <c r="E2656" t="s">
        <v>52</v>
      </c>
      <c r="F2656" t="s">
        <v>42</v>
      </c>
      <c r="G2656" t="s">
        <v>28</v>
      </c>
      <c r="H2656">
        <v>9</v>
      </c>
      <c r="I2656">
        <v>513</v>
      </c>
      <c r="J2656">
        <v>151.87</v>
      </c>
    </row>
    <row r="2657" spans="1:10" x14ac:dyDescent="0.25">
      <c r="A2657" s="1">
        <v>45411</v>
      </c>
      <c r="B2657" t="s">
        <v>29</v>
      </c>
      <c r="C2657" t="s">
        <v>17</v>
      </c>
      <c r="D2657" t="s">
        <v>12</v>
      </c>
      <c r="E2657" t="s">
        <v>52</v>
      </c>
      <c r="F2657" t="s">
        <v>42</v>
      </c>
      <c r="G2657" t="s">
        <v>28</v>
      </c>
      <c r="H2657">
        <v>2</v>
      </c>
      <c r="I2657">
        <v>2244</v>
      </c>
      <c r="J2657">
        <v>353.83</v>
      </c>
    </row>
    <row r="2658" spans="1:10" x14ac:dyDescent="0.25">
      <c r="A2658" s="1">
        <v>45344</v>
      </c>
      <c r="B2658" t="s">
        <v>40</v>
      </c>
      <c r="C2658" t="s">
        <v>19</v>
      </c>
      <c r="D2658" t="s">
        <v>12</v>
      </c>
      <c r="E2658" t="s">
        <v>162</v>
      </c>
      <c r="F2658" t="s">
        <v>34</v>
      </c>
      <c r="G2658" t="s">
        <v>35</v>
      </c>
      <c r="H2658">
        <v>5</v>
      </c>
      <c r="I2658">
        <v>1785</v>
      </c>
      <c r="J2658">
        <v>134.94999999999999</v>
      </c>
    </row>
    <row r="2659" spans="1:10" x14ac:dyDescent="0.25">
      <c r="A2659" s="1">
        <v>45101</v>
      </c>
      <c r="B2659" t="s">
        <v>49</v>
      </c>
      <c r="C2659" t="s">
        <v>17</v>
      </c>
      <c r="D2659" t="s">
        <v>12</v>
      </c>
      <c r="E2659" t="s">
        <v>162</v>
      </c>
      <c r="F2659" t="s">
        <v>34</v>
      </c>
      <c r="G2659" t="s">
        <v>35</v>
      </c>
      <c r="H2659">
        <v>5</v>
      </c>
      <c r="I2659">
        <v>725</v>
      </c>
      <c r="J2659">
        <v>77.91</v>
      </c>
    </row>
    <row r="2660" spans="1:10" x14ac:dyDescent="0.25">
      <c r="A2660" s="1">
        <v>45609</v>
      </c>
      <c r="B2660" t="s">
        <v>40</v>
      </c>
      <c r="C2660" t="s">
        <v>19</v>
      </c>
      <c r="D2660" t="s">
        <v>12</v>
      </c>
      <c r="E2660" t="s">
        <v>223</v>
      </c>
      <c r="F2660" t="s">
        <v>23</v>
      </c>
      <c r="G2660" t="s">
        <v>24</v>
      </c>
      <c r="H2660">
        <v>4</v>
      </c>
      <c r="I2660">
        <v>2516</v>
      </c>
      <c r="J2660">
        <v>689.29</v>
      </c>
    </row>
    <row r="2661" spans="1:10" x14ac:dyDescent="0.25">
      <c r="A2661" s="1">
        <v>45075</v>
      </c>
      <c r="B2661" t="s">
        <v>36</v>
      </c>
      <c r="C2661" t="s">
        <v>17</v>
      </c>
      <c r="D2661" t="s">
        <v>12</v>
      </c>
      <c r="E2661" t="s">
        <v>134</v>
      </c>
      <c r="F2661" t="s">
        <v>42</v>
      </c>
      <c r="G2661" t="s">
        <v>28</v>
      </c>
      <c r="H2661">
        <v>8</v>
      </c>
      <c r="I2661">
        <v>6256</v>
      </c>
      <c r="J2661">
        <v>1152.99</v>
      </c>
    </row>
    <row r="2662" spans="1:10" x14ac:dyDescent="0.25">
      <c r="A2662" s="1">
        <v>45088</v>
      </c>
      <c r="B2662" t="s">
        <v>25</v>
      </c>
      <c r="C2662" t="s">
        <v>19</v>
      </c>
      <c r="D2662" t="s">
        <v>12</v>
      </c>
      <c r="E2662" t="s">
        <v>22</v>
      </c>
      <c r="F2662" t="s">
        <v>23</v>
      </c>
      <c r="G2662" t="s">
        <v>24</v>
      </c>
      <c r="H2662">
        <v>2</v>
      </c>
      <c r="I2662">
        <v>452</v>
      </c>
      <c r="J2662">
        <v>74.34</v>
      </c>
    </row>
    <row r="2663" spans="1:10" x14ac:dyDescent="0.25">
      <c r="A2663" s="1">
        <v>44625</v>
      </c>
      <c r="B2663" t="s">
        <v>55</v>
      </c>
      <c r="C2663" t="s">
        <v>19</v>
      </c>
      <c r="D2663" t="s">
        <v>12</v>
      </c>
      <c r="E2663" t="s">
        <v>210</v>
      </c>
      <c r="F2663" t="s">
        <v>34</v>
      </c>
      <c r="G2663" t="s">
        <v>35</v>
      </c>
      <c r="H2663">
        <v>7</v>
      </c>
      <c r="I2663">
        <v>5285</v>
      </c>
      <c r="J2663">
        <v>1338.58</v>
      </c>
    </row>
    <row r="2664" spans="1:10" x14ac:dyDescent="0.25">
      <c r="A2664" s="1">
        <v>45004</v>
      </c>
      <c r="B2664" t="s">
        <v>40</v>
      </c>
      <c r="C2664" t="s">
        <v>19</v>
      </c>
      <c r="D2664" t="s">
        <v>12</v>
      </c>
      <c r="E2664" t="s">
        <v>210</v>
      </c>
      <c r="F2664" t="s">
        <v>34</v>
      </c>
      <c r="G2664" t="s">
        <v>35</v>
      </c>
      <c r="H2664">
        <v>6</v>
      </c>
      <c r="I2664">
        <v>4872</v>
      </c>
      <c r="J2664">
        <v>786.79</v>
      </c>
    </row>
    <row r="2665" spans="1:10" x14ac:dyDescent="0.25">
      <c r="A2665" s="1">
        <v>45160</v>
      </c>
      <c r="B2665" t="s">
        <v>49</v>
      </c>
      <c r="C2665" t="s">
        <v>17</v>
      </c>
      <c r="D2665" t="s">
        <v>12</v>
      </c>
      <c r="E2665" t="s">
        <v>176</v>
      </c>
      <c r="F2665" t="s">
        <v>84</v>
      </c>
      <c r="G2665" t="s">
        <v>28</v>
      </c>
      <c r="H2665">
        <v>5</v>
      </c>
      <c r="I2665">
        <v>2495</v>
      </c>
      <c r="J2665">
        <v>164.56</v>
      </c>
    </row>
    <row r="2666" spans="1:10" x14ac:dyDescent="0.25">
      <c r="A2666" s="1">
        <v>44611</v>
      </c>
      <c r="B2666" t="s">
        <v>36</v>
      </c>
      <c r="C2666" t="s">
        <v>17</v>
      </c>
      <c r="D2666" t="s">
        <v>12</v>
      </c>
      <c r="E2666" t="s">
        <v>56</v>
      </c>
      <c r="F2666" t="s">
        <v>57</v>
      </c>
      <c r="G2666" t="s">
        <v>24</v>
      </c>
      <c r="H2666">
        <v>1</v>
      </c>
      <c r="I2666">
        <v>442</v>
      </c>
      <c r="J2666">
        <v>82.73</v>
      </c>
    </row>
    <row r="2667" spans="1:10" x14ac:dyDescent="0.25">
      <c r="A2667" s="1">
        <v>45552</v>
      </c>
      <c r="B2667" t="s">
        <v>10</v>
      </c>
      <c r="C2667" t="s">
        <v>11</v>
      </c>
      <c r="D2667" t="s">
        <v>12</v>
      </c>
      <c r="E2667" t="s">
        <v>56</v>
      </c>
      <c r="F2667" t="s">
        <v>57</v>
      </c>
      <c r="G2667" t="s">
        <v>24</v>
      </c>
      <c r="H2667">
        <v>9</v>
      </c>
      <c r="I2667">
        <v>8595</v>
      </c>
      <c r="J2667">
        <v>1312.19</v>
      </c>
    </row>
    <row r="2668" spans="1:10" x14ac:dyDescent="0.25">
      <c r="A2668" s="1">
        <v>44659</v>
      </c>
      <c r="B2668" t="s">
        <v>49</v>
      </c>
      <c r="C2668" t="s">
        <v>17</v>
      </c>
      <c r="D2668" t="s">
        <v>12</v>
      </c>
      <c r="E2668" t="s">
        <v>91</v>
      </c>
      <c r="F2668" t="s">
        <v>149</v>
      </c>
      <c r="G2668" t="s">
        <v>15</v>
      </c>
      <c r="H2668">
        <v>4</v>
      </c>
      <c r="I2668">
        <v>3528</v>
      </c>
      <c r="J2668">
        <v>411.5</v>
      </c>
    </row>
    <row r="2669" spans="1:10" x14ac:dyDescent="0.25">
      <c r="A2669" s="1">
        <v>45453</v>
      </c>
      <c r="B2669" t="s">
        <v>55</v>
      </c>
      <c r="C2669" t="s">
        <v>19</v>
      </c>
      <c r="D2669" t="s">
        <v>12</v>
      </c>
      <c r="E2669" t="s">
        <v>56</v>
      </c>
      <c r="F2669" t="s">
        <v>57</v>
      </c>
      <c r="G2669" t="s">
        <v>24</v>
      </c>
      <c r="H2669">
        <v>7</v>
      </c>
      <c r="I2669">
        <v>7777</v>
      </c>
      <c r="J2669">
        <v>746.84</v>
      </c>
    </row>
    <row r="2670" spans="1:10" x14ac:dyDescent="0.25">
      <c r="A2670" s="1">
        <v>44870</v>
      </c>
      <c r="B2670" t="s">
        <v>32</v>
      </c>
      <c r="C2670" t="s">
        <v>19</v>
      </c>
      <c r="D2670" t="s">
        <v>12</v>
      </c>
      <c r="E2670" t="s">
        <v>56</v>
      </c>
      <c r="F2670" t="s">
        <v>57</v>
      </c>
      <c r="G2670" t="s">
        <v>24</v>
      </c>
      <c r="H2670">
        <v>4</v>
      </c>
      <c r="I2670">
        <v>2008</v>
      </c>
      <c r="J2670">
        <v>451.68</v>
      </c>
    </row>
    <row r="2671" spans="1:10" x14ac:dyDescent="0.25">
      <c r="A2671" s="1">
        <v>44684</v>
      </c>
      <c r="B2671" t="s">
        <v>16</v>
      </c>
      <c r="C2671" t="s">
        <v>17</v>
      </c>
      <c r="D2671" t="s">
        <v>12</v>
      </c>
      <c r="E2671" t="s">
        <v>22</v>
      </c>
      <c r="F2671" t="s">
        <v>23</v>
      </c>
      <c r="G2671" t="s">
        <v>24</v>
      </c>
      <c r="H2671">
        <v>2</v>
      </c>
      <c r="I2671">
        <v>596</v>
      </c>
      <c r="J2671">
        <v>41.37</v>
      </c>
    </row>
    <row r="2672" spans="1:10" x14ac:dyDescent="0.25">
      <c r="A2672" s="1">
        <v>45651</v>
      </c>
      <c r="B2672" t="s">
        <v>32</v>
      </c>
      <c r="C2672" t="s">
        <v>19</v>
      </c>
      <c r="D2672" t="s">
        <v>12</v>
      </c>
      <c r="E2672" t="s">
        <v>22</v>
      </c>
      <c r="F2672" t="s">
        <v>23</v>
      </c>
      <c r="G2672" t="s">
        <v>24</v>
      </c>
      <c r="H2672">
        <v>9</v>
      </c>
      <c r="I2672">
        <v>4950</v>
      </c>
      <c r="J2672">
        <v>1402.67</v>
      </c>
    </row>
    <row r="2673" spans="1:10" x14ac:dyDescent="0.25">
      <c r="A2673" s="1">
        <v>45459</v>
      </c>
      <c r="B2673" t="s">
        <v>49</v>
      </c>
      <c r="C2673" t="s">
        <v>17</v>
      </c>
      <c r="D2673" t="s">
        <v>12</v>
      </c>
      <c r="E2673" t="s">
        <v>52</v>
      </c>
      <c r="F2673" t="s">
        <v>42</v>
      </c>
      <c r="G2673" t="s">
        <v>28</v>
      </c>
      <c r="H2673">
        <v>2</v>
      </c>
      <c r="I2673">
        <v>630</v>
      </c>
      <c r="J2673">
        <v>86.07</v>
      </c>
    </row>
    <row r="2674" spans="1:10" x14ac:dyDescent="0.25">
      <c r="A2674" s="1">
        <v>45478</v>
      </c>
      <c r="B2674" t="s">
        <v>25</v>
      </c>
      <c r="C2674" t="s">
        <v>19</v>
      </c>
      <c r="D2674" t="s">
        <v>12</v>
      </c>
      <c r="E2674" t="s">
        <v>52</v>
      </c>
      <c r="F2674" t="s">
        <v>42</v>
      </c>
      <c r="G2674" t="s">
        <v>28</v>
      </c>
      <c r="H2674">
        <v>6</v>
      </c>
      <c r="I2674">
        <v>6144</v>
      </c>
      <c r="J2674">
        <v>754.18</v>
      </c>
    </row>
    <row r="2675" spans="1:10" x14ac:dyDescent="0.25">
      <c r="A2675" s="1">
        <v>45263</v>
      </c>
      <c r="B2675" t="s">
        <v>36</v>
      </c>
      <c r="C2675" t="s">
        <v>17</v>
      </c>
      <c r="D2675" t="s">
        <v>12</v>
      </c>
      <c r="E2675" t="s">
        <v>22</v>
      </c>
      <c r="F2675" t="s">
        <v>23</v>
      </c>
      <c r="G2675" t="s">
        <v>24</v>
      </c>
      <c r="H2675">
        <v>1</v>
      </c>
      <c r="I2675">
        <v>140</v>
      </c>
      <c r="J2675">
        <v>24.21</v>
      </c>
    </row>
    <row r="2676" spans="1:10" x14ac:dyDescent="0.25">
      <c r="A2676" s="1">
        <v>45321</v>
      </c>
      <c r="B2676" t="s">
        <v>29</v>
      </c>
      <c r="C2676" t="s">
        <v>17</v>
      </c>
      <c r="D2676" t="s">
        <v>12</v>
      </c>
      <c r="E2676" t="s">
        <v>22</v>
      </c>
      <c r="F2676" t="s">
        <v>23</v>
      </c>
      <c r="G2676" t="s">
        <v>24</v>
      </c>
      <c r="H2676">
        <v>2</v>
      </c>
      <c r="I2676">
        <v>2014</v>
      </c>
      <c r="J2676">
        <v>215.06</v>
      </c>
    </row>
    <row r="2677" spans="1:10" x14ac:dyDescent="0.25">
      <c r="A2677" s="1">
        <v>45510</v>
      </c>
      <c r="B2677" t="s">
        <v>16</v>
      </c>
      <c r="C2677" t="s">
        <v>17</v>
      </c>
      <c r="D2677" t="s">
        <v>12</v>
      </c>
      <c r="E2677" t="s">
        <v>244</v>
      </c>
      <c r="F2677" t="s">
        <v>23</v>
      </c>
      <c r="G2677" t="s">
        <v>24</v>
      </c>
      <c r="H2677">
        <v>2</v>
      </c>
      <c r="I2677">
        <v>384</v>
      </c>
      <c r="J2677">
        <v>99.02</v>
      </c>
    </row>
    <row r="2678" spans="1:10" x14ac:dyDescent="0.25">
      <c r="A2678" s="1">
        <v>44579</v>
      </c>
      <c r="B2678" t="s">
        <v>10</v>
      </c>
      <c r="C2678" t="s">
        <v>11</v>
      </c>
      <c r="D2678" t="s">
        <v>12</v>
      </c>
      <c r="E2678" t="s">
        <v>74</v>
      </c>
      <c r="F2678" t="s">
        <v>23</v>
      </c>
      <c r="G2678" t="s">
        <v>24</v>
      </c>
      <c r="H2678">
        <v>7</v>
      </c>
      <c r="I2678">
        <v>3780</v>
      </c>
      <c r="J2678">
        <v>351.51</v>
      </c>
    </row>
    <row r="2679" spans="1:10" x14ac:dyDescent="0.25">
      <c r="A2679" s="1">
        <v>44985</v>
      </c>
      <c r="B2679" t="s">
        <v>36</v>
      </c>
      <c r="C2679" t="s">
        <v>17</v>
      </c>
      <c r="D2679" t="s">
        <v>12</v>
      </c>
      <c r="E2679" t="s">
        <v>37</v>
      </c>
      <c r="F2679" t="s">
        <v>34</v>
      </c>
      <c r="G2679" t="s">
        <v>35</v>
      </c>
      <c r="H2679">
        <v>7</v>
      </c>
      <c r="I2679">
        <v>5047</v>
      </c>
      <c r="J2679">
        <v>915.75</v>
      </c>
    </row>
    <row r="2680" spans="1:10" x14ac:dyDescent="0.25">
      <c r="A2680" s="1">
        <v>44800</v>
      </c>
      <c r="B2680" t="s">
        <v>29</v>
      </c>
      <c r="C2680" t="s">
        <v>17</v>
      </c>
      <c r="D2680" t="s">
        <v>12</v>
      </c>
      <c r="E2680" t="s">
        <v>26</v>
      </c>
      <c r="F2680" t="s">
        <v>27</v>
      </c>
      <c r="G2680" t="s">
        <v>28</v>
      </c>
      <c r="H2680">
        <v>3</v>
      </c>
      <c r="I2680">
        <v>2658</v>
      </c>
      <c r="J2680">
        <v>175.89</v>
      </c>
    </row>
    <row r="2681" spans="1:10" x14ac:dyDescent="0.25">
      <c r="A2681" s="1">
        <v>45213</v>
      </c>
      <c r="B2681" t="s">
        <v>16</v>
      </c>
      <c r="C2681" t="s">
        <v>17</v>
      </c>
      <c r="D2681" t="s">
        <v>12</v>
      </c>
      <c r="E2681" t="s">
        <v>22</v>
      </c>
      <c r="F2681" t="s">
        <v>23</v>
      </c>
      <c r="G2681" t="s">
        <v>24</v>
      </c>
      <c r="H2681">
        <v>8</v>
      </c>
      <c r="I2681">
        <v>528</v>
      </c>
      <c r="J2681">
        <v>53.91</v>
      </c>
    </row>
    <row r="2682" spans="1:10" x14ac:dyDescent="0.25">
      <c r="A2682" s="1">
        <v>44735</v>
      </c>
      <c r="B2682" t="s">
        <v>49</v>
      </c>
      <c r="C2682" t="s">
        <v>17</v>
      </c>
      <c r="D2682" t="s">
        <v>12</v>
      </c>
      <c r="E2682" t="s">
        <v>22</v>
      </c>
      <c r="F2682" t="s">
        <v>23</v>
      </c>
      <c r="G2682" t="s">
        <v>24</v>
      </c>
      <c r="H2682">
        <v>9</v>
      </c>
      <c r="I2682">
        <v>6507</v>
      </c>
      <c r="J2682">
        <v>1045.1400000000001</v>
      </c>
    </row>
    <row r="2683" spans="1:10" x14ac:dyDescent="0.25">
      <c r="A2683" s="1">
        <v>45079</v>
      </c>
      <c r="B2683" t="s">
        <v>25</v>
      </c>
      <c r="C2683" t="s">
        <v>19</v>
      </c>
      <c r="D2683" t="s">
        <v>12</v>
      </c>
      <c r="E2683" t="s">
        <v>26</v>
      </c>
      <c r="F2683" t="s">
        <v>27</v>
      </c>
      <c r="G2683" t="s">
        <v>28</v>
      </c>
      <c r="H2683">
        <v>7</v>
      </c>
      <c r="I2683">
        <v>5887</v>
      </c>
      <c r="J2683">
        <v>1035.5</v>
      </c>
    </row>
    <row r="2684" spans="1:10" x14ac:dyDescent="0.25">
      <c r="A2684" s="1">
        <v>45151</v>
      </c>
      <c r="B2684" t="s">
        <v>29</v>
      </c>
      <c r="C2684" t="s">
        <v>17</v>
      </c>
      <c r="D2684" t="s">
        <v>12</v>
      </c>
      <c r="E2684" t="s">
        <v>430</v>
      </c>
      <c r="F2684" t="s">
        <v>65</v>
      </c>
      <c r="G2684" t="s">
        <v>35</v>
      </c>
      <c r="H2684">
        <v>8</v>
      </c>
      <c r="I2684">
        <v>8224</v>
      </c>
      <c r="J2684">
        <v>1679.16</v>
      </c>
    </row>
    <row r="2685" spans="1:10" x14ac:dyDescent="0.25">
      <c r="A2685" s="1">
        <v>44632</v>
      </c>
      <c r="B2685" t="s">
        <v>55</v>
      </c>
      <c r="C2685" t="s">
        <v>19</v>
      </c>
      <c r="D2685" t="s">
        <v>12</v>
      </c>
      <c r="E2685" t="s">
        <v>52</v>
      </c>
      <c r="F2685" t="s">
        <v>42</v>
      </c>
      <c r="G2685" t="s">
        <v>28</v>
      </c>
      <c r="H2685">
        <v>3</v>
      </c>
      <c r="I2685">
        <v>723</v>
      </c>
      <c r="J2685">
        <v>115.25</v>
      </c>
    </row>
    <row r="2686" spans="1:10" x14ac:dyDescent="0.25">
      <c r="A2686" s="1">
        <v>45080</v>
      </c>
      <c r="B2686" t="s">
        <v>16</v>
      </c>
      <c r="C2686" t="s">
        <v>17</v>
      </c>
      <c r="D2686" t="s">
        <v>12</v>
      </c>
      <c r="E2686" t="s">
        <v>317</v>
      </c>
      <c r="F2686" t="s">
        <v>115</v>
      </c>
      <c r="G2686" t="s">
        <v>15</v>
      </c>
      <c r="H2686">
        <v>2</v>
      </c>
      <c r="I2686">
        <v>2272</v>
      </c>
      <c r="J2686">
        <v>504.72</v>
      </c>
    </row>
    <row r="2687" spans="1:10" x14ac:dyDescent="0.25">
      <c r="A2687" s="1">
        <v>44745</v>
      </c>
      <c r="B2687" t="s">
        <v>49</v>
      </c>
      <c r="C2687" t="s">
        <v>17</v>
      </c>
      <c r="D2687" t="s">
        <v>12</v>
      </c>
      <c r="E2687" t="s">
        <v>329</v>
      </c>
      <c r="F2687" t="s">
        <v>339</v>
      </c>
      <c r="G2687" t="s">
        <v>28</v>
      </c>
      <c r="H2687">
        <v>9</v>
      </c>
      <c r="I2687">
        <v>8640</v>
      </c>
      <c r="J2687">
        <v>1963.34</v>
      </c>
    </row>
    <row r="2688" spans="1:10" x14ac:dyDescent="0.25">
      <c r="A2688" s="1">
        <v>45183</v>
      </c>
      <c r="B2688" t="s">
        <v>25</v>
      </c>
      <c r="C2688" t="s">
        <v>19</v>
      </c>
      <c r="D2688" t="s">
        <v>12</v>
      </c>
      <c r="E2688" t="s">
        <v>22</v>
      </c>
      <c r="F2688" t="s">
        <v>23</v>
      </c>
      <c r="G2688" t="s">
        <v>24</v>
      </c>
      <c r="H2688">
        <v>8</v>
      </c>
      <c r="I2688">
        <v>2984</v>
      </c>
      <c r="J2688">
        <v>631.80999999999995</v>
      </c>
    </row>
    <row r="2689" spans="1:10" x14ac:dyDescent="0.25">
      <c r="A2689" s="1">
        <v>44679</v>
      </c>
      <c r="B2689" t="s">
        <v>40</v>
      </c>
      <c r="C2689" t="s">
        <v>19</v>
      </c>
      <c r="D2689" t="s">
        <v>12</v>
      </c>
      <c r="E2689" t="s">
        <v>22</v>
      </c>
      <c r="F2689" t="s">
        <v>23</v>
      </c>
      <c r="G2689" t="s">
        <v>24</v>
      </c>
      <c r="H2689">
        <v>2</v>
      </c>
      <c r="I2689">
        <v>606</v>
      </c>
      <c r="J2689">
        <v>150.94999999999999</v>
      </c>
    </row>
    <row r="2690" spans="1:10" x14ac:dyDescent="0.25">
      <c r="A2690" s="1">
        <v>44659</v>
      </c>
      <c r="B2690" t="s">
        <v>36</v>
      </c>
      <c r="C2690" t="s">
        <v>17</v>
      </c>
      <c r="D2690" t="s">
        <v>12</v>
      </c>
      <c r="E2690" t="s">
        <v>43</v>
      </c>
      <c r="F2690" t="s">
        <v>44</v>
      </c>
      <c r="G2690" t="s">
        <v>35</v>
      </c>
      <c r="H2690">
        <v>2</v>
      </c>
      <c r="I2690">
        <v>170</v>
      </c>
      <c r="J2690">
        <v>48.69</v>
      </c>
    </row>
    <row r="2691" spans="1:10" x14ac:dyDescent="0.25">
      <c r="A2691" s="1">
        <v>44641</v>
      </c>
      <c r="B2691" t="s">
        <v>29</v>
      </c>
      <c r="C2691" t="s">
        <v>17</v>
      </c>
      <c r="D2691" t="s">
        <v>12</v>
      </c>
      <c r="E2691" t="s">
        <v>43</v>
      </c>
      <c r="F2691" t="s">
        <v>44</v>
      </c>
      <c r="G2691" t="s">
        <v>35</v>
      </c>
      <c r="H2691">
        <v>9</v>
      </c>
      <c r="I2691">
        <v>5283</v>
      </c>
      <c r="J2691">
        <v>1550.3</v>
      </c>
    </row>
    <row r="2692" spans="1:10" x14ac:dyDescent="0.25">
      <c r="A2692" s="1">
        <v>44984</v>
      </c>
      <c r="B2692" t="s">
        <v>32</v>
      </c>
      <c r="C2692" t="s">
        <v>19</v>
      </c>
      <c r="D2692" t="s">
        <v>12</v>
      </c>
      <c r="E2692" t="s">
        <v>104</v>
      </c>
      <c r="F2692" t="s">
        <v>115</v>
      </c>
      <c r="G2692" t="s">
        <v>15</v>
      </c>
      <c r="H2692">
        <v>6</v>
      </c>
      <c r="I2692">
        <v>1350</v>
      </c>
      <c r="J2692">
        <v>356.88</v>
      </c>
    </row>
    <row r="2693" spans="1:10" x14ac:dyDescent="0.25">
      <c r="A2693" s="1">
        <v>44893</v>
      </c>
      <c r="B2693" t="s">
        <v>29</v>
      </c>
      <c r="C2693" t="s">
        <v>17</v>
      </c>
      <c r="D2693" t="s">
        <v>12</v>
      </c>
      <c r="E2693" t="s">
        <v>74</v>
      </c>
      <c r="F2693" t="s">
        <v>23</v>
      </c>
      <c r="G2693" t="s">
        <v>24</v>
      </c>
      <c r="H2693">
        <v>4</v>
      </c>
      <c r="I2693">
        <v>2500</v>
      </c>
      <c r="J2693">
        <v>467.34</v>
      </c>
    </row>
    <row r="2694" spans="1:10" x14ac:dyDescent="0.25">
      <c r="A2694" s="1">
        <v>44603</v>
      </c>
      <c r="B2694" t="s">
        <v>25</v>
      </c>
      <c r="C2694" t="s">
        <v>19</v>
      </c>
      <c r="D2694" t="s">
        <v>12</v>
      </c>
      <c r="E2694" t="s">
        <v>242</v>
      </c>
      <c r="F2694" t="s">
        <v>21</v>
      </c>
      <c r="G2694" t="s">
        <v>15</v>
      </c>
      <c r="H2694">
        <v>4</v>
      </c>
      <c r="I2694">
        <v>4648</v>
      </c>
      <c r="J2694">
        <v>689.85</v>
      </c>
    </row>
    <row r="2695" spans="1:10" x14ac:dyDescent="0.25">
      <c r="A2695" s="1">
        <v>45067</v>
      </c>
      <c r="B2695" t="s">
        <v>10</v>
      </c>
      <c r="C2695" t="s">
        <v>11</v>
      </c>
      <c r="D2695" t="s">
        <v>12</v>
      </c>
      <c r="E2695" t="s">
        <v>66</v>
      </c>
      <c r="F2695" t="s">
        <v>34</v>
      </c>
      <c r="G2695" t="s">
        <v>35</v>
      </c>
      <c r="H2695">
        <v>5</v>
      </c>
      <c r="I2695">
        <v>650</v>
      </c>
      <c r="J2695">
        <v>93.41</v>
      </c>
    </row>
    <row r="2696" spans="1:10" x14ac:dyDescent="0.25">
      <c r="A2696" s="1">
        <v>44818</v>
      </c>
      <c r="B2696" t="s">
        <v>36</v>
      </c>
      <c r="C2696" t="s">
        <v>17</v>
      </c>
      <c r="D2696" t="s">
        <v>12</v>
      </c>
      <c r="E2696" t="s">
        <v>382</v>
      </c>
      <c r="F2696" t="s">
        <v>78</v>
      </c>
      <c r="G2696" t="s">
        <v>28</v>
      </c>
      <c r="H2696">
        <v>2</v>
      </c>
      <c r="I2696">
        <v>1538</v>
      </c>
      <c r="J2696">
        <v>97.15</v>
      </c>
    </row>
    <row r="2697" spans="1:10" x14ac:dyDescent="0.25">
      <c r="A2697" s="1">
        <v>45458</v>
      </c>
      <c r="B2697" t="s">
        <v>32</v>
      </c>
      <c r="C2697" t="s">
        <v>19</v>
      </c>
      <c r="D2697" t="s">
        <v>12</v>
      </c>
      <c r="E2697" t="s">
        <v>317</v>
      </c>
      <c r="F2697" t="s">
        <v>115</v>
      </c>
      <c r="G2697" t="s">
        <v>15</v>
      </c>
      <c r="H2697">
        <v>4</v>
      </c>
      <c r="I2697">
        <v>3928</v>
      </c>
      <c r="J2697">
        <v>325.32</v>
      </c>
    </row>
    <row r="2698" spans="1:10" x14ac:dyDescent="0.25">
      <c r="A2698" s="1">
        <v>44643</v>
      </c>
      <c r="B2698" t="s">
        <v>29</v>
      </c>
      <c r="C2698" t="s">
        <v>17</v>
      </c>
      <c r="D2698" t="s">
        <v>12</v>
      </c>
      <c r="E2698" t="s">
        <v>37</v>
      </c>
      <c r="F2698" t="s">
        <v>34</v>
      </c>
      <c r="G2698" t="s">
        <v>35</v>
      </c>
      <c r="H2698">
        <v>2</v>
      </c>
      <c r="I2698">
        <v>2258</v>
      </c>
      <c r="J2698">
        <v>175.86</v>
      </c>
    </row>
    <row r="2699" spans="1:10" x14ac:dyDescent="0.25">
      <c r="A2699" s="1">
        <v>44721</v>
      </c>
      <c r="B2699" t="s">
        <v>36</v>
      </c>
      <c r="C2699" t="s">
        <v>17</v>
      </c>
      <c r="D2699" t="s">
        <v>12</v>
      </c>
      <c r="E2699" t="s">
        <v>37</v>
      </c>
      <c r="F2699" t="s">
        <v>34</v>
      </c>
      <c r="G2699" t="s">
        <v>35</v>
      </c>
      <c r="H2699">
        <v>9</v>
      </c>
      <c r="I2699">
        <v>2988</v>
      </c>
      <c r="J2699">
        <v>447.93</v>
      </c>
    </row>
    <row r="2700" spans="1:10" x14ac:dyDescent="0.25">
      <c r="A2700" s="1">
        <v>45023</v>
      </c>
      <c r="B2700" t="s">
        <v>29</v>
      </c>
      <c r="C2700" t="s">
        <v>17</v>
      </c>
      <c r="D2700" t="s">
        <v>12</v>
      </c>
      <c r="E2700" t="s">
        <v>37</v>
      </c>
      <c r="F2700" t="s">
        <v>34</v>
      </c>
      <c r="G2700" t="s">
        <v>35</v>
      </c>
      <c r="H2700">
        <v>8</v>
      </c>
      <c r="I2700">
        <v>4136</v>
      </c>
      <c r="J2700">
        <v>810.82</v>
      </c>
    </row>
    <row r="2701" spans="1:10" x14ac:dyDescent="0.25">
      <c r="A2701" s="1">
        <v>45221</v>
      </c>
      <c r="B2701" t="s">
        <v>16</v>
      </c>
      <c r="C2701" t="s">
        <v>17</v>
      </c>
      <c r="D2701" t="s">
        <v>12</v>
      </c>
      <c r="E2701" t="s">
        <v>37</v>
      </c>
      <c r="F2701" t="s">
        <v>34</v>
      </c>
      <c r="G2701" t="s">
        <v>35</v>
      </c>
      <c r="H2701">
        <v>7</v>
      </c>
      <c r="I2701">
        <v>3605</v>
      </c>
      <c r="J2701">
        <v>387.82</v>
      </c>
    </row>
    <row r="2702" spans="1:10" x14ac:dyDescent="0.25">
      <c r="A2702" s="1">
        <v>45148</v>
      </c>
      <c r="B2702" t="s">
        <v>32</v>
      </c>
      <c r="C2702" t="s">
        <v>19</v>
      </c>
      <c r="D2702" t="s">
        <v>12</v>
      </c>
      <c r="E2702" t="s">
        <v>52</v>
      </c>
      <c r="F2702" t="s">
        <v>42</v>
      </c>
      <c r="G2702" t="s">
        <v>28</v>
      </c>
      <c r="H2702">
        <v>3</v>
      </c>
      <c r="I2702">
        <v>1656</v>
      </c>
      <c r="J2702">
        <v>469.28</v>
      </c>
    </row>
    <row r="2703" spans="1:10" x14ac:dyDescent="0.25">
      <c r="A2703" s="1">
        <v>44919</v>
      </c>
      <c r="B2703" t="s">
        <v>10</v>
      </c>
      <c r="C2703" t="s">
        <v>11</v>
      </c>
      <c r="D2703" t="s">
        <v>12</v>
      </c>
      <c r="E2703" t="s">
        <v>20</v>
      </c>
      <c r="F2703" t="s">
        <v>21</v>
      </c>
      <c r="G2703" t="s">
        <v>15</v>
      </c>
      <c r="H2703">
        <v>8</v>
      </c>
      <c r="I2703">
        <v>7072</v>
      </c>
      <c r="J2703">
        <v>2113.06</v>
      </c>
    </row>
    <row r="2704" spans="1:10" x14ac:dyDescent="0.25">
      <c r="A2704" s="1">
        <v>45539</v>
      </c>
      <c r="B2704" t="s">
        <v>49</v>
      </c>
      <c r="C2704" t="s">
        <v>17</v>
      </c>
      <c r="D2704" t="s">
        <v>12</v>
      </c>
      <c r="E2704" t="s">
        <v>237</v>
      </c>
      <c r="F2704" t="s">
        <v>149</v>
      </c>
      <c r="G2704" t="s">
        <v>15</v>
      </c>
      <c r="H2704">
        <v>8</v>
      </c>
      <c r="I2704">
        <v>5368</v>
      </c>
      <c r="J2704">
        <v>542.52</v>
      </c>
    </row>
    <row r="2705" spans="1:10" x14ac:dyDescent="0.25">
      <c r="A2705" s="1">
        <v>45313</v>
      </c>
      <c r="B2705" t="s">
        <v>55</v>
      </c>
      <c r="C2705" t="s">
        <v>19</v>
      </c>
      <c r="D2705" t="s">
        <v>12</v>
      </c>
      <c r="E2705" t="s">
        <v>120</v>
      </c>
      <c r="F2705" t="s">
        <v>21</v>
      </c>
      <c r="G2705" t="s">
        <v>15</v>
      </c>
      <c r="H2705">
        <v>4</v>
      </c>
      <c r="I2705">
        <v>1356</v>
      </c>
      <c r="J2705">
        <v>374.79</v>
      </c>
    </row>
    <row r="2706" spans="1:10" x14ac:dyDescent="0.25">
      <c r="A2706" s="1">
        <v>45469</v>
      </c>
      <c r="B2706" t="s">
        <v>10</v>
      </c>
      <c r="C2706" t="s">
        <v>11</v>
      </c>
      <c r="D2706" t="s">
        <v>12</v>
      </c>
      <c r="E2706" t="s">
        <v>74</v>
      </c>
      <c r="F2706" t="s">
        <v>23</v>
      </c>
      <c r="G2706" t="s">
        <v>24</v>
      </c>
      <c r="H2706">
        <v>6</v>
      </c>
      <c r="I2706">
        <v>1326</v>
      </c>
      <c r="J2706">
        <v>338.66</v>
      </c>
    </row>
    <row r="2707" spans="1:10" x14ac:dyDescent="0.25">
      <c r="A2707" s="1">
        <v>45591</v>
      </c>
      <c r="B2707" t="s">
        <v>10</v>
      </c>
      <c r="C2707" t="s">
        <v>11</v>
      </c>
      <c r="D2707" t="s">
        <v>12</v>
      </c>
      <c r="E2707" t="s">
        <v>192</v>
      </c>
      <c r="F2707" t="s">
        <v>149</v>
      </c>
      <c r="G2707" t="s">
        <v>15</v>
      </c>
      <c r="H2707">
        <v>1</v>
      </c>
      <c r="I2707">
        <v>730</v>
      </c>
      <c r="J2707">
        <v>55.72</v>
      </c>
    </row>
    <row r="2708" spans="1:10" x14ac:dyDescent="0.25">
      <c r="A2708" s="1">
        <v>45422</v>
      </c>
      <c r="B2708" t="s">
        <v>29</v>
      </c>
      <c r="C2708" t="s">
        <v>17</v>
      </c>
      <c r="D2708" t="s">
        <v>12</v>
      </c>
      <c r="E2708" t="s">
        <v>440</v>
      </c>
      <c r="F2708" t="s">
        <v>34</v>
      </c>
      <c r="G2708" t="s">
        <v>35</v>
      </c>
      <c r="H2708">
        <v>4</v>
      </c>
      <c r="I2708">
        <v>4664</v>
      </c>
      <c r="J2708">
        <v>294.05</v>
      </c>
    </row>
    <row r="2709" spans="1:10" x14ac:dyDescent="0.25">
      <c r="A2709" s="1">
        <v>45264</v>
      </c>
      <c r="B2709" t="s">
        <v>55</v>
      </c>
      <c r="C2709" t="s">
        <v>19</v>
      </c>
      <c r="D2709" t="s">
        <v>12</v>
      </c>
      <c r="E2709" t="s">
        <v>161</v>
      </c>
      <c r="F2709" t="s">
        <v>34</v>
      </c>
      <c r="G2709" t="s">
        <v>35</v>
      </c>
      <c r="H2709">
        <v>8</v>
      </c>
      <c r="I2709">
        <v>3528</v>
      </c>
      <c r="J2709">
        <v>593.11</v>
      </c>
    </row>
    <row r="2710" spans="1:10" x14ac:dyDescent="0.25">
      <c r="A2710" s="1">
        <v>45004</v>
      </c>
      <c r="B2710" t="s">
        <v>16</v>
      </c>
      <c r="C2710" t="s">
        <v>17</v>
      </c>
      <c r="D2710" t="s">
        <v>12</v>
      </c>
      <c r="E2710" t="s">
        <v>116</v>
      </c>
      <c r="F2710" t="s">
        <v>23</v>
      </c>
      <c r="G2710" t="s">
        <v>24</v>
      </c>
      <c r="H2710">
        <v>3</v>
      </c>
      <c r="I2710">
        <v>1497</v>
      </c>
      <c r="J2710">
        <v>190.59</v>
      </c>
    </row>
    <row r="2711" spans="1:10" x14ac:dyDescent="0.25">
      <c r="A2711" s="1">
        <v>45037</v>
      </c>
      <c r="B2711" t="s">
        <v>18</v>
      </c>
      <c r="C2711" t="s">
        <v>19</v>
      </c>
      <c r="D2711" t="s">
        <v>12</v>
      </c>
      <c r="E2711" t="s">
        <v>92</v>
      </c>
      <c r="F2711" t="s">
        <v>44</v>
      </c>
      <c r="G2711" t="s">
        <v>35</v>
      </c>
      <c r="H2711">
        <v>3</v>
      </c>
      <c r="I2711">
        <v>2628</v>
      </c>
      <c r="J2711">
        <v>781.94</v>
      </c>
    </row>
    <row r="2712" spans="1:10" x14ac:dyDescent="0.25">
      <c r="A2712" s="1">
        <v>44877</v>
      </c>
      <c r="B2712" t="s">
        <v>55</v>
      </c>
      <c r="C2712" t="s">
        <v>19</v>
      </c>
      <c r="D2712" t="s">
        <v>12</v>
      </c>
      <c r="E2712" t="s">
        <v>22</v>
      </c>
      <c r="F2712" t="s">
        <v>23</v>
      </c>
      <c r="G2712" t="s">
        <v>24</v>
      </c>
      <c r="H2712">
        <v>4</v>
      </c>
      <c r="I2712">
        <v>4196</v>
      </c>
      <c r="J2712">
        <v>655.29</v>
      </c>
    </row>
    <row r="2713" spans="1:10" x14ac:dyDescent="0.25">
      <c r="A2713" s="1">
        <v>44775</v>
      </c>
      <c r="B2713" t="s">
        <v>36</v>
      </c>
      <c r="C2713" t="s">
        <v>17</v>
      </c>
      <c r="D2713" t="s">
        <v>12</v>
      </c>
      <c r="E2713" t="s">
        <v>52</v>
      </c>
      <c r="F2713" t="s">
        <v>42</v>
      </c>
      <c r="G2713" t="s">
        <v>28</v>
      </c>
      <c r="H2713">
        <v>7</v>
      </c>
      <c r="I2713">
        <v>1204</v>
      </c>
      <c r="J2713">
        <v>317.12</v>
      </c>
    </row>
    <row r="2714" spans="1:10" x14ac:dyDescent="0.25">
      <c r="A2714" s="1">
        <v>45161</v>
      </c>
      <c r="B2714" t="s">
        <v>10</v>
      </c>
      <c r="C2714" t="s">
        <v>11</v>
      </c>
      <c r="D2714" t="s">
        <v>12</v>
      </c>
      <c r="E2714" t="s">
        <v>52</v>
      </c>
      <c r="F2714" t="s">
        <v>42</v>
      </c>
      <c r="G2714" t="s">
        <v>28</v>
      </c>
      <c r="H2714">
        <v>7</v>
      </c>
      <c r="I2714">
        <v>7119</v>
      </c>
      <c r="J2714">
        <v>1555.05</v>
      </c>
    </row>
    <row r="2715" spans="1:10" x14ac:dyDescent="0.25">
      <c r="A2715" s="1">
        <v>45424</v>
      </c>
      <c r="B2715" t="s">
        <v>18</v>
      </c>
      <c r="C2715" t="s">
        <v>19</v>
      </c>
      <c r="D2715" t="s">
        <v>12</v>
      </c>
      <c r="E2715" t="s">
        <v>74</v>
      </c>
      <c r="F2715" t="s">
        <v>23</v>
      </c>
      <c r="G2715" t="s">
        <v>24</v>
      </c>
      <c r="H2715">
        <v>8</v>
      </c>
      <c r="I2715">
        <v>1848</v>
      </c>
      <c r="J2715">
        <v>351.02</v>
      </c>
    </row>
    <row r="2716" spans="1:10" x14ac:dyDescent="0.25">
      <c r="A2716" s="1">
        <v>45436</v>
      </c>
      <c r="B2716" t="s">
        <v>18</v>
      </c>
      <c r="C2716" t="s">
        <v>19</v>
      </c>
      <c r="D2716" t="s">
        <v>12</v>
      </c>
      <c r="E2716" t="s">
        <v>56</v>
      </c>
      <c r="F2716" t="s">
        <v>57</v>
      </c>
      <c r="G2716" t="s">
        <v>24</v>
      </c>
      <c r="H2716">
        <v>4</v>
      </c>
      <c r="I2716">
        <v>2232</v>
      </c>
      <c r="J2716">
        <v>531.12</v>
      </c>
    </row>
    <row r="2717" spans="1:10" x14ac:dyDescent="0.25">
      <c r="A2717" s="1">
        <v>45645</v>
      </c>
      <c r="B2717" t="s">
        <v>16</v>
      </c>
      <c r="C2717" t="s">
        <v>17</v>
      </c>
      <c r="D2717" t="s">
        <v>12</v>
      </c>
      <c r="E2717" t="s">
        <v>104</v>
      </c>
      <c r="F2717" t="s">
        <v>39</v>
      </c>
      <c r="G2717" t="s">
        <v>35</v>
      </c>
      <c r="H2717">
        <v>6</v>
      </c>
      <c r="I2717">
        <v>5190</v>
      </c>
      <c r="J2717">
        <v>898.86</v>
      </c>
    </row>
    <row r="2718" spans="1:10" x14ac:dyDescent="0.25">
      <c r="A2718" s="1">
        <v>44589</v>
      </c>
      <c r="B2718" t="s">
        <v>40</v>
      </c>
      <c r="C2718" t="s">
        <v>19</v>
      </c>
      <c r="D2718" t="s">
        <v>12</v>
      </c>
      <c r="E2718" t="s">
        <v>441</v>
      </c>
      <c r="F2718" t="s">
        <v>63</v>
      </c>
      <c r="G2718" t="s">
        <v>28</v>
      </c>
      <c r="H2718">
        <v>3</v>
      </c>
      <c r="I2718">
        <v>1830</v>
      </c>
      <c r="J2718">
        <v>403.42</v>
      </c>
    </row>
    <row r="2719" spans="1:10" x14ac:dyDescent="0.25">
      <c r="A2719" s="1">
        <v>44590</v>
      </c>
      <c r="B2719" t="s">
        <v>16</v>
      </c>
      <c r="C2719" t="s">
        <v>17</v>
      </c>
      <c r="D2719" t="s">
        <v>12</v>
      </c>
      <c r="E2719" t="s">
        <v>52</v>
      </c>
      <c r="F2719" t="s">
        <v>42</v>
      </c>
      <c r="G2719" t="s">
        <v>28</v>
      </c>
      <c r="H2719">
        <v>1</v>
      </c>
      <c r="I2719">
        <v>1033</v>
      </c>
      <c r="J2719">
        <v>302.68</v>
      </c>
    </row>
    <row r="2720" spans="1:10" x14ac:dyDescent="0.25">
      <c r="A2720" s="1">
        <v>44866</v>
      </c>
      <c r="B2720" t="s">
        <v>32</v>
      </c>
      <c r="C2720" t="s">
        <v>19</v>
      </c>
      <c r="D2720" t="s">
        <v>12</v>
      </c>
      <c r="E2720" t="s">
        <v>136</v>
      </c>
      <c r="F2720" t="s">
        <v>65</v>
      </c>
      <c r="G2720" t="s">
        <v>35</v>
      </c>
      <c r="H2720">
        <v>7</v>
      </c>
      <c r="I2720">
        <v>2324</v>
      </c>
      <c r="J2720">
        <v>611.70000000000005</v>
      </c>
    </row>
    <row r="2721" spans="1:10" x14ac:dyDescent="0.25">
      <c r="A2721" s="1">
        <v>45081</v>
      </c>
      <c r="B2721" t="s">
        <v>49</v>
      </c>
      <c r="C2721" t="s">
        <v>17</v>
      </c>
      <c r="D2721" t="s">
        <v>12</v>
      </c>
      <c r="E2721" t="s">
        <v>136</v>
      </c>
      <c r="F2721" t="s">
        <v>65</v>
      </c>
      <c r="G2721" t="s">
        <v>35</v>
      </c>
      <c r="H2721">
        <v>2</v>
      </c>
      <c r="I2721">
        <v>1942</v>
      </c>
      <c r="J2721">
        <v>235.42</v>
      </c>
    </row>
    <row r="2722" spans="1:10" x14ac:dyDescent="0.25">
      <c r="A2722" s="1">
        <v>44647</v>
      </c>
      <c r="B2722" t="s">
        <v>10</v>
      </c>
      <c r="C2722" t="s">
        <v>11</v>
      </c>
      <c r="D2722" t="s">
        <v>12</v>
      </c>
      <c r="E2722" t="s">
        <v>195</v>
      </c>
      <c r="F2722" t="s">
        <v>63</v>
      </c>
      <c r="G2722" t="s">
        <v>28</v>
      </c>
      <c r="H2722">
        <v>7</v>
      </c>
      <c r="I2722">
        <v>5740</v>
      </c>
      <c r="J2722">
        <v>1615.9</v>
      </c>
    </row>
    <row r="2723" spans="1:10" x14ac:dyDescent="0.25">
      <c r="A2723" s="1">
        <v>44856</v>
      </c>
      <c r="B2723" t="s">
        <v>32</v>
      </c>
      <c r="C2723" t="s">
        <v>19</v>
      </c>
      <c r="D2723" t="s">
        <v>12</v>
      </c>
      <c r="E2723" t="s">
        <v>195</v>
      </c>
      <c r="F2723" t="s">
        <v>63</v>
      </c>
      <c r="G2723" t="s">
        <v>28</v>
      </c>
      <c r="H2723">
        <v>9</v>
      </c>
      <c r="I2723">
        <v>6435</v>
      </c>
      <c r="J2723">
        <v>1096.8800000000001</v>
      </c>
    </row>
    <row r="2724" spans="1:10" x14ac:dyDescent="0.25">
      <c r="A2724" s="1">
        <v>44649</v>
      </c>
      <c r="B2724" t="s">
        <v>16</v>
      </c>
      <c r="C2724" t="s">
        <v>17</v>
      </c>
      <c r="D2724" t="s">
        <v>12</v>
      </c>
      <c r="E2724" t="s">
        <v>132</v>
      </c>
      <c r="F2724" t="s">
        <v>63</v>
      </c>
      <c r="G2724" t="s">
        <v>28</v>
      </c>
      <c r="H2724">
        <v>2</v>
      </c>
      <c r="I2724">
        <v>1168</v>
      </c>
      <c r="J2724">
        <v>172.18</v>
      </c>
    </row>
    <row r="2725" spans="1:10" x14ac:dyDescent="0.25">
      <c r="A2725" s="1">
        <v>44799</v>
      </c>
      <c r="B2725" t="s">
        <v>18</v>
      </c>
      <c r="C2725" t="s">
        <v>19</v>
      </c>
      <c r="D2725" t="s">
        <v>12</v>
      </c>
      <c r="E2725" t="s">
        <v>130</v>
      </c>
      <c r="F2725" t="s">
        <v>54</v>
      </c>
      <c r="G2725" t="s">
        <v>24</v>
      </c>
      <c r="H2725">
        <v>9</v>
      </c>
      <c r="I2725">
        <v>7362</v>
      </c>
      <c r="J2725">
        <v>441.36</v>
      </c>
    </row>
    <row r="2726" spans="1:10" x14ac:dyDescent="0.25">
      <c r="A2726" s="1">
        <v>45216</v>
      </c>
      <c r="B2726" t="s">
        <v>32</v>
      </c>
      <c r="C2726" t="s">
        <v>19</v>
      </c>
      <c r="D2726" t="s">
        <v>12</v>
      </c>
      <c r="E2726" t="s">
        <v>180</v>
      </c>
      <c r="F2726" t="s">
        <v>34</v>
      </c>
      <c r="G2726" t="s">
        <v>35</v>
      </c>
      <c r="H2726">
        <v>2</v>
      </c>
      <c r="I2726">
        <v>862</v>
      </c>
      <c r="J2726">
        <v>105.97</v>
      </c>
    </row>
    <row r="2727" spans="1:10" x14ac:dyDescent="0.25">
      <c r="A2727" s="1">
        <v>45224</v>
      </c>
      <c r="B2727" t="s">
        <v>16</v>
      </c>
      <c r="C2727" t="s">
        <v>17</v>
      </c>
      <c r="D2727" t="s">
        <v>12</v>
      </c>
      <c r="E2727" t="s">
        <v>331</v>
      </c>
      <c r="F2727" t="s">
        <v>23</v>
      </c>
      <c r="G2727" t="s">
        <v>24</v>
      </c>
      <c r="H2727">
        <v>1</v>
      </c>
      <c r="I2727">
        <v>956</v>
      </c>
      <c r="J2727">
        <v>167.16</v>
      </c>
    </row>
    <row r="2728" spans="1:10" x14ac:dyDescent="0.25">
      <c r="A2728" s="1">
        <v>44719</v>
      </c>
      <c r="B2728" t="s">
        <v>40</v>
      </c>
      <c r="C2728" t="s">
        <v>19</v>
      </c>
      <c r="D2728" t="s">
        <v>12</v>
      </c>
      <c r="E2728" t="s">
        <v>331</v>
      </c>
      <c r="F2728" t="s">
        <v>23</v>
      </c>
      <c r="G2728" t="s">
        <v>24</v>
      </c>
      <c r="H2728">
        <v>7</v>
      </c>
      <c r="I2728">
        <v>4438</v>
      </c>
      <c r="J2728">
        <v>770.3</v>
      </c>
    </row>
    <row r="2729" spans="1:10" x14ac:dyDescent="0.25">
      <c r="A2729" s="1">
        <v>45209</v>
      </c>
      <c r="B2729" t="s">
        <v>49</v>
      </c>
      <c r="C2729" t="s">
        <v>17</v>
      </c>
      <c r="D2729" t="s">
        <v>12</v>
      </c>
      <c r="E2729" t="s">
        <v>331</v>
      </c>
      <c r="F2729" t="s">
        <v>23</v>
      </c>
      <c r="G2729" t="s">
        <v>24</v>
      </c>
      <c r="H2729">
        <v>9</v>
      </c>
      <c r="I2729">
        <v>972</v>
      </c>
      <c r="J2729">
        <v>100</v>
      </c>
    </row>
    <row r="2730" spans="1:10" x14ac:dyDescent="0.25">
      <c r="A2730" s="1">
        <v>44806</v>
      </c>
      <c r="B2730" t="s">
        <v>49</v>
      </c>
      <c r="C2730" t="s">
        <v>17</v>
      </c>
      <c r="D2730" t="s">
        <v>12</v>
      </c>
      <c r="E2730" t="s">
        <v>331</v>
      </c>
      <c r="F2730" t="s">
        <v>23</v>
      </c>
      <c r="G2730" t="s">
        <v>24</v>
      </c>
      <c r="H2730">
        <v>2</v>
      </c>
      <c r="I2730">
        <v>1816</v>
      </c>
      <c r="J2730">
        <v>129.24</v>
      </c>
    </row>
    <row r="2731" spans="1:10" x14ac:dyDescent="0.25">
      <c r="A2731" s="1">
        <v>45041</v>
      </c>
      <c r="B2731" t="s">
        <v>36</v>
      </c>
      <c r="C2731" t="s">
        <v>17</v>
      </c>
      <c r="D2731" t="s">
        <v>12</v>
      </c>
      <c r="E2731" t="s">
        <v>442</v>
      </c>
      <c r="F2731" t="s">
        <v>23</v>
      </c>
      <c r="G2731" t="s">
        <v>24</v>
      </c>
      <c r="H2731">
        <v>4</v>
      </c>
      <c r="I2731">
        <v>596</v>
      </c>
      <c r="J2731">
        <v>105.89</v>
      </c>
    </row>
    <row r="2732" spans="1:10" x14ac:dyDescent="0.25">
      <c r="A2732" s="1">
        <v>45375</v>
      </c>
      <c r="B2732" t="s">
        <v>16</v>
      </c>
      <c r="C2732" t="s">
        <v>17</v>
      </c>
      <c r="D2732" t="s">
        <v>12</v>
      </c>
      <c r="E2732" t="s">
        <v>215</v>
      </c>
      <c r="F2732" t="s">
        <v>122</v>
      </c>
      <c r="G2732" t="s">
        <v>35</v>
      </c>
      <c r="H2732">
        <v>9</v>
      </c>
      <c r="I2732">
        <v>1233</v>
      </c>
      <c r="J2732">
        <v>346.9</v>
      </c>
    </row>
    <row r="2733" spans="1:10" x14ac:dyDescent="0.25">
      <c r="A2733" s="1">
        <v>44935</v>
      </c>
      <c r="B2733" t="s">
        <v>29</v>
      </c>
      <c r="C2733" t="s">
        <v>17</v>
      </c>
      <c r="D2733" t="s">
        <v>12</v>
      </c>
      <c r="E2733" t="s">
        <v>443</v>
      </c>
      <c r="F2733" t="s">
        <v>34</v>
      </c>
      <c r="G2733" t="s">
        <v>35</v>
      </c>
      <c r="H2733">
        <v>1</v>
      </c>
      <c r="I2733">
        <v>1055</v>
      </c>
      <c r="J2733">
        <v>88.61</v>
      </c>
    </row>
    <row r="2734" spans="1:10" x14ac:dyDescent="0.25">
      <c r="A2734" s="1">
        <v>44878</v>
      </c>
      <c r="B2734" t="s">
        <v>18</v>
      </c>
      <c r="C2734" t="s">
        <v>19</v>
      </c>
      <c r="D2734" t="s">
        <v>12</v>
      </c>
      <c r="E2734" t="s">
        <v>74</v>
      </c>
      <c r="F2734" t="s">
        <v>23</v>
      </c>
      <c r="G2734" t="s">
        <v>24</v>
      </c>
      <c r="H2734">
        <v>2</v>
      </c>
      <c r="I2734">
        <v>952</v>
      </c>
      <c r="J2734">
        <v>112.39</v>
      </c>
    </row>
    <row r="2735" spans="1:10" x14ac:dyDescent="0.25">
      <c r="A2735" s="1">
        <v>44989</v>
      </c>
      <c r="B2735" t="s">
        <v>16</v>
      </c>
      <c r="C2735" t="s">
        <v>17</v>
      </c>
      <c r="D2735" t="s">
        <v>12</v>
      </c>
      <c r="E2735" t="s">
        <v>444</v>
      </c>
      <c r="F2735" t="s">
        <v>23</v>
      </c>
      <c r="G2735" t="s">
        <v>24</v>
      </c>
      <c r="H2735">
        <v>1</v>
      </c>
      <c r="I2735">
        <v>312</v>
      </c>
      <c r="J2735">
        <v>40.47</v>
      </c>
    </row>
    <row r="2736" spans="1:10" x14ac:dyDescent="0.25">
      <c r="A2736" s="1">
        <v>44604</v>
      </c>
      <c r="B2736" t="s">
        <v>18</v>
      </c>
      <c r="C2736" t="s">
        <v>19</v>
      </c>
      <c r="D2736" t="s">
        <v>12</v>
      </c>
      <c r="E2736" t="s">
        <v>22</v>
      </c>
      <c r="F2736" t="s">
        <v>23</v>
      </c>
      <c r="G2736" t="s">
        <v>24</v>
      </c>
      <c r="H2736">
        <v>2</v>
      </c>
      <c r="I2736">
        <v>294</v>
      </c>
      <c r="J2736">
        <v>35.049999999999997</v>
      </c>
    </row>
    <row r="2737" spans="1:10" x14ac:dyDescent="0.25">
      <c r="A2737" s="1">
        <v>44648</v>
      </c>
      <c r="B2737" t="s">
        <v>32</v>
      </c>
      <c r="C2737" t="s">
        <v>19</v>
      </c>
      <c r="D2737" t="s">
        <v>12</v>
      </c>
      <c r="E2737" t="s">
        <v>52</v>
      </c>
      <c r="F2737" t="s">
        <v>42</v>
      </c>
      <c r="G2737" t="s">
        <v>28</v>
      </c>
      <c r="H2737">
        <v>2</v>
      </c>
      <c r="I2737">
        <v>474</v>
      </c>
      <c r="J2737">
        <v>120.91</v>
      </c>
    </row>
    <row r="2738" spans="1:10" x14ac:dyDescent="0.25">
      <c r="A2738" s="1">
        <v>45079</v>
      </c>
      <c r="B2738" t="s">
        <v>25</v>
      </c>
      <c r="C2738" t="s">
        <v>19</v>
      </c>
      <c r="D2738" t="s">
        <v>12</v>
      </c>
      <c r="E2738" t="s">
        <v>445</v>
      </c>
      <c r="F2738" t="s">
        <v>39</v>
      </c>
      <c r="G2738" t="s">
        <v>35</v>
      </c>
      <c r="H2738">
        <v>2</v>
      </c>
      <c r="I2738">
        <v>788</v>
      </c>
      <c r="J2738">
        <v>195.15</v>
      </c>
    </row>
    <row r="2739" spans="1:10" x14ac:dyDescent="0.25">
      <c r="A2739" s="1">
        <v>44696</v>
      </c>
      <c r="B2739" t="s">
        <v>16</v>
      </c>
      <c r="C2739" t="s">
        <v>17</v>
      </c>
      <c r="D2739" t="s">
        <v>12</v>
      </c>
      <c r="E2739" t="s">
        <v>22</v>
      </c>
      <c r="F2739" t="s">
        <v>23</v>
      </c>
      <c r="G2739" t="s">
        <v>24</v>
      </c>
      <c r="H2739">
        <v>8</v>
      </c>
      <c r="I2739">
        <v>2760</v>
      </c>
      <c r="J2739">
        <v>156.53</v>
      </c>
    </row>
    <row r="2740" spans="1:10" x14ac:dyDescent="0.25">
      <c r="A2740" s="1">
        <v>45213</v>
      </c>
      <c r="B2740" t="s">
        <v>55</v>
      </c>
      <c r="C2740" t="s">
        <v>19</v>
      </c>
      <c r="D2740" t="s">
        <v>12</v>
      </c>
      <c r="E2740" t="s">
        <v>37</v>
      </c>
      <c r="F2740" t="s">
        <v>34</v>
      </c>
      <c r="G2740" t="s">
        <v>35</v>
      </c>
      <c r="H2740">
        <v>4</v>
      </c>
      <c r="I2740">
        <v>908</v>
      </c>
      <c r="J2740">
        <v>219.79</v>
      </c>
    </row>
    <row r="2741" spans="1:10" x14ac:dyDescent="0.25">
      <c r="A2741" s="1">
        <v>44851</v>
      </c>
      <c r="B2741" t="s">
        <v>40</v>
      </c>
      <c r="C2741" t="s">
        <v>19</v>
      </c>
      <c r="D2741" t="s">
        <v>12</v>
      </c>
      <c r="E2741" t="s">
        <v>62</v>
      </c>
      <c r="F2741" t="s">
        <v>59</v>
      </c>
      <c r="G2741" t="s">
        <v>28</v>
      </c>
      <c r="H2741">
        <v>1</v>
      </c>
      <c r="I2741">
        <v>593</v>
      </c>
      <c r="J2741">
        <v>133.01</v>
      </c>
    </row>
    <row r="2742" spans="1:10" x14ac:dyDescent="0.25">
      <c r="A2742" s="1">
        <v>45123</v>
      </c>
      <c r="B2742" t="s">
        <v>29</v>
      </c>
      <c r="C2742" t="s">
        <v>17</v>
      </c>
      <c r="D2742" t="s">
        <v>12</v>
      </c>
      <c r="E2742" t="s">
        <v>182</v>
      </c>
      <c r="F2742" t="s">
        <v>183</v>
      </c>
      <c r="G2742" t="s">
        <v>15</v>
      </c>
      <c r="H2742">
        <v>6</v>
      </c>
      <c r="I2742">
        <v>1698</v>
      </c>
      <c r="J2742">
        <v>193.42</v>
      </c>
    </row>
    <row r="2743" spans="1:10" x14ac:dyDescent="0.25">
      <c r="A2743" s="1">
        <v>45558</v>
      </c>
      <c r="B2743" t="s">
        <v>10</v>
      </c>
      <c r="C2743" t="s">
        <v>11</v>
      </c>
      <c r="D2743" t="s">
        <v>12</v>
      </c>
      <c r="E2743" t="s">
        <v>146</v>
      </c>
      <c r="F2743" t="s">
        <v>21</v>
      </c>
      <c r="G2743" t="s">
        <v>15</v>
      </c>
      <c r="H2743">
        <v>1</v>
      </c>
      <c r="I2743">
        <v>546</v>
      </c>
      <c r="J2743">
        <v>124.1</v>
      </c>
    </row>
    <row r="2744" spans="1:10" x14ac:dyDescent="0.25">
      <c r="A2744" s="1">
        <v>44784</v>
      </c>
      <c r="B2744" t="s">
        <v>55</v>
      </c>
      <c r="C2744" t="s">
        <v>19</v>
      </c>
      <c r="D2744" t="s">
        <v>12</v>
      </c>
      <c r="E2744" t="s">
        <v>97</v>
      </c>
      <c r="F2744" t="s">
        <v>23</v>
      </c>
      <c r="G2744" t="s">
        <v>24</v>
      </c>
      <c r="H2744">
        <v>5</v>
      </c>
      <c r="I2744">
        <v>4380</v>
      </c>
      <c r="J2744">
        <v>275.83999999999997</v>
      </c>
    </row>
    <row r="2745" spans="1:10" x14ac:dyDescent="0.25">
      <c r="A2745" s="1">
        <v>45088</v>
      </c>
      <c r="B2745" t="s">
        <v>25</v>
      </c>
      <c r="C2745" t="s">
        <v>19</v>
      </c>
      <c r="D2745" t="s">
        <v>12</v>
      </c>
      <c r="E2745" t="s">
        <v>13</v>
      </c>
      <c r="F2745" t="s">
        <v>14</v>
      </c>
      <c r="G2745" t="s">
        <v>15</v>
      </c>
      <c r="H2745">
        <v>4</v>
      </c>
      <c r="I2745">
        <v>2472</v>
      </c>
      <c r="J2745">
        <v>594.62</v>
      </c>
    </row>
    <row r="2746" spans="1:10" x14ac:dyDescent="0.25">
      <c r="A2746" s="1">
        <v>45383</v>
      </c>
      <c r="B2746" t="s">
        <v>40</v>
      </c>
      <c r="C2746" t="s">
        <v>19</v>
      </c>
      <c r="D2746" t="s">
        <v>12</v>
      </c>
      <c r="E2746" t="s">
        <v>13</v>
      </c>
      <c r="F2746" t="s">
        <v>14</v>
      </c>
      <c r="G2746" t="s">
        <v>15</v>
      </c>
      <c r="H2746">
        <v>4</v>
      </c>
      <c r="I2746">
        <v>1996</v>
      </c>
      <c r="J2746">
        <v>396.63</v>
      </c>
    </row>
    <row r="2747" spans="1:10" x14ac:dyDescent="0.25">
      <c r="A2747" s="1">
        <v>45651</v>
      </c>
      <c r="B2747" t="s">
        <v>25</v>
      </c>
      <c r="C2747" t="s">
        <v>19</v>
      </c>
      <c r="D2747" t="s">
        <v>12</v>
      </c>
      <c r="E2747" t="s">
        <v>20</v>
      </c>
      <c r="F2747" t="s">
        <v>21</v>
      </c>
      <c r="G2747" t="s">
        <v>15</v>
      </c>
      <c r="H2747">
        <v>5</v>
      </c>
      <c r="I2747">
        <v>2525</v>
      </c>
      <c r="J2747">
        <v>699.74</v>
      </c>
    </row>
    <row r="2748" spans="1:10" x14ac:dyDescent="0.25">
      <c r="A2748" s="1">
        <v>44747</v>
      </c>
      <c r="B2748" t="s">
        <v>29</v>
      </c>
      <c r="C2748" t="s">
        <v>17</v>
      </c>
      <c r="D2748" t="s">
        <v>12</v>
      </c>
      <c r="E2748" t="s">
        <v>22</v>
      </c>
      <c r="F2748" t="s">
        <v>23</v>
      </c>
      <c r="G2748" t="s">
        <v>24</v>
      </c>
      <c r="H2748">
        <v>9</v>
      </c>
      <c r="I2748">
        <v>4041</v>
      </c>
      <c r="J2748">
        <v>517.23</v>
      </c>
    </row>
    <row r="2749" spans="1:10" x14ac:dyDescent="0.25">
      <c r="A2749" s="1">
        <v>45489</v>
      </c>
      <c r="B2749" t="s">
        <v>49</v>
      </c>
      <c r="C2749" t="s">
        <v>17</v>
      </c>
      <c r="D2749" t="s">
        <v>12</v>
      </c>
      <c r="E2749" t="s">
        <v>22</v>
      </c>
      <c r="F2749" t="s">
        <v>23</v>
      </c>
      <c r="G2749" t="s">
        <v>24</v>
      </c>
      <c r="H2749">
        <v>3</v>
      </c>
      <c r="I2749">
        <v>858</v>
      </c>
      <c r="J2749">
        <v>246.86</v>
      </c>
    </row>
    <row r="2750" spans="1:10" x14ac:dyDescent="0.25">
      <c r="A2750" s="1">
        <v>44909</v>
      </c>
      <c r="B2750" t="s">
        <v>49</v>
      </c>
      <c r="C2750" t="s">
        <v>17</v>
      </c>
      <c r="D2750" t="s">
        <v>12</v>
      </c>
      <c r="E2750" t="s">
        <v>26</v>
      </c>
      <c r="F2750" t="s">
        <v>27</v>
      </c>
      <c r="G2750" t="s">
        <v>28</v>
      </c>
      <c r="H2750">
        <v>9</v>
      </c>
      <c r="I2750">
        <v>4221</v>
      </c>
      <c r="J2750">
        <v>1238.5999999999999</v>
      </c>
    </row>
    <row r="2751" spans="1:10" x14ac:dyDescent="0.25">
      <c r="A2751" s="1">
        <v>44973</v>
      </c>
      <c r="B2751" t="s">
        <v>18</v>
      </c>
      <c r="C2751" t="s">
        <v>19</v>
      </c>
      <c r="D2751" t="s">
        <v>12</v>
      </c>
      <c r="E2751" t="s">
        <v>30</v>
      </c>
      <c r="F2751" t="s">
        <v>31</v>
      </c>
      <c r="G2751" t="s">
        <v>24</v>
      </c>
      <c r="H2751">
        <v>2</v>
      </c>
      <c r="I2751">
        <v>858</v>
      </c>
      <c r="J2751">
        <v>73.489999999999995</v>
      </c>
    </row>
    <row r="2752" spans="1:10" x14ac:dyDescent="0.25">
      <c r="A2752" s="1">
        <v>45631</v>
      </c>
      <c r="B2752" t="s">
        <v>49</v>
      </c>
      <c r="C2752" t="s">
        <v>17</v>
      </c>
      <c r="D2752" t="s">
        <v>12</v>
      </c>
      <c r="E2752" t="s">
        <v>26</v>
      </c>
      <c r="F2752" t="s">
        <v>27</v>
      </c>
      <c r="G2752" t="s">
        <v>28</v>
      </c>
      <c r="H2752">
        <v>1</v>
      </c>
      <c r="I2752">
        <v>776</v>
      </c>
      <c r="J2752">
        <v>172.19</v>
      </c>
    </row>
    <row r="2753" spans="1:10" x14ac:dyDescent="0.25">
      <c r="A2753" s="1">
        <v>45161</v>
      </c>
      <c r="B2753" t="s">
        <v>55</v>
      </c>
      <c r="C2753" t="s">
        <v>19</v>
      </c>
      <c r="D2753" t="s">
        <v>12</v>
      </c>
      <c r="E2753" t="s">
        <v>26</v>
      </c>
      <c r="F2753" t="s">
        <v>27</v>
      </c>
      <c r="G2753" t="s">
        <v>28</v>
      </c>
      <c r="H2753">
        <v>7</v>
      </c>
      <c r="I2753">
        <v>3654</v>
      </c>
      <c r="J2753">
        <v>871.81</v>
      </c>
    </row>
    <row r="2754" spans="1:10" x14ac:dyDescent="0.25">
      <c r="A2754" s="1">
        <v>45336</v>
      </c>
      <c r="B2754" t="s">
        <v>29</v>
      </c>
      <c r="C2754" t="s">
        <v>17</v>
      </c>
      <c r="D2754" t="s">
        <v>12</v>
      </c>
      <c r="E2754" t="s">
        <v>33</v>
      </c>
      <c r="F2754" t="s">
        <v>34</v>
      </c>
      <c r="G2754" t="s">
        <v>35</v>
      </c>
      <c r="H2754">
        <v>3</v>
      </c>
      <c r="I2754">
        <v>384</v>
      </c>
      <c r="J2754">
        <v>45.99</v>
      </c>
    </row>
    <row r="2755" spans="1:10" x14ac:dyDescent="0.25">
      <c r="A2755" s="1">
        <v>45185</v>
      </c>
      <c r="B2755" t="s">
        <v>10</v>
      </c>
      <c r="C2755" t="s">
        <v>11</v>
      </c>
      <c r="D2755" t="s">
        <v>12</v>
      </c>
      <c r="E2755" t="s">
        <v>37</v>
      </c>
      <c r="F2755" t="s">
        <v>34</v>
      </c>
      <c r="G2755" t="s">
        <v>35</v>
      </c>
      <c r="H2755">
        <v>5</v>
      </c>
      <c r="I2755">
        <v>535</v>
      </c>
      <c r="J2755">
        <v>43.47</v>
      </c>
    </row>
    <row r="2756" spans="1:10" x14ac:dyDescent="0.25">
      <c r="A2756" s="1">
        <v>44891</v>
      </c>
      <c r="B2756" t="s">
        <v>29</v>
      </c>
      <c r="C2756" t="s">
        <v>17</v>
      </c>
      <c r="D2756" t="s">
        <v>12</v>
      </c>
      <c r="E2756" t="s">
        <v>37</v>
      </c>
      <c r="F2756" t="s">
        <v>34</v>
      </c>
      <c r="G2756" t="s">
        <v>35</v>
      </c>
      <c r="H2756">
        <v>9</v>
      </c>
      <c r="I2756">
        <v>7992</v>
      </c>
      <c r="J2756">
        <v>1979.53</v>
      </c>
    </row>
    <row r="2757" spans="1:10" x14ac:dyDescent="0.25">
      <c r="A2757" s="1">
        <v>45477</v>
      </c>
      <c r="B2757" t="s">
        <v>16</v>
      </c>
      <c r="C2757" t="s">
        <v>17</v>
      </c>
      <c r="D2757" t="s">
        <v>12</v>
      </c>
      <c r="E2757" t="s">
        <v>38</v>
      </c>
      <c r="F2757" t="s">
        <v>39</v>
      </c>
      <c r="G2757" t="s">
        <v>35</v>
      </c>
      <c r="H2757">
        <v>7</v>
      </c>
      <c r="I2757">
        <v>3892</v>
      </c>
      <c r="J2757">
        <v>350.57</v>
      </c>
    </row>
    <row r="2758" spans="1:10" x14ac:dyDescent="0.25">
      <c r="A2758" s="1">
        <v>45348</v>
      </c>
      <c r="B2758" t="s">
        <v>18</v>
      </c>
      <c r="C2758" t="s">
        <v>19</v>
      </c>
      <c r="D2758" t="s">
        <v>12</v>
      </c>
      <c r="E2758" t="s">
        <v>38</v>
      </c>
      <c r="F2758" t="s">
        <v>39</v>
      </c>
      <c r="G2758" t="s">
        <v>35</v>
      </c>
      <c r="H2758">
        <v>3</v>
      </c>
      <c r="I2758">
        <v>2637</v>
      </c>
      <c r="J2758">
        <v>468.6</v>
      </c>
    </row>
    <row r="2759" spans="1:10" x14ac:dyDescent="0.25">
      <c r="A2759" s="1">
        <v>45334</v>
      </c>
      <c r="B2759" t="s">
        <v>16</v>
      </c>
      <c r="C2759" t="s">
        <v>17</v>
      </c>
      <c r="D2759" t="s">
        <v>12</v>
      </c>
      <c r="E2759" t="s">
        <v>41</v>
      </c>
      <c r="F2759" t="s">
        <v>42</v>
      </c>
      <c r="G2759" t="s">
        <v>28</v>
      </c>
      <c r="H2759">
        <v>8</v>
      </c>
      <c r="I2759">
        <v>8664</v>
      </c>
      <c r="J2759">
        <v>2349.6799999999998</v>
      </c>
    </row>
    <row r="2760" spans="1:10" x14ac:dyDescent="0.25">
      <c r="A2760" s="1">
        <v>45202</v>
      </c>
      <c r="B2760" t="s">
        <v>32</v>
      </c>
      <c r="C2760" t="s">
        <v>19</v>
      </c>
      <c r="D2760" t="s">
        <v>12</v>
      </c>
      <c r="E2760" t="s">
        <v>22</v>
      </c>
      <c r="F2760" t="s">
        <v>23</v>
      </c>
      <c r="G2760" t="s">
        <v>24</v>
      </c>
      <c r="H2760">
        <v>6</v>
      </c>
      <c r="I2760">
        <v>918</v>
      </c>
      <c r="J2760">
        <v>116.87</v>
      </c>
    </row>
    <row r="2761" spans="1:10" x14ac:dyDescent="0.25">
      <c r="A2761" s="1">
        <v>45308</v>
      </c>
      <c r="B2761" t="s">
        <v>36</v>
      </c>
      <c r="C2761" t="s">
        <v>17</v>
      </c>
      <c r="D2761" t="s">
        <v>12</v>
      </c>
      <c r="E2761" t="s">
        <v>43</v>
      </c>
      <c r="F2761" t="s">
        <v>44</v>
      </c>
      <c r="G2761" t="s">
        <v>35</v>
      </c>
      <c r="H2761">
        <v>5</v>
      </c>
      <c r="I2761">
        <v>5625</v>
      </c>
      <c r="J2761">
        <v>1006.95</v>
      </c>
    </row>
    <row r="2762" spans="1:10" x14ac:dyDescent="0.25">
      <c r="A2762" s="1">
        <v>45079</v>
      </c>
      <c r="B2762" t="s">
        <v>18</v>
      </c>
      <c r="C2762" t="s">
        <v>19</v>
      </c>
      <c r="D2762" t="s">
        <v>12</v>
      </c>
      <c r="E2762" t="s">
        <v>45</v>
      </c>
      <c r="F2762" t="s">
        <v>46</v>
      </c>
      <c r="G2762" t="s">
        <v>15</v>
      </c>
      <c r="H2762">
        <v>6</v>
      </c>
      <c r="I2762">
        <v>6030</v>
      </c>
      <c r="J2762">
        <v>511.7</v>
      </c>
    </row>
    <row r="2763" spans="1:10" x14ac:dyDescent="0.25">
      <c r="A2763" s="1">
        <v>44673</v>
      </c>
      <c r="B2763" t="s">
        <v>10</v>
      </c>
      <c r="C2763" t="s">
        <v>11</v>
      </c>
      <c r="D2763" t="s">
        <v>12</v>
      </c>
      <c r="E2763" t="s">
        <v>45</v>
      </c>
      <c r="F2763" t="s">
        <v>46</v>
      </c>
      <c r="G2763" t="s">
        <v>15</v>
      </c>
      <c r="H2763">
        <v>8</v>
      </c>
      <c r="I2763">
        <v>432</v>
      </c>
      <c r="J2763">
        <v>98.44</v>
      </c>
    </row>
    <row r="2764" spans="1:10" x14ac:dyDescent="0.25">
      <c r="A2764" s="1">
        <v>45343</v>
      </c>
      <c r="B2764" t="s">
        <v>55</v>
      </c>
      <c r="C2764" t="s">
        <v>19</v>
      </c>
      <c r="D2764" t="s">
        <v>12</v>
      </c>
      <c r="E2764" t="s">
        <v>37</v>
      </c>
      <c r="F2764" t="s">
        <v>34</v>
      </c>
      <c r="G2764" t="s">
        <v>35</v>
      </c>
      <c r="H2764">
        <v>6</v>
      </c>
      <c r="I2764">
        <v>1884</v>
      </c>
      <c r="J2764">
        <v>190.58</v>
      </c>
    </row>
    <row r="2765" spans="1:10" x14ac:dyDescent="0.25">
      <c r="A2765" s="1">
        <v>44978</v>
      </c>
      <c r="B2765" t="s">
        <v>55</v>
      </c>
      <c r="C2765" t="s">
        <v>19</v>
      </c>
      <c r="D2765" t="s">
        <v>12</v>
      </c>
      <c r="E2765" t="s">
        <v>37</v>
      </c>
      <c r="F2765" t="s">
        <v>34</v>
      </c>
      <c r="G2765" t="s">
        <v>35</v>
      </c>
      <c r="H2765">
        <v>9</v>
      </c>
      <c r="I2765">
        <v>9225</v>
      </c>
      <c r="J2765">
        <v>2526.27</v>
      </c>
    </row>
    <row r="2766" spans="1:10" x14ac:dyDescent="0.25">
      <c r="A2766" s="1">
        <v>44777</v>
      </c>
      <c r="B2766" t="s">
        <v>10</v>
      </c>
      <c r="C2766" t="s">
        <v>11</v>
      </c>
      <c r="D2766" t="s">
        <v>12</v>
      </c>
      <c r="E2766" t="s">
        <v>47</v>
      </c>
      <c r="F2766" t="s">
        <v>48</v>
      </c>
      <c r="G2766" t="s">
        <v>15</v>
      </c>
      <c r="H2766">
        <v>2</v>
      </c>
      <c r="I2766">
        <v>954</v>
      </c>
      <c r="J2766">
        <v>71</v>
      </c>
    </row>
    <row r="2767" spans="1:10" x14ac:dyDescent="0.25">
      <c r="A2767" s="1">
        <v>44964</v>
      </c>
      <c r="B2767" t="s">
        <v>32</v>
      </c>
      <c r="C2767" t="s">
        <v>19</v>
      </c>
      <c r="D2767" t="s">
        <v>12</v>
      </c>
      <c r="E2767" t="s">
        <v>50</v>
      </c>
      <c r="F2767" t="s">
        <v>51</v>
      </c>
      <c r="G2767" t="s">
        <v>35</v>
      </c>
      <c r="H2767">
        <v>8</v>
      </c>
      <c r="I2767">
        <v>7072</v>
      </c>
      <c r="J2767">
        <v>1983.42</v>
      </c>
    </row>
    <row r="2768" spans="1:10" x14ac:dyDescent="0.25">
      <c r="A2768" s="1">
        <v>45511</v>
      </c>
      <c r="B2768" t="s">
        <v>40</v>
      </c>
      <c r="C2768" t="s">
        <v>19</v>
      </c>
      <c r="D2768" t="s">
        <v>12</v>
      </c>
      <c r="E2768" t="s">
        <v>52</v>
      </c>
      <c r="F2768" t="s">
        <v>42</v>
      </c>
      <c r="G2768" t="s">
        <v>28</v>
      </c>
      <c r="H2768">
        <v>3</v>
      </c>
      <c r="I2768">
        <v>342</v>
      </c>
      <c r="J2768">
        <v>89.67</v>
      </c>
    </row>
    <row r="2769" spans="1:10" x14ac:dyDescent="0.25">
      <c r="A2769" s="1">
        <v>44962</v>
      </c>
      <c r="B2769" t="s">
        <v>10</v>
      </c>
      <c r="C2769" t="s">
        <v>11</v>
      </c>
      <c r="D2769" t="s">
        <v>12</v>
      </c>
      <c r="E2769" t="s">
        <v>53</v>
      </c>
      <c r="F2769" t="s">
        <v>54</v>
      </c>
      <c r="G2769" t="s">
        <v>24</v>
      </c>
      <c r="H2769">
        <v>4</v>
      </c>
      <c r="I2769">
        <v>2440</v>
      </c>
      <c r="J2769">
        <v>410.86</v>
      </c>
    </row>
    <row r="2770" spans="1:10" x14ac:dyDescent="0.25">
      <c r="A2770" s="1">
        <v>45313</v>
      </c>
      <c r="B2770" t="s">
        <v>16</v>
      </c>
      <c r="C2770" t="s">
        <v>17</v>
      </c>
      <c r="D2770" t="s">
        <v>12</v>
      </c>
      <c r="E2770" t="s">
        <v>52</v>
      </c>
      <c r="F2770" t="s">
        <v>42</v>
      </c>
      <c r="G2770" t="s">
        <v>28</v>
      </c>
      <c r="H2770">
        <v>5</v>
      </c>
      <c r="I2770">
        <v>510</v>
      </c>
      <c r="J2770">
        <v>82.47</v>
      </c>
    </row>
    <row r="2771" spans="1:10" x14ac:dyDescent="0.25">
      <c r="A2771" s="1">
        <v>45211</v>
      </c>
      <c r="B2771" t="s">
        <v>40</v>
      </c>
      <c r="C2771" t="s">
        <v>19</v>
      </c>
      <c r="D2771" t="s">
        <v>12</v>
      </c>
      <c r="E2771" t="s">
        <v>56</v>
      </c>
      <c r="F2771" t="s">
        <v>57</v>
      </c>
      <c r="G2771" t="s">
        <v>24</v>
      </c>
      <c r="H2771">
        <v>1</v>
      </c>
      <c r="I2771">
        <v>192</v>
      </c>
      <c r="J2771">
        <v>16.47</v>
      </c>
    </row>
    <row r="2772" spans="1:10" x14ac:dyDescent="0.25">
      <c r="A2772" s="1">
        <v>45195</v>
      </c>
      <c r="B2772" t="s">
        <v>16</v>
      </c>
      <c r="C2772" t="s">
        <v>17</v>
      </c>
      <c r="D2772" t="s">
        <v>12</v>
      </c>
      <c r="E2772" t="s">
        <v>58</v>
      </c>
      <c r="F2772" t="s">
        <v>59</v>
      </c>
      <c r="G2772" t="s">
        <v>28</v>
      </c>
      <c r="H2772">
        <v>5</v>
      </c>
      <c r="I2772">
        <v>3600</v>
      </c>
      <c r="J2772">
        <v>712.3</v>
      </c>
    </row>
    <row r="2773" spans="1:10" x14ac:dyDescent="0.25">
      <c r="A2773" s="1">
        <v>45444</v>
      </c>
      <c r="B2773" t="s">
        <v>25</v>
      </c>
      <c r="C2773" t="s">
        <v>19</v>
      </c>
      <c r="D2773" t="s">
        <v>12</v>
      </c>
      <c r="E2773" t="s">
        <v>37</v>
      </c>
      <c r="F2773" t="s">
        <v>34</v>
      </c>
      <c r="G2773" t="s">
        <v>35</v>
      </c>
      <c r="H2773">
        <v>7</v>
      </c>
      <c r="I2773">
        <v>2597</v>
      </c>
      <c r="J2773">
        <v>766.32</v>
      </c>
    </row>
    <row r="2774" spans="1:10" x14ac:dyDescent="0.25">
      <c r="A2774" s="1">
        <v>45150</v>
      </c>
      <c r="B2774" t="s">
        <v>25</v>
      </c>
      <c r="C2774" t="s">
        <v>19</v>
      </c>
      <c r="D2774" t="s">
        <v>12</v>
      </c>
      <c r="E2774" t="s">
        <v>60</v>
      </c>
      <c r="F2774" t="s">
        <v>44</v>
      </c>
      <c r="G2774" t="s">
        <v>35</v>
      </c>
      <c r="H2774">
        <v>4</v>
      </c>
      <c r="I2774">
        <v>772</v>
      </c>
      <c r="J2774">
        <v>215.62</v>
      </c>
    </row>
    <row r="2775" spans="1:10" x14ac:dyDescent="0.25">
      <c r="A2775" s="1">
        <v>45144</v>
      </c>
      <c r="B2775" t="s">
        <v>16</v>
      </c>
      <c r="C2775" t="s">
        <v>17</v>
      </c>
      <c r="D2775" t="s">
        <v>12</v>
      </c>
      <c r="E2775" t="s">
        <v>22</v>
      </c>
      <c r="F2775" t="s">
        <v>23</v>
      </c>
      <c r="G2775" t="s">
        <v>24</v>
      </c>
      <c r="H2775">
        <v>2</v>
      </c>
      <c r="I2775">
        <v>646</v>
      </c>
      <c r="J2775">
        <v>180.5</v>
      </c>
    </row>
    <row r="2776" spans="1:10" x14ac:dyDescent="0.25">
      <c r="A2776" s="1">
        <v>45380</v>
      </c>
      <c r="B2776" t="s">
        <v>40</v>
      </c>
      <c r="C2776" t="s">
        <v>19</v>
      </c>
      <c r="D2776" t="s">
        <v>12</v>
      </c>
      <c r="E2776" t="s">
        <v>22</v>
      </c>
      <c r="F2776" t="s">
        <v>23</v>
      </c>
      <c r="G2776" t="s">
        <v>24</v>
      </c>
      <c r="H2776">
        <v>7</v>
      </c>
      <c r="I2776">
        <v>2947</v>
      </c>
      <c r="J2776">
        <v>809.46</v>
      </c>
    </row>
    <row r="2777" spans="1:10" x14ac:dyDescent="0.25">
      <c r="A2777" s="1">
        <v>44978</v>
      </c>
      <c r="B2777" t="s">
        <v>55</v>
      </c>
      <c r="C2777" t="s">
        <v>19</v>
      </c>
      <c r="D2777" t="s">
        <v>12</v>
      </c>
      <c r="E2777" t="s">
        <v>61</v>
      </c>
      <c r="F2777" t="s">
        <v>23</v>
      </c>
      <c r="G2777" t="s">
        <v>24</v>
      </c>
      <c r="H2777">
        <v>5</v>
      </c>
      <c r="I2777">
        <v>880</v>
      </c>
      <c r="J2777">
        <v>255.9</v>
      </c>
    </row>
    <row r="2778" spans="1:10" x14ac:dyDescent="0.25">
      <c r="A2778" s="1">
        <v>44603</v>
      </c>
      <c r="B2778" t="s">
        <v>25</v>
      </c>
      <c r="C2778" t="s">
        <v>19</v>
      </c>
      <c r="D2778" t="s">
        <v>12</v>
      </c>
      <c r="E2778" t="s">
        <v>26</v>
      </c>
      <c r="F2778" t="s">
        <v>27</v>
      </c>
      <c r="G2778" t="s">
        <v>28</v>
      </c>
      <c r="H2778">
        <v>3</v>
      </c>
      <c r="I2778">
        <v>1038</v>
      </c>
      <c r="J2778">
        <v>219.69</v>
      </c>
    </row>
    <row r="2779" spans="1:10" x14ac:dyDescent="0.25">
      <c r="A2779" s="1">
        <v>45509</v>
      </c>
      <c r="B2779" t="s">
        <v>10</v>
      </c>
      <c r="C2779" t="s">
        <v>11</v>
      </c>
      <c r="D2779" t="s">
        <v>12</v>
      </c>
      <c r="E2779" t="s">
        <v>62</v>
      </c>
      <c r="F2779" t="s">
        <v>63</v>
      </c>
      <c r="G2779" t="s">
        <v>28</v>
      </c>
      <c r="H2779">
        <v>1</v>
      </c>
      <c r="I2779">
        <v>714</v>
      </c>
      <c r="J2779">
        <v>209.69</v>
      </c>
    </row>
    <row r="2780" spans="1:10" x14ac:dyDescent="0.25">
      <c r="A2780" s="1">
        <v>45142</v>
      </c>
      <c r="B2780" t="s">
        <v>55</v>
      </c>
      <c r="C2780" t="s">
        <v>19</v>
      </c>
      <c r="D2780" t="s">
        <v>12</v>
      </c>
      <c r="E2780" t="s">
        <v>64</v>
      </c>
      <c r="F2780" t="s">
        <v>65</v>
      </c>
      <c r="G2780" t="s">
        <v>35</v>
      </c>
      <c r="H2780">
        <v>4</v>
      </c>
      <c r="I2780">
        <v>1792</v>
      </c>
      <c r="J2780">
        <v>506.56</v>
      </c>
    </row>
    <row r="2781" spans="1:10" x14ac:dyDescent="0.25">
      <c r="A2781" s="1">
        <v>44794</v>
      </c>
      <c r="B2781" t="s">
        <v>29</v>
      </c>
      <c r="C2781" t="s">
        <v>17</v>
      </c>
      <c r="D2781" t="s">
        <v>12</v>
      </c>
      <c r="E2781" t="s">
        <v>56</v>
      </c>
      <c r="F2781" t="s">
        <v>57</v>
      </c>
      <c r="G2781" t="s">
        <v>24</v>
      </c>
      <c r="H2781">
        <v>6</v>
      </c>
      <c r="I2781">
        <v>5874</v>
      </c>
      <c r="J2781">
        <v>1386.51</v>
      </c>
    </row>
    <row r="2782" spans="1:10" x14ac:dyDescent="0.25">
      <c r="A2782" s="1">
        <v>45151</v>
      </c>
      <c r="B2782" t="s">
        <v>32</v>
      </c>
      <c r="C2782" t="s">
        <v>19</v>
      </c>
      <c r="D2782" t="s">
        <v>12</v>
      </c>
      <c r="E2782" t="s">
        <v>66</v>
      </c>
      <c r="F2782" t="s">
        <v>34</v>
      </c>
      <c r="G2782" t="s">
        <v>35</v>
      </c>
      <c r="H2782">
        <v>6</v>
      </c>
      <c r="I2782">
        <v>2496</v>
      </c>
      <c r="J2782">
        <v>332.08</v>
      </c>
    </row>
    <row r="2783" spans="1:10" x14ac:dyDescent="0.25">
      <c r="A2783" s="1">
        <v>45273</v>
      </c>
      <c r="B2783" t="s">
        <v>32</v>
      </c>
      <c r="C2783" t="s">
        <v>19</v>
      </c>
      <c r="D2783" t="s">
        <v>12</v>
      </c>
      <c r="E2783" t="s">
        <v>22</v>
      </c>
      <c r="F2783" t="s">
        <v>23</v>
      </c>
      <c r="G2783" t="s">
        <v>24</v>
      </c>
      <c r="H2783">
        <v>3</v>
      </c>
      <c r="I2783">
        <v>795</v>
      </c>
      <c r="J2783">
        <v>60.34</v>
      </c>
    </row>
    <row r="2784" spans="1:10" x14ac:dyDescent="0.25">
      <c r="A2784" s="1">
        <v>44952</v>
      </c>
      <c r="B2784" t="s">
        <v>40</v>
      </c>
      <c r="C2784" t="s">
        <v>19</v>
      </c>
      <c r="D2784" t="s">
        <v>12</v>
      </c>
      <c r="E2784" t="s">
        <v>62</v>
      </c>
      <c r="F2784" t="s">
        <v>63</v>
      </c>
      <c r="G2784" t="s">
        <v>28</v>
      </c>
      <c r="H2784">
        <v>7</v>
      </c>
      <c r="I2784">
        <v>7238</v>
      </c>
      <c r="J2784">
        <v>1597.03</v>
      </c>
    </row>
    <row r="2785" spans="1:10" x14ac:dyDescent="0.25">
      <c r="A2785" s="1">
        <v>45165</v>
      </c>
      <c r="B2785" t="s">
        <v>18</v>
      </c>
      <c r="C2785" t="s">
        <v>19</v>
      </c>
      <c r="D2785" t="s">
        <v>12</v>
      </c>
      <c r="E2785" t="s">
        <v>52</v>
      </c>
      <c r="F2785" t="s">
        <v>42</v>
      </c>
      <c r="G2785" t="s">
        <v>28</v>
      </c>
      <c r="H2785">
        <v>1</v>
      </c>
      <c r="I2785">
        <v>430</v>
      </c>
      <c r="J2785">
        <v>83.33</v>
      </c>
    </row>
    <row r="2786" spans="1:10" x14ac:dyDescent="0.25">
      <c r="A2786" s="1">
        <v>44571</v>
      </c>
      <c r="B2786" t="s">
        <v>29</v>
      </c>
      <c r="C2786" t="s">
        <v>17</v>
      </c>
      <c r="D2786" t="s">
        <v>12</v>
      </c>
      <c r="E2786" t="s">
        <v>52</v>
      </c>
      <c r="F2786" t="s">
        <v>42</v>
      </c>
      <c r="G2786" t="s">
        <v>28</v>
      </c>
      <c r="H2786">
        <v>4</v>
      </c>
      <c r="I2786">
        <v>1728</v>
      </c>
      <c r="J2786">
        <v>239.64</v>
      </c>
    </row>
    <row r="2787" spans="1:10" x14ac:dyDescent="0.25">
      <c r="A2787" s="1">
        <v>44658</v>
      </c>
      <c r="B2787" t="s">
        <v>36</v>
      </c>
      <c r="C2787" t="s">
        <v>17</v>
      </c>
      <c r="D2787" t="s">
        <v>12</v>
      </c>
      <c r="E2787" t="s">
        <v>67</v>
      </c>
      <c r="F2787" t="s">
        <v>54</v>
      </c>
      <c r="G2787" t="s">
        <v>24</v>
      </c>
      <c r="H2787">
        <v>3</v>
      </c>
      <c r="I2787">
        <v>1833</v>
      </c>
      <c r="J2787">
        <v>314.79000000000002</v>
      </c>
    </row>
    <row r="2788" spans="1:10" x14ac:dyDescent="0.25">
      <c r="A2788" s="1">
        <v>45222</v>
      </c>
      <c r="B2788" t="s">
        <v>36</v>
      </c>
      <c r="C2788" t="s">
        <v>17</v>
      </c>
      <c r="D2788" t="s">
        <v>12</v>
      </c>
      <c r="E2788" t="s">
        <v>64</v>
      </c>
      <c r="F2788" t="s">
        <v>46</v>
      </c>
      <c r="G2788" t="s">
        <v>15</v>
      </c>
      <c r="H2788">
        <v>7</v>
      </c>
      <c r="I2788">
        <v>7280</v>
      </c>
      <c r="J2788">
        <v>1682.79</v>
      </c>
    </row>
    <row r="2789" spans="1:10" x14ac:dyDescent="0.25">
      <c r="A2789" s="1">
        <v>45352</v>
      </c>
      <c r="B2789" t="s">
        <v>32</v>
      </c>
      <c r="C2789" t="s">
        <v>19</v>
      </c>
      <c r="D2789" t="s">
        <v>12</v>
      </c>
      <c r="E2789" t="s">
        <v>68</v>
      </c>
      <c r="F2789" t="s">
        <v>63</v>
      </c>
      <c r="G2789" t="s">
        <v>28</v>
      </c>
      <c r="H2789">
        <v>1</v>
      </c>
      <c r="I2789">
        <v>814</v>
      </c>
      <c r="J2789">
        <v>197.91</v>
      </c>
    </row>
    <row r="2790" spans="1:10" x14ac:dyDescent="0.25">
      <c r="A2790" s="1">
        <v>44991</v>
      </c>
      <c r="B2790" t="s">
        <v>10</v>
      </c>
      <c r="C2790" t="s">
        <v>11</v>
      </c>
      <c r="D2790" t="s">
        <v>12</v>
      </c>
      <c r="E2790" t="s">
        <v>69</v>
      </c>
      <c r="F2790" t="s">
        <v>63</v>
      </c>
      <c r="G2790" t="s">
        <v>28</v>
      </c>
      <c r="H2790">
        <v>8</v>
      </c>
      <c r="I2790">
        <v>4696</v>
      </c>
      <c r="J2790">
        <v>410.03</v>
      </c>
    </row>
    <row r="2791" spans="1:10" x14ac:dyDescent="0.25">
      <c r="A2791" s="1">
        <v>45134</v>
      </c>
      <c r="B2791" t="s">
        <v>16</v>
      </c>
      <c r="C2791" t="s">
        <v>17</v>
      </c>
      <c r="D2791" t="s">
        <v>12</v>
      </c>
      <c r="E2791" t="s">
        <v>70</v>
      </c>
      <c r="F2791" t="s">
        <v>71</v>
      </c>
      <c r="G2791" t="s">
        <v>35</v>
      </c>
      <c r="H2791">
        <v>5</v>
      </c>
      <c r="I2791">
        <v>1190</v>
      </c>
      <c r="J2791">
        <v>235.64</v>
      </c>
    </row>
    <row r="2792" spans="1:10" x14ac:dyDescent="0.25">
      <c r="A2792" s="1">
        <v>45307</v>
      </c>
      <c r="B2792" t="s">
        <v>10</v>
      </c>
      <c r="C2792" t="s">
        <v>11</v>
      </c>
      <c r="D2792" t="s">
        <v>12</v>
      </c>
      <c r="E2792" t="s">
        <v>47</v>
      </c>
      <c r="F2792" t="s">
        <v>46</v>
      </c>
      <c r="G2792" t="s">
        <v>15</v>
      </c>
      <c r="H2792">
        <v>1</v>
      </c>
      <c r="I2792">
        <v>591</v>
      </c>
      <c r="J2792">
        <v>39.06</v>
      </c>
    </row>
    <row r="2793" spans="1:10" x14ac:dyDescent="0.25">
      <c r="A2793" s="1">
        <v>45259</v>
      </c>
      <c r="B2793" t="s">
        <v>16</v>
      </c>
      <c r="C2793" t="s">
        <v>17</v>
      </c>
      <c r="D2793" t="s">
        <v>12</v>
      </c>
      <c r="E2793" t="s">
        <v>47</v>
      </c>
      <c r="F2793" t="s">
        <v>46</v>
      </c>
      <c r="G2793" t="s">
        <v>15</v>
      </c>
      <c r="H2793">
        <v>9</v>
      </c>
      <c r="I2793">
        <v>8100</v>
      </c>
      <c r="J2793">
        <v>2203.56</v>
      </c>
    </row>
    <row r="2794" spans="1:10" x14ac:dyDescent="0.25">
      <c r="A2794" s="1">
        <v>45388</v>
      </c>
      <c r="B2794" t="s">
        <v>55</v>
      </c>
      <c r="C2794" t="s">
        <v>19</v>
      </c>
      <c r="D2794" t="s">
        <v>12</v>
      </c>
      <c r="E2794" t="s">
        <v>72</v>
      </c>
      <c r="F2794" t="s">
        <v>21</v>
      </c>
      <c r="G2794" t="s">
        <v>15</v>
      </c>
      <c r="H2794">
        <v>6</v>
      </c>
      <c r="I2794">
        <v>1500</v>
      </c>
      <c r="J2794">
        <v>183.31</v>
      </c>
    </row>
    <row r="2795" spans="1:10" x14ac:dyDescent="0.25">
      <c r="A2795" s="1">
        <v>45499</v>
      </c>
      <c r="B2795" t="s">
        <v>32</v>
      </c>
      <c r="C2795" t="s">
        <v>19</v>
      </c>
      <c r="D2795" t="s">
        <v>12</v>
      </c>
      <c r="E2795" t="s">
        <v>72</v>
      </c>
      <c r="F2795" t="s">
        <v>21</v>
      </c>
      <c r="G2795" t="s">
        <v>15</v>
      </c>
      <c r="H2795">
        <v>2</v>
      </c>
      <c r="I2795">
        <v>300</v>
      </c>
      <c r="J2795">
        <v>48.69</v>
      </c>
    </row>
    <row r="2796" spans="1:10" x14ac:dyDescent="0.25">
      <c r="A2796" s="1">
        <v>45077</v>
      </c>
      <c r="B2796" t="s">
        <v>32</v>
      </c>
      <c r="C2796" t="s">
        <v>19</v>
      </c>
      <c r="D2796" t="s">
        <v>12</v>
      </c>
      <c r="E2796" t="s">
        <v>72</v>
      </c>
      <c r="F2796" t="s">
        <v>21</v>
      </c>
      <c r="G2796" t="s">
        <v>15</v>
      </c>
      <c r="H2796">
        <v>9</v>
      </c>
      <c r="I2796">
        <v>1098</v>
      </c>
      <c r="J2796">
        <v>106.97</v>
      </c>
    </row>
    <row r="2797" spans="1:10" x14ac:dyDescent="0.25">
      <c r="A2797" s="1">
        <v>45440</v>
      </c>
      <c r="B2797" t="s">
        <v>36</v>
      </c>
      <c r="C2797" t="s">
        <v>17</v>
      </c>
      <c r="D2797" t="s">
        <v>12</v>
      </c>
      <c r="E2797" t="s">
        <v>43</v>
      </c>
      <c r="F2797" t="s">
        <v>44</v>
      </c>
      <c r="G2797" t="s">
        <v>35</v>
      </c>
      <c r="H2797">
        <v>4</v>
      </c>
      <c r="I2797">
        <v>2336</v>
      </c>
      <c r="J2797">
        <v>509.49</v>
      </c>
    </row>
    <row r="2798" spans="1:10" x14ac:dyDescent="0.25">
      <c r="A2798" s="1">
        <v>44839</v>
      </c>
      <c r="B2798" t="s">
        <v>25</v>
      </c>
      <c r="C2798" t="s">
        <v>19</v>
      </c>
      <c r="D2798" t="s">
        <v>12</v>
      </c>
      <c r="E2798" t="s">
        <v>43</v>
      </c>
      <c r="F2798" t="s">
        <v>44</v>
      </c>
      <c r="G2798" t="s">
        <v>35</v>
      </c>
      <c r="H2798">
        <v>5</v>
      </c>
      <c r="I2798">
        <v>410</v>
      </c>
      <c r="J2798">
        <v>40.96</v>
      </c>
    </row>
    <row r="2799" spans="1:10" x14ac:dyDescent="0.25">
      <c r="A2799" s="1">
        <v>45208</v>
      </c>
      <c r="B2799" t="s">
        <v>16</v>
      </c>
      <c r="C2799" t="s">
        <v>17</v>
      </c>
      <c r="D2799" t="s">
        <v>12</v>
      </c>
      <c r="E2799" t="s">
        <v>43</v>
      </c>
      <c r="F2799" t="s">
        <v>44</v>
      </c>
      <c r="G2799" t="s">
        <v>35</v>
      </c>
      <c r="H2799">
        <v>9</v>
      </c>
      <c r="I2799">
        <v>594</v>
      </c>
      <c r="J2799">
        <v>51.49</v>
      </c>
    </row>
    <row r="2800" spans="1:10" x14ac:dyDescent="0.25">
      <c r="A2800" s="1">
        <v>45189</v>
      </c>
      <c r="B2800" t="s">
        <v>32</v>
      </c>
      <c r="C2800" t="s">
        <v>19</v>
      </c>
      <c r="D2800" t="s">
        <v>12</v>
      </c>
      <c r="E2800" t="s">
        <v>43</v>
      </c>
      <c r="F2800" t="s">
        <v>44</v>
      </c>
      <c r="G2800" t="s">
        <v>35</v>
      </c>
      <c r="H2800">
        <v>2</v>
      </c>
      <c r="I2800">
        <v>218</v>
      </c>
      <c r="J2800">
        <v>38.93</v>
      </c>
    </row>
    <row r="2801" spans="1:10" x14ac:dyDescent="0.25">
      <c r="A2801" s="1">
        <v>45010</v>
      </c>
      <c r="B2801" t="s">
        <v>18</v>
      </c>
      <c r="C2801" t="s">
        <v>19</v>
      </c>
      <c r="D2801" t="s">
        <v>12</v>
      </c>
      <c r="E2801" t="s">
        <v>73</v>
      </c>
      <c r="F2801" t="s">
        <v>51</v>
      </c>
      <c r="G2801" t="s">
        <v>35</v>
      </c>
      <c r="H2801">
        <v>2</v>
      </c>
      <c r="I2801">
        <v>1298</v>
      </c>
      <c r="J2801">
        <v>123.9</v>
      </c>
    </row>
    <row r="2802" spans="1:10" x14ac:dyDescent="0.25">
      <c r="A2802" s="1">
        <v>45379</v>
      </c>
      <c r="B2802" t="s">
        <v>18</v>
      </c>
      <c r="C2802" t="s">
        <v>19</v>
      </c>
      <c r="D2802" t="s">
        <v>12</v>
      </c>
      <c r="E2802" t="s">
        <v>74</v>
      </c>
      <c r="F2802" t="s">
        <v>23</v>
      </c>
      <c r="G2802" t="s">
        <v>24</v>
      </c>
      <c r="H2802">
        <v>5</v>
      </c>
      <c r="I2802">
        <v>895</v>
      </c>
      <c r="J2802">
        <v>180.64</v>
      </c>
    </row>
    <row r="2803" spans="1:10" x14ac:dyDescent="0.25">
      <c r="A2803" s="1">
        <v>45138</v>
      </c>
      <c r="B2803" t="s">
        <v>49</v>
      </c>
      <c r="C2803" t="s">
        <v>17</v>
      </c>
      <c r="D2803" t="s">
        <v>12</v>
      </c>
      <c r="E2803" t="s">
        <v>43</v>
      </c>
      <c r="F2803" t="s">
        <v>44</v>
      </c>
      <c r="G2803" t="s">
        <v>35</v>
      </c>
      <c r="H2803">
        <v>4</v>
      </c>
      <c r="I2803">
        <v>2828</v>
      </c>
      <c r="J2803">
        <v>539.42999999999995</v>
      </c>
    </row>
    <row r="2804" spans="1:10" x14ac:dyDescent="0.25">
      <c r="A2804" s="1">
        <v>45245</v>
      </c>
      <c r="B2804" t="s">
        <v>18</v>
      </c>
      <c r="C2804" t="s">
        <v>19</v>
      </c>
      <c r="D2804" t="s">
        <v>12</v>
      </c>
      <c r="E2804" t="s">
        <v>74</v>
      </c>
      <c r="F2804" t="s">
        <v>23</v>
      </c>
      <c r="G2804" t="s">
        <v>24</v>
      </c>
      <c r="H2804">
        <v>3</v>
      </c>
      <c r="I2804">
        <v>813</v>
      </c>
      <c r="J2804">
        <v>188.94</v>
      </c>
    </row>
    <row r="2805" spans="1:10" x14ac:dyDescent="0.25">
      <c r="A2805" s="1">
        <v>45462</v>
      </c>
      <c r="B2805" t="s">
        <v>36</v>
      </c>
      <c r="C2805" t="s">
        <v>17</v>
      </c>
      <c r="D2805" t="s">
        <v>12</v>
      </c>
      <c r="E2805" t="s">
        <v>22</v>
      </c>
      <c r="F2805" t="s">
        <v>23</v>
      </c>
      <c r="G2805" t="s">
        <v>24</v>
      </c>
      <c r="H2805">
        <v>4</v>
      </c>
      <c r="I2805">
        <v>1800</v>
      </c>
      <c r="J2805">
        <v>170.19</v>
      </c>
    </row>
    <row r="2806" spans="1:10" x14ac:dyDescent="0.25">
      <c r="A2806" s="1">
        <v>45497</v>
      </c>
      <c r="B2806" t="s">
        <v>18</v>
      </c>
      <c r="C2806" t="s">
        <v>19</v>
      </c>
      <c r="D2806" t="s">
        <v>12</v>
      </c>
      <c r="E2806" t="s">
        <v>75</v>
      </c>
      <c r="F2806" t="s">
        <v>63</v>
      </c>
      <c r="G2806" t="s">
        <v>28</v>
      </c>
      <c r="H2806">
        <v>1</v>
      </c>
      <c r="I2806">
        <v>99</v>
      </c>
      <c r="J2806">
        <v>12.79</v>
      </c>
    </row>
    <row r="2807" spans="1:10" x14ac:dyDescent="0.25">
      <c r="A2807" s="1">
        <v>44819</v>
      </c>
      <c r="B2807" t="s">
        <v>29</v>
      </c>
      <c r="C2807" t="s">
        <v>17</v>
      </c>
      <c r="D2807" t="s">
        <v>12</v>
      </c>
      <c r="E2807" t="s">
        <v>76</v>
      </c>
      <c r="F2807" t="s">
        <v>54</v>
      </c>
      <c r="G2807" t="s">
        <v>24</v>
      </c>
      <c r="H2807">
        <v>8</v>
      </c>
      <c r="I2807">
        <v>7576</v>
      </c>
      <c r="J2807">
        <v>1703.42</v>
      </c>
    </row>
    <row r="2808" spans="1:10" x14ac:dyDescent="0.25">
      <c r="A2808" s="1">
        <v>45315</v>
      </c>
      <c r="B2808" t="s">
        <v>32</v>
      </c>
      <c r="C2808" t="s">
        <v>19</v>
      </c>
      <c r="D2808" t="s">
        <v>12</v>
      </c>
      <c r="E2808" t="s">
        <v>76</v>
      </c>
      <c r="F2808" t="s">
        <v>54</v>
      </c>
      <c r="G2808" t="s">
        <v>24</v>
      </c>
      <c r="H2808">
        <v>3</v>
      </c>
      <c r="I2808">
        <v>1317</v>
      </c>
      <c r="J2808">
        <v>71.02</v>
      </c>
    </row>
    <row r="2809" spans="1:10" x14ac:dyDescent="0.25">
      <c r="A2809" s="1">
        <v>45372</v>
      </c>
      <c r="B2809" t="s">
        <v>32</v>
      </c>
      <c r="C2809" t="s">
        <v>19</v>
      </c>
      <c r="D2809" t="s">
        <v>12</v>
      </c>
      <c r="E2809" t="s">
        <v>76</v>
      </c>
      <c r="F2809" t="s">
        <v>54</v>
      </c>
      <c r="G2809" t="s">
        <v>24</v>
      </c>
      <c r="H2809">
        <v>3</v>
      </c>
      <c r="I2809">
        <v>957</v>
      </c>
      <c r="J2809">
        <v>120.27</v>
      </c>
    </row>
    <row r="2810" spans="1:10" x14ac:dyDescent="0.25">
      <c r="A2810" s="1">
        <v>44578</v>
      </c>
      <c r="B2810" t="s">
        <v>16</v>
      </c>
      <c r="C2810" t="s">
        <v>17</v>
      </c>
      <c r="D2810" t="s">
        <v>12</v>
      </c>
      <c r="E2810" t="s">
        <v>77</v>
      </c>
      <c r="F2810" t="s">
        <v>78</v>
      </c>
      <c r="G2810" t="s">
        <v>28</v>
      </c>
      <c r="H2810">
        <v>4</v>
      </c>
      <c r="I2810">
        <v>1316</v>
      </c>
      <c r="J2810">
        <v>244.13</v>
      </c>
    </row>
    <row r="2811" spans="1:10" x14ac:dyDescent="0.25">
      <c r="A2811" s="1">
        <v>45646</v>
      </c>
      <c r="B2811" t="s">
        <v>29</v>
      </c>
      <c r="C2811" t="s">
        <v>17</v>
      </c>
      <c r="D2811" t="s">
        <v>12</v>
      </c>
      <c r="E2811" t="s">
        <v>43</v>
      </c>
      <c r="F2811" t="s">
        <v>44</v>
      </c>
      <c r="G2811" t="s">
        <v>35</v>
      </c>
      <c r="H2811">
        <v>6</v>
      </c>
      <c r="I2811">
        <v>5346</v>
      </c>
      <c r="J2811">
        <v>351.93</v>
      </c>
    </row>
    <row r="2812" spans="1:10" x14ac:dyDescent="0.25">
      <c r="A2812" s="1">
        <v>44992</v>
      </c>
      <c r="B2812" t="s">
        <v>40</v>
      </c>
      <c r="C2812" t="s">
        <v>19</v>
      </c>
      <c r="D2812" t="s">
        <v>12</v>
      </c>
      <c r="E2812" t="s">
        <v>52</v>
      </c>
      <c r="F2812" t="s">
        <v>42</v>
      </c>
      <c r="G2812" t="s">
        <v>28</v>
      </c>
      <c r="H2812">
        <v>1</v>
      </c>
      <c r="I2812">
        <v>464</v>
      </c>
      <c r="J2812">
        <v>66.260000000000005</v>
      </c>
    </row>
    <row r="2813" spans="1:10" x14ac:dyDescent="0.25">
      <c r="A2813" s="1">
        <v>44832</v>
      </c>
      <c r="B2813" t="s">
        <v>49</v>
      </c>
      <c r="C2813" t="s">
        <v>17</v>
      </c>
      <c r="D2813" t="s">
        <v>12</v>
      </c>
      <c r="E2813" t="s">
        <v>79</v>
      </c>
      <c r="F2813" t="s">
        <v>54</v>
      </c>
      <c r="G2813" t="s">
        <v>24</v>
      </c>
      <c r="H2813">
        <v>7</v>
      </c>
      <c r="I2813">
        <v>3752</v>
      </c>
      <c r="J2813">
        <v>835.34</v>
      </c>
    </row>
    <row r="2814" spans="1:10" x14ac:dyDescent="0.25">
      <c r="A2814" s="1">
        <v>45474</v>
      </c>
      <c r="B2814" t="s">
        <v>49</v>
      </c>
      <c r="C2814" t="s">
        <v>17</v>
      </c>
      <c r="D2814" t="s">
        <v>12</v>
      </c>
      <c r="E2814" t="s">
        <v>79</v>
      </c>
      <c r="F2814" t="s">
        <v>54</v>
      </c>
      <c r="G2814" t="s">
        <v>24</v>
      </c>
      <c r="H2814">
        <v>6</v>
      </c>
      <c r="I2814">
        <v>1962</v>
      </c>
      <c r="J2814">
        <v>301.57</v>
      </c>
    </row>
    <row r="2815" spans="1:10" x14ac:dyDescent="0.25">
      <c r="A2815" s="1">
        <v>45623</v>
      </c>
      <c r="B2815" t="s">
        <v>40</v>
      </c>
      <c r="C2815" t="s">
        <v>19</v>
      </c>
      <c r="D2815" t="s">
        <v>12</v>
      </c>
      <c r="E2815" t="s">
        <v>79</v>
      </c>
      <c r="F2815" t="s">
        <v>54</v>
      </c>
      <c r="G2815" t="s">
        <v>24</v>
      </c>
      <c r="H2815">
        <v>6</v>
      </c>
      <c r="I2815">
        <v>2310</v>
      </c>
      <c r="J2815">
        <v>202.98</v>
      </c>
    </row>
    <row r="2816" spans="1:10" x14ac:dyDescent="0.25">
      <c r="A2816" s="1">
        <v>44986</v>
      </c>
      <c r="B2816" t="s">
        <v>18</v>
      </c>
      <c r="C2816" t="s">
        <v>19</v>
      </c>
      <c r="D2816" t="s">
        <v>12</v>
      </c>
      <c r="E2816" t="s">
        <v>80</v>
      </c>
      <c r="F2816" t="s">
        <v>78</v>
      </c>
      <c r="G2816" t="s">
        <v>28</v>
      </c>
      <c r="H2816">
        <v>4</v>
      </c>
      <c r="I2816">
        <v>3028</v>
      </c>
      <c r="J2816">
        <v>685.23</v>
      </c>
    </row>
    <row r="2817" spans="1:10" x14ac:dyDescent="0.25">
      <c r="A2817" s="1">
        <v>45129</v>
      </c>
      <c r="B2817" t="s">
        <v>36</v>
      </c>
      <c r="C2817" t="s">
        <v>17</v>
      </c>
      <c r="D2817" t="s">
        <v>12</v>
      </c>
      <c r="E2817" t="s">
        <v>52</v>
      </c>
      <c r="F2817" t="s">
        <v>42</v>
      </c>
      <c r="G2817" t="s">
        <v>28</v>
      </c>
      <c r="H2817">
        <v>3</v>
      </c>
      <c r="I2817">
        <v>2994</v>
      </c>
      <c r="J2817">
        <v>877.92</v>
      </c>
    </row>
    <row r="2818" spans="1:10" x14ac:dyDescent="0.25">
      <c r="A2818" s="1">
        <v>45461</v>
      </c>
      <c r="B2818" t="s">
        <v>18</v>
      </c>
      <c r="C2818" t="s">
        <v>19</v>
      </c>
      <c r="D2818" t="s">
        <v>12</v>
      </c>
      <c r="E2818" t="s">
        <v>81</v>
      </c>
      <c r="F2818" t="s">
        <v>46</v>
      </c>
      <c r="G2818" t="s">
        <v>15</v>
      </c>
      <c r="H2818">
        <v>3</v>
      </c>
      <c r="I2818">
        <v>3393</v>
      </c>
      <c r="J2818">
        <v>313.45</v>
      </c>
    </row>
    <row r="2819" spans="1:10" x14ac:dyDescent="0.25">
      <c r="A2819" s="1">
        <v>45604</v>
      </c>
      <c r="B2819" t="s">
        <v>25</v>
      </c>
      <c r="C2819" t="s">
        <v>19</v>
      </c>
      <c r="D2819" t="s">
        <v>12</v>
      </c>
      <c r="E2819" t="s">
        <v>26</v>
      </c>
      <c r="F2819" t="s">
        <v>27</v>
      </c>
      <c r="G2819" t="s">
        <v>28</v>
      </c>
      <c r="H2819">
        <v>3</v>
      </c>
      <c r="I2819">
        <v>1209</v>
      </c>
      <c r="J2819">
        <v>320.61</v>
      </c>
    </row>
    <row r="2820" spans="1:10" x14ac:dyDescent="0.25">
      <c r="A2820" s="1">
        <v>44883</v>
      </c>
      <c r="B2820" t="s">
        <v>49</v>
      </c>
      <c r="C2820" t="s">
        <v>17</v>
      </c>
      <c r="D2820" t="s">
        <v>12</v>
      </c>
      <c r="E2820" t="s">
        <v>74</v>
      </c>
      <c r="F2820" t="s">
        <v>23</v>
      </c>
      <c r="G2820" t="s">
        <v>24</v>
      </c>
      <c r="H2820">
        <v>8</v>
      </c>
      <c r="I2820">
        <v>5784</v>
      </c>
      <c r="J2820">
        <v>1276.57</v>
      </c>
    </row>
    <row r="2821" spans="1:10" x14ac:dyDescent="0.25">
      <c r="A2821" s="1">
        <v>44630</v>
      </c>
      <c r="B2821" t="s">
        <v>55</v>
      </c>
      <c r="C2821" t="s">
        <v>19</v>
      </c>
      <c r="D2821" t="s">
        <v>12</v>
      </c>
      <c r="E2821" t="s">
        <v>52</v>
      </c>
      <c r="F2821" t="s">
        <v>42</v>
      </c>
      <c r="G2821" t="s">
        <v>28</v>
      </c>
      <c r="H2821">
        <v>9</v>
      </c>
      <c r="I2821">
        <v>3078</v>
      </c>
      <c r="J2821">
        <v>285.05</v>
      </c>
    </row>
    <row r="2822" spans="1:10" x14ac:dyDescent="0.25">
      <c r="A2822" s="1">
        <v>45309</v>
      </c>
      <c r="B2822" t="s">
        <v>10</v>
      </c>
      <c r="C2822" t="s">
        <v>11</v>
      </c>
      <c r="D2822" t="s">
        <v>12</v>
      </c>
      <c r="E2822" t="s">
        <v>52</v>
      </c>
      <c r="F2822" t="s">
        <v>42</v>
      </c>
      <c r="G2822" t="s">
        <v>28</v>
      </c>
      <c r="H2822">
        <v>4</v>
      </c>
      <c r="I2822">
        <v>2464</v>
      </c>
      <c r="J2822">
        <v>602.29999999999995</v>
      </c>
    </row>
    <row r="2823" spans="1:10" x14ac:dyDescent="0.25">
      <c r="A2823" s="1">
        <v>45640</v>
      </c>
      <c r="B2823" t="s">
        <v>25</v>
      </c>
      <c r="C2823" t="s">
        <v>19</v>
      </c>
      <c r="D2823" t="s">
        <v>12</v>
      </c>
      <c r="E2823" t="s">
        <v>52</v>
      </c>
      <c r="F2823" t="s">
        <v>42</v>
      </c>
      <c r="G2823" t="s">
        <v>28</v>
      </c>
      <c r="H2823">
        <v>5</v>
      </c>
      <c r="I2823">
        <v>2445</v>
      </c>
      <c r="J2823">
        <v>146.6</v>
      </c>
    </row>
    <row r="2824" spans="1:10" x14ac:dyDescent="0.25">
      <c r="A2824" s="1">
        <v>44981</v>
      </c>
      <c r="B2824" t="s">
        <v>49</v>
      </c>
      <c r="C2824" t="s">
        <v>17</v>
      </c>
      <c r="D2824" t="s">
        <v>12</v>
      </c>
      <c r="E2824" t="s">
        <v>82</v>
      </c>
      <c r="F2824" t="s">
        <v>83</v>
      </c>
      <c r="G2824" t="s">
        <v>28</v>
      </c>
      <c r="H2824">
        <v>8</v>
      </c>
      <c r="I2824">
        <v>5312</v>
      </c>
      <c r="J2824">
        <v>841.13</v>
      </c>
    </row>
    <row r="2825" spans="1:10" x14ac:dyDescent="0.25">
      <c r="A2825" s="1">
        <v>44651</v>
      </c>
      <c r="B2825" t="s">
        <v>49</v>
      </c>
      <c r="C2825" t="s">
        <v>17</v>
      </c>
      <c r="D2825" t="s">
        <v>12</v>
      </c>
      <c r="E2825" t="s">
        <v>64</v>
      </c>
      <c r="F2825" t="s">
        <v>84</v>
      </c>
      <c r="G2825" t="s">
        <v>28</v>
      </c>
      <c r="H2825">
        <v>1</v>
      </c>
      <c r="I2825">
        <v>657</v>
      </c>
      <c r="J2825">
        <v>101.85</v>
      </c>
    </row>
    <row r="2826" spans="1:10" x14ac:dyDescent="0.25">
      <c r="A2826" s="1">
        <v>45429</v>
      </c>
      <c r="B2826" t="s">
        <v>49</v>
      </c>
      <c r="C2826" t="s">
        <v>17</v>
      </c>
      <c r="D2826" t="s">
        <v>12</v>
      </c>
      <c r="E2826" t="s">
        <v>85</v>
      </c>
      <c r="F2826" t="s">
        <v>21</v>
      </c>
      <c r="G2826" t="s">
        <v>15</v>
      </c>
      <c r="H2826">
        <v>3</v>
      </c>
      <c r="I2826">
        <v>2580</v>
      </c>
      <c r="J2826">
        <v>173.89</v>
      </c>
    </row>
    <row r="2827" spans="1:10" x14ac:dyDescent="0.25">
      <c r="A2827" s="1">
        <v>44839</v>
      </c>
      <c r="B2827" t="s">
        <v>55</v>
      </c>
      <c r="C2827" t="s">
        <v>19</v>
      </c>
      <c r="D2827" t="s">
        <v>12</v>
      </c>
      <c r="E2827" t="s">
        <v>26</v>
      </c>
      <c r="F2827" t="s">
        <v>27</v>
      </c>
      <c r="G2827" t="s">
        <v>28</v>
      </c>
      <c r="H2827">
        <v>8</v>
      </c>
      <c r="I2827">
        <v>4624</v>
      </c>
      <c r="J2827">
        <v>893.74</v>
      </c>
    </row>
    <row r="2828" spans="1:10" x14ac:dyDescent="0.25">
      <c r="A2828" s="1">
        <v>45252</v>
      </c>
      <c r="B2828" t="s">
        <v>32</v>
      </c>
      <c r="C2828" t="s">
        <v>19</v>
      </c>
      <c r="D2828" t="s">
        <v>12</v>
      </c>
      <c r="E2828" t="s">
        <v>37</v>
      </c>
      <c r="F2828" t="s">
        <v>34</v>
      </c>
      <c r="G2828" t="s">
        <v>35</v>
      </c>
      <c r="H2828">
        <v>2</v>
      </c>
      <c r="I2828">
        <v>1258</v>
      </c>
      <c r="J2828">
        <v>146.69999999999999</v>
      </c>
    </row>
    <row r="2829" spans="1:10" x14ac:dyDescent="0.25">
      <c r="A2829" s="1">
        <v>45501</v>
      </c>
      <c r="B2829" t="s">
        <v>25</v>
      </c>
      <c r="C2829" t="s">
        <v>19</v>
      </c>
      <c r="D2829" t="s">
        <v>12</v>
      </c>
      <c r="E2829" t="s">
        <v>74</v>
      </c>
      <c r="F2829" t="s">
        <v>23</v>
      </c>
      <c r="G2829" t="s">
        <v>24</v>
      </c>
      <c r="H2829">
        <v>7</v>
      </c>
      <c r="I2829">
        <v>6468</v>
      </c>
      <c r="J2829">
        <v>398.23</v>
      </c>
    </row>
    <row r="2830" spans="1:10" x14ac:dyDescent="0.25">
      <c r="A2830" s="1">
        <v>45070</v>
      </c>
      <c r="B2830" t="s">
        <v>36</v>
      </c>
      <c r="C2830" t="s">
        <v>17</v>
      </c>
      <c r="D2830" t="s">
        <v>12</v>
      </c>
      <c r="E2830" t="s">
        <v>74</v>
      </c>
      <c r="F2830" t="s">
        <v>23</v>
      </c>
      <c r="G2830" t="s">
        <v>24</v>
      </c>
      <c r="H2830">
        <v>3</v>
      </c>
      <c r="I2830">
        <v>1359</v>
      </c>
      <c r="J2830">
        <v>152.85</v>
      </c>
    </row>
    <row r="2831" spans="1:10" x14ac:dyDescent="0.25">
      <c r="A2831" s="1">
        <v>45624</v>
      </c>
      <c r="B2831" t="s">
        <v>55</v>
      </c>
      <c r="C2831" t="s">
        <v>19</v>
      </c>
      <c r="D2831" t="s">
        <v>12</v>
      </c>
      <c r="E2831" t="s">
        <v>74</v>
      </c>
      <c r="F2831" t="s">
        <v>23</v>
      </c>
      <c r="G2831" t="s">
        <v>24</v>
      </c>
      <c r="H2831">
        <v>1</v>
      </c>
      <c r="I2831">
        <v>104</v>
      </c>
      <c r="J2831">
        <v>18.670000000000002</v>
      </c>
    </row>
    <row r="2832" spans="1:10" x14ac:dyDescent="0.25">
      <c r="A2832" s="1">
        <v>44986</v>
      </c>
      <c r="B2832" t="s">
        <v>29</v>
      </c>
      <c r="C2832" t="s">
        <v>17</v>
      </c>
      <c r="D2832" t="s">
        <v>12</v>
      </c>
      <c r="E2832" t="s">
        <v>56</v>
      </c>
      <c r="F2832" t="s">
        <v>57</v>
      </c>
      <c r="G2832" t="s">
        <v>24</v>
      </c>
      <c r="H2832">
        <v>3</v>
      </c>
      <c r="I2832">
        <v>1785</v>
      </c>
      <c r="J2832">
        <v>93.17</v>
      </c>
    </row>
    <row r="2833" spans="1:10" x14ac:dyDescent="0.25">
      <c r="A2833" s="1">
        <v>44716</v>
      </c>
      <c r="B2833" t="s">
        <v>36</v>
      </c>
      <c r="C2833" t="s">
        <v>17</v>
      </c>
      <c r="D2833" t="s">
        <v>12</v>
      </c>
      <c r="E2833" t="s">
        <v>22</v>
      </c>
      <c r="F2833" t="s">
        <v>23</v>
      </c>
      <c r="G2833" t="s">
        <v>24</v>
      </c>
      <c r="H2833">
        <v>8</v>
      </c>
      <c r="I2833">
        <v>7728</v>
      </c>
      <c r="J2833">
        <v>1748.26</v>
      </c>
    </row>
    <row r="2834" spans="1:10" x14ac:dyDescent="0.25">
      <c r="A2834" s="1">
        <v>45073</v>
      </c>
      <c r="B2834" t="s">
        <v>40</v>
      </c>
      <c r="C2834" t="s">
        <v>19</v>
      </c>
      <c r="D2834" t="s">
        <v>12</v>
      </c>
      <c r="E2834" t="s">
        <v>86</v>
      </c>
      <c r="F2834" t="s">
        <v>84</v>
      </c>
      <c r="G2834" t="s">
        <v>28</v>
      </c>
      <c r="H2834">
        <v>6</v>
      </c>
      <c r="I2834">
        <v>4188</v>
      </c>
      <c r="J2834">
        <v>1231.1600000000001</v>
      </c>
    </row>
    <row r="2835" spans="1:10" x14ac:dyDescent="0.25">
      <c r="A2835" s="1">
        <v>44737</v>
      </c>
      <c r="B2835" t="s">
        <v>32</v>
      </c>
      <c r="C2835" t="s">
        <v>19</v>
      </c>
      <c r="D2835" t="s">
        <v>12</v>
      </c>
      <c r="E2835" t="s">
        <v>87</v>
      </c>
      <c r="F2835" t="s">
        <v>88</v>
      </c>
      <c r="G2835" t="s">
        <v>15</v>
      </c>
      <c r="H2835">
        <v>8</v>
      </c>
      <c r="I2835">
        <v>3520</v>
      </c>
      <c r="J2835">
        <v>359.84</v>
      </c>
    </row>
    <row r="2836" spans="1:10" x14ac:dyDescent="0.25">
      <c r="A2836" s="1">
        <v>45150</v>
      </c>
      <c r="B2836" t="s">
        <v>25</v>
      </c>
      <c r="C2836" t="s">
        <v>19</v>
      </c>
      <c r="D2836" t="s">
        <v>12</v>
      </c>
      <c r="E2836" t="s">
        <v>89</v>
      </c>
      <c r="F2836" t="s">
        <v>71</v>
      </c>
      <c r="G2836" t="s">
        <v>35</v>
      </c>
      <c r="H2836">
        <v>3</v>
      </c>
      <c r="I2836">
        <v>2280</v>
      </c>
      <c r="J2836">
        <v>365.17</v>
      </c>
    </row>
    <row r="2837" spans="1:10" x14ac:dyDescent="0.25">
      <c r="A2837" s="1">
        <v>45482</v>
      </c>
      <c r="B2837" t="s">
        <v>10</v>
      </c>
      <c r="C2837" t="s">
        <v>11</v>
      </c>
      <c r="D2837" t="s">
        <v>12</v>
      </c>
      <c r="E2837" t="s">
        <v>52</v>
      </c>
      <c r="F2837" t="s">
        <v>42</v>
      </c>
      <c r="G2837" t="s">
        <v>28</v>
      </c>
      <c r="H2837">
        <v>9</v>
      </c>
      <c r="I2837">
        <v>2484</v>
      </c>
      <c r="J2837">
        <v>655.54</v>
      </c>
    </row>
    <row r="2838" spans="1:10" x14ac:dyDescent="0.25">
      <c r="A2838" s="1">
        <v>45399</v>
      </c>
      <c r="B2838" t="s">
        <v>18</v>
      </c>
      <c r="C2838" t="s">
        <v>19</v>
      </c>
      <c r="D2838" t="s">
        <v>12</v>
      </c>
      <c r="E2838" t="s">
        <v>70</v>
      </c>
      <c r="F2838" t="s">
        <v>71</v>
      </c>
      <c r="G2838" t="s">
        <v>35</v>
      </c>
      <c r="H2838">
        <v>3</v>
      </c>
      <c r="I2838">
        <v>1248</v>
      </c>
      <c r="J2838">
        <v>348.19</v>
      </c>
    </row>
    <row r="2839" spans="1:10" x14ac:dyDescent="0.25">
      <c r="A2839" s="1">
        <v>45272</v>
      </c>
      <c r="B2839" t="s">
        <v>32</v>
      </c>
      <c r="C2839" t="s">
        <v>19</v>
      </c>
      <c r="D2839" t="s">
        <v>12</v>
      </c>
      <c r="E2839" t="s">
        <v>70</v>
      </c>
      <c r="F2839" t="s">
        <v>71</v>
      </c>
      <c r="G2839" t="s">
        <v>35</v>
      </c>
      <c r="H2839">
        <v>2</v>
      </c>
      <c r="I2839">
        <v>850</v>
      </c>
      <c r="J2839">
        <v>59.92</v>
      </c>
    </row>
    <row r="2840" spans="1:10" x14ac:dyDescent="0.25">
      <c r="A2840" s="1">
        <v>44568</v>
      </c>
      <c r="B2840" t="s">
        <v>10</v>
      </c>
      <c r="C2840" t="s">
        <v>11</v>
      </c>
      <c r="D2840" t="s">
        <v>12</v>
      </c>
      <c r="E2840" t="s">
        <v>75</v>
      </c>
      <c r="F2840" t="s">
        <v>39</v>
      </c>
      <c r="G2840" t="s">
        <v>35</v>
      </c>
      <c r="H2840">
        <v>4</v>
      </c>
      <c r="I2840">
        <v>1412</v>
      </c>
      <c r="J2840">
        <v>150.13</v>
      </c>
    </row>
    <row r="2841" spans="1:10" x14ac:dyDescent="0.25">
      <c r="A2841" s="1">
        <v>44711</v>
      </c>
      <c r="B2841" t="s">
        <v>29</v>
      </c>
      <c r="C2841" t="s">
        <v>17</v>
      </c>
      <c r="D2841" t="s">
        <v>12</v>
      </c>
      <c r="E2841" t="s">
        <v>90</v>
      </c>
      <c r="F2841" t="s">
        <v>63</v>
      </c>
      <c r="G2841" t="s">
        <v>28</v>
      </c>
      <c r="H2841">
        <v>1</v>
      </c>
      <c r="I2841">
        <v>465</v>
      </c>
      <c r="J2841">
        <v>26.5</v>
      </c>
    </row>
    <row r="2842" spans="1:10" x14ac:dyDescent="0.25">
      <c r="A2842" s="1">
        <v>45440</v>
      </c>
      <c r="B2842" t="s">
        <v>10</v>
      </c>
      <c r="C2842" t="s">
        <v>11</v>
      </c>
      <c r="D2842" t="s">
        <v>12</v>
      </c>
      <c r="E2842" t="s">
        <v>91</v>
      </c>
      <c r="F2842" t="s">
        <v>23</v>
      </c>
      <c r="G2842" t="s">
        <v>24</v>
      </c>
      <c r="H2842">
        <v>1</v>
      </c>
      <c r="I2842">
        <v>293</v>
      </c>
      <c r="J2842">
        <v>29.58</v>
      </c>
    </row>
    <row r="2843" spans="1:10" x14ac:dyDescent="0.25">
      <c r="A2843" s="1">
        <v>44562</v>
      </c>
      <c r="B2843" t="s">
        <v>18</v>
      </c>
      <c r="C2843" t="s">
        <v>19</v>
      </c>
      <c r="D2843" t="s">
        <v>12</v>
      </c>
      <c r="E2843" t="s">
        <v>92</v>
      </c>
      <c r="F2843" t="s">
        <v>44</v>
      </c>
      <c r="G2843" t="s">
        <v>35</v>
      </c>
      <c r="H2843">
        <v>9</v>
      </c>
      <c r="I2843">
        <v>9234</v>
      </c>
      <c r="J2843">
        <v>2523.67</v>
      </c>
    </row>
    <row r="2844" spans="1:10" x14ac:dyDescent="0.25">
      <c r="A2844" s="1">
        <v>44896</v>
      </c>
      <c r="B2844" t="s">
        <v>18</v>
      </c>
      <c r="C2844" t="s">
        <v>19</v>
      </c>
      <c r="D2844" t="s">
        <v>12</v>
      </c>
      <c r="E2844" t="s">
        <v>93</v>
      </c>
      <c r="F2844" t="s">
        <v>94</v>
      </c>
      <c r="G2844" t="s">
        <v>24</v>
      </c>
      <c r="H2844">
        <v>2</v>
      </c>
      <c r="I2844">
        <v>1298</v>
      </c>
      <c r="J2844">
        <v>239.45</v>
      </c>
    </row>
    <row r="2845" spans="1:10" x14ac:dyDescent="0.25">
      <c r="A2845" s="1">
        <v>45511</v>
      </c>
      <c r="B2845" t="s">
        <v>10</v>
      </c>
      <c r="C2845" t="s">
        <v>11</v>
      </c>
      <c r="D2845" t="s">
        <v>12</v>
      </c>
      <c r="E2845" t="s">
        <v>93</v>
      </c>
      <c r="F2845" t="s">
        <v>94</v>
      </c>
      <c r="G2845" t="s">
        <v>24</v>
      </c>
      <c r="H2845">
        <v>9</v>
      </c>
      <c r="I2845">
        <v>9477</v>
      </c>
      <c r="J2845">
        <v>2443.62</v>
      </c>
    </row>
    <row r="2846" spans="1:10" x14ac:dyDescent="0.25">
      <c r="A2846" s="1">
        <v>45441</v>
      </c>
      <c r="B2846" t="s">
        <v>10</v>
      </c>
      <c r="C2846" t="s">
        <v>11</v>
      </c>
      <c r="D2846" t="s">
        <v>12</v>
      </c>
      <c r="E2846" t="s">
        <v>95</v>
      </c>
      <c r="F2846" t="s">
        <v>44</v>
      </c>
      <c r="G2846" t="s">
        <v>35</v>
      </c>
      <c r="H2846">
        <v>7</v>
      </c>
      <c r="I2846">
        <v>6713</v>
      </c>
      <c r="J2846">
        <v>457.99</v>
      </c>
    </row>
    <row r="2847" spans="1:10" x14ac:dyDescent="0.25">
      <c r="A2847" s="1">
        <v>44676</v>
      </c>
      <c r="B2847" t="s">
        <v>55</v>
      </c>
      <c r="C2847" t="s">
        <v>19</v>
      </c>
      <c r="D2847" t="s">
        <v>12</v>
      </c>
      <c r="E2847" t="s">
        <v>96</v>
      </c>
      <c r="F2847" t="s">
        <v>34</v>
      </c>
      <c r="G2847" t="s">
        <v>35</v>
      </c>
      <c r="H2847">
        <v>5</v>
      </c>
      <c r="I2847">
        <v>5700</v>
      </c>
      <c r="J2847">
        <v>999.26</v>
      </c>
    </row>
    <row r="2848" spans="1:10" x14ac:dyDescent="0.25">
      <c r="A2848" s="1">
        <v>45502</v>
      </c>
      <c r="B2848" t="s">
        <v>25</v>
      </c>
      <c r="C2848" t="s">
        <v>19</v>
      </c>
      <c r="D2848" t="s">
        <v>12</v>
      </c>
      <c r="E2848" t="s">
        <v>74</v>
      </c>
      <c r="F2848" t="s">
        <v>23</v>
      </c>
      <c r="G2848" t="s">
        <v>24</v>
      </c>
      <c r="H2848">
        <v>6</v>
      </c>
      <c r="I2848">
        <v>4146</v>
      </c>
      <c r="J2848">
        <v>700.46</v>
      </c>
    </row>
    <row r="2849" spans="1:10" x14ac:dyDescent="0.25">
      <c r="A2849" s="1">
        <v>45210</v>
      </c>
      <c r="B2849" t="s">
        <v>18</v>
      </c>
      <c r="C2849" t="s">
        <v>19</v>
      </c>
      <c r="D2849" t="s">
        <v>12</v>
      </c>
      <c r="E2849" t="s">
        <v>41</v>
      </c>
      <c r="F2849" t="s">
        <v>42</v>
      </c>
      <c r="G2849" t="s">
        <v>28</v>
      </c>
      <c r="H2849">
        <v>8</v>
      </c>
      <c r="I2849">
        <v>6968</v>
      </c>
      <c r="J2849">
        <v>704.55</v>
      </c>
    </row>
    <row r="2850" spans="1:10" x14ac:dyDescent="0.25">
      <c r="A2850" s="1">
        <v>45544</v>
      </c>
      <c r="B2850" t="s">
        <v>25</v>
      </c>
      <c r="C2850" t="s">
        <v>19</v>
      </c>
      <c r="D2850" t="s">
        <v>12</v>
      </c>
      <c r="E2850" t="s">
        <v>22</v>
      </c>
      <c r="F2850" t="s">
        <v>23</v>
      </c>
      <c r="G2850" t="s">
        <v>24</v>
      </c>
      <c r="H2850">
        <v>2</v>
      </c>
      <c r="I2850">
        <v>1054</v>
      </c>
      <c r="J2850">
        <v>243.5</v>
      </c>
    </row>
    <row r="2851" spans="1:10" x14ac:dyDescent="0.25">
      <c r="A2851" s="1">
        <v>44635</v>
      </c>
      <c r="B2851" t="s">
        <v>49</v>
      </c>
      <c r="C2851" t="s">
        <v>17</v>
      </c>
      <c r="D2851" t="s">
        <v>12</v>
      </c>
      <c r="E2851" t="s">
        <v>45</v>
      </c>
      <c r="F2851" t="s">
        <v>46</v>
      </c>
      <c r="G2851" t="s">
        <v>15</v>
      </c>
      <c r="H2851">
        <v>3</v>
      </c>
      <c r="I2851">
        <v>1983</v>
      </c>
      <c r="J2851">
        <v>453.09</v>
      </c>
    </row>
    <row r="2852" spans="1:10" x14ac:dyDescent="0.25">
      <c r="A2852" s="1">
        <v>45225</v>
      </c>
      <c r="B2852" t="s">
        <v>49</v>
      </c>
      <c r="C2852" t="s">
        <v>17</v>
      </c>
      <c r="D2852" t="s">
        <v>12</v>
      </c>
      <c r="E2852" t="s">
        <v>97</v>
      </c>
      <c r="F2852" t="s">
        <v>23</v>
      </c>
      <c r="G2852" t="s">
        <v>24</v>
      </c>
      <c r="H2852">
        <v>5</v>
      </c>
      <c r="I2852">
        <v>875</v>
      </c>
      <c r="J2852">
        <v>70.72</v>
      </c>
    </row>
    <row r="2853" spans="1:10" x14ac:dyDescent="0.25">
      <c r="A2853" s="1">
        <v>45194</v>
      </c>
      <c r="B2853" t="s">
        <v>10</v>
      </c>
      <c r="C2853" t="s">
        <v>11</v>
      </c>
      <c r="D2853" t="s">
        <v>12</v>
      </c>
      <c r="E2853" t="s">
        <v>97</v>
      </c>
      <c r="F2853" t="s">
        <v>23</v>
      </c>
      <c r="G2853" t="s">
        <v>24</v>
      </c>
      <c r="H2853">
        <v>2</v>
      </c>
      <c r="I2853">
        <v>268</v>
      </c>
      <c r="J2853">
        <v>63.01</v>
      </c>
    </row>
    <row r="2854" spans="1:10" x14ac:dyDescent="0.25">
      <c r="A2854" s="1">
        <v>45490</v>
      </c>
      <c r="B2854" t="s">
        <v>29</v>
      </c>
      <c r="C2854" t="s">
        <v>17</v>
      </c>
      <c r="D2854" t="s">
        <v>12</v>
      </c>
      <c r="E2854" t="s">
        <v>97</v>
      </c>
      <c r="F2854" t="s">
        <v>23</v>
      </c>
      <c r="G2854" t="s">
        <v>24</v>
      </c>
      <c r="H2854">
        <v>6</v>
      </c>
      <c r="I2854">
        <v>5370</v>
      </c>
      <c r="J2854">
        <v>1045.0999999999999</v>
      </c>
    </row>
    <row r="2855" spans="1:10" x14ac:dyDescent="0.25">
      <c r="A2855" s="1">
        <v>45301</v>
      </c>
      <c r="B2855" t="s">
        <v>36</v>
      </c>
      <c r="C2855" t="s">
        <v>17</v>
      </c>
      <c r="D2855" t="s">
        <v>12</v>
      </c>
      <c r="E2855" t="s">
        <v>98</v>
      </c>
      <c r="F2855" t="s">
        <v>54</v>
      </c>
      <c r="G2855" t="s">
        <v>24</v>
      </c>
      <c r="H2855">
        <v>8</v>
      </c>
      <c r="I2855">
        <v>3624</v>
      </c>
      <c r="J2855">
        <v>1071.43</v>
      </c>
    </row>
    <row r="2856" spans="1:10" x14ac:dyDescent="0.25">
      <c r="A2856" s="1">
        <v>45557</v>
      </c>
      <c r="B2856" t="s">
        <v>32</v>
      </c>
      <c r="C2856" t="s">
        <v>19</v>
      </c>
      <c r="D2856" t="s">
        <v>12</v>
      </c>
      <c r="E2856" t="s">
        <v>99</v>
      </c>
      <c r="F2856" t="s">
        <v>100</v>
      </c>
      <c r="G2856" t="s">
        <v>35</v>
      </c>
      <c r="H2856">
        <v>4</v>
      </c>
      <c r="I2856">
        <v>1932</v>
      </c>
      <c r="J2856">
        <v>301.16000000000003</v>
      </c>
    </row>
    <row r="2857" spans="1:10" x14ac:dyDescent="0.25">
      <c r="A2857" s="1">
        <v>44809</v>
      </c>
      <c r="B2857" t="s">
        <v>40</v>
      </c>
      <c r="C2857" t="s">
        <v>19</v>
      </c>
      <c r="D2857" t="s">
        <v>12</v>
      </c>
      <c r="E2857" t="s">
        <v>70</v>
      </c>
      <c r="F2857" t="s">
        <v>71</v>
      </c>
      <c r="G2857" t="s">
        <v>35</v>
      </c>
      <c r="H2857">
        <v>7</v>
      </c>
      <c r="I2857">
        <v>6020</v>
      </c>
      <c r="J2857">
        <v>384.74</v>
      </c>
    </row>
    <row r="2858" spans="1:10" x14ac:dyDescent="0.25">
      <c r="A2858" s="1">
        <v>45414</v>
      </c>
      <c r="B2858" t="s">
        <v>29</v>
      </c>
      <c r="C2858" t="s">
        <v>17</v>
      </c>
      <c r="D2858" t="s">
        <v>12</v>
      </c>
      <c r="E2858" t="s">
        <v>101</v>
      </c>
      <c r="F2858" t="s">
        <v>21</v>
      </c>
      <c r="G2858" t="s">
        <v>15</v>
      </c>
      <c r="H2858">
        <v>5</v>
      </c>
      <c r="I2858">
        <v>1775</v>
      </c>
      <c r="J2858">
        <v>234.67</v>
      </c>
    </row>
    <row r="2859" spans="1:10" x14ac:dyDescent="0.25">
      <c r="A2859" s="1">
        <v>44994</v>
      </c>
      <c r="B2859" t="s">
        <v>32</v>
      </c>
      <c r="C2859" t="s">
        <v>19</v>
      </c>
      <c r="D2859" t="s">
        <v>12</v>
      </c>
      <c r="E2859" t="s">
        <v>101</v>
      </c>
      <c r="F2859" t="s">
        <v>21</v>
      </c>
      <c r="G2859" t="s">
        <v>15</v>
      </c>
      <c r="H2859">
        <v>3</v>
      </c>
      <c r="I2859">
        <v>1488</v>
      </c>
      <c r="J2859">
        <v>382.09</v>
      </c>
    </row>
    <row r="2860" spans="1:10" x14ac:dyDescent="0.25">
      <c r="A2860" s="1">
        <v>45556</v>
      </c>
      <c r="B2860" t="s">
        <v>49</v>
      </c>
      <c r="C2860" t="s">
        <v>17</v>
      </c>
      <c r="D2860" t="s">
        <v>12</v>
      </c>
      <c r="E2860" t="s">
        <v>22</v>
      </c>
      <c r="F2860" t="s">
        <v>23</v>
      </c>
      <c r="G2860" t="s">
        <v>24</v>
      </c>
      <c r="H2860">
        <v>6</v>
      </c>
      <c r="I2860">
        <v>6720</v>
      </c>
      <c r="J2860">
        <v>1113.56</v>
      </c>
    </row>
    <row r="2861" spans="1:10" x14ac:dyDescent="0.25">
      <c r="A2861" s="1">
        <v>44657</v>
      </c>
      <c r="B2861" t="s">
        <v>16</v>
      </c>
      <c r="C2861" t="s">
        <v>17</v>
      </c>
      <c r="D2861" t="s">
        <v>12</v>
      </c>
      <c r="E2861" t="s">
        <v>22</v>
      </c>
      <c r="F2861" t="s">
        <v>23</v>
      </c>
      <c r="G2861" t="s">
        <v>24</v>
      </c>
      <c r="H2861">
        <v>7</v>
      </c>
      <c r="I2861">
        <v>5047</v>
      </c>
      <c r="J2861">
        <v>1356.23</v>
      </c>
    </row>
    <row r="2862" spans="1:10" x14ac:dyDescent="0.25">
      <c r="A2862" s="1">
        <v>44627</v>
      </c>
      <c r="B2862" t="s">
        <v>18</v>
      </c>
      <c r="C2862" t="s">
        <v>19</v>
      </c>
      <c r="D2862" t="s">
        <v>12</v>
      </c>
      <c r="E2862" t="s">
        <v>13</v>
      </c>
      <c r="F2862" t="s">
        <v>14</v>
      </c>
      <c r="G2862" t="s">
        <v>15</v>
      </c>
      <c r="H2862">
        <v>5</v>
      </c>
      <c r="I2862">
        <v>3735</v>
      </c>
      <c r="J2862">
        <v>957.13</v>
      </c>
    </row>
    <row r="2863" spans="1:10" x14ac:dyDescent="0.25">
      <c r="A2863" s="1">
        <v>45348</v>
      </c>
      <c r="B2863" t="s">
        <v>49</v>
      </c>
      <c r="C2863" t="s">
        <v>17</v>
      </c>
      <c r="D2863" t="s">
        <v>12</v>
      </c>
      <c r="E2863" t="s">
        <v>102</v>
      </c>
      <c r="F2863" t="s">
        <v>34</v>
      </c>
      <c r="G2863" t="s">
        <v>35</v>
      </c>
      <c r="H2863">
        <v>5</v>
      </c>
      <c r="I2863">
        <v>1250</v>
      </c>
      <c r="J2863">
        <v>120.74</v>
      </c>
    </row>
    <row r="2864" spans="1:10" x14ac:dyDescent="0.25">
      <c r="A2864" s="1">
        <v>44572</v>
      </c>
      <c r="B2864" t="s">
        <v>18</v>
      </c>
      <c r="C2864" t="s">
        <v>19</v>
      </c>
      <c r="D2864" t="s">
        <v>12</v>
      </c>
      <c r="E2864" t="s">
        <v>74</v>
      </c>
      <c r="F2864" t="s">
        <v>23</v>
      </c>
      <c r="G2864" t="s">
        <v>24</v>
      </c>
      <c r="H2864">
        <v>7</v>
      </c>
      <c r="I2864">
        <v>2751</v>
      </c>
      <c r="J2864">
        <v>548.04999999999995</v>
      </c>
    </row>
    <row r="2865" spans="1:10" x14ac:dyDescent="0.25">
      <c r="A2865" s="1">
        <v>45121</v>
      </c>
      <c r="B2865" t="s">
        <v>55</v>
      </c>
      <c r="C2865" t="s">
        <v>19</v>
      </c>
      <c r="D2865" t="s">
        <v>12</v>
      </c>
      <c r="E2865" t="s">
        <v>103</v>
      </c>
      <c r="F2865" t="s">
        <v>21</v>
      </c>
      <c r="G2865" t="s">
        <v>15</v>
      </c>
      <c r="H2865">
        <v>9</v>
      </c>
      <c r="I2865">
        <v>468</v>
      </c>
      <c r="J2865">
        <v>58.98</v>
      </c>
    </row>
    <row r="2866" spans="1:10" x14ac:dyDescent="0.25">
      <c r="A2866" s="1">
        <v>45113</v>
      </c>
      <c r="B2866" t="s">
        <v>10</v>
      </c>
      <c r="C2866" t="s">
        <v>11</v>
      </c>
      <c r="D2866" t="s">
        <v>12</v>
      </c>
      <c r="E2866" t="s">
        <v>22</v>
      </c>
      <c r="F2866" t="s">
        <v>23</v>
      </c>
      <c r="G2866" t="s">
        <v>24</v>
      </c>
      <c r="H2866">
        <v>4</v>
      </c>
      <c r="I2866">
        <v>632</v>
      </c>
      <c r="J2866">
        <v>114.82</v>
      </c>
    </row>
    <row r="2867" spans="1:10" x14ac:dyDescent="0.25">
      <c r="A2867" s="1">
        <v>44819</v>
      </c>
      <c r="B2867" t="s">
        <v>49</v>
      </c>
      <c r="C2867" t="s">
        <v>17</v>
      </c>
      <c r="D2867" t="s">
        <v>12</v>
      </c>
      <c r="E2867" t="s">
        <v>74</v>
      </c>
      <c r="F2867" t="s">
        <v>23</v>
      </c>
      <c r="G2867" t="s">
        <v>24</v>
      </c>
      <c r="H2867">
        <v>7</v>
      </c>
      <c r="I2867">
        <v>798</v>
      </c>
      <c r="J2867">
        <v>219.2</v>
      </c>
    </row>
    <row r="2868" spans="1:10" x14ac:dyDescent="0.25">
      <c r="A2868" s="1">
        <v>44589</v>
      </c>
      <c r="B2868" t="s">
        <v>32</v>
      </c>
      <c r="C2868" t="s">
        <v>19</v>
      </c>
      <c r="D2868" t="s">
        <v>12</v>
      </c>
      <c r="E2868" t="s">
        <v>72</v>
      </c>
      <c r="F2868" t="s">
        <v>21</v>
      </c>
      <c r="G2868" t="s">
        <v>15</v>
      </c>
      <c r="H2868">
        <v>5</v>
      </c>
      <c r="I2868">
        <v>1295</v>
      </c>
      <c r="J2868">
        <v>104.26</v>
      </c>
    </row>
    <row r="2869" spans="1:10" x14ac:dyDescent="0.25">
      <c r="A2869" s="1">
        <v>45636</v>
      </c>
      <c r="B2869" t="s">
        <v>25</v>
      </c>
      <c r="C2869" t="s">
        <v>19</v>
      </c>
      <c r="D2869" t="s">
        <v>12</v>
      </c>
      <c r="E2869" t="s">
        <v>56</v>
      </c>
      <c r="F2869" t="s">
        <v>57</v>
      </c>
      <c r="G2869" t="s">
        <v>24</v>
      </c>
      <c r="H2869">
        <v>4</v>
      </c>
      <c r="I2869">
        <v>3360</v>
      </c>
      <c r="J2869">
        <v>540.38</v>
      </c>
    </row>
    <row r="2870" spans="1:10" x14ac:dyDescent="0.25">
      <c r="A2870" s="1">
        <v>45088</v>
      </c>
      <c r="B2870" t="s">
        <v>25</v>
      </c>
      <c r="C2870" t="s">
        <v>19</v>
      </c>
      <c r="D2870" t="s">
        <v>12</v>
      </c>
      <c r="E2870" t="s">
        <v>43</v>
      </c>
      <c r="F2870" t="s">
        <v>44</v>
      </c>
      <c r="G2870" t="s">
        <v>35</v>
      </c>
      <c r="H2870">
        <v>5</v>
      </c>
      <c r="I2870">
        <v>995</v>
      </c>
      <c r="J2870">
        <v>206.95</v>
      </c>
    </row>
    <row r="2871" spans="1:10" x14ac:dyDescent="0.25">
      <c r="A2871" s="1">
        <v>45646</v>
      </c>
      <c r="B2871" t="s">
        <v>32</v>
      </c>
      <c r="C2871" t="s">
        <v>19</v>
      </c>
      <c r="D2871" t="s">
        <v>12</v>
      </c>
      <c r="E2871" t="s">
        <v>104</v>
      </c>
      <c r="F2871" t="s">
        <v>14</v>
      </c>
      <c r="G2871" t="s">
        <v>15</v>
      </c>
      <c r="H2871">
        <v>5</v>
      </c>
      <c r="I2871">
        <v>550</v>
      </c>
      <c r="J2871">
        <v>28.72</v>
      </c>
    </row>
    <row r="2872" spans="1:10" x14ac:dyDescent="0.25">
      <c r="A2872" s="1">
        <v>44984</v>
      </c>
      <c r="B2872" t="s">
        <v>36</v>
      </c>
      <c r="C2872" t="s">
        <v>17</v>
      </c>
      <c r="D2872" t="s">
        <v>12</v>
      </c>
      <c r="E2872" t="s">
        <v>105</v>
      </c>
      <c r="F2872" t="s">
        <v>23</v>
      </c>
      <c r="G2872" t="s">
        <v>24</v>
      </c>
      <c r="H2872">
        <v>8</v>
      </c>
      <c r="I2872">
        <v>5384</v>
      </c>
      <c r="J2872">
        <v>724.8</v>
      </c>
    </row>
    <row r="2873" spans="1:10" x14ac:dyDescent="0.25">
      <c r="A2873" s="1">
        <v>45249</v>
      </c>
      <c r="B2873" t="s">
        <v>10</v>
      </c>
      <c r="C2873" t="s">
        <v>11</v>
      </c>
      <c r="D2873" t="s">
        <v>12</v>
      </c>
      <c r="E2873" t="s">
        <v>72</v>
      </c>
      <c r="F2873" t="s">
        <v>21</v>
      </c>
      <c r="G2873" t="s">
        <v>15</v>
      </c>
      <c r="H2873">
        <v>3</v>
      </c>
      <c r="I2873">
        <v>3534</v>
      </c>
      <c r="J2873">
        <v>489.06</v>
      </c>
    </row>
    <row r="2874" spans="1:10" x14ac:dyDescent="0.25">
      <c r="A2874" s="1">
        <v>45342</v>
      </c>
      <c r="B2874" t="s">
        <v>40</v>
      </c>
      <c r="C2874" t="s">
        <v>19</v>
      </c>
      <c r="D2874" t="s">
        <v>12</v>
      </c>
      <c r="E2874" t="s">
        <v>52</v>
      </c>
      <c r="F2874" t="s">
        <v>42</v>
      </c>
      <c r="G2874" t="s">
        <v>28</v>
      </c>
      <c r="H2874">
        <v>9</v>
      </c>
      <c r="I2874">
        <v>6813</v>
      </c>
      <c r="J2874">
        <v>890.05</v>
      </c>
    </row>
    <row r="2875" spans="1:10" x14ac:dyDescent="0.25">
      <c r="A2875" s="1">
        <v>45257</v>
      </c>
      <c r="B2875" t="s">
        <v>32</v>
      </c>
      <c r="C2875" t="s">
        <v>19</v>
      </c>
      <c r="D2875" t="s">
        <v>12</v>
      </c>
      <c r="E2875" t="s">
        <v>52</v>
      </c>
      <c r="F2875" t="s">
        <v>42</v>
      </c>
      <c r="G2875" t="s">
        <v>28</v>
      </c>
      <c r="H2875">
        <v>6</v>
      </c>
      <c r="I2875">
        <v>5508</v>
      </c>
      <c r="J2875">
        <v>1632.37</v>
      </c>
    </row>
    <row r="2876" spans="1:10" x14ac:dyDescent="0.25">
      <c r="A2876" s="1">
        <v>44588</v>
      </c>
      <c r="B2876" t="s">
        <v>29</v>
      </c>
      <c r="C2876" t="s">
        <v>17</v>
      </c>
      <c r="D2876" t="s">
        <v>12</v>
      </c>
      <c r="E2876" t="s">
        <v>52</v>
      </c>
      <c r="F2876" t="s">
        <v>42</v>
      </c>
      <c r="G2876" t="s">
        <v>28</v>
      </c>
      <c r="H2876">
        <v>1</v>
      </c>
      <c r="I2876">
        <v>966</v>
      </c>
      <c r="J2876">
        <v>202.53</v>
      </c>
    </row>
    <row r="2877" spans="1:10" x14ac:dyDescent="0.25">
      <c r="A2877" s="1">
        <v>45477</v>
      </c>
      <c r="B2877" t="s">
        <v>16</v>
      </c>
      <c r="C2877" t="s">
        <v>17</v>
      </c>
      <c r="D2877" t="s">
        <v>12</v>
      </c>
      <c r="E2877" t="s">
        <v>106</v>
      </c>
      <c r="F2877" t="s">
        <v>71</v>
      </c>
      <c r="G2877" t="s">
        <v>35</v>
      </c>
      <c r="H2877">
        <v>4</v>
      </c>
      <c r="I2877">
        <v>460</v>
      </c>
      <c r="J2877">
        <v>92.24</v>
      </c>
    </row>
    <row r="2878" spans="1:10" x14ac:dyDescent="0.25">
      <c r="A2878" s="1">
        <v>45103</v>
      </c>
      <c r="B2878" t="s">
        <v>40</v>
      </c>
      <c r="C2878" t="s">
        <v>19</v>
      </c>
      <c r="D2878" t="s">
        <v>12</v>
      </c>
      <c r="E2878" t="s">
        <v>52</v>
      </c>
      <c r="F2878" t="s">
        <v>42</v>
      </c>
      <c r="G2878" t="s">
        <v>28</v>
      </c>
      <c r="H2878">
        <v>6</v>
      </c>
      <c r="I2878">
        <v>7026</v>
      </c>
      <c r="J2878">
        <v>459.4</v>
      </c>
    </row>
    <row r="2879" spans="1:10" x14ac:dyDescent="0.25">
      <c r="A2879" s="1">
        <v>45436</v>
      </c>
      <c r="B2879" t="s">
        <v>40</v>
      </c>
      <c r="C2879" t="s">
        <v>19</v>
      </c>
      <c r="D2879" t="s">
        <v>12</v>
      </c>
      <c r="E2879" t="s">
        <v>107</v>
      </c>
      <c r="F2879" t="s">
        <v>108</v>
      </c>
      <c r="G2879" t="s">
        <v>15</v>
      </c>
      <c r="H2879">
        <v>5</v>
      </c>
      <c r="I2879">
        <v>910</v>
      </c>
      <c r="J2879">
        <v>116.47</v>
      </c>
    </row>
    <row r="2880" spans="1:10" x14ac:dyDescent="0.25">
      <c r="A2880" s="1">
        <v>44795</v>
      </c>
      <c r="B2880" t="s">
        <v>36</v>
      </c>
      <c r="C2880" t="s">
        <v>17</v>
      </c>
      <c r="D2880" t="s">
        <v>12</v>
      </c>
      <c r="E2880" t="s">
        <v>109</v>
      </c>
      <c r="F2880" t="s">
        <v>23</v>
      </c>
      <c r="G2880" t="s">
        <v>24</v>
      </c>
      <c r="H2880">
        <v>9</v>
      </c>
      <c r="I2880">
        <v>5796</v>
      </c>
      <c r="J2880">
        <v>1729.18</v>
      </c>
    </row>
    <row r="2881" spans="1:10" x14ac:dyDescent="0.25">
      <c r="A2881" s="1">
        <v>44832</v>
      </c>
      <c r="B2881" t="s">
        <v>36</v>
      </c>
      <c r="C2881" t="s">
        <v>17</v>
      </c>
      <c r="D2881" t="s">
        <v>12</v>
      </c>
      <c r="E2881" t="s">
        <v>50</v>
      </c>
      <c r="F2881" t="s">
        <v>51</v>
      </c>
      <c r="G2881" t="s">
        <v>35</v>
      </c>
      <c r="H2881">
        <v>3</v>
      </c>
      <c r="I2881">
        <v>1050</v>
      </c>
      <c r="J2881">
        <v>292.64</v>
      </c>
    </row>
    <row r="2882" spans="1:10" x14ac:dyDescent="0.25">
      <c r="A2882" s="1">
        <v>45440</v>
      </c>
      <c r="B2882" t="s">
        <v>16</v>
      </c>
      <c r="C2882" t="s">
        <v>17</v>
      </c>
      <c r="D2882" t="s">
        <v>12</v>
      </c>
      <c r="E2882" t="s">
        <v>110</v>
      </c>
      <c r="F2882" t="s">
        <v>57</v>
      </c>
      <c r="G2882" t="s">
        <v>24</v>
      </c>
      <c r="H2882">
        <v>1</v>
      </c>
      <c r="I2882">
        <v>1043</v>
      </c>
      <c r="J2882">
        <v>151.13</v>
      </c>
    </row>
    <row r="2883" spans="1:10" x14ac:dyDescent="0.25">
      <c r="A2883" s="1">
        <v>44842</v>
      </c>
      <c r="B2883" t="s">
        <v>10</v>
      </c>
      <c r="C2883" t="s">
        <v>11</v>
      </c>
      <c r="D2883" t="s">
        <v>12</v>
      </c>
      <c r="E2883" t="s">
        <v>53</v>
      </c>
      <c r="F2883" t="s">
        <v>44</v>
      </c>
      <c r="G2883" t="s">
        <v>35</v>
      </c>
      <c r="H2883">
        <v>3</v>
      </c>
      <c r="I2883">
        <v>3330</v>
      </c>
      <c r="J2883">
        <v>503.85</v>
      </c>
    </row>
    <row r="2884" spans="1:10" x14ac:dyDescent="0.25">
      <c r="A2884" s="1">
        <v>44580</v>
      </c>
      <c r="B2884" t="s">
        <v>16</v>
      </c>
      <c r="C2884" t="s">
        <v>17</v>
      </c>
      <c r="D2884" t="s">
        <v>12</v>
      </c>
      <c r="E2884" t="s">
        <v>111</v>
      </c>
      <c r="F2884" t="s">
        <v>34</v>
      </c>
      <c r="G2884" t="s">
        <v>35</v>
      </c>
      <c r="H2884">
        <v>8</v>
      </c>
      <c r="I2884">
        <v>1896</v>
      </c>
      <c r="J2884">
        <v>448.53</v>
      </c>
    </row>
    <row r="2885" spans="1:10" x14ac:dyDescent="0.25">
      <c r="A2885" s="1">
        <v>45045</v>
      </c>
      <c r="B2885" t="s">
        <v>25</v>
      </c>
      <c r="C2885" t="s">
        <v>19</v>
      </c>
      <c r="D2885" t="s">
        <v>12</v>
      </c>
      <c r="E2885" t="s">
        <v>112</v>
      </c>
      <c r="F2885" t="s">
        <v>63</v>
      </c>
      <c r="G2885" t="s">
        <v>28</v>
      </c>
      <c r="H2885">
        <v>5</v>
      </c>
      <c r="I2885">
        <v>5170</v>
      </c>
      <c r="J2885">
        <v>1248.6600000000001</v>
      </c>
    </row>
    <row r="2886" spans="1:10" x14ac:dyDescent="0.25">
      <c r="A2886" s="1">
        <v>45040</v>
      </c>
      <c r="B2886" t="s">
        <v>10</v>
      </c>
      <c r="C2886" t="s">
        <v>11</v>
      </c>
      <c r="D2886" t="s">
        <v>12</v>
      </c>
      <c r="E2886" t="s">
        <v>43</v>
      </c>
      <c r="F2886" t="s">
        <v>44</v>
      </c>
      <c r="G2886" t="s">
        <v>35</v>
      </c>
      <c r="H2886">
        <v>2</v>
      </c>
      <c r="I2886">
        <v>466</v>
      </c>
      <c r="J2886">
        <v>25.04</v>
      </c>
    </row>
    <row r="2887" spans="1:10" x14ac:dyDescent="0.25">
      <c r="A2887" s="1">
        <v>45092</v>
      </c>
      <c r="B2887" t="s">
        <v>16</v>
      </c>
      <c r="C2887" t="s">
        <v>17</v>
      </c>
      <c r="D2887" t="s">
        <v>12</v>
      </c>
      <c r="E2887" t="s">
        <v>43</v>
      </c>
      <c r="F2887" t="s">
        <v>44</v>
      </c>
      <c r="G2887" t="s">
        <v>35</v>
      </c>
      <c r="H2887">
        <v>8</v>
      </c>
      <c r="I2887">
        <v>6032</v>
      </c>
      <c r="J2887">
        <v>1636.61</v>
      </c>
    </row>
    <row r="2888" spans="1:10" x14ac:dyDescent="0.25">
      <c r="A2888" s="1">
        <v>45007</v>
      </c>
      <c r="B2888" t="s">
        <v>25</v>
      </c>
      <c r="C2888" t="s">
        <v>19</v>
      </c>
      <c r="D2888" t="s">
        <v>12</v>
      </c>
      <c r="E2888" t="s">
        <v>113</v>
      </c>
      <c r="F2888" t="s">
        <v>34</v>
      </c>
      <c r="G2888" t="s">
        <v>35</v>
      </c>
      <c r="H2888">
        <v>1</v>
      </c>
      <c r="I2888">
        <v>1084</v>
      </c>
      <c r="J2888">
        <v>103.06</v>
      </c>
    </row>
    <row r="2889" spans="1:10" x14ac:dyDescent="0.25">
      <c r="A2889" s="1">
        <v>45189</v>
      </c>
      <c r="B2889" t="s">
        <v>49</v>
      </c>
      <c r="C2889" t="s">
        <v>17</v>
      </c>
      <c r="D2889" t="s">
        <v>12</v>
      </c>
      <c r="E2889" t="s">
        <v>52</v>
      </c>
      <c r="F2889" t="s">
        <v>42</v>
      </c>
      <c r="G2889" t="s">
        <v>28</v>
      </c>
      <c r="H2889">
        <v>2</v>
      </c>
      <c r="I2889">
        <v>490</v>
      </c>
      <c r="J2889">
        <v>45.34</v>
      </c>
    </row>
    <row r="2890" spans="1:10" x14ac:dyDescent="0.25">
      <c r="A2890" s="1">
        <v>44742</v>
      </c>
      <c r="B2890" t="s">
        <v>36</v>
      </c>
      <c r="C2890" t="s">
        <v>17</v>
      </c>
      <c r="D2890" t="s">
        <v>12</v>
      </c>
      <c r="E2890" t="s">
        <v>114</v>
      </c>
      <c r="F2890" t="s">
        <v>115</v>
      </c>
      <c r="G2890" t="s">
        <v>15</v>
      </c>
      <c r="H2890">
        <v>6</v>
      </c>
      <c r="I2890">
        <v>558</v>
      </c>
      <c r="J2890">
        <v>57.01</v>
      </c>
    </row>
    <row r="2891" spans="1:10" x14ac:dyDescent="0.25">
      <c r="A2891" s="1">
        <v>45340</v>
      </c>
      <c r="B2891" t="s">
        <v>36</v>
      </c>
      <c r="C2891" t="s">
        <v>17</v>
      </c>
      <c r="D2891" t="s">
        <v>12</v>
      </c>
      <c r="E2891" t="s">
        <v>112</v>
      </c>
      <c r="F2891" t="s">
        <v>63</v>
      </c>
      <c r="G2891" t="s">
        <v>28</v>
      </c>
      <c r="H2891">
        <v>4</v>
      </c>
      <c r="I2891">
        <v>4024</v>
      </c>
      <c r="J2891">
        <v>787.06</v>
      </c>
    </row>
    <row r="2892" spans="1:10" x14ac:dyDescent="0.25">
      <c r="A2892" s="1">
        <v>44959</v>
      </c>
      <c r="B2892" t="s">
        <v>16</v>
      </c>
      <c r="C2892" t="s">
        <v>17</v>
      </c>
      <c r="D2892" t="s">
        <v>12</v>
      </c>
      <c r="E2892" t="s">
        <v>56</v>
      </c>
      <c r="F2892" t="s">
        <v>57</v>
      </c>
      <c r="G2892" t="s">
        <v>24</v>
      </c>
      <c r="H2892">
        <v>4</v>
      </c>
      <c r="I2892">
        <v>1560</v>
      </c>
      <c r="J2892">
        <v>461.15</v>
      </c>
    </row>
    <row r="2893" spans="1:10" x14ac:dyDescent="0.25">
      <c r="A2893" s="1">
        <v>45359</v>
      </c>
      <c r="B2893" t="s">
        <v>55</v>
      </c>
      <c r="C2893" t="s">
        <v>19</v>
      </c>
      <c r="D2893" t="s">
        <v>12</v>
      </c>
      <c r="E2893" t="s">
        <v>116</v>
      </c>
      <c r="F2893" t="s">
        <v>23</v>
      </c>
      <c r="G2893" t="s">
        <v>24</v>
      </c>
      <c r="H2893">
        <v>1</v>
      </c>
      <c r="I2893">
        <v>126</v>
      </c>
      <c r="J2893">
        <v>26.62</v>
      </c>
    </row>
    <row r="2894" spans="1:10" x14ac:dyDescent="0.25">
      <c r="A2894" s="1">
        <v>45207</v>
      </c>
      <c r="B2894" t="s">
        <v>16</v>
      </c>
      <c r="C2894" t="s">
        <v>17</v>
      </c>
      <c r="D2894" t="s">
        <v>12</v>
      </c>
      <c r="E2894" t="s">
        <v>52</v>
      </c>
      <c r="F2894" t="s">
        <v>42</v>
      </c>
      <c r="G2894" t="s">
        <v>28</v>
      </c>
      <c r="H2894">
        <v>7</v>
      </c>
      <c r="I2894">
        <v>4921</v>
      </c>
      <c r="J2894">
        <v>827.87</v>
      </c>
    </row>
    <row r="2895" spans="1:10" x14ac:dyDescent="0.25">
      <c r="A2895" s="1">
        <v>45209</v>
      </c>
      <c r="B2895" t="s">
        <v>29</v>
      </c>
      <c r="C2895" t="s">
        <v>17</v>
      </c>
      <c r="D2895" t="s">
        <v>12</v>
      </c>
      <c r="E2895" t="s">
        <v>117</v>
      </c>
      <c r="F2895" t="s">
        <v>59</v>
      </c>
      <c r="G2895" t="s">
        <v>28</v>
      </c>
      <c r="H2895">
        <v>5</v>
      </c>
      <c r="I2895">
        <v>2665</v>
      </c>
      <c r="J2895">
        <v>532.76</v>
      </c>
    </row>
    <row r="2896" spans="1:10" x14ac:dyDescent="0.25">
      <c r="A2896" s="1">
        <v>45021</v>
      </c>
      <c r="B2896" t="s">
        <v>29</v>
      </c>
      <c r="C2896" t="s">
        <v>17</v>
      </c>
      <c r="D2896" t="s">
        <v>12</v>
      </c>
      <c r="E2896" t="s">
        <v>62</v>
      </c>
      <c r="F2896" t="s">
        <v>63</v>
      </c>
      <c r="G2896" t="s">
        <v>28</v>
      </c>
      <c r="H2896">
        <v>4</v>
      </c>
      <c r="I2896">
        <v>200</v>
      </c>
      <c r="J2896">
        <v>58.42</v>
      </c>
    </row>
    <row r="2897" spans="1:10" x14ac:dyDescent="0.25">
      <c r="A2897" s="1">
        <v>45505</v>
      </c>
      <c r="B2897" t="s">
        <v>32</v>
      </c>
      <c r="C2897" t="s">
        <v>19</v>
      </c>
      <c r="D2897" t="s">
        <v>12</v>
      </c>
      <c r="E2897" t="s">
        <v>30</v>
      </c>
      <c r="F2897" t="s">
        <v>31</v>
      </c>
      <c r="G2897" t="s">
        <v>24</v>
      </c>
      <c r="H2897">
        <v>2</v>
      </c>
      <c r="I2897">
        <v>186</v>
      </c>
      <c r="J2897">
        <v>32.479999999999997</v>
      </c>
    </row>
    <row r="2898" spans="1:10" x14ac:dyDescent="0.25">
      <c r="A2898" s="1">
        <v>45577</v>
      </c>
      <c r="B2898" t="s">
        <v>36</v>
      </c>
      <c r="C2898" t="s">
        <v>17</v>
      </c>
      <c r="D2898" t="s">
        <v>12</v>
      </c>
      <c r="E2898" t="s">
        <v>70</v>
      </c>
      <c r="F2898" t="s">
        <v>71</v>
      </c>
      <c r="G2898" t="s">
        <v>35</v>
      </c>
      <c r="H2898">
        <v>8</v>
      </c>
      <c r="I2898">
        <v>5456</v>
      </c>
      <c r="J2898">
        <v>898.06</v>
      </c>
    </row>
    <row r="2899" spans="1:10" x14ac:dyDescent="0.25">
      <c r="A2899" s="1">
        <v>44771</v>
      </c>
      <c r="B2899" t="s">
        <v>32</v>
      </c>
      <c r="C2899" t="s">
        <v>19</v>
      </c>
      <c r="D2899" t="s">
        <v>12</v>
      </c>
      <c r="E2899" t="s">
        <v>26</v>
      </c>
      <c r="F2899" t="s">
        <v>27</v>
      </c>
      <c r="G2899" t="s">
        <v>28</v>
      </c>
      <c r="H2899">
        <v>9</v>
      </c>
      <c r="I2899">
        <v>3321</v>
      </c>
      <c r="J2899">
        <v>540.66999999999996</v>
      </c>
    </row>
    <row r="2900" spans="1:10" x14ac:dyDescent="0.25">
      <c r="A2900" s="1">
        <v>45335</v>
      </c>
      <c r="B2900" t="s">
        <v>29</v>
      </c>
      <c r="C2900" t="s">
        <v>17</v>
      </c>
      <c r="D2900" t="s">
        <v>12</v>
      </c>
      <c r="E2900" t="s">
        <v>118</v>
      </c>
      <c r="F2900" t="s">
        <v>42</v>
      </c>
      <c r="G2900" t="s">
        <v>28</v>
      </c>
      <c r="H2900">
        <v>7</v>
      </c>
      <c r="I2900">
        <v>3766</v>
      </c>
      <c r="J2900">
        <v>914.49</v>
      </c>
    </row>
    <row r="2901" spans="1:10" x14ac:dyDescent="0.25">
      <c r="A2901" s="1">
        <v>44688</v>
      </c>
      <c r="B2901" t="s">
        <v>49</v>
      </c>
      <c r="C2901" t="s">
        <v>17</v>
      </c>
      <c r="D2901" t="s">
        <v>12</v>
      </c>
      <c r="E2901" t="s">
        <v>118</v>
      </c>
      <c r="F2901" t="s">
        <v>42</v>
      </c>
      <c r="G2901" t="s">
        <v>28</v>
      </c>
      <c r="H2901">
        <v>6</v>
      </c>
      <c r="I2901">
        <v>3150</v>
      </c>
      <c r="J2901">
        <v>498.63</v>
      </c>
    </row>
    <row r="2902" spans="1:10" x14ac:dyDescent="0.25">
      <c r="A2902" s="1">
        <v>44700</v>
      </c>
      <c r="B2902" t="s">
        <v>55</v>
      </c>
      <c r="C2902" t="s">
        <v>19</v>
      </c>
      <c r="D2902" t="s">
        <v>12</v>
      </c>
      <c r="E2902" t="s">
        <v>56</v>
      </c>
      <c r="F2902" t="s">
        <v>57</v>
      </c>
      <c r="G2902" t="s">
        <v>24</v>
      </c>
      <c r="H2902">
        <v>2</v>
      </c>
      <c r="I2902">
        <v>646</v>
      </c>
      <c r="J2902">
        <v>110.13</v>
      </c>
    </row>
    <row r="2903" spans="1:10" x14ac:dyDescent="0.25">
      <c r="A2903" s="1">
        <v>44785</v>
      </c>
      <c r="B2903" t="s">
        <v>40</v>
      </c>
      <c r="C2903" t="s">
        <v>19</v>
      </c>
      <c r="D2903" t="s">
        <v>12</v>
      </c>
      <c r="E2903" t="s">
        <v>105</v>
      </c>
      <c r="F2903" t="s">
        <v>23</v>
      </c>
      <c r="G2903" t="s">
        <v>24</v>
      </c>
      <c r="H2903">
        <v>5</v>
      </c>
      <c r="I2903">
        <v>2665</v>
      </c>
      <c r="J2903">
        <v>369.73</v>
      </c>
    </row>
    <row r="2904" spans="1:10" x14ac:dyDescent="0.25">
      <c r="A2904" s="1">
        <v>45212</v>
      </c>
      <c r="B2904" t="s">
        <v>32</v>
      </c>
      <c r="C2904" t="s">
        <v>19</v>
      </c>
      <c r="D2904" t="s">
        <v>12</v>
      </c>
      <c r="E2904" t="s">
        <v>119</v>
      </c>
      <c r="F2904" t="s">
        <v>71</v>
      </c>
      <c r="G2904" t="s">
        <v>35</v>
      </c>
      <c r="H2904">
        <v>9</v>
      </c>
      <c r="I2904">
        <v>1467</v>
      </c>
      <c r="J2904">
        <v>384.22</v>
      </c>
    </row>
    <row r="2905" spans="1:10" x14ac:dyDescent="0.25">
      <c r="A2905" s="1">
        <v>45478</v>
      </c>
      <c r="B2905" t="s">
        <v>18</v>
      </c>
      <c r="C2905" t="s">
        <v>19</v>
      </c>
      <c r="D2905" t="s">
        <v>12</v>
      </c>
      <c r="E2905" t="s">
        <v>22</v>
      </c>
      <c r="F2905" t="s">
        <v>23</v>
      </c>
      <c r="G2905" t="s">
        <v>24</v>
      </c>
      <c r="H2905">
        <v>7</v>
      </c>
      <c r="I2905">
        <v>4620</v>
      </c>
      <c r="J2905">
        <v>990.79</v>
      </c>
    </row>
    <row r="2906" spans="1:10" x14ac:dyDescent="0.25">
      <c r="A2906" s="1">
        <v>45002</v>
      </c>
      <c r="B2906" t="s">
        <v>18</v>
      </c>
      <c r="C2906" t="s">
        <v>19</v>
      </c>
      <c r="D2906" t="s">
        <v>12</v>
      </c>
      <c r="E2906" t="s">
        <v>103</v>
      </c>
      <c r="F2906" t="s">
        <v>21</v>
      </c>
      <c r="G2906" t="s">
        <v>15</v>
      </c>
      <c r="H2906">
        <v>8</v>
      </c>
      <c r="I2906">
        <v>1184</v>
      </c>
      <c r="J2906">
        <v>148.69</v>
      </c>
    </row>
    <row r="2907" spans="1:10" x14ac:dyDescent="0.25">
      <c r="A2907" s="1">
        <v>45231</v>
      </c>
      <c r="B2907" t="s">
        <v>25</v>
      </c>
      <c r="C2907" t="s">
        <v>19</v>
      </c>
      <c r="D2907" t="s">
        <v>12</v>
      </c>
      <c r="E2907" t="s">
        <v>120</v>
      </c>
      <c r="F2907" t="s">
        <v>21</v>
      </c>
      <c r="G2907" t="s">
        <v>15</v>
      </c>
      <c r="H2907">
        <v>1</v>
      </c>
      <c r="I2907">
        <v>113</v>
      </c>
      <c r="J2907">
        <v>20.07</v>
      </c>
    </row>
    <row r="2908" spans="1:10" x14ac:dyDescent="0.25">
      <c r="A2908" s="1">
        <v>45567</v>
      </c>
      <c r="B2908" t="s">
        <v>10</v>
      </c>
      <c r="C2908" t="s">
        <v>11</v>
      </c>
      <c r="D2908" t="s">
        <v>12</v>
      </c>
      <c r="E2908" t="s">
        <v>111</v>
      </c>
      <c r="F2908" t="s">
        <v>115</v>
      </c>
      <c r="G2908" t="s">
        <v>15</v>
      </c>
      <c r="H2908">
        <v>8</v>
      </c>
      <c r="I2908">
        <v>3336</v>
      </c>
      <c r="J2908">
        <v>492.76</v>
      </c>
    </row>
    <row r="2909" spans="1:10" x14ac:dyDescent="0.25">
      <c r="A2909" s="1">
        <v>45025</v>
      </c>
      <c r="B2909" t="s">
        <v>40</v>
      </c>
      <c r="C2909" t="s">
        <v>19</v>
      </c>
      <c r="D2909" t="s">
        <v>12</v>
      </c>
      <c r="E2909" t="s">
        <v>121</v>
      </c>
      <c r="F2909" t="s">
        <v>122</v>
      </c>
      <c r="G2909" t="s">
        <v>35</v>
      </c>
      <c r="H2909">
        <v>4</v>
      </c>
      <c r="I2909">
        <v>4224</v>
      </c>
      <c r="J2909">
        <v>477.33</v>
      </c>
    </row>
    <row r="2910" spans="1:10" x14ac:dyDescent="0.25">
      <c r="A2910" s="1">
        <v>44751</v>
      </c>
      <c r="B2910" t="s">
        <v>29</v>
      </c>
      <c r="C2910" t="s">
        <v>17</v>
      </c>
      <c r="D2910" t="s">
        <v>12</v>
      </c>
      <c r="E2910" t="s">
        <v>74</v>
      </c>
      <c r="F2910" t="s">
        <v>23</v>
      </c>
      <c r="G2910" t="s">
        <v>24</v>
      </c>
      <c r="H2910">
        <v>3</v>
      </c>
      <c r="I2910">
        <v>1098</v>
      </c>
      <c r="J2910">
        <v>144.24</v>
      </c>
    </row>
    <row r="2911" spans="1:10" x14ac:dyDescent="0.25">
      <c r="A2911" s="1">
        <v>45361</v>
      </c>
      <c r="B2911" t="s">
        <v>25</v>
      </c>
      <c r="C2911" t="s">
        <v>19</v>
      </c>
      <c r="D2911" t="s">
        <v>12</v>
      </c>
      <c r="E2911" t="s">
        <v>75</v>
      </c>
      <c r="F2911" t="s">
        <v>63</v>
      </c>
      <c r="G2911" t="s">
        <v>28</v>
      </c>
      <c r="H2911">
        <v>8</v>
      </c>
      <c r="I2911">
        <v>4400</v>
      </c>
      <c r="J2911">
        <v>351.82</v>
      </c>
    </row>
    <row r="2912" spans="1:10" x14ac:dyDescent="0.25">
      <c r="A2912" s="1">
        <v>44689</v>
      </c>
      <c r="B2912" t="s">
        <v>10</v>
      </c>
      <c r="C2912" t="s">
        <v>11</v>
      </c>
      <c r="D2912" t="s">
        <v>12</v>
      </c>
      <c r="E2912" t="s">
        <v>123</v>
      </c>
      <c r="F2912" t="s">
        <v>23</v>
      </c>
      <c r="G2912" t="s">
        <v>24</v>
      </c>
      <c r="H2912">
        <v>8</v>
      </c>
      <c r="I2912">
        <v>5616</v>
      </c>
      <c r="J2912">
        <v>723.42</v>
      </c>
    </row>
    <row r="2913" spans="1:10" x14ac:dyDescent="0.25">
      <c r="A2913" s="1">
        <v>45353</v>
      </c>
      <c r="B2913" t="s">
        <v>10</v>
      </c>
      <c r="C2913" t="s">
        <v>11</v>
      </c>
      <c r="D2913" t="s">
        <v>12</v>
      </c>
      <c r="E2913" t="s">
        <v>104</v>
      </c>
      <c r="F2913" t="s">
        <v>115</v>
      </c>
      <c r="G2913" t="s">
        <v>15</v>
      </c>
      <c r="H2913">
        <v>7</v>
      </c>
      <c r="I2913">
        <v>4676</v>
      </c>
      <c r="J2913">
        <v>520.38</v>
      </c>
    </row>
    <row r="2914" spans="1:10" x14ac:dyDescent="0.25">
      <c r="A2914" s="1">
        <v>44761</v>
      </c>
      <c r="B2914" t="s">
        <v>32</v>
      </c>
      <c r="C2914" t="s">
        <v>19</v>
      </c>
      <c r="D2914" t="s">
        <v>12</v>
      </c>
      <c r="E2914" t="s">
        <v>124</v>
      </c>
      <c r="F2914" t="s">
        <v>23</v>
      </c>
      <c r="G2914" t="s">
        <v>24</v>
      </c>
      <c r="H2914">
        <v>2</v>
      </c>
      <c r="I2914">
        <v>2370</v>
      </c>
      <c r="J2914">
        <v>641.23</v>
      </c>
    </row>
    <row r="2915" spans="1:10" x14ac:dyDescent="0.25">
      <c r="A2915" s="1">
        <v>44950</v>
      </c>
      <c r="B2915" t="s">
        <v>16</v>
      </c>
      <c r="C2915" t="s">
        <v>17</v>
      </c>
      <c r="D2915" t="s">
        <v>12</v>
      </c>
      <c r="E2915" t="s">
        <v>105</v>
      </c>
      <c r="F2915" t="s">
        <v>23</v>
      </c>
      <c r="G2915" t="s">
        <v>24</v>
      </c>
      <c r="H2915">
        <v>7</v>
      </c>
      <c r="I2915">
        <v>4487</v>
      </c>
      <c r="J2915">
        <v>688.76</v>
      </c>
    </row>
    <row r="2916" spans="1:10" x14ac:dyDescent="0.25">
      <c r="A2916" s="1">
        <v>45566</v>
      </c>
      <c r="B2916" t="s">
        <v>25</v>
      </c>
      <c r="C2916" t="s">
        <v>19</v>
      </c>
      <c r="D2916" t="s">
        <v>12</v>
      </c>
      <c r="E2916" t="s">
        <v>74</v>
      </c>
      <c r="F2916" t="s">
        <v>23</v>
      </c>
      <c r="G2916" t="s">
        <v>24</v>
      </c>
      <c r="H2916">
        <v>6</v>
      </c>
      <c r="I2916">
        <v>6384</v>
      </c>
      <c r="J2916">
        <v>1754.15</v>
      </c>
    </row>
    <row r="2917" spans="1:10" x14ac:dyDescent="0.25">
      <c r="A2917" s="1">
        <v>45015</v>
      </c>
      <c r="B2917" t="s">
        <v>49</v>
      </c>
      <c r="C2917" t="s">
        <v>17</v>
      </c>
      <c r="D2917" t="s">
        <v>12</v>
      </c>
      <c r="E2917" t="s">
        <v>125</v>
      </c>
      <c r="F2917" t="s">
        <v>126</v>
      </c>
      <c r="G2917" t="s">
        <v>35</v>
      </c>
      <c r="H2917">
        <v>8</v>
      </c>
      <c r="I2917">
        <v>2960</v>
      </c>
      <c r="J2917">
        <v>878.11</v>
      </c>
    </row>
    <row r="2918" spans="1:10" x14ac:dyDescent="0.25">
      <c r="A2918" s="1">
        <v>44644</v>
      </c>
      <c r="B2918" t="s">
        <v>32</v>
      </c>
      <c r="C2918" t="s">
        <v>19</v>
      </c>
      <c r="D2918" t="s">
        <v>12</v>
      </c>
      <c r="E2918" t="s">
        <v>127</v>
      </c>
      <c r="F2918" t="s">
        <v>57</v>
      </c>
      <c r="G2918" t="s">
        <v>24</v>
      </c>
      <c r="H2918">
        <v>1</v>
      </c>
      <c r="I2918">
        <v>897</v>
      </c>
      <c r="J2918">
        <v>250.78</v>
      </c>
    </row>
    <row r="2919" spans="1:10" x14ac:dyDescent="0.25">
      <c r="A2919" s="1">
        <v>45010</v>
      </c>
      <c r="B2919" t="s">
        <v>40</v>
      </c>
      <c r="C2919" t="s">
        <v>19</v>
      </c>
      <c r="D2919" t="s">
        <v>12</v>
      </c>
      <c r="E2919" t="s">
        <v>128</v>
      </c>
      <c r="F2919" t="s">
        <v>23</v>
      </c>
      <c r="G2919" t="s">
        <v>24</v>
      </c>
      <c r="H2919">
        <v>2</v>
      </c>
      <c r="I2919">
        <v>1178</v>
      </c>
      <c r="J2919">
        <v>120.51</v>
      </c>
    </row>
    <row r="2920" spans="1:10" x14ac:dyDescent="0.25">
      <c r="A2920" s="1">
        <v>44946</v>
      </c>
      <c r="B2920" t="s">
        <v>32</v>
      </c>
      <c r="C2920" t="s">
        <v>19</v>
      </c>
      <c r="D2920" t="s">
        <v>12</v>
      </c>
      <c r="E2920" t="s">
        <v>26</v>
      </c>
      <c r="F2920" t="s">
        <v>27</v>
      </c>
      <c r="G2920" t="s">
        <v>28</v>
      </c>
      <c r="H2920">
        <v>2</v>
      </c>
      <c r="I2920">
        <v>1026</v>
      </c>
      <c r="J2920">
        <v>64.510000000000005</v>
      </c>
    </row>
    <row r="2921" spans="1:10" x14ac:dyDescent="0.25">
      <c r="A2921" s="1">
        <v>44703</v>
      </c>
      <c r="B2921" t="s">
        <v>10</v>
      </c>
      <c r="C2921" t="s">
        <v>11</v>
      </c>
      <c r="D2921" t="s">
        <v>12</v>
      </c>
      <c r="E2921" t="s">
        <v>129</v>
      </c>
      <c r="F2921" t="s">
        <v>14</v>
      </c>
      <c r="G2921" t="s">
        <v>15</v>
      </c>
      <c r="H2921">
        <v>1</v>
      </c>
      <c r="I2921">
        <v>1148</v>
      </c>
      <c r="J2921">
        <v>89.04</v>
      </c>
    </row>
    <row r="2922" spans="1:10" x14ac:dyDescent="0.25">
      <c r="A2922" s="1">
        <v>44972</v>
      </c>
      <c r="B2922" t="s">
        <v>10</v>
      </c>
      <c r="C2922" t="s">
        <v>11</v>
      </c>
      <c r="D2922" t="s">
        <v>12</v>
      </c>
      <c r="E2922" t="s">
        <v>52</v>
      </c>
      <c r="F2922" t="s">
        <v>42</v>
      </c>
      <c r="G2922" t="s">
        <v>28</v>
      </c>
      <c r="H2922">
        <v>7</v>
      </c>
      <c r="I2922">
        <v>3185</v>
      </c>
      <c r="J2922">
        <v>765.41</v>
      </c>
    </row>
    <row r="2923" spans="1:10" x14ac:dyDescent="0.25">
      <c r="A2923" s="1">
        <v>44623</v>
      </c>
      <c r="B2923" t="s">
        <v>40</v>
      </c>
      <c r="C2923" t="s">
        <v>19</v>
      </c>
      <c r="D2923" t="s">
        <v>12</v>
      </c>
      <c r="E2923" t="s">
        <v>130</v>
      </c>
      <c r="F2923" t="s">
        <v>14</v>
      </c>
      <c r="G2923" t="s">
        <v>15</v>
      </c>
      <c r="H2923">
        <v>7</v>
      </c>
      <c r="I2923">
        <v>5180</v>
      </c>
      <c r="J2923">
        <v>463.35</v>
      </c>
    </row>
    <row r="2924" spans="1:10" x14ac:dyDescent="0.25">
      <c r="A2924" s="1">
        <v>44867</v>
      </c>
      <c r="B2924" t="s">
        <v>29</v>
      </c>
      <c r="C2924" t="s">
        <v>17</v>
      </c>
      <c r="D2924" t="s">
        <v>12</v>
      </c>
      <c r="E2924" t="s">
        <v>131</v>
      </c>
      <c r="F2924" t="s">
        <v>63</v>
      </c>
      <c r="G2924" t="s">
        <v>28</v>
      </c>
      <c r="H2924">
        <v>5</v>
      </c>
      <c r="I2924">
        <v>2025</v>
      </c>
      <c r="J2924">
        <v>295.13</v>
      </c>
    </row>
    <row r="2925" spans="1:10" x14ac:dyDescent="0.25">
      <c r="A2925" s="1">
        <v>45650</v>
      </c>
      <c r="B2925" t="s">
        <v>18</v>
      </c>
      <c r="C2925" t="s">
        <v>19</v>
      </c>
      <c r="D2925" t="s">
        <v>12</v>
      </c>
      <c r="E2925" t="s">
        <v>52</v>
      </c>
      <c r="F2925" t="s">
        <v>42</v>
      </c>
      <c r="G2925" t="s">
        <v>28</v>
      </c>
      <c r="H2925">
        <v>9</v>
      </c>
      <c r="I2925">
        <v>1359</v>
      </c>
      <c r="J2925">
        <v>187.72</v>
      </c>
    </row>
    <row r="2926" spans="1:10" x14ac:dyDescent="0.25">
      <c r="A2926" s="1">
        <v>45015</v>
      </c>
      <c r="B2926" t="s">
        <v>25</v>
      </c>
      <c r="C2926" t="s">
        <v>19</v>
      </c>
      <c r="D2926" t="s">
        <v>12</v>
      </c>
      <c r="E2926" t="s">
        <v>132</v>
      </c>
      <c r="F2926" t="s">
        <v>115</v>
      </c>
      <c r="G2926" t="s">
        <v>15</v>
      </c>
      <c r="H2926">
        <v>4</v>
      </c>
      <c r="I2926">
        <v>1836</v>
      </c>
      <c r="J2926">
        <v>462.52</v>
      </c>
    </row>
    <row r="2927" spans="1:10" x14ac:dyDescent="0.25">
      <c r="A2927" s="1">
        <v>44898</v>
      </c>
      <c r="B2927" t="s">
        <v>18</v>
      </c>
      <c r="C2927" t="s">
        <v>19</v>
      </c>
      <c r="D2927" t="s">
        <v>12</v>
      </c>
      <c r="E2927" t="s">
        <v>91</v>
      </c>
      <c r="F2927" t="s">
        <v>133</v>
      </c>
      <c r="G2927" t="s">
        <v>28</v>
      </c>
      <c r="H2927">
        <v>2</v>
      </c>
      <c r="I2927">
        <v>702</v>
      </c>
      <c r="J2927">
        <v>112.04</v>
      </c>
    </row>
    <row r="2928" spans="1:10" x14ac:dyDescent="0.25">
      <c r="A2928" s="1">
        <v>45633</v>
      </c>
      <c r="B2928" t="s">
        <v>40</v>
      </c>
      <c r="C2928" t="s">
        <v>19</v>
      </c>
      <c r="D2928" t="s">
        <v>12</v>
      </c>
      <c r="E2928" t="s">
        <v>52</v>
      </c>
      <c r="F2928" t="s">
        <v>42</v>
      </c>
      <c r="G2928" t="s">
        <v>28</v>
      </c>
      <c r="H2928">
        <v>8</v>
      </c>
      <c r="I2928">
        <v>6576</v>
      </c>
      <c r="J2928">
        <v>1337.38</v>
      </c>
    </row>
    <row r="2929" spans="1:10" x14ac:dyDescent="0.25">
      <c r="A2929" s="1">
        <v>45358</v>
      </c>
      <c r="B2929" t="s">
        <v>32</v>
      </c>
      <c r="C2929" t="s">
        <v>19</v>
      </c>
      <c r="D2929" t="s">
        <v>12</v>
      </c>
      <c r="E2929" t="s">
        <v>70</v>
      </c>
      <c r="F2929" t="s">
        <v>71</v>
      </c>
      <c r="G2929" t="s">
        <v>35</v>
      </c>
      <c r="H2929">
        <v>2</v>
      </c>
      <c r="I2929">
        <v>1428</v>
      </c>
      <c r="J2929">
        <v>398.24</v>
      </c>
    </row>
    <row r="2930" spans="1:10" x14ac:dyDescent="0.25">
      <c r="A2930" s="1">
        <v>44934</v>
      </c>
      <c r="B2930" t="s">
        <v>25</v>
      </c>
      <c r="C2930" t="s">
        <v>19</v>
      </c>
      <c r="D2930" t="s">
        <v>12</v>
      </c>
      <c r="E2930" t="s">
        <v>134</v>
      </c>
      <c r="F2930" t="s">
        <v>42</v>
      </c>
      <c r="G2930" t="s">
        <v>28</v>
      </c>
      <c r="H2930">
        <v>7</v>
      </c>
      <c r="I2930">
        <v>6853</v>
      </c>
      <c r="J2930">
        <v>1259.03</v>
      </c>
    </row>
    <row r="2931" spans="1:10" x14ac:dyDescent="0.25">
      <c r="A2931" s="1">
        <v>44697</v>
      </c>
      <c r="B2931" t="s">
        <v>25</v>
      </c>
      <c r="C2931" t="s">
        <v>19</v>
      </c>
      <c r="D2931" t="s">
        <v>12</v>
      </c>
      <c r="E2931" t="s">
        <v>52</v>
      </c>
      <c r="F2931" t="s">
        <v>42</v>
      </c>
      <c r="G2931" t="s">
        <v>28</v>
      </c>
      <c r="H2931">
        <v>2</v>
      </c>
      <c r="I2931">
        <v>1492</v>
      </c>
      <c r="J2931">
        <v>276.56</v>
      </c>
    </row>
    <row r="2932" spans="1:10" x14ac:dyDescent="0.25">
      <c r="A2932" s="1">
        <v>45411</v>
      </c>
      <c r="B2932" t="s">
        <v>10</v>
      </c>
      <c r="C2932" t="s">
        <v>11</v>
      </c>
      <c r="D2932" t="s">
        <v>12</v>
      </c>
      <c r="E2932" t="s">
        <v>135</v>
      </c>
      <c r="F2932" t="s">
        <v>83</v>
      </c>
      <c r="G2932" t="s">
        <v>28</v>
      </c>
      <c r="H2932">
        <v>6</v>
      </c>
      <c r="I2932">
        <v>1938</v>
      </c>
      <c r="J2932">
        <v>146.72999999999999</v>
      </c>
    </row>
    <row r="2933" spans="1:10" x14ac:dyDescent="0.25">
      <c r="A2933" s="1">
        <v>44934</v>
      </c>
      <c r="B2933" t="s">
        <v>25</v>
      </c>
      <c r="C2933" t="s">
        <v>19</v>
      </c>
      <c r="D2933" t="s">
        <v>12</v>
      </c>
      <c r="E2933" t="s">
        <v>136</v>
      </c>
      <c r="F2933" t="s">
        <v>65</v>
      </c>
      <c r="G2933" t="s">
        <v>35</v>
      </c>
      <c r="H2933">
        <v>5</v>
      </c>
      <c r="I2933">
        <v>905</v>
      </c>
      <c r="J2933">
        <v>70.91</v>
      </c>
    </row>
    <row r="2934" spans="1:10" x14ac:dyDescent="0.25">
      <c r="A2934" s="1">
        <v>44617</v>
      </c>
      <c r="B2934" t="s">
        <v>10</v>
      </c>
      <c r="C2934" t="s">
        <v>11</v>
      </c>
      <c r="D2934" t="s">
        <v>12</v>
      </c>
      <c r="E2934" t="s">
        <v>66</v>
      </c>
      <c r="F2934" t="s">
        <v>34</v>
      </c>
      <c r="G2934" t="s">
        <v>35</v>
      </c>
      <c r="H2934">
        <v>3</v>
      </c>
      <c r="I2934">
        <v>2571</v>
      </c>
      <c r="J2934">
        <v>510.01</v>
      </c>
    </row>
    <row r="2935" spans="1:10" x14ac:dyDescent="0.25">
      <c r="A2935" s="1">
        <v>45390</v>
      </c>
      <c r="B2935" t="s">
        <v>18</v>
      </c>
      <c r="C2935" t="s">
        <v>19</v>
      </c>
      <c r="D2935" t="s">
        <v>12</v>
      </c>
      <c r="E2935" t="s">
        <v>66</v>
      </c>
      <c r="F2935" t="s">
        <v>34</v>
      </c>
      <c r="G2935" t="s">
        <v>35</v>
      </c>
      <c r="H2935">
        <v>4</v>
      </c>
      <c r="I2935">
        <v>1500</v>
      </c>
      <c r="J2935">
        <v>127.81</v>
      </c>
    </row>
    <row r="2936" spans="1:10" x14ac:dyDescent="0.25">
      <c r="A2936" s="1">
        <v>45002</v>
      </c>
      <c r="B2936" t="s">
        <v>32</v>
      </c>
      <c r="C2936" t="s">
        <v>19</v>
      </c>
      <c r="D2936" t="s">
        <v>12</v>
      </c>
      <c r="E2936" t="s">
        <v>137</v>
      </c>
      <c r="F2936" t="s">
        <v>23</v>
      </c>
      <c r="G2936" t="s">
        <v>24</v>
      </c>
      <c r="H2936">
        <v>9</v>
      </c>
      <c r="I2936">
        <v>8712</v>
      </c>
      <c r="J2936">
        <v>1034.27</v>
      </c>
    </row>
    <row r="2937" spans="1:10" x14ac:dyDescent="0.25">
      <c r="A2937" s="1">
        <v>45496</v>
      </c>
      <c r="B2937" t="s">
        <v>36</v>
      </c>
      <c r="C2937" t="s">
        <v>17</v>
      </c>
      <c r="D2937" t="s">
        <v>12</v>
      </c>
      <c r="E2937" t="s">
        <v>138</v>
      </c>
      <c r="F2937" t="s">
        <v>94</v>
      </c>
      <c r="G2937" t="s">
        <v>24</v>
      </c>
      <c r="H2937">
        <v>4</v>
      </c>
      <c r="I2937">
        <v>1308</v>
      </c>
      <c r="J2937">
        <v>368.28</v>
      </c>
    </row>
    <row r="2938" spans="1:10" x14ac:dyDescent="0.25">
      <c r="A2938" s="1">
        <v>45357</v>
      </c>
      <c r="B2938" t="s">
        <v>40</v>
      </c>
      <c r="C2938" t="s">
        <v>19</v>
      </c>
      <c r="D2938" t="s">
        <v>12</v>
      </c>
      <c r="E2938" t="s">
        <v>26</v>
      </c>
      <c r="F2938" t="s">
        <v>27</v>
      </c>
      <c r="G2938" t="s">
        <v>28</v>
      </c>
      <c r="H2938">
        <v>4</v>
      </c>
      <c r="I2938">
        <v>2648</v>
      </c>
      <c r="J2938">
        <v>707.32</v>
      </c>
    </row>
    <row r="2939" spans="1:10" x14ac:dyDescent="0.25">
      <c r="A2939" s="1">
        <v>44638</v>
      </c>
      <c r="B2939" t="s">
        <v>25</v>
      </c>
      <c r="C2939" t="s">
        <v>19</v>
      </c>
      <c r="D2939" t="s">
        <v>12</v>
      </c>
      <c r="E2939" t="s">
        <v>26</v>
      </c>
      <c r="F2939" t="s">
        <v>27</v>
      </c>
      <c r="G2939" t="s">
        <v>28</v>
      </c>
      <c r="H2939">
        <v>9</v>
      </c>
      <c r="I2939">
        <v>9810</v>
      </c>
      <c r="J2939">
        <v>1666.96</v>
      </c>
    </row>
    <row r="2940" spans="1:10" x14ac:dyDescent="0.25">
      <c r="A2940" s="1">
        <v>45415</v>
      </c>
      <c r="B2940" t="s">
        <v>29</v>
      </c>
      <c r="C2940" t="s">
        <v>17</v>
      </c>
      <c r="D2940" t="s">
        <v>12</v>
      </c>
      <c r="E2940" t="s">
        <v>26</v>
      </c>
      <c r="F2940" t="s">
        <v>27</v>
      </c>
      <c r="G2940" t="s">
        <v>28</v>
      </c>
      <c r="H2940">
        <v>3</v>
      </c>
      <c r="I2940">
        <v>3291</v>
      </c>
      <c r="J2940">
        <v>274.10000000000002</v>
      </c>
    </row>
    <row r="2941" spans="1:10" x14ac:dyDescent="0.25">
      <c r="A2941" s="1">
        <v>44826</v>
      </c>
      <c r="B2941" t="s">
        <v>32</v>
      </c>
      <c r="C2941" t="s">
        <v>19</v>
      </c>
      <c r="D2941" t="s">
        <v>12</v>
      </c>
      <c r="E2941" t="s">
        <v>26</v>
      </c>
      <c r="F2941" t="s">
        <v>27</v>
      </c>
      <c r="G2941" t="s">
        <v>28</v>
      </c>
      <c r="H2941">
        <v>1</v>
      </c>
      <c r="I2941">
        <v>758</v>
      </c>
      <c r="J2941">
        <v>96.44</v>
      </c>
    </row>
    <row r="2942" spans="1:10" x14ac:dyDescent="0.25">
      <c r="A2942" s="1">
        <v>44833</v>
      </c>
      <c r="B2942" t="s">
        <v>49</v>
      </c>
      <c r="C2942" t="s">
        <v>17</v>
      </c>
      <c r="D2942" t="s">
        <v>12</v>
      </c>
      <c r="E2942" t="s">
        <v>139</v>
      </c>
      <c r="F2942" t="s">
        <v>34</v>
      </c>
      <c r="G2942" t="s">
        <v>35</v>
      </c>
      <c r="H2942">
        <v>7</v>
      </c>
      <c r="I2942">
        <v>2436</v>
      </c>
      <c r="J2942">
        <v>715.14</v>
      </c>
    </row>
    <row r="2943" spans="1:10" x14ac:dyDescent="0.25">
      <c r="A2943" s="1">
        <v>45444</v>
      </c>
      <c r="B2943" t="s">
        <v>32</v>
      </c>
      <c r="C2943" t="s">
        <v>19</v>
      </c>
      <c r="D2943" t="s">
        <v>12</v>
      </c>
      <c r="E2943" t="s">
        <v>118</v>
      </c>
      <c r="F2943" t="s">
        <v>23</v>
      </c>
      <c r="G2943" t="s">
        <v>24</v>
      </c>
      <c r="H2943">
        <v>7</v>
      </c>
      <c r="I2943">
        <v>560</v>
      </c>
      <c r="J2943">
        <v>163.16</v>
      </c>
    </row>
    <row r="2944" spans="1:10" x14ac:dyDescent="0.25">
      <c r="A2944" s="1">
        <v>44854</v>
      </c>
      <c r="B2944" t="s">
        <v>40</v>
      </c>
      <c r="C2944" t="s">
        <v>19</v>
      </c>
      <c r="D2944" t="s">
        <v>12</v>
      </c>
      <c r="E2944" t="s">
        <v>74</v>
      </c>
      <c r="F2944" t="s">
        <v>23</v>
      </c>
      <c r="G2944" t="s">
        <v>24</v>
      </c>
      <c r="H2944">
        <v>8</v>
      </c>
      <c r="I2944">
        <v>4240</v>
      </c>
      <c r="J2944">
        <v>519.72</v>
      </c>
    </row>
    <row r="2945" spans="1:10" x14ac:dyDescent="0.25">
      <c r="A2945" s="1">
        <v>45540</v>
      </c>
      <c r="B2945" t="s">
        <v>36</v>
      </c>
      <c r="C2945" t="s">
        <v>17</v>
      </c>
      <c r="D2945" t="s">
        <v>12</v>
      </c>
      <c r="E2945" t="s">
        <v>26</v>
      </c>
      <c r="F2945" t="s">
        <v>27</v>
      </c>
      <c r="G2945" t="s">
        <v>28</v>
      </c>
      <c r="H2945">
        <v>8</v>
      </c>
      <c r="I2945">
        <v>5416</v>
      </c>
      <c r="J2945">
        <v>403.52</v>
      </c>
    </row>
    <row r="2946" spans="1:10" x14ac:dyDescent="0.25">
      <c r="A2946" s="1">
        <v>45123</v>
      </c>
      <c r="B2946" t="s">
        <v>40</v>
      </c>
      <c r="C2946" t="s">
        <v>19</v>
      </c>
      <c r="D2946" t="s">
        <v>12</v>
      </c>
      <c r="E2946" t="s">
        <v>52</v>
      </c>
      <c r="F2946" t="s">
        <v>42</v>
      </c>
      <c r="G2946" t="s">
        <v>28</v>
      </c>
      <c r="H2946">
        <v>8</v>
      </c>
      <c r="I2946">
        <v>1728</v>
      </c>
      <c r="J2946">
        <v>477.7</v>
      </c>
    </row>
    <row r="2947" spans="1:10" x14ac:dyDescent="0.25">
      <c r="A2947" s="1">
        <v>45122</v>
      </c>
      <c r="B2947" t="s">
        <v>49</v>
      </c>
      <c r="C2947" t="s">
        <v>17</v>
      </c>
      <c r="D2947" t="s">
        <v>12</v>
      </c>
      <c r="E2947" t="s">
        <v>130</v>
      </c>
      <c r="F2947" t="s">
        <v>54</v>
      </c>
      <c r="G2947" t="s">
        <v>24</v>
      </c>
      <c r="H2947">
        <v>9</v>
      </c>
      <c r="I2947">
        <v>6309</v>
      </c>
      <c r="J2947">
        <v>801.15</v>
      </c>
    </row>
    <row r="2948" spans="1:10" x14ac:dyDescent="0.25">
      <c r="A2948" s="1">
        <v>45146</v>
      </c>
      <c r="B2948" t="s">
        <v>49</v>
      </c>
      <c r="C2948" t="s">
        <v>17</v>
      </c>
      <c r="D2948" t="s">
        <v>12</v>
      </c>
      <c r="E2948" t="s">
        <v>140</v>
      </c>
      <c r="F2948" t="s">
        <v>42</v>
      </c>
      <c r="G2948" t="s">
        <v>28</v>
      </c>
      <c r="H2948">
        <v>8</v>
      </c>
      <c r="I2948">
        <v>3400</v>
      </c>
      <c r="J2948">
        <v>758.57</v>
      </c>
    </row>
    <row r="2949" spans="1:10" x14ac:dyDescent="0.25">
      <c r="A2949" s="1">
        <v>44680</v>
      </c>
      <c r="B2949" t="s">
        <v>55</v>
      </c>
      <c r="C2949" t="s">
        <v>19</v>
      </c>
      <c r="D2949" t="s">
        <v>12</v>
      </c>
      <c r="E2949" t="s">
        <v>103</v>
      </c>
      <c r="F2949" t="s">
        <v>21</v>
      </c>
      <c r="G2949" t="s">
        <v>15</v>
      </c>
      <c r="H2949">
        <v>1</v>
      </c>
      <c r="I2949">
        <v>403</v>
      </c>
      <c r="J2949">
        <v>72.45</v>
      </c>
    </row>
    <row r="2950" spans="1:10" x14ac:dyDescent="0.25">
      <c r="A2950" s="1">
        <v>44912</v>
      </c>
      <c r="B2950" t="s">
        <v>49</v>
      </c>
      <c r="C2950" t="s">
        <v>17</v>
      </c>
      <c r="D2950" t="s">
        <v>12</v>
      </c>
      <c r="E2950" t="s">
        <v>13</v>
      </c>
      <c r="F2950" t="s">
        <v>14</v>
      </c>
      <c r="G2950" t="s">
        <v>15</v>
      </c>
      <c r="H2950">
        <v>4</v>
      </c>
      <c r="I2950">
        <v>2108</v>
      </c>
      <c r="J2950">
        <v>375.62</v>
      </c>
    </row>
    <row r="2951" spans="1:10" x14ac:dyDescent="0.25">
      <c r="A2951" s="1">
        <v>44834</v>
      </c>
      <c r="B2951" t="s">
        <v>29</v>
      </c>
      <c r="C2951" t="s">
        <v>17</v>
      </c>
      <c r="D2951" t="s">
        <v>12</v>
      </c>
      <c r="E2951" t="s">
        <v>13</v>
      </c>
      <c r="F2951" t="s">
        <v>14</v>
      </c>
      <c r="G2951" t="s">
        <v>15</v>
      </c>
      <c r="H2951">
        <v>2</v>
      </c>
      <c r="I2951">
        <v>1090</v>
      </c>
      <c r="J2951">
        <v>296.12</v>
      </c>
    </row>
    <row r="2952" spans="1:10" x14ac:dyDescent="0.25">
      <c r="A2952" s="1">
        <v>44871</v>
      </c>
      <c r="B2952" t="s">
        <v>49</v>
      </c>
      <c r="C2952" t="s">
        <v>17</v>
      </c>
      <c r="D2952" t="s">
        <v>12</v>
      </c>
      <c r="E2952" t="s">
        <v>52</v>
      </c>
      <c r="F2952" t="s">
        <v>42</v>
      </c>
      <c r="G2952" t="s">
        <v>28</v>
      </c>
      <c r="H2952">
        <v>7</v>
      </c>
      <c r="I2952">
        <v>1274</v>
      </c>
      <c r="J2952">
        <v>317.92</v>
      </c>
    </row>
    <row r="2953" spans="1:10" x14ac:dyDescent="0.25">
      <c r="A2953" s="1">
        <v>45393</v>
      </c>
      <c r="B2953" t="s">
        <v>16</v>
      </c>
      <c r="C2953" t="s">
        <v>17</v>
      </c>
      <c r="D2953" t="s">
        <v>12</v>
      </c>
      <c r="E2953" t="s">
        <v>105</v>
      </c>
      <c r="F2953" t="s">
        <v>23</v>
      </c>
      <c r="G2953" t="s">
        <v>24</v>
      </c>
      <c r="H2953">
        <v>3</v>
      </c>
      <c r="I2953">
        <v>1056</v>
      </c>
      <c r="J2953">
        <v>70.540000000000006</v>
      </c>
    </row>
    <row r="2954" spans="1:10" x14ac:dyDescent="0.25">
      <c r="A2954" s="1">
        <v>45078</v>
      </c>
      <c r="B2954" t="s">
        <v>16</v>
      </c>
      <c r="C2954" t="s">
        <v>17</v>
      </c>
      <c r="D2954" t="s">
        <v>12</v>
      </c>
      <c r="E2954" t="s">
        <v>141</v>
      </c>
      <c r="F2954" t="s">
        <v>57</v>
      </c>
      <c r="G2954" t="s">
        <v>24</v>
      </c>
      <c r="H2954">
        <v>9</v>
      </c>
      <c r="I2954">
        <v>5247</v>
      </c>
      <c r="J2954">
        <v>921.09</v>
      </c>
    </row>
    <row r="2955" spans="1:10" x14ac:dyDescent="0.25">
      <c r="A2955" s="1">
        <v>45236</v>
      </c>
      <c r="B2955" t="s">
        <v>16</v>
      </c>
      <c r="C2955" t="s">
        <v>17</v>
      </c>
      <c r="D2955" t="s">
        <v>12</v>
      </c>
      <c r="E2955" t="s">
        <v>56</v>
      </c>
      <c r="F2955" t="s">
        <v>57</v>
      </c>
      <c r="G2955" t="s">
        <v>24</v>
      </c>
      <c r="H2955">
        <v>7</v>
      </c>
      <c r="I2955">
        <v>6006</v>
      </c>
      <c r="J2955">
        <v>1595.22</v>
      </c>
    </row>
    <row r="2956" spans="1:10" x14ac:dyDescent="0.25">
      <c r="A2956" s="1">
        <v>45309</v>
      </c>
      <c r="B2956" t="s">
        <v>36</v>
      </c>
      <c r="C2956" t="s">
        <v>17</v>
      </c>
      <c r="D2956" t="s">
        <v>12</v>
      </c>
      <c r="E2956" t="s">
        <v>52</v>
      </c>
      <c r="F2956" t="s">
        <v>42</v>
      </c>
      <c r="G2956" t="s">
        <v>28</v>
      </c>
      <c r="H2956">
        <v>5</v>
      </c>
      <c r="I2956">
        <v>5415</v>
      </c>
      <c r="J2956">
        <v>1261.6500000000001</v>
      </c>
    </row>
    <row r="2957" spans="1:10" x14ac:dyDescent="0.25">
      <c r="A2957" s="1">
        <v>44616</v>
      </c>
      <c r="B2957" t="s">
        <v>40</v>
      </c>
      <c r="C2957" t="s">
        <v>19</v>
      </c>
      <c r="D2957" t="s">
        <v>12</v>
      </c>
      <c r="E2957" t="s">
        <v>52</v>
      </c>
      <c r="F2957" t="s">
        <v>42</v>
      </c>
      <c r="G2957" t="s">
        <v>28</v>
      </c>
      <c r="H2957">
        <v>1</v>
      </c>
      <c r="I2957">
        <v>632</v>
      </c>
      <c r="J2957">
        <v>81.540000000000006</v>
      </c>
    </row>
    <row r="2958" spans="1:10" x14ac:dyDescent="0.25">
      <c r="A2958" s="1">
        <v>45322</v>
      </c>
      <c r="B2958" t="s">
        <v>10</v>
      </c>
      <c r="C2958" t="s">
        <v>11</v>
      </c>
      <c r="D2958" t="s">
        <v>12</v>
      </c>
      <c r="E2958" t="s">
        <v>57</v>
      </c>
      <c r="F2958" t="s">
        <v>142</v>
      </c>
      <c r="G2958" t="s">
        <v>28</v>
      </c>
      <c r="H2958">
        <v>8</v>
      </c>
      <c r="I2958">
        <v>6160</v>
      </c>
      <c r="J2958">
        <v>947.96</v>
      </c>
    </row>
    <row r="2959" spans="1:10" x14ac:dyDescent="0.25">
      <c r="A2959" s="1">
        <v>45072</v>
      </c>
      <c r="B2959" t="s">
        <v>10</v>
      </c>
      <c r="C2959" t="s">
        <v>11</v>
      </c>
      <c r="D2959" t="s">
        <v>12</v>
      </c>
      <c r="E2959" t="s">
        <v>80</v>
      </c>
      <c r="F2959" t="s">
        <v>78</v>
      </c>
      <c r="G2959" t="s">
        <v>28</v>
      </c>
      <c r="H2959">
        <v>1</v>
      </c>
      <c r="I2959">
        <v>857</v>
      </c>
      <c r="J2959">
        <v>172.91</v>
      </c>
    </row>
    <row r="2960" spans="1:10" x14ac:dyDescent="0.25">
      <c r="A2960" s="1">
        <v>44954</v>
      </c>
      <c r="B2960" t="s">
        <v>18</v>
      </c>
      <c r="C2960" t="s">
        <v>19</v>
      </c>
      <c r="D2960" t="s">
        <v>12</v>
      </c>
      <c r="E2960" t="s">
        <v>80</v>
      </c>
      <c r="F2960" t="s">
        <v>78</v>
      </c>
      <c r="G2960" t="s">
        <v>28</v>
      </c>
      <c r="H2960">
        <v>1</v>
      </c>
      <c r="I2960">
        <v>169</v>
      </c>
      <c r="J2960">
        <v>22.99</v>
      </c>
    </row>
    <row r="2961" spans="1:10" x14ac:dyDescent="0.25">
      <c r="A2961" s="1">
        <v>45200</v>
      </c>
      <c r="B2961" t="s">
        <v>18</v>
      </c>
      <c r="C2961" t="s">
        <v>19</v>
      </c>
      <c r="D2961" t="s">
        <v>12</v>
      </c>
      <c r="E2961" t="s">
        <v>143</v>
      </c>
      <c r="F2961" t="s">
        <v>100</v>
      </c>
      <c r="G2961" t="s">
        <v>35</v>
      </c>
      <c r="H2961">
        <v>7</v>
      </c>
      <c r="I2961">
        <v>1463</v>
      </c>
      <c r="J2961">
        <v>175.13</v>
      </c>
    </row>
    <row r="2962" spans="1:10" x14ac:dyDescent="0.25">
      <c r="A2962" s="1">
        <v>44913</v>
      </c>
      <c r="B2962" t="s">
        <v>25</v>
      </c>
      <c r="C2962" t="s">
        <v>19</v>
      </c>
      <c r="D2962" t="s">
        <v>12</v>
      </c>
      <c r="E2962" t="s">
        <v>144</v>
      </c>
      <c r="F2962" t="s">
        <v>100</v>
      </c>
      <c r="G2962" t="s">
        <v>35</v>
      </c>
      <c r="H2962">
        <v>8</v>
      </c>
      <c r="I2962">
        <v>7528</v>
      </c>
      <c r="J2962">
        <v>1283.07</v>
      </c>
    </row>
    <row r="2963" spans="1:10" x14ac:dyDescent="0.25">
      <c r="A2963" s="1">
        <v>44919</v>
      </c>
      <c r="B2963" t="s">
        <v>32</v>
      </c>
      <c r="C2963" t="s">
        <v>19</v>
      </c>
      <c r="D2963" t="s">
        <v>12</v>
      </c>
      <c r="E2963" t="s">
        <v>52</v>
      </c>
      <c r="F2963" t="s">
        <v>42</v>
      </c>
      <c r="G2963" t="s">
        <v>28</v>
      </c>
      <c r="H2963">
        <v>2</v>
      </c>
      <c r="I2963">
        <v>1158</v>
      </c>
      <c r="J2963">
        <v>227.61</v>
      </c>
    </row>
    <row r="2964" spans="1:10" x14ac:dyDescent="0.25">
      <c r="A2964" s="1">
        <v>44729</v>
      </c>
      <c r="B2964" t="s">
        <v>36</v>
      </c>
      <c r="C2964" t="s">
        <v>17</v>
      </c>
      <c r="D2964" t="s">
        <v>12</v>
      </c>
      <c r="E2964" t="s">
        <v>145</v>
      </c>
      <c r="F2964" t="s">
        <v>44</v>
      </c>
      <c r="G2964" t="s">
        <v>35</v>
      </c>
      <c r="H2964">
        <v>4</v>
      </c>
      <c r="I2964">
        <v>200</v>
      </c>
      <c r="J2964">
        <v>20.25</v>
      </c>
    </row>
    <row r="2965" spans="1:10" x14ac:dyDescent="0.25">
      <c r="A2965" s="1">
        <v>44927</v>
      </c>
      <c r="B2965" t="s">
        <v>40</v>
      </c>
      <c r="C2965" t="s">
        <v>19</v>
      </c>
      <c r="D2965" t="s">
        <v>12</v>
      </c>
      <c r="E2965" t="s">
        <v>146</v>
      </c>
      <c r="F2965" t="s">
        <v>21</v>
      </c>
      <c r="G2965" t="s">
        <v>15</v>
      </c>
      <c r="H2965">
        <v>2</v>
      </c>
      <c r="I2965">
        <v>1514</v>
      </c>
      <c r="J2965">
        <v>180.67</v>
      </c>
    </row>
    <row r="2966" spans="1:10" x14ac:dyDescent="0.25">
      <c r="A2966" s="1">
        <v>45480</v>
      </c>
      <c r="B2966" t="s">
        <v>32</v>
      </c>
      <c r="C2966" t="s">
        <v>19</v>
      </c>
      <c r="D2966" t="s">
        <v>12</v>
      </c>
      <c r="E2966" t="s">
        <v>26</v>
      </c>
      <c r="F2966" t="s">
        <v>27</v>
      </c>
      <c r="G2966" t="s">
        <v>28</v>
      </c>
      <c r="H2966">
        <v>7</v>
      </c>
      <c r="I2966">
        <v>2632</v>
      </c>
      <c r="J2966">
        <v>738.93</v>
      </c>
    </row>
    <row r="2967" spans="1:10" x14ac:dyDescent="0.25">
      <c r="A2967" s="1">
        <v>44773</v>
      </c>
      <c r="B2967" t="s">
        <v>49</v>
      </c>
      <c r="C2967" t="s">
        <v>17</v>
      </c>
      <c r="D2967" t="s">
        <v>12</v>
      </c>
      <c r="E2967" t="s">
        <v>26</v>
      </c>
      <c r="F2967" t="s">
        <v>27</v>
      </c>
      <c r="G2967" t="s">
        <v>28</v>
      </c>
      <c r="H2967">
        <v>1</v>
      </c>
      <c r="I2967">
        <v>358</v>
      </c>
      <c r="J2967">
        <v>77.84</v>
      </c>
    </row>
    <row r="2968" spans="1:10" x14ac:dyDescent="0.25">
      <c r="A2968" s="1">
        <v>45081</v>
      </c>
      <c r="B2968" t="s">
        <v>25</v>
      </c>
      <c r="C2968" t="s">
        <v>19</v>
      </c>
      <c r="D2968" t="s">
        <v>12</v>
      </c>
      <c r="E2968" t="s">
        <v>52</v>
      </c>
      <c r="F2968" t="s">
        <v>42</v>
      </c>
      <c r="G2968" t="s">
        <v>28</v>
      </c>
      <c r="H2968">
        <v>8</v>
      </c>
      <c r="I2968">
        <v>2360</v>
      </c>
      <c r="J2968">
        <v>653.29999999999995</v>
      </c>
    </row>
    <row r="2969" spans="1:10" x14ac:dyDescent="0.25">
      <c r="A2969" s="1">
        <v>45167</v>
      </c>
      <c r="B2969" t="s">
        <v>49</v>
      </c>
      <c r="C2969" t="s">
        <v>17</v>
      </c>
      <c r="D2969" t="s">
        <v>12</v>
      </c>
      <c r="E2969" t="s">
        <v>37</v>
      </c>
      <c r="F2969" t="s">
        <v>34</v>
      </c>
      <c r="G2969" t="s">
        <v>35</v>
      </c>
      <c r="H2969">
        <v>5</v>
      </c>
      <c r="I2969">
        <v>5275</v>
      </c>
      <c r="J2969">
        <v>594.29</v>
      </c>
    </row>
    <row r="2970" spans="1:10" x14ac:dyDescent="0.25">
      <c r="A2970" s="1">
        <v>45022</v>
      </c>
      <c r="B2970" t="s">
        <v>36</v>
      </c>
      <c r="C2970" t="s">
        <v>17</v>
      </c>
      <c r="D2970" t="s">
        <v>12</v>
      </c>
      <c r="E2970" t="s">
        <v>74</v>
      </c>
      <c r="F2970" t="s">
        <v>23</v>
      </c>
      <c r="G2970" t="s">
        <v>24</v>
      </c>
      <c r="H2970">
        <v>9</v>
      </c>
      <c r="I2970">
        <v>1719</v>
      </c>
      <c r="J2970">
        <v>251.85</v>
      </c>
    </row>
    <row r="2971" spans="1:10" x14ac:dyDescent="0.25">
      <c r="A2971" s="1">
        <v>44961</v>
      </c>
      <c r="B2971" t="s">
        <v>40</v>
      </c>
      <c r="C2971" t="s">
        <v>19</v>
      </c>
      <c r="D2971" t="s">
        <v>12</v>
      </c>
      <c r="E2971" t="s">
        <v>70</v>
      </c>
      <c r="F2971" t="s">
        <v>71</v>
      </c>
      <c r="G2971" t="s">
        <v>35</v>
      </c>
      <c r="H2971">
        <v>6</v>
      </c>
      <c r="I2971">
        <v>1956</v>
      </c>
      <c r="J2971">
        <v>434.03</v>
      </c>
    </row>
    <row r="2972" spans="1:10" x14ac:dyDescent="0.25">
      <c r="A2972" s="1">
        <v>44800</v>
      </c>
      <c r="B2972" t="s">
        <v>49</v>
      </c>
      <c r="C2972" t="s">
        <v>17</v>
      </c>
      <c r="D2972" t="s">
        <v>12</v>
      </c>
      <c r="E2972" t="s">
        <v>147</v>
      </c>
      <c r="F2972" t="s">
        <v>42</v>
      </c>
      <c r="G2972" t="s">
        <v>28</v>
      </c>
      <c r="H2972">
        <v>3</v>
      </c>
      <c r="I2972">
        <v>1875</v>
      </c>
      <c r="J2972">
        <v>152.07</v>
      </c>
    </row>
    <row r="2973" spans="1:10" x14ac:dyDescent="0.25">
      <c r="A2973" s="1">
        <v>44725</v>
      </c>
      <c r="B2973" t="s">
        <v>36</v>
      </c>
      <c r="C2973" t="s">
        <v>17</v>
      </c>
      <c r="D2973" t="s">
        <v>12</v>
      </c>
      <c r="E2973" t="s">
        <v>148</v>
      </c>
      <c r="F2973" t="s">
        <v>149</v>
      </c>
      <c r="G2973" t="s">
        <v>15</v>
      </c>
      <c r="H2973">
        <v>4</v>
      </c>
      <c r="I2973">
        <v>984</v>
      </c>
      <c r="J2973">
        <v>157.72</v>
      </c>
    </row>
    <row r="2974" spans="1:10" x14ac:dyDescent="0.25">
      <c r="A2974" s="1">
        <v>45158</v>
      </c>
      <c r="B2974" t="s">
        <v>25</v>
      </c>
      <c r="C2974" t="s">
        <v>19</v>
      </c>
      <c r="D2974" t="s">
        <v>12</v>
      </c>
      <c r="E2974" t="s">
        <v>22</v>
      </c>
      <c r="F2974" t="s">
        <v>23</v>
      </c>
      <c r="G2974" t="s">
        <v>24</v>
      </c>
      <c r="H2974">
        <v>4</v>
      </c>
      <c r="I2974">
        <v>3616</v>
      </c>
      <c r="J2974">
        <v>789.63</v>
      </c>
    </row>
    <row r="2975" spans="1:10" x14ac:dyDescent="0.25">
      <c r="A2975" s="1">
        <v>45583</v>
      </c>
      <c r="B2975" t="s">
        <v>18</v>
      </c>
      <c r="C2975" t="s">
        <v>19</v>
      </c>
      <c r="D2975" t="s">
        <v>12</v>
      </c>
      <c r="E2975" t="s">
        <v>74</v>
      </c>
      <c r="F2975" t="s">
        <v>23</v>
      </c>
      <c r="G2975" t="s">
        <v>24</v>
      </c>
      <c r="H2975">
        <v>5</v>
      </c>
      <c r="I2975">
        <v>4560</v>
      </c>
      <c r="J2975">
        <v>1180.8</v>
      </c>
    </row>
    <row r="2976" spans="1:10" x14ac:dyDescent="0.25">
      <c r="A2976" s="1">
        <v>45549</v>
      </c>
      <c r="B2976" t="s">
        <v>40</v>
      </c>
      <c r="C2976" t="s">
        <v>19</v>
      </c>
      <c r="D2976" t="s">
        <v>12</v>
      </c>
      <c r="E2976" t="s">
        <v>37</v>
      </c>
      <c r="F2976" t="s">
        <v>34</v>
      </c>
      <c r="G2976" t="s">
        <v>35</v>
      </c>
      <c r="H2976">
        <v>8</v>
      </c>
      <c r="I2976">
        <v>7496</v>
      </c>
      <c r="J2976">
        <v>2019.32</v>
      </c>
    </row>
    <row r="2977" spans="1:10" x14ac:dyDescent="0.25">
      <c r="A2977" s="1">
        <v>44790</v>
      </c>
      <c r="B2977" t="s">
        <v>25</v>
      </c>
      <c r="C2977" t="s">
        <v>19</v>
      </c>
      <c r="D2977" t="s">
        <v>12</v>
      </c>
      <c r="E2977" t="s">
        <v>150</v>
      </c>
      <c r="F2977" t="s">
        <v>23</v>
      </c>
      <c r="G2977" t="s">
        <v>24</v>
      </c>
      <c r="H2977">
        <v>5</v>
      </c>
      <c r="I2977">
        <v>5070</v>
      </c>
      <c r="J2977">
        <v>889.97</v>
      </c>
    </row>
    <row r="2978" spans="1:10" x14ac:dyDescent="0.25">
      <c r="A2978" s="1">
        <v>44672</v>
      </c>
      <c r="B2978" t="s">
        <v>32</v>
      </c>
      <c r="C2978" t="s">
        <v>19</v>
      </c>
      <c r="D2978" t="s">
        <v>12</v>
      </c>
      <c r="E2978" t="s">
        <v>151</v>
      </c>
      <c r="F2978" t="s">
        <v>152</v>
      </c>
      <c r="G2978" t="s">
        <v>15</v>
      </c>
      <c r="H2978">
        <v>5</v>
      </c>
      <c r="I2978">
        <v>4505</v>
      </c>
      <c r="J2978">
        <v>1351.28</v>
      </c>
    </row>
    <row r="2979" spans="1:10" x14ac:dyDescent="0.25">
      <c r="A2979" s="1">
        <v>44574</v>
      </c>
      <c r="B2979" t="s">
        <v>18</v>
      </c>
      <c r="C2979" t="s">
        <v>19</v>
      </c>
      <c r="D2979" t="s">
        <v>12</v>
      </c>
      <c r="E2979" t="s">
        <v>151</v>
      </c>
      <c r="F2979" t="s">
        <v>152</v>
      </c>
      <c r="G2979" t="s">
        <v>15</v>
      </c>
      <c r="H2979">
        <v>2</v>
      </c>
      <c r="I2979">
        <v>1916</v>
      </c>
      <c r="J2979">
        <v>503.83</v>
      </c>
    </row>
    <row r="2980" spans="1:10" x14ac:dyDescent="0.25">
      <c r="A2980" s="1">
        <v>45532</v>
      </c>
      <c r="B2980" t="s">
        <v>25</v>
      </c>
      <c r="C2980" t="s">
        <v>19</v>
      </c>
      <c r="D2980" t="s">
        <v>12</v>
      </c>
      <c r="E2980" t="s">
        <v>132</v>
      </c>
      <c r="F2980" t="s">
        <v>115</v>
      </c>
      <c r="G2980" t="s">
        <v>15</v>
      </c>
      <c r="H2980">
        <v>7</v>
      </c>
      <c r="I2980">
        <v>8113</v>
      </c>
      <c r="J2980">
        <v>1103.57</v>
      </c>
    </row>
    <row r="2981" spans="1:10" x14ac:dyDescent="0.25">
      <c r="A2981" s="1">
        <v>44786</v>
      </c>
      <c r="B2981" t="s">
        <v>55</v>
      </c>
      <c r="C2981" t="s">
        <v>19</v>
      </c>
      <c r="D2981" t="s">
        <v>12</v>
      </c>
      <c r="E2981" t="s">
        <v>22</v>
      </c>
      <c r="F2981" t="s">
        <v>23</v>
      </c>
      <c r="G2981" t="s">
        <v>24</v>
      </c>
      <c r="H2981">
        <v>9</v>
      </c>
      <c r="I2981">
        <v>1809</v>
      </c>
      <c r="J2981">
        <v>392.44</v>
      </c>
    </row>
    <row r="2982" spans="1:10" x14ac:dyDescent="0.25">
      <c r="A2982" s="1">
        <v>45170</v>
      </c>
      <c r="B2982" t="s">
        <v>55</v>
      </c>
      <c r="C2982" t="s">
        <v>19</v>
      </c>
      <c r="D2982" t="s">
        <v>12</v>
      </c>
      <c r="E2982" t="s">
        <v>153</v>
      </c>
      <c r="F2982" t="s">
        <v>63</v>
      </c>
      <c r="G2982" t="s">
        <v>28</v>
      </c>
      <c r="H2982">
        <v>3</v>
      </c>
      <c r="I2982">
        <v>1227</v>
      </c>
      <c r="J2982">
        <v>229.75</v>
      </c>
    </row>
    <row r="2983" spans="1:10" x14ac:dyDescent="0.25">
      <c r="A2983" s="1">
        <v>45127</v>
      </c>
      <c r="B2983" t="s">
        <v>55</v>
      </c>
      <c r="C2983" t="s">
        <v>19</v>
      </c>
      <c r="D2983" t="s">
        <v>12</v>
      </c>
      <c r="E2983" t="s">
        <v>154</v>
      </c>
      <c r="F2983" t="s">
        <v>115</v>
      </c>
      <c r="G2983" t="s">
        <v>15</v>
      </c>
      <c r="H2983">
        <v>6</v>
      </c>
      <c r="I2983">
        <v>2040</v>
      </c>
      <c r="J2983">
        <v>124.65</v>
      </c>
    </row>
    <row r="2984" spans="1:10" x14ac:dyDescent="0.25">
      <c r="A2984" s="1">
        <v>44917</v>
      </c>
      <c r="B2984" t="s">
        <v>18</v>
      </c>
      <c r="C2984" t="s">
        <v>19</v>
      </c>
      <c r="D2984" t="s">
        <v>12</v>
      </c>
      <c r="E2984" t="s">
        <v>154</v>
      </c>
      <c r="F2984" t="s">
        <v>115</v>
      </c>
      <c r="G2984" t="s">
        <v>15</v>
      </c>
      <c r="H2984">
        <v>6</v>
      </c>
      <c r="I2984">
        <v>6324</v>
      </c>
      <c r="J2984">
        <v>629.20000000000005</v>
      </c>
    </row>
    <row r="2985" spans="1:10" x14ac:dyDescent="0.25">
      <c r="A2985" s="1">
        <v>45010</v>
      </c>
      <c r="B2985" t="s">
        <v>10</v>
      </c>
      <c r="C2985" t="s">
        <v>11</v>
      </c>
      <c r="D2985" t="s">
        <v>12</v>
      </c>
      <c r="E2985" t="s">
        <v>22</v>
      </c>
      <c r="F2985" t="s">
        <v>23</v>
      </c>
      <c r="G2985" t="s">
        <v>24</v>
      </c>
      <c r="H2985">
        <v>3</v>
      </c>
      <c r="I2985">
        <v>2724</v>
      </c>
      <c r="J2985">
        <v>521.24</v>
      </c>
    </row>
    <row r="2986" spans="1:10" x14ac:dyDescent="0.25">
      <c r="A2986" s="1">
        <v>45060</v>
      </c>
      <c r="B2986" t="s">
        <v>55</v>
      </c>
      <c r="C2986" t="s">
        <v>19</v>
      </c>
      <c r="D2986" t="s">
        <v>12</v>
      </c>
      <c r="E2986" t="s">
        <v>52</v>
      </c>
      <c r="F2986" t="s">
        <v>42</v>
      </c>
      <c r="G2986" t="s">
        <v>28</v>
      </c>
      <c r="H2986">
        <v>1</v>
      </c>
      <c r="I2986">
        <v>1188</v>
      </c>
      <c r="J2986">
        <v>110.32</v>
      </c>
    </row>
    <row r="2987" spans="1:10" x14ac:dyDescent="0.25">
      <c r="A2987" s="1">
        <v>45314</v>
      </c>
      <c r="B2987" t="s">
        <v>49</v>
      </c>
      <c r="C2987" t="s">
        <v>17</v>
      </c>
      <c r="D2987" t="s">
        <v>12</v>
      </c>
      <c r="E2987" t="s">
        <v>155</v>
      </c>
      <c r="F2987" t="s">
        <v>156</v>
      </c>
      <c r="G2987" t="s">
        <v>28</v>
      </c>
      <c r="H2987">
        <v>8</v>
      </c>
      <c r="I2987">
        <v>8776</v>
      </c>
      <c r="J2987">
        <v>1561.07</v>
      </c>
    </row>
    <row r="2988" spans="1:10" x14ac:dyDescent="0.25">
      <c r="A2988" s="1">
        <v>45010</v>
      </c>
      <c r="B2988" t="s">
        <v>55</v>
      </c>
      <c r="C2988" t="s">
        <v>19</v>
      </c>
      <c r="D2988" t="s">
        <v>12</v>
      </c>
      <c r="E2988" t="s">
        <v>22</v>
      </c>
      <c r="F2988" t="s">
        <v>23</v>
      </c>
      <c r="G2988" t="s">
        <v>24</v>
      </c>
      <c r="H2988">
        <v>9</v>
      </c>
      <c r="I2988">
        <v>5553</v>
      </c>
      <c r="J2988">
        <v>1432.76</v>
      </c>
    </row>
    <row r="2989" spans="1:10" x14ac:dyDescent="0.25">
      <c r="A2989" s="1">
        <v>44800</v>
      </c>
      <c r="B2989" t="s">
        <v>40</v>
      </c>
      <c r="C2989" t="s">
        <v>19</v>
      </c>
      <c r="D2989" t="s">
        <v>12</v>
      </c>
      <c r="E2989" t="s">
        <v>157</v>
      </c>
      <c r="F2989" t="s">
        <v>21</v>
      </c>
      <c r="G2989" t="s">
        <v>15</v>
      </c>
      <c r="H2989">
        <v>2</v>
      </c>
      <c r="I2989">
        <v>970</v>
      </c>
      <c r="J2989">
        <v>262.19</v>
      </c>
    </row>
    <row r="2990" spans="1:10" x14ac:dyDescent="0.25">
      <c r="A2990" s="1">
        <v>44757</v>
      </c>
      <c r="B2990" t="s">
        <v>49</v>
      </c>
      <c r="C2990" t="s">
        <v>17</v>
      </c>
      <c r="D2990" t="s">
        <v>12</v>
      </c>
      <c r="E2990" t="s">
        <v>157</v>
      </c>
      <c r="F2990" t="s">
        <v>21</v>
      </c>
      <c r="G2990" t="s">
        <v>15</v>
      </c>
      <c r="H2990">
        <v>5</v>
      </c>
      <c r="I2990">
        <v>940</v>
      </c>
      <c r="J2990">
        <v>56.7</v>
      </c>
    </row>
    <row r="2991" spans="1:10" x14ac:dyDescent="0.25">
      <c r="A2991" s="1">
        <v>45481</v>
      </c>
      <c r="B2991" t="s">
        <v>10</v>
      </c>
      <c r="C2991" t="s">
        <v>11</v>
      </c>
      <c r="D2991" t="s">
        <v>12</v>
      </c>
      <c r="E2991" t="s">
        <v>37</v>
      </c>
      <c r="F2991" t="s">
        <v>34</v>
      </c>
      <c r="G2991" t="s">
        <v>35</v>
      </c>
      <c r="H2991">
        <v>1</v>
      </c>
      <c r="I2991">
        <v>1175</v>
      </c>
      <c r="J2991">
        <v>171.51</v>
      </c>
    </row>
    <row r="2992" spans="1:10" x14ac:dyDescent="0.25">
      <c r="A2992" s="1">
        <v>44872</v>
      </c>
      <c r="B2992" t="s">
        <v>55</v>
      </c>
      <c r="C2992" t="s">
        <v>19</v>
      </c>
      <c r="D2992" t="s">
        <v>12</v>
      </c>
      <c r="E2992" t="s">
        <v>67</v>
      </c>
      <c r="F2992" t="s">
        <v>54</v>
      </c>
      <c r="G2992" t="s">
        <v>24</v>
      </c>
      <c r="H2992">
        <v>9</v>
      </c>
      <c r="I2992">
        <v>4860</v>
      </c>
      <c r="J2992">
        <v>1425.54</v>
      </c>
    </row>
    <row r="2993" spans="1:10" x14ac:dyDescent="0.25">
      <c r="A2993" s="1">
        <v>44852</v>
      </c>
      <c r="B2993" t="s">
        <v>29</v>
      </c>
      <c r="C2993" t="s">
        <v>17</v>
      </c>
      <c r="D2993" t="s">
        <v>12</v>
      </c>
      <c r="E2993" t="s">
        <v>67</v>
      </c>
      <c r="F2993" t="s">
        <v>54</v>
      </c>
      <c r="G2993" t="s">
        <v>24</v>
      </c>
      <c r="H2993">
        <v>1</v>
      </c>
      <c r="I2993">
        <v>987</v>
      </c>
      <c r="J2993">
        <v>207.69</v>
      </c>
    </row>
    <row r="2994" spans="1:10" x14ac:dyDescent="0.25">
      <c r="A2994" s="1">
        <v>45429</v>
      </c>
      <c r="B2994" t="s">
        <v>25</v>
      </c>
      <c r="C2994" t="s">
        <v>19</v>
      </c>
      <c r="D2994" t="s">
        <v>12</v>
      </c>
      <c r="E2994" t="s">
        <v>52</v>
      </c>
      <c r="F2994" t="s">
        <v>42</v>
      </c>
      <c r="G2994" t="s">
        <v>28</v>
      </c>
      <c r="H2994">
        <v>7</v>
      </c>
      <c r="I2994">
        <v>2968</v>
      </c>
      <c r="J2994">
        <v>485.13</v>
      </c>
    </row>
    <row r="2995" spans="1:10" x14ac:dyDescent="0.25">
      <c r="A2995" s="1">
        <v>44629</v>
      </c>
      <c r="B2995" t="s">
        <v>16</v>
      </c>
      <c r="C2995" t="s">
        <v>17</v>
      </c>
      <c r="D2995" t="s">
        <v>12</v>
      </c>
      <c r="E2995" t="s">
        <v>26</v>
      </c>
      <c r="F2995" t="s">
        <v>27</v>
      </c>
      <c r="G2995" t="s">
        <v>28</v>
      </c>
      <c r="H2995">
        <v>3</v>
      </c>
      <c r="I2995">
        <v>2172</v>
      </c>
      <c r="J2995">
        <v>364.77</v>
      </c>
    </row>
    <row r="2996" spans="1:10" x14ac:dyDescent="0.25">
      <c r="A2996" s="1">
        <v>44562</v>
      </c>
      <c r="B2996" t="s">
        <v>29</v>
      </c>
      <c r="C2996" t="s">
        <v>17</v>
      </c>
      <c r="D2996" t="s">
        <v>12</v>
      </c>
      <c r="E2996" t="s">
        <v>26</v>
      </c>
      <c r="F2996" t="s">
        <v>27</v>
      </c>
      <c r="G2996" t="s">
        <v>28</v>
      </c>
      <c r="H2996">
        <v>7</v>
      </c>
      <c r="I2996">
        <v>3941</v>
      </c>
      <c r="J2996">
        <v>628.96</v>
      </c>
    </row>
    <row r="2997" spans="1:10" x14ac:dyDescent="0.25">
      <c r="A2997" s="1">
        <v>44734</v>
      </c>
      <c r="B2997" t="s">
        <v>29</v>
      </c>
      <c r="C2997" t="s">
        <v>17</v>
      </c>
      <c r="D2997" t="s">
        <v>12</v>
      </c>
      <c r="E2997" t="s">
        <v>52</v>
      </c>
      <c r="F2997" t="s">
        <v>42</v>
      </c>
      <c r="G2997" t="s">
        <v>28</v>
      </c>
      <c r="H2997">
        <v>7</v>
      </c>
      <c r="I2997">
        <v>2261</v>
      </c>
      <c r="J2997">
        <v>566.36</v>
      </c>
    </row>
    <row r="2998" spans="1:10" x14ac:dyDescent="0.25">
      <c r="A2998" s="1">
        <v>44757</v>
      </c>
      <c r="B2998" t="s">
        <v>32</v>
      </c>
      <c r="C2998" t="s">
        <v>19</v>
      </c>
      <c r="D2998" t="s">
        <v>12</v>
      </c>
      <c r="E2998" t="s">
        <v>22</v>
      </c>
      <c r="F2998" t="s">
        <v>23</v>
      </c>
      <c r="G2998" t="s">
        <v>24</v>
      </c>
      <c r="H2998">
        <v>9</v>
      </c>
      <c r="I2998">
        <v>8802</v>
      </c>
      <c r="J2998">
        <v>2519.9299999999998</v>
      </c>
    </row>
    <row r="2999" spans="1:10" x14ac:dyDescent="0.25">
      <c r="A2999" s="1">
        <v>45000</v>
      </c>
      <c r="B2999" t="s">
        <v>10</v>
      </c>
      <c r="C2999" t="s">
        <v>11</v>
      </c>
      <c r="D2999" t="s">
        <v>12</v>
      </c>
      <c r="E2999" t="s">
        <v>158</v>
      </c>
      <c r="F2999" t="s">
        <v>21</v>
      </c>
      <c r="G2999" t="s">
        <v>15</v>
      </c>
      <c r="H2999">
        <v>5</v>
      </c>
      <c r="I2999">
        <v>3025</v>
      </c>
      <c r="J2999">
        <v>172.43</v>
      </c>
    </row>
    <row r="3000" spans="1:10" x14ac:dyDescent="0.25">
      <c r="A3000" s="1">
        <v>44577</v>
      </c>
      <c r="B3000" t="s">
        <v>10</v>
      </c>
      <c r="C3000" t="s">
        <v>11</v>
      </c>
      <c r="D3000" t="s">
        <v>12</v>
      </c>
      <c r="E3000" t="s">
        <v>158</v>
      </c>
      <c r="F3000" t="s">
        <v>21</v>
      </c>
      <c r="G3000" t="s">
        <v>15</v>
      </c>
      <c r="H3000">
        <v>4</v>
      </c>
      <c r="I3000">
        <v>4428</v>
      </c>
      <c r="J3000">
        <v>600.54999999999995</v>
      </c>
    </row>
    <row r="3001" spans="1:10" x14ac:dyDescent="0.25">
      <c r="A3001" s="1">
        <v>45593</v>
      </c>
      <c r="B3001" t="s">
        <v>16</v>
      </c>
      <c r="C3001" t="s">
        <v>17</v>
      </c>
      <c r="D3001" t="s">
        <v>12</v>
      </c>
      <c r="E3001" t="s">
        <v>158</v>
      </c>
      <c r="F3001" t="s">
        <v>21</v>
      </c>
      <c r="G3001" t="s">
        <v>15</v>
      </c>
      <c r="H3001">
        <v>9</v>
      </c>
      <c r="I3001">
        <v>7344</v>
      </c>
      <c r="J3001">
        <v>1417.84</v>
      </c>
    </row>
    <row r="3002" spans="1:10" x14ac:dyDescent="0.25">
      <c r="A3002" s="1">
        <v>45527</v>
      </c>
      <c r="B3002" t="s">
        <v>49</v>
      </c>
      <c r="C3002" t="s">
        <v>17</v>
      </c>
      <c r="D3002" t="s">
        <v>12</v>
      </c>
      <c r="E3002" t="s">
        <v>56</v>
      </c>
      <c r="F3002" t="s">
        <v>57</v>
      </c>
      <c r="G3002" t="s">
        <v>24</v>
      </c>
      <c r="H3002">
        <v>4</v>
      </c>
      <c r="I3002">
        <v>2236</v>
      </c>
      <c r="J3002">
        <v>167.78</v>
      </c>
    </row>
    <row r="3003" spans="1:10" x14ac:dyDescent="0.25">
      <c r="A3003" s="1">
        <v>45620</v>
      </c>
      <c r="B3003" t="s">
        <v>40</v>
      </c>
      <c r="C3003" t="s">
        <v>19</v>
      </c>
      <c r="D3003" t="s">
        <v>12</v>
      </c>
      <c r="E3003" t="s">
        <v>159</v>
      </c>
      <c r="F3003" t="s">
        <v>23</v>
      </c>
      <c r="G3003" t="s">
        <v>24</v>
      </c>
      <c r="H3003">
        <v>8</v>
      </c>
      <c r="I3003">
        <v>536</v>
      </c>
      <c r="J3003">
        <v>57.08</v>
      </c>
    </row>
    <row r="3004" spans="1:10" x14ac:dyDescent="0.25">
      <c r="A3004" s="1">
        <v>45585</v>
      </c>
      <c r="B3004" t="s">
        <v>36</v>
      </c>
      <c r="C3004" t="s">
        <v>17</v>
      </c>
      <c r="D3004" t="s">
        <v>12</v>
      </c>
      <c r="E3004" t="s">
        <v>159</v>
      </c>
      <c r="F3004" t="s">
        <v>23</v>
      </c>
      <c r="G3004" t="s">
        <v>24</v>
      </c>
      <c r="H3004">
        <v>5</v>
      </c>
      <c r="I3004">
        <v>1980</v>
      </c>
      <c r="J3004">
        <v>249.22</v>
      </c>
    </row>
    <row r="3005" spans="1:10" x14ac:dyDescent="0.25">
      <c r="A3005" s="1">
        <v>44587</v>
      </c>
      <c r="B3005" t="s">
        <v>10</v>
      </c>
      <c r="C3005" t="s">
        <v>11</v>
      </c>
      <c r="D3005" t="s">
        <v>12</v>
      </c>
      <c r="E3005" t="s">
        <v>159</v>
      </c>
      <c r="F3005" t="s">
        <v>23</v>
      </c>
      <c r="G3005" t="s">
        <v>24</v>
      </c>
      <c r="H3005">
        <v>6</v>
      </c>
      <c r="I3005">
        <v>2100</v>
      </c>
      <c r="J3005">
        <v>202.86</v>
      </c>
    </row>
    <row r="3006" spans="1:10" x14ac:dyDescent="0.25">
      <c r="A3006" s="1">
        <v>45032</v>
      </c>
      <c r="B3006" t="s">
        <v>32</v>
      </c>
      <c r="C3006" t="s">
        <v>19</v>
      </c>
      <c r="D3006" t="s">
        <v>12</v>
      </c>
      <c r="E3006" t="s">
        <v>52</v>
      </c>
      <c r="F3006" t="s">
        <v>42</v>
      </c>
      <c r="G3006" t="s">
        <v>28</v>
      </c>
      <c r="H3006">
        <v>3</v>
      </c>
      <c r="I3006">
        <v>1497</v>
      </c>
      <c r="J3006">
        <v>122.76</v>
      </c>
    </row>
    <row r="3007" spans="1:10" x14ac:dyDescent="0.25">
      <c r="A3007" s="1">
        <v>45491</v>
      </c>
      <c r="B3007" t="s">
        <v>55</v>
      </c>
      <c r="C3007" t="s">
        <v>19</v>
      </c>
      <c r="D3007" t="s">
        <v>12</v>
      </c>
      <c r="E3007" t="s">
        <v>160</v>
      </c>
      <c r="F3007" t="s">
        <v>27</v>
      </c>
      <c r="G3007" t="s">
        <v>28</v>
      </c>
      <c r="H3007">
        <v>6</v>
      </c>
      <c r="I3007">
        <v>4200</v>
      </c>
      <c r="J3007">
        <v>1013.7</v>
      </c>
    </row>
    <row r="3008" spans="1:10" x14ac:dyDescent="0.25">
      <c r="A3008" s="1">
        <v>44886</v>
      </c>
      <c r="B3008" t="s">
        <v>29</v>
      </c>
      <c r="C3008" t="s">
        <v>17</v>
      </c>
      <c r="D3008" t="s">
        <v>12</v>
      </c>
      <c r="E3008" t="s">
        <v>160</v>
      </c>
      <c r="F3008" t="s">
        <v>27</v>
      </c>
      <c r="G3008" t="s">
        <v>28</v>
      </c>
      <c r="H3008">
        <v>2</v>
      </c>
      <c r="I3008">
        <v>1242</v>
      </c>
      <c r="J3008">
        <v>191.82</v>
      </c>
    </row>
    <row r="3009" spans="1:10" x14ac:dyDescent="0.25">
      <c r="A3009" s="1">
        <v>44894</v>
      </c>
      <c r="B3009" t="s">
        <v>32</v>
      </c>
      <c r="C3009" t="s">
        <v>19</v>
      </c>
      <c r="D3009" t="s">
        <v>12</v>
      </c>
      <c r="E3009" t="s">
        <v>161</v>
      </c>
      <c r="F3009" t="s">
        <v>39</v>
      </c>
      <c r="G3009" t="s">
        <v>35</v>
      </c>
      <c r="H3009">
        <v>5</v>
      </c>
      <c r="I3009">
        <v>1570</v>
      </c>
      <c r="J3009">
        <v>312.81</v>
      </c>
    </row>
    <row r="3010" spans="1:10" x14ac:dyDescent="0.25">
      <c r="A3010" s="1">
        <v>45108</v>
      </c>
      <c r="B3010" t="s">
        <v>36</v>
      </c>
      <c r="C3010" t="s">
        <v>17</v>
      </c>
      <c r="D3010" t="s">
        <v>12</v>
      </c>
      <c r="E3010" t="s">
        <v>22</v>
      </c>
      <c r="F3010" t="s">
        <v>23</v>
      </c>
      <c r="G3010" t="s">
        <v>24</v>
      </c>
      <c r="H3010">
        <v>4</v>
      </c>
      <c r="I3010">
        <v>428</v>
      </c>
      <c r="J3010">
        <v>86.62</v>
      </c>
    </row>
    <row r="3011" spans="1:10" x14ac:dyDescent="0.25">
      <c r="A3011" s="1">
        <v>44959</v>
      </c>
      <c r="B3011" t="s">
        <v>10</v>
      </c>
      <c r="C3011" t="s">
        <v>11</v>
      </c>
      <c r="D3011" t="s">
        <v>12</v>
      </c>
      <c r="E3011" t="s">
        <v>130</v>
      </c>
      <c r="F3011" t="s">
        <v>54</v>
      </c>
      <c r="G3011" t="s">
        <v>24</v>
      </c>
      <c r="H3011">
        <v>1</v>
      </c>
      <c r="I3011">
        <v>914</v>
      </c>
      <c r="J3011">
        <v>270.74</v>
      </c>
    </row>
    <row r="3012" spans="1:10" x14ac:dyDescent="0.25">
      <c r="A3012" s="1">
        <v>45639</v>
      </c>
      <c r="B3012" t="s">
        <v>18</v>
      </c>
      <c r="C3012" t="s">
        <v>19</v>
      </c>
      <c r="D3012" t="s">
        <v>12</v>
      </c>
      <c r="E3012" t="s">
        <v>102</v>
      </c>
      <c r="F3012" t="s">
        <v>34</v>
      </c>
      <c r="G3012" t="s">
        <v>35</v>
      </c>
      <c r="H3012">
        <v>3</v>
      </c>
      <c r="I3012">
        <v>465</v>
      </c>
      <c r="J3012">
        <v>98.93</v>
      </c>
    </row>
    <row r="3013" spans="1:10" x14ac:dyDescent="0.25">
      <c r="A3013" s="1">
        <v>44800</v>
      </c>
      <c r="B3013" t="s">
        <v>32</v>
      </c>
      <c r="C3013" t="s">
        <v>19</v>
      </c>
      <c r="D3013" t="s">
        <v>12</v>
      </c>
      <c r="E3013" t="s">
        <v>52</v>
      </c>
      <c r="F3013" t="s">
        <v>42</v>
      </c>
      <c r="G3013" t="s">
        <v>28</v>
      </c>
      <c r="H3013">
        <v>2</v>
      </c>
      <c r="I3013">
        <v>1062</v>
      </c>
      <c r="J3013">
        <v>83.49</v>
      </c>
    </row>
    <row r="3014" spans="1:10" x14ac:dyDescent="0.25">
      <c r="A3014" s="1">
        <v>44707</v>
      </c>
      <c r="B3014" t="s">
        <v>25</v>
      </c>
      <c r="C3014" t="s">
        <v>19</v>
      </c>
      <c r="D3014" t="s">
        <v>12</v>
      </c>
      <c r="E3014" t="s">
        <v>132</v>
      </c>
      <c r="F3014" t="s">
        <v>115</v>
      </c>
      <c r="G3014" t="s">
        <v>15</v>
      </c>
      <c r="H3014">
        <v>8</v>
      </c>
      <c r="I3014">
        <v>8720</v>
      </c>
      <c r="J3014">
        <v>1984.11</v>
      </c>
    </row>
    <row r="3015" spans="1:10" x14ac:dyDescent="0.25">
      <c r="A3015" s="1">
        <v>45326</v>
      </c>
      <c r="B3015" t="s">
        <v>16</v>
      </c>
      <c r="C3015" t="s">
        <v>17</v>
      </c>
      <c r="D3015" t="s">
        <v>12</v>
      </c>
      <c r="E3015" t="s">
        <v>132</v>
      </c>
      <c r="F3015" t="s">
        <v>115</v>
      </c>
      <c r="G3015" t="s">
        <v>15</v>
      </c>
      <c r="H3015">
        <v>6</v>
      </c>
      <c r="I3015">
        <v>1308</v>
      </c>
      <c r="J3015">
        <v>343.61</v>
      </c>
    </row>
    <row r="3016" spans="1:10" x14ac:dyDescent="0.25">
      <c r="A3016" s="1">
        <v>45638</v>
      </c>
      <c r="B3016" t="s">
        <v>29</v>
      </c>
      <c r="C3016" t="s">
        <v>17</v>
      </c>
      <c r="D3016" t="s">
        <v>12</v>
      </c>
      <c r="E3016" t="s">
        <v>111</v>
      </c>
      <c r="F3016" t="s">
        <v>115</v>
      </c>
      <c r="G3016" t="s">
        <v>15</v>
      </c>
      <c r="H3016">
        <v>9</v>
      </c>
      <c r="I3016">
        <v>8514</v>
      </c>
      <c r="J3016">
        <v>1291.97</v>
      </c>
    </row>
    <row r="3017" spans="1:10" x14ac:dyDescent="0.25">
      <c r="A3017" s="1">
        <v>44964</v>
      </c>
      <c r="B3017" t="s">
        <v>18</v>
      </c>
      <c r="C3017" t="s">
        <v>19</v>
      </c>
      <c r="D3017" t="s">
        <v>12</v>
      </c>
      <c r="E3017" t="s">
        <v>75</v>
      </c>
      <c r="F3017" t="s">
        <v>108</v>
      </c>
      <c r="G3017" t="s">
        <v>15</v>
      </c>
      <c r="H3017">
        <v>2</v>
      </c>
      <c r="I3017">
        <v>1212</v>
      </c>
      <c r="J3017">
        <v>151.07</v>
      </c>
    </row>
    <row r="3018" spans="1:10" x14ac:dyDescent="0.25">
      <c r="A3018" s="1">
        <v>45040</v>
      </c>
      <c r="B3018" t="s">
        <v>29</v>
      </c>
      <c r="C3018" t="s">
        <v>17</v>
      </c>
      <c r="D3018" t="s">
        <v>12</v>
      </c>
      <c r="E3018" t="s">
        <v>162</v>
      </c>
      <c r="F3018" t="s">
        <v>23</v>
      </c>
      <c r="G3018" t="s">
        <v>24</v>
      </c>
      <c r="H3018">
        <v>4</v>
      </c>
      <c r="I3018">
        <v>2576</v>
      </c>
      <c r="J3018">
        <v>503.57</v>
      </c>
    </row>
    <row r="3019" spans="1:10" x14ac:dyDescent="0.25">
      <c r="A3019" s="1">
        <v>45195</v>
      </c>
      <c r="B3019" t="s">
        <v>49</v>
      </c>
      <c r="C3019" t="s">
        <v>17</v>
      </c>
      <c r="D3019" t="s">
        <v>12</v>
      </c>
      <c r="E3019" t="s">
        <v>75</v>
      </c>
      <c r="F3019" t="s">
        <v>63</v>
      </c>
      <c r="G3019" t="s">
        <v>28</v>
      </c>
      <c r="H3019">
        <v>8</v>
      </c>
      <c r="I3019">
        <v>4800</v>
      </c>
      <c r="J3019">
        <v>606.19000000000005</v>
      </c>
    </row>
    <row r="3020" spans="1:10" x14ac:dyDescent="0.25">
      <c r="A3020" s="1">
        <v>44836</v>
      </c>
      <c r="B3020" t="s">
        <v>32</v>
      </c>
      <c r="C3020" t="s">
        <v>19</v>
      </c>
      <c r="D3020" t="s">
        <v>12</v>
      </c>
      <c r="E3020" t="s">
        <v>22</v>
      </c>
      <c r="F3020" t="s">
        <v>23</v>
      </c>
      <c r="G3020" t="s">
        <v>24</v>
      </c>
      <c r="H3020">
        <v>5</v>
      </c>
      <c r="I3020">
        <v>1440</v>
      </c>
      <c r="J3020">
        <v>274.54000000000002</v>
      </c>
    </row>
    <row r="3021" spans="1:10" x14ac:dyDescent="0.25">
      <c r="A3021" s="1">
        <v>44816</v>
      </c>
      <c r="B3021" t="s">
        <v>32</v>
      </c>
      <c r="C3021" t="s">
        <v>19</v>
      </c>
      <c r="D3021" t="s">
        <v>12</v>
      </c>
      <c r="E3021" t="s">
        <v>26</v>
      </c>
      <c r="F3021" t="s">
        <v>27</v>
      </c>
      <c r="G3021" t="s">
        <v>28</v>
      </c>
      <c r="H3021">
        <v>9</v>
      </c>
      <c r="I3021">
        <v>10251</v>
      </c>
      <c r="J3021">
        <v>737.45</v>
      </c>
    </row>
    <row r="3022" spans="1:10" x14ac:dyDescent="0.25">
      <c r="A3022" s="1">
        <v>44944</v>
      </c>
      <c r="B3022" t="s">
        <v>40</v>
      </c>
      <c r="C3022" t="s">
        <v>19</v>
      </c>
      <c r="D3022" t="s">
        <v>12</v>
      </c>
      <c r="E3022" t="s">
        <v>74</v>
      </c>
      <c r="F3022" t="s">
        <v>23</v>
      </c>
      <c r="G3022" t="s">
        <v>24</v>
      </c>
      <c r="H3022">
        <v>7</v>
      </c>
      <c r="I3022">
        <v>3038</v>
      </c>
      <c r="J3022">
        <v>570.98</v>
      </c>
    </row>
    <row r="3023" spans="1:10" x14ac:dyDescent="0.25">
      <c r="A3023" s="1">
        <v>44889</v>
      </c>
      <c r="B3023" t="s">
        <v>36</v>
      </c>
      <c r="C3023" t="s">
        <v>17</v>
      </c>
      <c r="D3023" t="s">
        <v>12</v>
      </c>
      <c r="E3023" t="s">
        <v>22</v>
      </c>
      <c r="F3023" t="s">
        <v>23</v>
      </c>
      <c r="G3023" t="s">
        <v>24</v>
      </c>
      <c r="H3023">
        <v>9</v>
      </c>
      <c r="I3023">
        <v>6993</v>
      </c>
      <c r="J3023">
        <v>1945.56</v>
      </c>
    </row>
    <row r="3024" spans="1:10" x14ac:dyDescent="0.25">
      <c r="A3024" s="1">
        <v>45358</v>
      </c>
      <c r="B3024" t="s">
        <v>36</v>
      </c>
      <c r="C3024" t="s">
        <v>17</v>
      </c>
      <c r="D3024" t="s">
        <v>12</v>
      </c>
      <c r="E3024" t="s">
        <v>52</v>
      </c>
      <c r="F3024" t="s">
        <v>42</v>
      </c>
      <c r="G3024" t="s">
        <v>28</v>
      </c>
      <c r="H3024">
        <v>4</v>
      </c>
      <c r="I3024">
        <v>1632</v>
      </c>
      <c r="J3024">
        <v>247.88</v>
      </c>
    </row>
    <row r="3025" spans="1:10" x14ac:dyDescent="0.25">
      <c r="A3025" s="1">
        <v>45572</v>
      </c>
      <c r="B3025" t="s">
        <v>49</v>
      </c>
      <c r="C3025" t="s">
        <v>17</v>
      </c>
      <c r="D3025" t="s">
        <v>12</v>
      </c>
      <c r="E3025" t="s">
        <v>163</v>
      </c>
      <c r="F3025" t="s">
        <v>44</v>
      </c>
      <c r="G3025" t="s">
        <v>35</v>
      </c>
      <c r="H3025">
        <v>9</v>
      </c>
      <c r="I3025">
        <v>5706</v>
      </c>
      <c r="J3025">
        <v>1704.8</v>
      </c>
    </row>
    <row r="3026" spans="1:10" x14ac:dyDescent="0.25">
      <c r="A3026" s="1">
        <v>44802</v>
      </c>
      <c r="B3026" t="s">
        <v>25</v>
      </c>
      <c r="C3026" t="s">
        <v>19</v>
      </c>
      <c r="D3026" t="s">
        <v>12</v>
      </c>
      <c r="E3026" t="s">
        <v>74</v>
      </c>
      <c r="F3026" t="s">
        <v>23</v>
      </c>
      <c r="G3026" t="s">
        <v>24</v>
      </c>
      <c r="H3026">
        <v>9</v>
      </c>
      <c r="I3026">
        <v>9657</v>
      </c>
      <c r="J3026">
        <v>1187.22</v>
      </c>
    </row>
    <row r="3027" spans="1:10" x14ac:dyDescent="0.25">
      <c r="A3027" s="1">
        <v>44592</v>
      </c>
      <c r="B3027" t="s">
        <v>32</v>
      </c>
      <c r="C3027" t="s">
        <v>19</v>
      </c>
      <c r="D3027" t="s">
        <v>12</v>
      </c>
      <c r="E3027" t="s">
        <v>102</v>
      </c>
      <c r="F3027" t="s">
        <v>34</v>
      </c>
      <c r="G3027" t="s">
        <v>35</v>
      </c>
      <c r="H3027">
        <v>5</v>
      </c>
      <c r="I3027">
        <v>4405</v>
      </c>
      <c r="J3027">
        <v>450.83</v>
      </c>
    </row>
    <row r="3028" spans="1:10" x14ac:dyDescent="0.25">
      <c r="A3028" s="1">
        <v>45274</v>
      </c>
      <c r="B3028" t="s">
        <v>49</v>
      </c>
      <c r="C3028" t="s">
        <v>17</v>
      </c>
      <c r="D3028" t="s">
        <v>12</v>
      </c>
      <c r="E3028" t="s">
        <v>22</v>
      </c>
      <c r="F3028" t="s">
        <v>23</v>
      </c>
      <c r="G3028" t="s">
        <v>24</v>
      </c>
      <c r="H3028">
        <v>4</v>
      </c>
      <c r="I3028">
        <v>1720</v>
      </c>
      <c r="J3028">
        <v>360.78</v>
      </c>
    </row>
    <row r="3029" spans="1:10" x14ac:dyDescent="0.25">
      <c r="A3029" s="1">
        <v>45151</v>
      </c>
      <c r="B3029" t="s">
        <v>25</v>
      </c>
      <c r="C3029" t="s">
        <v>19</v>
      </c>
      <c r="D3029" t="s">
        <v>12</v>
      </c>
      <c r="E3029" t="s">
        <v>164</v>
      </c>
      <c r="F3029" t="s">
        <v>94</v>
      </c>
      <c r="G3029" t="s">
        <v>24</v>
      </c>
      <c r="H3029">
        <v>7</v>
      </c>
      <c r="I3029">
        <v>4557</v>
      </c>
      <c r="J3029">
        <v>234.62</v>
      </c>
    </row>
    <row r="3030" spans="1:10" x14ac:dyDescent="0.25">
      <c r="A3030" s="1">
        <v>45638</v>
      </c>
      <c r="B3030" t="s">
        <v>29</v>
      </c>
      <c r="C3030" t="s">
        <v>17</v>
      </c>
      <c r="D3030" t="s">
        <v>12</v>
      </c>
      <c r="E3030" t="s">
        <v>165</v>
      </c>
      <c r="F3030" t="s">
        <v>23</v>
      </c>
      <c r="G3030" t="s">
        <v>24</v>
      </c>
      <c r="H3030">
        <v>7</v>
      </c>
      <c r="I3030">
        <v>2380</v>
      </c>
      <c r="J3030">
        <v>431.43</v>
      </c>
    </row>
    <row r="3031" spans="1:10" x14ac:dyDescent="0.25">
      <c r="A3031" s="1">
        <v>44603</v>
      </c>
      <c r="B3031" t="s">
        <v>29</v>
      </c>
      <c r="C3031" t="s">
        <v>17</v>
      </c>
      <c r="D3031" t="s">
        <v>12</v>
      </c>
      <c r="E3031" t="s">
        <v>76</v>
      </c>
      <c r="F3031" t="s">
        <v>54</v>
      </c>
      <c r="G3031" t="s">
        <v>24</v>
      </c>
      <c r="H3031">
        <v>8</v>
      </c>
      <c r="I3031">
        <v>456</v>
      </c>
      <c r="J3031">
        <v>74.989999999999995</v>
      </c>
    </row>
    <row r="3032" spans="1:10" x14ac:dyDescent="0.25">
      <c r="A3032" s="1">
        <v>45246</v>
      </c>
      <c r="B3032" t="s">
        <v>25</v>
      </c>
      <c r="C3032" t="s">
        <v>19</v>
      </c>
      <c r="D3032" t="s">
        <v>12</v>
      </c>
      <c r="E3032" t="s">
        <v>166</v>
      </c>
      <c r="F3032" t="s">
        <v>31</v>
      </c>
      <c r="G3032" t="s">
        <v>24</v>
      </c>
      <c r="H3032">
        <v>6</v>
      </c>
      <c r="I3032">
        <v>6534</v>
      </c>
      <c r="J3032">
        <v>355.03</v>
      </c>
    </row>
    <row r="3033" spans="1:10" x14ac:dyDescent="0.25">
      <c r="A3033" s="1">
        <v>44624</v>
      </c>
      <c r="B3033" t="s">
        <v>40</v>
      </c>
      <c r="C3033" t="s">
        <v>19</v>
      </c>
      <c r="D3033" t="s">
        <v>12</v>
      </c>
      <c r="E3033" t="s">
        <v>53</v>
      </c>
      <c r="F3033" t="s">
        <v>44</v>
      </c>
      <c r="G3033" t="s">
        <v>35</v>
      </c>
      <c r="H3033">
        <v>6</v>
      </c>
      <c r="I3033">
        <v>3456</v>
      </c>
      <c r="J3033">
        <v>307.45999999999998</v>
      </c>
    </row>
    <row r="3034" spans="1:10" x14ac:dyDescent="0.25">
      <c r="A3034" s="1">
        <v>44741</v>
      </c>
      <c r="B3034" t="s">
        <v>49</v>
      </c>
      <c r="C3034" t="s">
        <v>17</v>
      </c>
      <c r="D3034" t="s">
        <v>12</v>
      </c>
      <c r="E3034" t="s">
        <v>167</v>
      </c>
      <c r="F3034" t="s">
        <v>108</v>
      </c>
      <c r="G3034" t="s">
        <v>15</v>
      </c>
      <c r="H3034">
        <v>9</v>
      </c>
      <c r="I3034">
        <v>8163</v>
      </c>
      <c r="J3034">
        <v>2352.46</v>
      </c>
    </row>
    <row r="3035" spans="1:10" x14ac:dyDescent="0.25">
      <c r="A3035" s="1">
        <v>45166</v>
      </c>
      <c r="B3035" t="s">
        <v>29</v>
      </c>
      <c r="C3035" t="s">
        <v>17</v>
      </c>
      <c r="D3035" t="s">
        <v>12</v>
      </c>
      <c r="E3035" t="s">
        <v>167</v>
      </c>
      <c r="F3035" t="s">
        <v>108</v>
      </c>
      <c r="G3035" t="s">
        <v>15</v>
      </c>
      <c r="H3035">
        <v>6</v>
      </c>
      <c r="I3035">
        <v>4656</v>
      </c>
      <c r="J3035">
        <v>601.71</v>
      </c>
    </row>
    <row r="3036" spans="1:10" x14ac:dyDescent="0.25">
      <c r="A3036" s="1">
        <v>44820</v>
      </c>
      <c r="B3036" t="s">
        <v>40</v>
      </c>
      <c r="C3036" t="s">
        <v>19</v>
      </c>
      <c r="D3036" t="s">
        <v>12</v>
      </c>
      <c r="E3036" t="s">
        <v>53</v>
      </c>
      <c r="F3036" t="s">
        <v>44</v>
      </c>
      <c r="G3036" t="s">
        <v>35</v>
      </c>
      <c r="H3036">
        <v>2</v>
      </c>
      <c r="I3036">
        <v>966</v>
      </c>
      <c r="J3036">
        <v>241.54</v>
      </c>
    </row>
    <row r="3037" spans="1:10" x14ac:dyDescent="0.25">
      <c r="A3037" s="1">
        <v>44897</v>
      </c>
      <c r="B3037" t="s">
        <v>16</v>
      </c>
      <c r="C3037" t="s">
        <v>17</v>
      </c>
      <c r="D3037" t="s">
        <v>12</v>
      </c>
      <c r="E3037" t="s">
        <v>53</v>
      </c>
      <c r="F3037" t="s">
        <v>44</v>
      </c>
      <c r="G3037" t="s">
        <v>35</v>
      </c>
      <c r="H3037">
        <v>4</v>
      </c>
      <c r="I3037">
        <v>2580</v>
      </c>
      <c r="J3037">
        <v>669.67</v>
      </c>
    </row>
    <row r="3038" spans="1:10" x14ac:dyDescent="0.25">
      <c r="A3038" s="1">
        <v>44836</v>
      </c>
      <c r="B3038" t="s">
        <v>25</v>
      </c>
      <c r="C3038" t="s">
        <v>19</v>
      </c>
      <c r="D3038" t="s">
        <v>12</v>
      </c>
      <c r="E3038" t="s">
        <v>75</v>
      </c>
      <c r="F3038" t="s">
        <v>63</v>
      </c>
      <c r="G3038" t="s">
        <v>28</v>
      </c>
      <c r="H3038">
        <v>9</v>
      </c>
      <c r="I3038">
        <v>8127</v>
      </c>
      <c r="J3038">
        <v>1906.5</v>
      </c>
    </row>
    <row r="3039" spans="1:10" x14ac:dyDescent="0.25">
      <c r="A3039" s="1">
        <v>44700</v>
      </c>
      <c r="B3039" t="s">
        <v>32</v>
      </c>
      <c r="C3039" t="s">
        <v>19</v>
      </c>
      <c r="D3039" t="s">
        <v>12</v>
      </c>
      <c r="E3039" t="s">
        <v>26</v>
      </c>
      <c r="F3039" t="s">
        <v>27</v>
      </c>
      <c r="G3039" t="s">
        <v>28</v>
      </c>
      <c r="H3039">
        <v>4</v>
      </c>
      <c r="I3039">
        <v>2128</v>
      </c>
      <c r="J3039">
        <v>614.04999999999995</v>
      </c>
    </row>
    <row r="3040" spans="1:10" x14ac:dyDescent="0.25">
      <c r="A3040" s="1">
        <v>44717</v>
      </c>
      <c r="B3040" t="s">
        <v>40</v>
      </c>
      <c r="C3040" t="s">
        <v>19</v>
      </c>
      <c r="D3040" t="s">
        <v>12</v>
      </c>
      <c r="E3040" t="s">
        <v>52</v>
      </c>
      <c r="F3040" t="s">
        <v>42</v>
      </c>
      <c r="G3040" t="s">
        <v>28</v>
      </c>
      <c r="H3040">
        <v>9</v>
      </c>
      <c r="I3040">
        <v>6417</v>
      </c>
      <c r="J3040">
        <v>1100.52</v>
      </c>
    </row>
    <row r="3041" spans="1:10" x14ac:dyDescent="0.25">
      <c r="A3041" s="1">
        <v>44723</v>
      </c>
      <c r="B3041" t="s">
        <v>49</v>
      </c>
      <c r="C3041" t="s">
        <v>17</v>
      </c>
      <c r="D3041" t="s">
        <v>12</v>
      </c>
      <c r="E3041" t="s">
        <v>93</v>
      </c>
      <c r="F3041" t="s">
        <v>94</v>
      </c>
      <c r="G3041" t="s">
        <v>24</v>
      </c>
      <c r="H3041">
        <v>7</v>
      </c>
      <c r="I3041">
        <v>3997</v>
      </c>
      <c r="J3041">
        <v>494.78</v>
      </c>
    </row>
    <row r="3042" spans="1:10" x14ac:dyDescent="0.25">
      <c r="A3042" s="1">
        <v>44999</v>
      </c>
      <c r="B3042" t="s">
        <v>55</v>
      </c>
      <c r="C3042" t="s">
        <v>19</v>
      </c>
      <c r="D3042" t="s">
        <v>12</v>
      </c>
      <c r="E3042" t="s">
        <v>52</v>
      </c>
      <c r="F3042" t="s">
        <v>42</v>
      </c>
      <c r="G3042" t="s">
        <v>28</v>
      </c>
      <c r="H3042">
        <v>1</v>
      </c>
      <c r="I3042">
        <v>879</v>
      </c>
      <c r="J3042">
        <v>149.52000000000001</v>
      </c>
    </row>
    <row r="3043" spans="1:10" x14ac:dyDescent="0.25">
      <c r="A3043" s="1">
        <v>45247</v>
      </c>
      <c r="B3043" t="s">
        <v>55</v>
      </c>
      <c r="C3043" t="s">
        <v>19</v>
      </c>
      <c r="D3043" t="s">
        <v>12</v>
      </c>
      <c r="E3043" t="s">
        <v>52</v>
      </c>
      <c r="F3043" t="s">
        <v>42</v>
      </c>
      <c r="G3043" t="s">
        <v>28</v>
      </c>
      <c r="H3043">
        <v>3</v>
      </c>
      <c r="I3043">
        <v>2415</v>
      </c>
      <c r="J3043">
        <v>538.39</v>
      </c>
    </row>
    <row r="3044" spans="1:10" x14ac:dyDescent="0.25">
      <c r="A3044" s="1">
        <v>45562</v>
      </c>
      <c r="B3044" t="s">
        <v>25</v>
      </c>
      <c r="C3044" t="s">
        <v>19</v>
      </c>
      <c r="D3044" t="s">
        <v>12</v>
      </c>
      <c r="E3044" t="s">
        <v>97</v>
      </c>
      <c r="F3044" t="s">
        <v>23</v>
      </c>
      <c r="G3044" t="s">
        <v>24</v>
      </c>
      <c r="H3044">
        <v>4</v>
      </c>
      <c r="I3044">
        <v>1064</v>
      </c>
      <c r="J3044">
        <v>314.83999999999997</v>
      </c>
    </row>
    <row r="3045" spans="1:10" x14ac:dyDescent="0.25">
      <c r="A3045" s="1">
        <v>44609</v>
      </c>
      <c r="B3045" t="s">
        <v>16</v>
      </c>
      <c r="C3045" t="s">
        <v>17</v>
      </c>
      <c r="D3045" t="s">
        <v>12</v>
      </c>
      <c r="E3045" t="s">
        <v>37</v>
      </c>
      <c r="F3045" t="s">
        <v>34</v>
      </c>
      <c r="G3045" t="s">
        <v>35</v>
      </c>
      <c r="H3045">
        <v>4</v>
      </c>
      <c r="I3045">
        <v>1156</v>
      </c>
      <c r="J3045">
        <v>326.92</v>
      </c>
    </row>
    <row r="3046" spans="1:10" x14ac:dyDescent="0.25">
      <c r="A3046" s="1">
        <v>44693</v>
      </c>
      <c r="B3046" t="s">
        <v>40</v>
      </c>
      <c r="C3046" t="s">
        <v>19</v>
      </c>
      <c r="D3046" t="s">
        <v>12</v>
      </c>
      <c r="E3046" t="s">
        <v>129</v>
      </c>
      <c r="F3046" t="s">
        <v>168</v>
      </c>
      <c r="G3046" t="s">
        <v>15</v>
      </c>
      <c r="H3046">
        <v>1</v>
      </c>
      <c r="I3046">
        <v>1184</v>
      </c>
      <c r="J3046">
        <v>218.27</v>
      </c>
    </row>
    <row r="3047" spans="1:10" x14ac:dyDescent="0.25">
      <c r="A3047" s="1">
        <v>44597</v>
      </c>
      <c r="B3047" t="s">
        <v>49</v>
      </c>
      <c r="C3047" t="s">
        <v>17</v>
      </c>
      <c r="D3047" t="s">
        <v>12</v>
      </c>
      <c r="E3047" t="s">
        <v>96</v>
      </c>
      <c r="F3047" t="s">
        <v>34</v>
      </c>
      <c r="G3047" t="s">
        <v>35</v>
      </c>
      <c r="H3047">
        <v>3</v>
      </c>
      <c r="I3047">
        <v>1950</v>
      </c>
      <c r="J3047">
        <v>211.16</v>
      </c>
    </row>
    <row r="3048" spans="1:10" x14ac:dyDescent="0.25">
      <c r="A3048" s="1">
        <v>44802</v>
      </c>
      <c r="B3048" t="s">
        <v>55</v>
      </c>
      <c r="C3048" t="s">
        <v>19</v>
      </c>
      <c r="D3048" t="s">
        <v>12</v>
      </c>
      <c r="E3048" t="s">
        <v>43</v>
      </c>
      <c r="F3048" t="s">
        <v>44</v>
      </c>
      <c r="G3048" t="s">
        <v>35</v>
      </c>
      <c r="H3048">
        <v>4</v>
      </c>
      <c r="I3048">
        <v>1088</v>
      </c>
      <c r="J3048">
        <v>295.08999999999997</v>
      </c>
    </row>
    <row r="3049" spans="1:10" x14ac:dyDescent="0.25">
      <c r="A3049" s="1">
        <v>45264</v>
      </c>
      <c r="B3049" t="s">
        <v>10</v>
      </c>
      <c r="C3049" t="s">
        <v>11</v>
      </c>
      <c r="D3049" t="s">
        <v>12</v>
      </c>
      <c r="E3049" t="s">
        <v>75</v>
      </c>
      <c r="F3049" t="s">
        <v>108</v>
      </c>
      <c r="G3049" t="s">
        <v>15</v>
      </c>
      <c r="H3049">
        <v>6</v>
      </c>
      <c r="I3049">
        <v>4380</v>
      </c>
      <c r="J3049">
        <v>522.29999999999995</v>
      </c>
    </row>
    <row r="3050" spans="1:10" x14ac:dyDescent="0.25">
      <c r="A3050" s="1">
        <v>45402</v>
      </c>
      <c r="B3050" t="s">
        <v>25</v>
      </c>
      <c r="C3050" t="s">
        <v>19</v>
      </c>
      <c r="D3050" t="s">
        <v>12</v>
      </c>
      <c r="E3050" t="s">
        <v>169</v>
      </c>
      <c r="F3050" t="s">
        <v>83</v>
      </c>
      <c r="G3050" t="s">
        <v>28</v>
      </c>
      <c r="H3050">
        <v>1</v>
      </c>
      <c r="I3050">
        <v>998</v>
      </c>
      <c r="J3050">
        <v>196.17</v>
      </c>
    </row>
    <row r="3051" spans="1:10" x14ac:dyDescent="0.25">
      <c r="A3051" s="1">
        <v>45437</v>
      </c>
      <c r="B3051" t="s">
        <v>40</v>
      </c>
      <c r="C3051" t="s">
        <v>19</v>
      </c>
      <c r="D3051" t="s">
        <v>12</v>
      </c>
      <c r="E3051" t="s">
        <v>170</v>
      </c>
      <c r="F3051" t="s">
        <v>78</v>
      </c>
      <c r="G3051" t="s">
        <v>28</v>
      </c>
      <c r="H3051">
        <v>6</v>
      </c>
      <c r="I3051">
        <v>5766</v>
      </c>
      <c r="J3051">
        <v>675.17</v>
      </c>
    </row>
    <row r="3052" spans="1:10" x14ac:dyDescent="0.25">
      <c r="A3052" s="1">
        <v>45574</v>
      </c>
      <c r="B3052" t="s">
        <v>18</v>
      </c>
      <c r="C3052" t="s">
        <v>19</v>
      </c>
      <c r="D3052" t="s">
        <v>12</v>
      </c>
      <c r="E3052" t="s">
        <v>162</v>
      </c>
      <c r="F3052" t="s">
        <v>34</v>
      </c>
      <c r="G3052" t="s">
        <v>35</v>
      </c>
      <c r="H3052">
        <v>6</v>
      </c>
      <c r="I3052">
        <v>3120</v>
      </c>
      <c r="J3052">
        <v>274.64999999999998</v>
      </c>
    </row>
    <row r="3053" spans="1:10" x14ac:dyDescent="0.25">
      <c r="A3053" s="1">
        <v>44627</v>
      </c>
      <c r="B3053" t="s">
        <v>10</v>
      </c>
      <c r="C3053" t="s">
        <v>11</v>
      </c>
      <c r="D3053" t="s">
        <v>12</v>
      </c>
      <c r="E3053" t="s">
        <v>171</v>
      </c>
      <c r="F3053" t="s">
        <v>94</v>
      </c>
      <c r="G3053" t="s">
        <v>24</v>
      </c>
      <c r="H3053">
        <v>7</v>
      </c>
      <c r="I3053">
        <v>637</v>
      </c>
      <c r="J3053">
        <v>68.11</v>
      </c>
    </row>
    <row r="3054" spans="1:10" x14ac:dyDescent="0.25">
      <c r="A3054" s="1">
        <v>45225</v>
      </c>
      <c r="B3054" t="s">
        <v>55</v>
      </c>
      <c r="C3054" t="s">
        <v>19</v>
      </c>
      <c r="D3054" t="s">
        <v>12</v>
      </c>
      <c r="E3054" t="s">
        <v>70</v>
      </c>
      <c r="F3054" t="s">
        <v>71</v>
      </c>
      <c r="G3054" t="s">
        <v>35</v>
      </c>
      <c r="H3054">
        <v>6</v>
      </c>
      <c r="I3054">
        <v>3306</v>
      </c>
      <c r="J3054">
        <v>697.74</v>
      </c>
    </row>
    <row r="3055" spans="1:10" x14ac:dyDescent="0.25">
      <c r="A3055" s="1">
        <v>44712</v>
      </c>
      <c r="B3055" t="s">
        <v>36</v>
      </c>
      <c r="C3055" t="s">
        <v>17</v>
      </c>
      <c r="D3055" t="s">
        <v>12</v>
      </c>
      <c r="E3055" t="s">
        <v>37</v>
      </c>
      <c r="F3055" t="s">
        <v>34</v>
      </c>
      <c r="G3055" t="s">
        <v>35</v>
      </c>
      <c r="H3055">
        <v>6</v>
      </c>
      <c r="I3055">
        <v>7020</v>
      </c>
      <c r="J3055">
        <v>726.72</v>
      </c>
    </row>
    <row r="3056" spans="1:10" x14ac:dyDescent="0.25">
      <c r="A3056" s="1">
        <v>44820</v>
      </c>
      <c r="B3056" t="s">
        <v>25</v>
      </c>
      <c r="C3056" t="s">
        <v>19</v>
      </c>
      <c r="D3056" t="s">
        <v>12</v>
      </c>
      <c r="E3056" t="s">
        <v>22</v>
      </c>
      <c r="F3056" t="s">
        <v>23</v>
      </c>
      <c r="G3056" t="s">
        <v>24</v>
      </c>
      <c r="H3056">
        <v>7</v>
      </c>
      <c r="I3056">
        <v>5971</v>
      </c>
      <c r="J3056">
        <v>502.14</v>
      </c>
    </row>
    <row r="3057" spans="1:10" x14ac:dyDescent="0.25">
      <c r="A3057" s="1">
        <v>45252</v>
      </c>
      <c r="B3057" t="s">
        <v>55</v>
      </c>
      <c r="C3057" t="s">
        <v>19</v>
      </c>
      <c r="D3057" t="s">
        <v>12</v>
      </c>
      <c r="E3057" t="s">
        <v>52</v>
      </c>
      <c r="F3057" t="s">
        <v>42</v>
      </c>
      <c r="G3057" t="s">
        <v>28</v>
      </c>
      <c r="H3057">
        <v>2</v>
      </c>
      <c r="I3057">
        <v>750</v>
      </c>
      <c r="J3057">
        <v>77.680000000000007</v>
      </c>
    </row>
    <row r="3058" spans="1:10" x14ac:dyDescent="0.25">
      <c r="A3058" s="1">
        <v>45408</v>
      </c>
      <c r="B3058" t="s">
        <v>18</v>
      </c>
      <c r="C3058" t="s">
        <v>19</v>
      </c>
      <c r="D3058" t="s">
        <v>12</v>
      </c>
      <c r="E3058" t="s">
        <v>110</v>
      </c>
      <c r="F3058" t="s">
        <v>57</v>
      </c>
      <c r="G3058" t="s">
        <v>24</v>
      </c>
      <c r="H3058">
        <v>3</v>
      </c>
      <c r="I3058">
        <v>2379</v>
      </c>
      <c r="J3058">
        <v>523</v>
      </c>
    </row>
    <row r="3059" spans="1:10" x14ac:dyDescent="0.25">
      <c r="A3059" s="1">
        <v>44794</v>
      </c>
      <c r="B3059" t="s">
        <v>25</v>
      </c>
      <c r="C3059" t="s">
        <v>19</v>
      </c>
      <c r="D3059" t="s">
        <v>12</v>
      </c>
      <c r="E3059" t="s">
        <v>22</v>
      </c>
      <c r="F3059" t="s">
        <v>23</v>
      </c>
      <c r="G3059" t="s">
        <v>24</v>
      </c>
      <c r="H3059">
        <v>1</v>
      </c>
      <c r="I3059">
        <v>699</v>
      </c>
      <c r="J3059">
        <v>108.94</v>
      </c>
    </row>
    <row r="3060" spans="1:10" x14ac:dyDescent="0.25">
      <c r="A3060" s="1">
        <v>44942</v>
      </c>
      <c r="B3060" t="s">
        <v>25</v>
      </c>
      <c r="C3060" t="s">
        <v>19</v>
      </c>
      <c r="D3060" t="s">
        <v>12</v>
      </c>
      <c r="E3060" t="s">
        <v>22</v>
      </c>
      <c r="F3060" t="s">
        <v>23</v>
      </c>
      <c r="G3060" t="s">
        <v>24</v>
      </c>
      <c r="H3060">
        <v>9</v>
      </c>
      <c r="I3060">
        <v>6876</v>
      </c>
      <c r="J3060">
        <v>1895.24</v>
      </c>
    </row>
    <row r="3061" spans="1:10" x14ac:dyDescent="0.25">
      <c r="A3061" s="1">
        <v>44594</v>
      </c>
      <c r="B3061" t="s">
        <v>36</v>
      </c>
      <c r="C3061" t="s">
        <v>17</v>
      </c>
      <c r="D3061" t="s">
        <v>12</v>
      </c>
      <c r="E3061" t="s">
        <v>22</v>
      </c>
      <c r="F3061" t="s">
        <v>23</v>
      </c>
      <c r="G3061" t="s">
        <v>24</v>
      </c>
      <c r="H3061">
        <v>8</v>
      </c>
      <c r="I3061">
        <v>1800</v>
      </c>
      <c r="J3061">
        <v>494.02</v>
      </c>
    </row>
    <row r="3062" spans="1:10" x14ac:dyDescent="0.25">
      <c r="A3062" s="1">
        <v>45484</v>
      </c>
      <c r="B3062" t="s">
        <v>18</v>
      </c>
      <c r="C3062" t="s">
        <v>19</v>
      </c>
      <c r="D3062" t="s">
        <v>12</v>
      </c>
      <c r="E3062" t="s">
        <v>26</v>
      </c>
      <c r="F3062" t="s">
        <v>27</v>
      </c>
      <c r="G3062" t="s">
        <v>28</v>
      </c>
      <c r="H3062">
        <v>5</v>
      </c>
      <c r="I3062">
        <v>1255</v>
      </c>
      <c r="J3062">
        <v>236.25</v>
      </c>
    </row>
    <row r="3063" spans="1:10" x14ac:dyDescent="0.25">
      <c r="A3063" s="1">
        <v>44716</v>
      </c>
      <c r="B3063" t="s">
        <v>32</v>
      </c>
      <c r="C3063" t="s">
        <v>19</v>
      </c>
      <c r="D3063" t="s">
        <v>12</v>
      </c>
      <c r="E3063" t="s">
        <v>172</v>
      </c>
      <c r="F3063" t="s">
        <v>173</v>
      </c>
      <c r="G3063" t="s">
        <v>24</v>
      </c>
      <c r="H3063">
        <v>9</v>
      </c>
      <c r="I3063">
        <v>1998</v>
      </c>
      <c r="J3063">
        <v>343.58</v>
      </c>
    </row>
    <row r="3064" spans="1:10" x14ac:dyDescent="0.25">
      <c r="A3064" s="1">
        <v>44891</v>
      </c>
      <c r="B3064" t="s">
        <v>29</v>
      </c>
      <c r="C3064" t="s">
        <v>17</v>
      </c>
      <c r="D3064" t="s">
        <v>12</v>
      </c>
      <c r="E3064" t="s">
        <v>164</v>
      </c>
      <c r="F3064" t="s">
        <v>94</v>
      </c>
      <c r="G3064" t="s">
        <v>24</v>
      </c>
      <c r="H3064">
        <v>1</v>
      </c>
      <c r="I3064">
        <v>307</v>
      </c>
      <c r="J3064">
        <v>80.19</v>
      </c>
    </row>
    <row r="3065" spans="1:10" x14ac:dyDescent="0.25">
      <c r="A3065" s="1">
        <v>45468</v>
      </c>
      <c r="B3065" t="s">
        <v>10</v>
      </c>
      <c r="C3065" t="s">
        <v>11</v>
      </c>
      <c r="D3065" t="s">
        <v>12</v>
      </c>
      <c r="E3065" t="s">
        <v>174</v>
      </c>
      <c r="F3065" t="s">
        <v>27</v>
      </c>
      <c r="G3065" t="s">
        <v>28</v>
      </c>
      <c r="H3065">
        <v>1</v>
      </c>
      <c r="I3065">
        <v>235</v>
      </c>
      <c r="J3065">
        <v>54.87</v>
      </c>
    </row>
    <row r="3066" spans="1:10" x14ac:dyDescent="0.25">
      <c r="A3066" s="1">
        <v>45231</v>
      </c>
      <c r="B3066" t="s">
        <v>36</v>
      </c>
      <c r="C3066" t="s">
        <v>17</v>
      </c>
      <c r="D3066" t="s">
        <v>12</v>
      </c>
      <c r="E3066" t="s">
        <v>175</v>
      </c>
      <c r="F3066" t="s">
        <v>23</v>
      </c>
      <c r="G3066" t="s">
        <v>24</v>
      </c>
      <c r="H3066">
        <v>6</v>
      </c>
      <c r="I3066">
        <v>1506</v>
      </c>
      <c r="J3066">
        <v>407.73</v>
      </c>
    </row>
    <row r="3067" spans="1:10" x14ac:dyDescent="0.25">
      <c r="A3067" s="1">
        <v>45591</v>
      </c>
      <c r="B3067" t="s">
        <v>18</v>
      </c>
      <c r="C3067" t="s">
        <v>19</v>
      </c>
      <c r="D3067" t="s">
        <v>12</v>
      </c>
      <c r="E3067" t="s">
        <v>176</v>
      </c>
      <c r="F3067" t="s">
        <v>84</v>
      </c>
      <c r="G3067" t="s">
        <v>28</v>
      </c>
      <c r="H3067">
        <v>8</v>
      </c>
      <c r="I3067">
        <v>2464</v>
      </c>
      <c r="J3067">
        <v>216.51</v>
      </c>
    </row>
    <row r="3068" spans="1:10" x14ac:dyDescent="0.25">
      <c r="A3068" s="1">
        <v>45058</v>
      </c>
      <c r="B3068" t="s">
        <v>32</v>
      </c>
      <c r="C3068" t="s">
        <v>19</v>
      </c>
      <c r="D3068" t="s">
        <v>12</v>
      </c>
      <c r="E3068" t="s">
        <v>75</v>
      </c>
      <c r="F3068" t="s">
        <v>63</v>
      </c>
      <c r="G3068" t="s">
        <v>28</v>
      </c>
      <c r="H3068">
        <v>2</v>
      </c>
      <c r="I3068">
        <v>322</v>
      </c>
      <c r="J3068">
        <v>42.03</v>
      </c>
    </row>
    <row r="3069" spans="1:10" x14ac:dyDescent="0.25">
      <c r="A3069" s="1">
        <v>44989</v>
      </c>
      <c r="B3069" t="s">
        <v>10</v>
      </c>
      <c r="C3069" t="s">
        <v>11</v>
      </c>
      <c r="D3069" t="s">
        <v>12</v>
      </c>
      <c r="E3069" t="s">
        <v>177</v>
      </c>
      <c r="F3069" t="s">
        <v>42</v>
      </c>
      <c r="G3069" t="s">
        <v>28</v>
      </c>
      <c r="H3069">
        <v>4</v>
      </c>
      <c r="I3069">
        <v>1100</v>
      </c>
      <c r="J3069">
        <v>100.02</v>
      </c>
    </row>
    <row r="3070" spans="1:10" x14ac:dyDescent="0.25">
      <c r="A3070" s="1">
        <v>44628</v>
      </c>
      <c r="B3070" t="s">
        <v>49</v>
      </c>
      <c r="C3070" t="s">
        <v>17</v>
      </c>
      <c r="D3070" t="s">
        <v>12</v>
      </c>
      <c r="E3070" t="s">
        <v>56</v>
      </c>
      <c r="F3070" t="s">
        <v>57</v>
      </c>
      <c r="G3070" t="s">
        <v>24</v>
      </c>
      <c r="H3070">
        <v>4</v>
      </c>
      <c r="I3070">
        <v>2188</v>
      </c>
      <c r="J3070">
        <v>265.54000000000002</v>
      </c>
    </row>
    <row r="3071" spans="1:10" x14ac:dyDescent="0.25">
      <c r="A3071" s="1">
        <v>45282</v>
      </c>
      <c r="B3071" t="s">
        <v>10</v>
      </c>
      <c r="C3071" t="s">
        <v>11</v>
      </c>
      <c r="D3071" t="s">
        <v>12</v>
      </c>
      <c r="E3071" t="s">
        <v>52</v>
      </c>
      <c r="F3071" t="s">
        <v>42</v>
      </c>
      <c r="G3071" t="s">
        <v>28</v>
      </c>
      <c r="H3071">
        <v>9</v>
      </c>
      <c r="I3071">
        <v>2934</v>
      </c>
      <c r="J3071">
        <v>473.34</v>
      </c>
    </row>
    <row r="3072" spans="1:10" x14ac:dyDescent="0.25">
      <c r="A3072" s="1">
        <v>44869</v>
      </c>
      <c r="B3072" t="s">
        <v>29</v>
      </c>
      <c r="C3072" t="s">
        <v>17</v>
      </c>
      <c r="D3072" t="s">
        <v>12</v>
      </c>
      <c r="E3072" t="s">
        <v>22</v>
      </c>
      <c r="F3072" t="s">
        <v>23</v>
      </c>
      <c r="G3072" t="s">
        <v>24</v>
      </c>
      <c r="H3072">
        <v>8</v>
      </c>
      <c r="I3072">
        <v>9224</v>
      </c>
      <c r="J3072">
        <v>514.05999999999995</v>
      </c>
    </row>
    <row r="3073" spans="1:10" x14ac:dyDescent="0.25">
      <c r="A3073" s="1">
        <v>44910</v>
      </c>
      <c r="B3073" t="s">
        <v>36</v>
      </c>
      <c r="C3073" t="s">
        <v>17</v>
      </c>
      <c r="D3073" t="s">
        <v>12</v>
      </c>
      <c r="E3073" t="s">
        <v>22</v>
      </c>
      <c r="F3073" t="s">
        <v>23</v>
      </c>
      <c r="G3073" t="s">
        <v>24</v>
      </c>
      <c r="H3073">
        <v>4</v>
      </c>
      <c r="I3073">
        <v>2436</v>
      </c>
      <c r="J3073">
        <v>142.81</v>
      </c>
    </row>
    <row r="3074" spans="1:10" x14ac:dyDescent="0.25">
      <c r="A3074" s="1">
        <v>44827</v>
      </c>
      <c r="B3074" t="s">
        <v>32</v>
      </c>
      <c r="C3074" t="s">
        <v>19</v>
      </c>
      <c r="D3074" t="s">
        <v>12</v>
      </c>
      <c r="E3074" t="s">
        <v>178</v>
      </c>
      <c r="F3074" t="s">
        <v>34</v>
      </c>
      <c r="G3074" t="s">
        <v>35</v>
      </c>
      <c r="H3074">
        <v>4</v>
      </c>
      <c r="I3074">
        <v>972</v>
      </c>
      <c r="J3074">
        <v>97.55</v>
      </c>
    </row>
    <row r="3075" spans="1:10" x14ac:dyDescent="0.25">
      <c r="A3075" s="1">
        <v>45568</v>
      </c>
      <c r="B3075" t="s">
        <v>55</v>
      </c>
      <c r="C3075" t="s">
        <v>19</v>
      </c>
      <c r="D3075" t="s">
        <v>12</v>
      </c>
      <c r="E3075" t="s">
        <v>52</v>
      </c>
      <c r="F3075" t="s">
        <v>42</v>
      </c>
      <c r="G3075" t="s">
        <v>28</v>
      </c>
      <c r="H3075">
        <v>6</v>
      </c>
      <c r="I3075">
        <v>5484</v>
      </c>
      <c r="J3075">
        <v>540.4</v>
      </c>
    </row>
    <row r="3076" spans="1:10" x14ac:dyDescent="0.25">
      <c r="A3076" s="1">
        <v>45582</v>
      </c>
      <c r="B3076" t="s">
        <v>25</v>
      </c>
      <c r="C3076" t="s">
        <v>19</v>
      </c>
      <c r="D3076" t="s">
        <v>12</v>
      </c>
      <c r="E3076" t="s">
        <v>52</v>
      </c>
      <c r="F3076" t="s">
        <v>42</v>
      </c>
      <c r="G3076" t="s">
        <v>28</v>
      </c>
      <c r="H3076">
        <v>8</v>
      </c>
      <c r="I3076">
        <v>3152</v>
      </c>
      <c r="J3076">
        <v>337.36</v>
      </c>
    </row>
    <row r="3077" spans="1:10" x14ac:dyDescent="0.25">
      <c r="A3077" s="1">
        <v>45373</v>
      </c>
      <c r="B3077" t="s">
        <v>49</v>
      </c>
      <c r="C3077" t="s">
        <v>17</v>
      </c>
      <c r="D3077" t="s">
        <v>12</v>
      </c>
      <c r="E3077" t="s">
        <v>52</v>
      </c>
      <c r="F3077" t="s">
        <v>42</v>
      </c>
      <c r="G3077" t="s">
        <v>28</v>
      </c>
      <c r="H3077">
        <v>8</v>
      </c>
      <c r="I3077">
        <v>6032</v>
      </c>
      <c r="J3077">
        <v>870.17</v>
      </c>
    </row>
    <row r="3078" spans="1:10" x14ac:dyDescent="0.25">
      <c r="A3078" s="1">
        <v>45026</v>
      </c>
      <c r="B3078" t="s">
        <v>25</v>
      </c>
      <c r="C3078" t="s">
        <v>19</v>
      </c>
      <c r="D3078" t="s">
        <v>12</v>
      </c>
      <c r="E3078" t="s">
        <v>179</v>
      </c>
      <c r="F3078" t="s">
        <v>44</v>
      </c>
      <c r="G3078" t="s">
        <v>35</v>
      </c>
      <c r="H3078">
        <v>7</v>
      </c>
      <c r="I3078">
        <v>6384</v>
      </c>
      <c r="J3078">
        <v>1324.49</v>
      </c>
    </row>
    <row r="3079" spans="1:10" x14ac:dyDescent="0.25">
      <c r="A3079" s="1">
        <v>45117</v>
      </c>
      <c r="B3079" t="s">
        <v>10</v>
      </c>
      <c r="C3079" t="s">
        <v>11</v>
      </c>
      <c r="D3079" t="s">
        <v>12</v>
      </c>
      <c r="E3079" t="s">
        <v>75</v>
      </c>
      <c r="F3079" t="s">
        <v>63</v>
      </c>
      <c r="G3079" t="s">
        <v>28</v>
      </c>
      <c r="H3079">
        <v>5</v>
      </c>
      <c r="I3079">
        <v>3705</v>
      </c>
      <c r="J3079">
        <v>707.08</v>
      </c>
    </row>
    <row r="3080" spans="1:10" x14ac:dyDescent="0.25">
      <c r="A3080" s="1">
        <v>44869</v>
      </c>
      <c r="B3080" t="s">
        <v>32</v>
      </c>
      <c r="C3080" t="s">
        <v>19</v>
      </c>
      <c r="D3080" t="s">
        <v>12</v>
      </c>
      <c r="E3080" t="s">
        <v>52</v>
      </c>
      <c r="F3080" t="s">
        <v>42</v>
      </c>
      <c r="G3080" t="s">
        <v>28</v>
      </c>
      <c r="H3080">
        <v>6</v>
      </c>
      <c r="I3080">
        <v>5580</v>
      </c>
      <c r="J3080">
        <v>394.03</v>
      </c>
    </row>
    <row r="3081" spans="1:10" x14ac:dyDescent="0.25">
      <c r="A3081" s="1">
        <v>44667</v>
      </c>
      <c r="B3081" t="s">
        <v>25</v>
      </c>
      <c r="C3081" t="s">
        <v>19</v>
      </c>
      <c r="D3081" t="s">
        <v>12</v>
      </c>
      <c r="E3081" t="s">
        <v>180</v>
      </c>
      <c r="F3081" t="s">
        <v>34</v>
      </c>
      <c r="G3081" t="s">
        <v>35</v>
      </c>
      <c r="H3081">
        <v>2</v>
      </c>
      <c r="I3081">
        <v>1236</v>
      </c>
      <c r="J3081">
        <v>120.74</v>
      </c>
    </row>
    <row r="3082" spans="1:10" x14ac:dyDescent="0.25">
      <c r="A3082" s="1">
        <v>45018</v>
      </c>
      <c r="B3082" t="s">
        <v>25</v>
      </c>
      <c r="C3082" t="s">
        <v>19</v>
      </c>
      <c r="D3082" t="s">
        <v>12</v>
      </c>
      <c r="E3082" t="s">
        <v>117</v>
      </c>
      <c r="F3082" t="s">
        <v>59</v>
      </c>
      <c r="G3082" t="s">
        <v>28</v>
      </c>
      <c r="H3082">
        <v>8</v>
      </c>
      <c r="I3082">
        <v>7040</v>
      </c>
      <c r="J3082">
        <v>1969.93</v>
      </c>
    </row>
    <row r="3083" spans="1:10" x14ac:dyDescent="0.25">
      <c r="A3083" s="1">
        <v>45454</v>
      </c>
      <c r="B3083" t="s">
        <v>25</v>
      </c>
      <c r="C3083" t="s">
        <v>19</v>
      </c>
      <c r="D3083" t="s">
        <v>12</v>
      </c>
      <c r="E3083" t="s">
        <v>22</v>
      </c>
      <c r="F3083" t="s">
        <v>23</v>
      </c>
      <c r="G3083" t="s">
        <v>24</v>
      </c>
      <c r="H3083">
        <v>9</v>
      </c>
      <c r="I3083">
        <v>909</v>
      </c>
      <c r="J3083">
        <v>138.04</v>
      </c>
    </row>
    <row r="3084" spans="1:10" x14ac:dyDescent="0.25">
      <c r="A3084" s="1">
        <v>45652</v>
      </c>
      <c r="B3084" t="s">
        <v>16</v>
      </c>
      <c r="C3084" t="s">
        <v>17</v>
      </c>
      <c r="D3084" t="s">
        <v>12</v>
      </c>
      <c r="E3084" t="s">
        <v>181</v>
      </c>
      <c r="F3084" t="s">
        <v>57</v>
      </c>
      <c r="G3084" t="s">
        <v>24</v>
      </c>
      <c r="H3084">
        <v>1</v>
      </c>
      <c r="I3084">
        <v>106</v>
      </c>
      <c r="J3084">
        <v>7.24</v>
      </c>
    </row>
    <row r="3085" spans="1:10" x14ac:dyDescent="0.25">
      <c r="A3085" s="1">
        <v>45608</v>
      </c>
      <c r="B3085" t="s">
        <v>32</v>
      </c>
      <c r="C3085" t="s">
        <v>19</v>
      </c>
      <c r="D3085" t="s">
        <v>12</v>
      </c>
      <c r="E3085" t="s">
        <v>182</v>
      </c>
      <c r="F3085" t="s">
        <v>183</v>
      </c>
      <c r="G3085" t="s">
        <v>15</v>
      </c>
      <c r="H3085">
        <v>1</v>
      </c>
      <c r="I3085">
        <v>281</v>
      </c>
      <c r="J3085">
        <v>67.849999999999994</v>
      </c>
    </row>
    <row r="3086" spans="1:10" x14ac:dyDescent="0.25">
      <c r="A3086" s="1">
        <v>44829</v>
      </c>
      <c r="B3086" t="s">
        <v>25</v>
      </c>
      <c r="C3086" t="s">
        <v>19</v>
      </c>
      <c r="D3086" t="s">
        <v>12</v>
      </c>
      <c r="E3086" t="s">
        <v>112</v>
      </c>
      <c r="F3086" t="s">
        <v>63</v>
      </c>
      <c r="G3086" t="s">
        <v>28</v>
      </c>
      <c r="H3086">
        <v>6</v>
      </c>
      <c r="I3086">
        <v>6768</v>
      </c>
      <c r="J3086">
        <v>1851.01</v>
      </c>
    </row>
    <row r="3087" spans="1:10" x14ac:dyDescent="0.25">
      <c r="A3087" s="1">
        <v>44992</v>
      </c>
      <c r="B3087" t="s">
        <v>55</v>
      </c>
      <c r="C3087" t="s">
        <v>19</v>
      </c>
      <c r="D3087" t="s">
        <v>12</v>
      </c>
      <c r="E3087" t="s">
        <v>57</v>
      </c>
      <c r="F3087" t="s">
        <v>142</v>
      </c>
      <c r="G3087" t="s">
        <v>28</v>
      </c>
      <c r="H3087">
        <v>6</v>
      </c>
      <c r="I3087">
        <v>4302</v>
      </c>
      <c r="J3087">
        <v>276.35000000000002</v>
      </c>
    </row>
    <row r="3088" spans="1:10" x14ac:dyDescent="0.25">
      <c r="A3088" s="1">
        <v>44884</v>
      </c>
      <c r="B3088" t="s">
        <v>40</v>
      </c>
      <c r="C3088" t="s">
        <v>19</v>
      </c>
      <c r="D3088" t="s">
        <v>12</v>
      </c>
      <c r="E3088" t="s">
        <v>136</v>
      </c>
      <c r="F3088" t="s">
        <v>65</v>
      </c>
      <c r="G3088" t="s">
        <v>35</v>
      </c>
      <c r="H3088">
        <v>9</v>
      </c>
      <c r="I3088">
        <v>7146</v>
      </c>
      <c r="J3088">
        <v>2125.44</v>
      </c>
    </row>
    <row r="3089" spans="1:10" x14ac:dyDescent="0.25">
      <c r="A3089" s="1">
        <v>44973</v>
      </c>
      <c r="B3089" t="s">
        <v>40</v>
      </c>
      <c r="C3089" t="s">
        <v>19</v>
      </c>
      <c r="D3089" t="s">
        <v>12</v>
      </c>
      <c r="E3089" t="s">
        <v>52</v>
      </c>
      <c r="F3089" t="s">
        <v>42</v>
      </c>
      <c r="G3089" t="s">
        <v>28</v>
      </c>
      <c r="H3089">
        <v>3</v>
      </c>
      <c r="I3089">
        <v>582</v>
      </c>
      <c r="J3089">
        <v>48.08</v>
      </c>
    </row>
    <row r="3090" spans="1:10" x14ac:dyDescent="0.25">
      <c r="A3090" s="1">
        <v>45505</v>
      </c>
      <c r="B3090" t="s">
        <v>29</v>
      </c>
      <c r="C3090" t="s">
        <v>17</v>
      </c>
      <c r="D3090" t="s">
        <v>12</v>
      </c>
      <c r="E3090" t="s">
        <v>37</v>
      </c>
      <c r="F3090" t="s">
        <v>34</v>
      </c>
      <c r="G3090" t="s">
        <v>35</v>
      </c>
      <c r="H3090">
        <v>6</v>
      </c>
      <c r="I3090">
        <v>576</v>
      </c>
      <c r="J3090">
        <v>162.75</v>
      </c>
    </row>
    <row r="3091" spans="1:10" x14ac:dyDescent="0.25">
      <c r="A3091" s="1">
        <v>45193</v>
      </c>
      <c r="B3091" t="s">
        <v>49</v>
      </c>
      <c r="C3091" t="s">
        <v>17</v>
      </c>
      <c r="D3091" t="s">
        <v>12</v>
      </c>
      <c r="E3091" t="s">
        <v>26</v>
      </c>
      <c r="F3091" t="s">
        <v>27</v>
      </c>
      <c r="G3091" t="s">
        <v>28</v>
      </c>
      <c r="H3091">
        <v>5</v>
      </c>
      <c r="I3091">
        <v>4265</v>
      </c>
      <c r="J3091">
        <v>796.12</v>
      </c>
    </row>
    <row r="3092" spans="1:10" x14ac:dyDescent="0.25">
      <c r="A3092" s="1">
        <v>45101</v>
      </c>
      <c r="B3092" t="s">
        <v>32</v>
      </c>
      <c r="C3092" t="s">
        <v>19</v>
      </c>
      <c r="D3092" t="s">
        <v>12</v>
      </c>
      <c r="E3092" t="s">
        <v>74</v>
      </c>
      <c r="F3092" t="s">
        <v>23</v>
      </c>
      <c r="G3092" t="s">
        <v>24</v>
      </c>
      <c r="H3092">
        <v>8</v>
      </c>
      <c r="I3092">
        <v>5368</v>
      </c>
      <c r="J3092">
        <v>333.53</v>
      </c>
    </row>
    <row r="3093" spans="1:10" x14ac:dyDescent="0.25">
      <c r="A3093" s="1">
        <v>45264</v>
      </c>
      <c r="B3093" t="s">
        <v>29</v>
      </c>
      <c r="C3093" t="s">
        <v>17</v>
      </c>
      <c r="D3093" t="s">
        <v>12</v>
      </c>
      <c r="E3093" t="s">
        <v>26</v>
      </c>
      <c r="F3093" t="s">
        <v>27</v>
      </c>
      <c r="G3093" t="s">
        <v>28</v>
      </c>
      <c r="H3093">
        <v>1</v>
      </c>
      <c r="I3093">
        <v>314</v>
      </c>
      <c r="J3093">
        <v>66.23</v>
      </c>
    </row>
    <row r="3094" spans="1:10" x14ac:dyDescent="0.25">
      <c r="A3094" s="1">
        <v>45650</v>
      </c>
      <c r="B3094" t="s">
        <v>18</v>
      </c>
      <c r="C3094" t="s">
        <v>19</v>
      </c>
      <c r="D3094" t="s">
        <v>12</v>
      </c>
      <c r="E3094" t="s">
        <v>26</v>
      </c>
      <c r="F3094" t="s">
        <v>27</v>
      </c>
      <c r="G3094" t="s">
        <v>28</v>
      </c>
      <c r="H3094">
        <v>6</v>
      </c>
      <c r="I3094">
        <v>2676</v>
      </c>
      <c r="J3094">
        <v>646.70000000000005</v>
      </c>
    </row>
    <row r="3095" spans="1:10" x14ac:dyDescent="0.25">
      <c r="A3095" s="1">
        <v>44605</v>
      </c>
      <c r="B3095" t="s">
        <v>55</v>
      </c>
      <c r="C3095" t="s">
        <v>19</v>
      </c>
      <c r="D3095" t="s">
        <v>12</v>
      </c>
      <c r="E3095" t="s">
        <v>75</v>
      </c>
      <c r="F3095" t="s">
        <v>63</v>
      </c>
      <c r="G3095" t="s">
        <v>28</v>
      </c>
      <c r="H3095">
        <v>4</v>
      </c>
      <c r="I3095">
        <v>3384</v>
      </c>
      <c r="J3095">
        <v>947.52</v>
      </c>
    </row>
    <row r="3096" spans="1:10" x14ac:dyDescent="0.25">
      <c r="A3096" s="1">
        <v>45127</v>
      </c>
      <c r="B3096" t="s">
        <v>16</v>
      </c>
      <c r="C3096" t="s">
        <v>17</v>
      </c>
      <c r="D3096" t="s">
        <v>12</v>
      </c>
      <c r="E3096" t="s">
        <v>56</v>
      </c>
      <c r="F3096" t="s">
        <v>57</v>
      </c>
      <c r="G3096" t="s">
        <v>24</v>
      </c>
      <c r="H3096">
        <v>6</v>
      </c>
      <c r="I3096">
        <v>3186</v>
      </c>
      <c r="J3096">
        <v>794.94</v>
      </c>
    </row>
    <row r="3097" spans="1:10" x14ac:dyDescent="0.25">
      <c r="A3097" s="1">
        <v>45646</v>
      </c>
      <c r="B3097" t="s">
        <v>32</v>
      </c>
      <c r="C3097" t="s">
        <v>19</v>
      </c>
      <c r="D3097" t="s">
        <v>12</v>
      </c>
      <c r="E3097" t="s">
        <v>52</v>
      </c>
      <c r="F3097" t="s">
        <v>42</v>
      </c>
      <c r="G3097" t="s">
        <v>28</v>
      </c>
      <c r="H3097">
        <v>4</v>
      </c>
      <c r="I3097">
        <v>1832</v>
      </c>
      <c r="J3097">
        <v>528.69000000000005</v>
      </c>
    </row>
    <row r="3098" spans="1:10" x14ac:dyDescent="0.25">
      <c r="A3098" s="1">
        <v>45598</v>
      </c>
      <c r="B3098" t="s">
        <v>10</v>
      </c>
      <c r="C3098" t="s">
        <v>11</v>
      </c>
      <c r="D3098" t="s">
        <v>12</v>
      </c>
      <c r="E3098" t="s">
        <v>74</v>
      </c>
      <c r="F3098" t="s">
        <v>23</v>
      </c>
      <c r="G3098" t="s">
        <v>24</v>
      </c>
      <c r="H3098">
        <v>8</v>
      </c>
      <c r="I3098">
        <v>4784</v>
      </c>
      <c r="J3098">
        <v>769.91</v>
      </c>
    </row>
    <row r="3099" spans="1:10" x14ac:dyDescent="0.25">
      <c r="A3099" s="1">
        <v>45338</v>
      </c>
      <c r="B3099" t="s">
        <v>18</v>
      </c>
      <c r="C3099" t="s">
        <v>19</v>
      </c>
      <c r="D3099" t="s">
        <v>12</v>
      </c>
      <c r="E3099" t="s">
        <v>43</v>
      </c>
      <c r="F3099" t="s">
        <v>44</v>
      </c>
      <c r="G3099" t="s">
        <v>35</v>
      </c>
      <c r="H3099">
        <v>1</v>
      </c>
      <c r="I3099">
        <v>381</v>
      </c>
      <c r="J3099">
        <v>63.18</v>
      </c>
    </row>
    <row r="3100" spans="1:10" x14ac:dyDescent="0.25">
      <c r="A3100" s="1">
        <v>44894</v>
      </c>
      <c r="B3100" t="s">
        <v>40</v>
      </c>
      <c r="C3100" t="s">
        <v>19</v>
      </c>
      <c r="D3100" t="s">
        <v>12</v>
      </c>
      <c r="E3100" t="s">
        <v>74</v>
      </c>
      <c r="F3100" t="s">
        <v>23</v>
      </c>
      <c r="G3100" t="s">
        <v>24</v>
      </c>
      <c r="H3100">
        <v>9</v>
      </c>
      <c r="I3100">
        <v>4527</v>
      </c>
      <c r="J3100">
        <v>677.34</v>
      </c>
    </row>
    <row r="3101" spans="1:10" x14ac:dyDescent="0.25">
      <c r="A3101" s="1">
        <v>44706</v>
      </c>
      <c r="B3101" t="s">
        <v>10</v>
      </c>
      <c r="C3101" t="s">
        <v>11</v>
      </c>
      <c r="D3101" t="s">
        <v>12</v>
      </c>
      <c r="E3101" t="s">
        <v>52</v>
      </c>
      <c r="F3101" t="s">
        <v>42</v>
      </c>
      <c r="G3101" t="s">
        <v>28</v>
      </c>
      <c r="H3101">
        <v>4</v>
      </c>
      <c r="I3101">
        <v>1612</v>
      </c>
      <c r="J3101">
        <v>240.42</v>
      </c>
    </row>
    <row r="3102" spans="1:10" x14ac:dyDescent="0.25">
      <c r="A3102" s="1">
        <v>45203</v>
      </c>
      <c r="B3102" t="s">
        <v>10</v>
      </c>
      <c r="C3102" t="s">
        <v>11</v>
      </c>
      <c r="D3102" t="s">
        <v>12</v>
      </c>
      <c r="E3102" t="s">
        <v>52</v>
      </c>
      <c r="F3102" t="s">
        <v>42</v>
      </c>
      <c r="G3102" t="s">
        <v>28</v>
      </c>
      <c r="H3102">
        <v>2</v>
      </c>
      <c r="I3102">
        <v>1918</v>
      </c>
      <c r="J3102">
        <v>435.56</v>
      </c>
    </row>
    <row r="3103" spans="1:10" x14ac:dyDescent="0.25">
      <c r="A3103" s="1">
        <v>45295</v>
      </c>
      <c r="B3103" t="s">
        <v>25</v>
      </c>
      <c r="C3103" t="s">
        <v>19</v>
      </c>
      <c r="D3103" t="s">
        <v>12</v>
      </c>
      <c r="E3103" t="s">
        <v>43</v>
      </c>
      <c r="F3103" t="s">
        <v>44</v>
      </c>
      <c r="G3103" t="s">
        <v>35</v>
      </c>
      <c r="H3103">
        <v>1</v>
      </c>
      <c r="I3103">
        <v>179</v>
      </c>
      <c r="J3103">
        <v>42.37</v>
      </c>
    </row>
    <row r="3104" spans="1:10" x14ac:dyDescent="0.25">
      <c r="A3104" s="1">
        <v>45443</v>
      </c>
      <c r="B3104" t="s">
        <v>32</v>
      </c>
      <c r="C3104" t="s">
        <v>19</v>
      </c>
      <c r="D3104" t="s">
        <v>12</v>
      </c>
      <c r="E3104" t="s">
        <v>69</v>
      </c>
      <c r="F3104" t="s">
        <v>63</v>
      </c>
      <c r="G3104" t="s">
        <v>28</v>
      </c>
      <c r="H3104">
        <v>3</v>
      </c>
      <c r="I3104">
        <v>3153</v>
      </c>
      <c r="J3104">
        <v>224.29</v>
      </c>
    </row>
    <row r="3105" spans="1:10" x14ac:dyDescent="0.25">
      <c r="A3105" s="1">
        <v>45034</v>
      </c>
      <c r="B3105" t="s">
        <v>18</v>
      </c>
      <c r="C3105" t="s">
        <v>19</v>
      </c>
      <c r="D3105" t="s">
        <v>12</v>
      </c>
      <c r="E3105" t="s">
        <v>26</v>
      </c>
      <c r="F3105" t="s">
        <v>27</v>
      </c>
      <c r="G3105" t="s">
        <v>28</v>
      </c>
      <c r="H3105">
        <v>8</v>
      </c>
      <c r="I3105">
        <v>3864</v>
      </c>
      <c r="J3105">
        <v>855.75</v>
      </c>
    </row>
    <row r="3106" spans="1:10" x14ac:dyDescent="0.25">
      <c r="A3106" s="1">
        <v>45059</v>
      </c>
      <c r="B3106" t="s">
        <v>10</v>
      </c>
      <c r="C3106" t="s">
        <v>11</v>
      </c>
      <c r="D3106" t="s">
        <v>12</v>
      </c>
      <c r="E3106" t="s">
        <v>66</v>
      </c>
      <c r="F3106" t="s">
        <v>34</v>
      </c>
      <c r="G3106" t="s">
        <v>35</v>
      </c>
      <c r="H3106">
        <v>5</v>
      </c>
      <c r="I3106">
        <v>2440</v>
      </c>
      <c r="J3106">
        <v>570.78</v>
      </c>
    </row>
    <row r="3107" spans="1:10" x14ac:dyDescent="0.25">
      <c r="A3107" s="1">
        <v>45016</v>
      </c>
      <c r="B3107" t="s">
        <v>25</v>
      </c>
      <c r="C3107" t="s">
        <v>19</v>
      </c>
      <c r="D3107" t="s">
        <v>12</v>
      </c>
      <c r="E3107" t="s">
        <v>184</v>
      </c>
      <c r="F3107" t="s">
        <v>23</v>
      </c>
      <c r="G3107" t="s">
        <v>24</v>
      </c>
      <c r="H3107">
        <v>6</v>
      </c>
      <c r="I3107">
        <v>3660</v>
      </c>
      <c r="J3107">
        <v>675.38</v>
      </c>
    </row>
    <row r="3108" spans="1:10" x14ac:dyDescent="0.25">
      <c r="A3108" s="1">
        <v>45507</v>
      </c>
      <c r="B3108" t="s">
        <v>32</v>
      </c>
      <c r="C3108" t="s">
        <v>19</v>
      </c>
      <c r="D3108" t="s">
        <v>12</v>
      </c>
      <c r="E3108" t="s">
        <v>105</v>
      </c>
      <c r="F3108" t="s">
        <v>23</v>
      </c>
      <c r="G3108" t="s">
        <v>24</v>
      </c>
      <c r="H3108">
        <v>3</v>
      </c>
      <c r="I3108">
        <v>318</v>
      </c>
      <c r="J3108">
        <v>49.93</v>
      </c>
    </row>
    <row r="3109" spans="1:10" x14ac:dyDescent="0.25">
      <c r="A3109" s="1">
        <v>45276</v>
      </c>
      <c r="B3109" t="s">
        <v>16</v>
      </c>
      <c r="C3109" t="s">
        <v>17</v>
      </c>
      <c r="D3109" t="s">
        <v>12</v>
      </c>
      <c r="E3109" t="s">
        <v>105</v>
      </c>
      <c r="F3109" t="s">
        <v>23</v>
      </c>
      <c r="G3109" t="s">
        <v>24</v>
      </c>
      <c r="H3109">
        <v>3</v>
      </c>
      <c r="I3109">
        <v>483</v>
      </c>
      <c r="J3109">
        <v>63.27</v>
      </c>
    </row>
    <row r="3110" spans="1:10" x14ac:dyDescent="0.25">
      <c r="A3110" s="1">
        <v>45525</v>
      </c>
      <c r="B3110" t="s">
        <v>29</v>
      </c>
      <c r="C3110" t="s">
        <v>17</v>
      </c>
      <c r="D3110" t="s">
        <v>12</v>
      </c>
      <c r="E3110" t="s">
        <v>185</v>
      </c>
      <c r="F3110" t="s">
        <v>115</v>
      </c>
      <c r="G3110" t="s">
        <v>15</v>
      </c>
      <c r="H3110">
        <v>6</v>
      </c>
      <c r="I3110">
        <v>6774</v>
      </c>
      <c r="J3110">
        <v>960.41</v>
      </c>
    </row>
    <row r="3111" spans="1:10" x14ac:dyDescent="0.25">
      <c r="A3111" s="1">
        <v>45293</v>
      </c>
      <c r="B3111" t="s">
        <v>36</v>
      </c>
      <c r="C3111" t="s">
        <v>17</v>
      </c>
      <c r="D3111" t="s">
        <v>12</v>
      </c>
      <c r="E3111" t="s">
        <v>186</v>
      </c>
      <c r="F3111" t="s">
        <v>65</v>
      </c>
      <c r="G3111" t="s">
        <v>35</v>
      </c>
      <c r="H3111">
        <v>5</v>
      </c>
      <c r="I3111">
        <v>5310</v>
      </c>
      <c r="J3111">
        <v>806.12</v>
      </c>
    </row>
    <row r="3112" spans="1:10" x14ac:dyDescent="0.25">
      <c r="A3112" s="1">
        <v>45357</v>
      </c>
      <c r="B3112" t="s">
        <v>49</v>
      </c>
      <c r="C3112" t="s">
        <v>17</v>
      </c>
      <c r="D3112" t="s">
        <v>12</v>
      </c>
      <c r="E3112" t="s">
        <v>187</v>
      </c>
      <c r="F3112" t="s">
        <v>23</v>
      </c>
      <c r="G3112" t="s">
        <v>24</v>
      </c>
      <c r="H3112">
        <v>6</v>
      </c>
      <c r="I3112">
        <v>5154</v>
      </c>
      <c r="J3112">
        <v>779.43</v>
      </c>
    </row>
    <row r="3113" spans="1:10" x14ac:dyDescent="0.25">
      <c r="A3113" s="1">
        <v>45188</v>
      </c>
      <c r="B3113" t="s">
        <v>49</v>
      </c>
      <c r="C3113" t="s">
        <v>17</v>
      </c>
      <c r="D3113" t="s">
        <v>12</v>
      </c>
      <c r="E3113" t="s">
        <v>140</v>
      </c>
      <c r="F3113" t="s">
        <v>57</v>
      </c>
      <c r="G3113" t="s">
        <v>24</v>
      </c>
      <c r="H3113">
        <v>9</v>
      </c>
      <c r="I3113">
        <v>6741</v>
      </c>
      <c r="J3113">
        <v>823.17</v>
      </c>
    </row>
    <row r="3114" spans="1:10" x14ac:dyDescent="0.25">
      <c r="A3114" s="1">
        <v>44694</v>
      </c>
      <c r="B3114" t="s">
        <v>25</v>
      </c>
      <c r="C3114" t="s">
        <v>19</v>
      </c>
      <c r="D3114" t="s">
        <v>12</v>
      </c>
      <c r="E3114" t="s">
        <v>43</v>
      </c>
      <c r="F3114" t="s">
        <v>44</v>
      </c>
      <c r="G3114" t="s">
        <v>35</v>
      </c>
      <c r="H3114">
        <v>2</v>
      </c>
      <c r="I3114">
        <v>520</v>
      </c>
      <c r="J3114">
        <v>61.33</v>
      </c>
    </row>
    <row r="3115" spans="1:10" x14ac:dyDescent="0.25">
      <c r="A3115" s="1">
        <v>45462</v>
      </c>
      <c r="B3115" t="s">
        <v>18</v>
      </c>
      <c r="C3115" t="s">
        <v>19</v>
      </c>
      <c r="D3115" t="s">
        <v>12</v>
      </c>
      <c r="E3115" t="s">
        <v>154</v>
      </c>
      <c r="F3115" t="s">
        <v>115</v>
      </c>
      <c r="G3115" t="s">
        <v>15</v>
      </c>
      <c r="H3115">
        <v>7</v>
      </c>
      <c r="I3115">
        <v>1120</v>
      </c>
      <c r="J3115">
        <v>111.79</v>
      </c>
    </row>
    <row r="3116" spans="1:10" x14ac:dyDescent="0.25">
      <c r="A3116" s="1">
        <v>44754</v>
      </c>
      <c r="B3116" t="s">
        <v>49</v>
      </c>
      <c r="C3116" t="s">
        <v>17</v>
      </c>
      <c r="D3116" t="s">
        <v>12</v>
      </c>
      <c r="E3116" t="s">
        <v>62</v>
      </c>
      <c r="F3116" t="s">
        <v>63</v>
      </c>
      <c r="G3116" t="s">
        <v>28</v>
      </c>
      <c r="H3116">
        <v>1</v>
      </c>
      <c r="I3116">
        <v>911</v>
      </c>
      <c r="J3116">
        <v>155.30000000000001</v>
      </c>
    </row>
    <row r="3117" spans="1:10" x14ac:dyDescent="0.25">
      <c r="A3117" s="1">
        <v>44641</v>
      </c>
      <c r="B3117" t="s">
        <v>36</v>
      </c>
      <c r="C3117" t="s">
        <v>17</v>
      </c>
      <c r="D3117" t="s">
        <v>12</v>
      </c>
      <c r="E3117" t="s">
        <v>62</v>
      </c>
      <c r="F3117" t="s">
        <v>63</v>
      </c>
      <c r="G3117" t="s">
        <v>28</v>
      </c>
      <c r="H3117">
        <v>8</v>
      </c>
      <c r="I3117">
        <v>1064</v>
      </c>
      <c r="J3117">
        <v>190.73</v>
      </c>
    </row>
    <row r="3118" spans="1:10" x14ac:dyDescent="0.25">
      <c r="A3118" s="1">
        <v>45410</v>
      </c>
      <c r="B3118" t="s">
        <v>55</v>
      </c>
      <c r="C3118" t="s">
        <v>19</v>
      </c>
      <c r="D3118" t="s">
        <v>12</v>
      </c>
      <c r="E3118" t="s">
        <v>22</v>
      </c>
      <c r="F3118" t="s">
        <v>23</v>
      </c>
      <c r="G3118" t="s">
        <v>24</v>
      </c>
      <c r="H3118">
        <v>7</v>
      </c>
      <c r="I3118">
        <v>1981</v>
      </c>
      <c r="J3118">
        <v>404.3</v>
      </c>
    </row>
    <row r="3119" spans="1:10" x14ac:dyDescent="0.25">
      <c r="A3119" s="1">
        <v>44671</v>
      </c>
      <c r="B3119" t="s">
        <v>25</v>
      </c>
      <c r="C3119" t="s">
        <v>19</v>
      </c>
      <c r="D3119" t="s">
        <v>12</v>
      </c>
      <c r="E3119" t="s">
        <v>43</v>
      </c>
      <c r="F3119" t="s">
        <v>44</v>
      </c>
      <c r="G3119" t="s">
        <v>35</v>
      </c>
      <c r="H3119">
        <v>5</v>
      </c>
      <c r="I3119">
        <v>4280</v>
      </c>
      <c r="J3119">
        <v>540.47</v>
      </c>
    </row>
    <row r="3120" spans="1:10" x14ac:dyDescent="0.25">
      <c r="A3120" s="1">
        <v>45468</v>
      </c>
      <c r="B3120" t="s">
        <v>32</v>
      </c>
      <c r="C3120" t="s">
        <v>19</v>
      </c>
      <c r="D3120" t="s">
        <v>12</v>
      </c>
      <c r="E3120" t="s">
        <v>43</v>
      </c>
      <c r="F3120" t="s">
        <v>44</v>
      </c>
      <c r="G3120" t="s">
        <v>35</v>
      </c>
      <c r="H3120">
        <v>5</v>
      </c>
      <c r="I3120">
        <v>5125</v>
      </c>
      <c r="J3120">
        <v>268.39</v>
      </c>
    </row>
    <row r="3121" spans="1:10" x14ac:dyDescent="0.25">
      <c r="A3121" s="1">
        <v>45652</v>
      </c>
      <c r="B3121" t="s">
        <v>36</v>
      </c>
      <c r="C3121" t="s">
        <v>17</v>
      </c>
      <c r="D3121" t="s">
        <v>12</v>
      </c>
      <c r="E3121" t="s">
        <v>188</v>
      </c>
      <c r="F3121" t="s">
        <v>189</v>
      </c>
      <c r="G3121" t="s">
        <v>24</v>
      </c>
      <c r="H3121">
        <v>7</v>
      </c>
      <c r="I3121">
        <v>1575</v>
      </c>
      <c r="J3121">
        <v>313.95999999999998</v>
      </c>
    </row>
    <row r="3122" spans="1:10" x14ac:dyDescent="0.25">
      <c r="A3122" s="1">
        <v>45410</v>
      </c>
      <c r="B3122" t="s">
        <v>18</v>
      </c>
      <c r="C3122" t="s">
        <v>19</v>
      </c>
      <c r="D3122" t="s">
        <v>12</v>
      </c>
      <c r="E3122" t="s">
        <v>188</v>
      </c>
      <c r="F3122" t="s">
        <v>189</v>
      </c>
      <c r="G3122" t="s">
        <v>24</v>
      </c>
      <c r="H3122">
        <v>9</v>
      </c>
      <c r="I3122">
        <v>9972</v>
      </c>
      <c r="J3122">
        <v>1868.64</v>
      </c>
    </row>
    <row r="3123" spans="1:10" x14ac:dyDescent="0.25">
      <c r="A3123" s="1">
        <v>44835</v>
      </c>
      <c r="B3123" t="s">
        <v>40</v>
      </c>
      <c r="C3123" t="s">
        <v>19</v>
      </c>
      <c r="D3123" t="s">
        <v>12</v>
      </c>
      <c r="E3123" t="s">
        <v>190</v>
      </c>
      <c r="F3123" t="s">
        <v>191</v>
      </c>
      <c r="G3123" t="s">
        <v>35</v>
      </c>
      <c r="H3123">
        <v>8</v>
      </c>
      <c r="I3123">
        <v>4576</v>
      </c>
      <c r="J3123">
        <v>900.04</v>
      </c>
    </row>
    <row r="3124" spans="1:10" x14ac:dyDescent="0.25">
      <c r="A3124" s="1">
        <v>45444</v>
      </c>
      <c r="B3124" t="s">
        <v>36</v>
      </c>
      <c r="C3124" t="s">
        <v>17</v>
      </c>
      <c r="D3124" t="s">
        <v>12</v>
      </c>
      <c r="E3124" t="s">
        <v>148</v>
      </c>
      <c r="F3124" t="s">
        <v>149</v>
      </c>
      <c r="G3124" t="s">
        <v>15</v>
      </c>
      <c r="H3124">
        <v>7</v>
      </c>
      <c r="I3124">
        <v>6559</v>
      </c>
      <c r="J3124">
        <v>1141.32</v>
      </c>
    </row>
    <row r="3125" spans="1:10" x14ac:dyDescent="0.25">
      <c r="A3125" s="1">
        <v>45127</v>
      </c>
      <c r="B3125" t="s">
        <v>18</v>
      </c>
      <c r="C3125" t="s">
        <v>19</v>
      </c>
      <c r="D3125" t="s">
        <v>12</v>
      </c>
      <c r="E3125" t="s">
        <v>192</v>
      </c>
      <c r="F3125" t="s">
        <v>149</v>
      </c>
      <c r="G3125" t="s">
        <v>15</v>
      </c>
      <c r="H3125">
        <v>1</v>
      </c>
      <c r="I3125">
        <v>619</v>
      </c>
      <c r="J3125">
        <v>35.36</v>
      </c>
    </row>
    <row r="3126" spans="1:10" x14ac:dyDescent="0.25">
      <c r="A3126" s="1">
        <v>45452</v>
      </c>
      <c r="B3126" t="s">
        <v>29</v>
      </c>
      <c r="C3126" t="s">
        <v>17</v>
      </c>
      <c r="D3126" t="s">
        <v>12</v>
      </c>
      <c r="E3126" t="s">
        <v>193</v>
      </c>
      <c r="F3126" t="s">
        <v>14</v>
      </c>
      <c r="G3126" t="s">
        <v>15</v>
      </c>
      <c r="H3126">
        <v>8</v>
      </c>
      <c r="I3126">
        <v>2488</v>
      </c>
      <c r="J3126">
        <v>151.94999999999999</v>
      </c>
    </row>
    <row r="3127" spans="1:10" x14ac:dyDescent="0.25">
      <c r="A3127" s="1">
        <v>44863</v>
      </c>
      <c r="B3127" t="s">
        <v>16</v>
      </c>
      <c r="C3127" t="s">
        <v>17</v>
      </c>
      <c r="D3127" t="s">
        <v>12</v>
      </c>
      <c r="E3127" t="s">
        <v>66</v>
      </c>
      <c r="F3127" t="s">
        <v>34</v>
      </c>
      <c r="G3127" t="s">
        <v>35</v>
      </c>
      <c r="H3127">
        <v>4</v>
      </c>
      <c r="I3127">
        <v>2536</v>
      </c>
      <c r="J3127">
        <v>148.85</v>
      </c>
    </row>
    <row r="3128" spans="1:10" x14ac:dyDescent="0.25">
      <c r="A3128" s="1">
        <v>44595</v>
      </c>
      <c r="B3128" t="s">
        <v>18</v>
      </c>
      <c r="C3128" t="s">
        <v>19</v>
      </c>
      <c r="D3128" t="s">
        <v>12</v>
      </c>
      <c r="E3128" t="s">
        <v>57</v>
      </c>
      <c r="F3128" t="s">
        <v>142</v>
      </c>
      <c r="G3128" t="s">
        <v>28</v>
      </c>
      <c r="H3128">
        <v>8</v>
      </c>
      <c r="I3128">
        <v>5416</v>
      </c>
      <c r="J3128">
        <v>297.5</v>
      </c>
    </row>
    <row r="3129" spans="1:10" x14ac:dyDescent="0.25">
      <c r="A3129" s="1">
        <v>44970</v>
      </c>
      <c r="B3129" t="s">
        <v>32</v>
      </c>
      <c r="C3129" t="s">
        <v>19</v>
      </c>
      <c r="D3129" t="s">
        <v>12</v>
      </c>
      <c r="E3129" t="s">
        <v>22</v>
      </c>
      <c r="F3129" t="s">
        <v>23</v>
      </c>
      <c r="G3129" t="s">
        <v>24</v>
      </c>
      <c r="H3129">
        <v>2</v>
      </c>
      <c r="I3129">
        <v>2334</v>
      </c>
      <c r="J3129">
        <v>158.07</v>
      </c>
    </row>
    <row r="3130" spans="1:10" x14ac:dyDescent="0.25">
      <c r="A3130" s="1">
        <v>44770</v>
      </c>
      <c r="B3130" t="s">
        <v>25</v>
      </c>
      <c r="C3130" t="s">
        <v>19</v>
      </c>
      <c r="D3130" t="s">
        <v>12</v>
      </c>
      <c r="E3130" t="s">
        <v>52</v>
      </c>
      <c r="F3130" t="s">
        <v>42</v>
      </c>
      <c r="G3130" t="s">
        <v>28</v>
      </c>
      <c r="H3130">
        <v>9</v>
      </c>
      <c r="I3130">
        <v>1080</v>
      </c>
      <c r="J3130">
        <v>183.42</v>
      </c>
    </row>
    <row r="3131" spans="1:10" x14ac:dyDescent="0.25">
      <c r="A3131" s="1">
        <v>45420</v>
      </c>
      <c r="B3131" t="s">
        <v>18</v>
      </c>
      <c r="C3131" t="s">
        <v>19</v>
      </c>
      <c r="D3131" t="s">
        <v>12</v>
      </c>
      <c r="E3131" t="s">
        <v>53</v>
      </c>
      <c r="F3131" t="s">
        <v>54</v>
      </c>
      <c r="G3131" t="s">
        <v>24</v>
      </c>
      <c r="H3131">
        <v>4</v>
      </c>
      <c r="I3131">
        <v>1324</v>
      </c>
      <c r="J3131">
        <v>127.07</v>
      </c>
    </row>
    <row r="3132" spans="1:10" x14ac:dyDescent="0.25">
      <c r="A3132" s="1">
        <v>45123</v>
      </c>
      <c r="B3132" t="s">
        <v>25</v>
      </c>
      <c r="C3132" t="s">
        <v>19</v>
      </c>
      <c r="D3132" t="s">
        <v>12</v>
      </c>
      <c r="E3132" t="s">
        <v>53</v>
      </c>
      <c r="F3132" t="s">
        <v>54</v>
      </c>
      <c r="G3132" t="s">
        <v>24</v>
      </c>
      <c r="H3132">
        <v>2</v>
      </c>
      <c r="I3132">
        <v>2304</v>
      </c>
      <c r="J3132">
        <v>444.08</v>
      </c>
    </row>
    <row r="3133" spans="1:10" x14ac:dyDescent="0.25">
      <c r="A3133" s="1">
        <v>45343</v>
      </c>
      <c r="B3133" t="s">
        <v>40</v>
      </c>
      <c r="C3133" t="s">
        <v>19</v>
      </c>
      <c r="D3133" t="s">
        <v>12</v>
      </c>
      <c r="E3133" t="s">
        <v>13</v>
      </c>
      <c r="F3133" t="s">
        <v>173</v>
      </c>
      <c r="G3133" t="s">
        <v>24</v>
      </c>
      <c r="H3133">
        <v>4</v>
      </c>
      <c r="I3133">
        <v>4736</v>
      </c>
      <c r="J3133">
        <v>1026.24</v>
      </c>
    </row>
    <row r="3134" spans="1:10" x14ac:dyDescent="0.25">
      <c r="A3134" s="1">
        <v>45152</v>
      </c>
      <c r="B3134" t="s">
        <v>16</v>
      </c>
      <c r="C3134" t="s">
        <v>17</v>
      </c>
      <c r="D3134" t="s">
        <v>12</v>
      </c>
      <c r="E3134" t="s">
        <v>74</v>
      </c>
      <c r="F3134" t="s">
        <v>23</v>
      </c>
      <c r="G3134" t="s">
        <v>24</v>
      </c>
      <c r="H3134">
        <v>9</v>
      </c>
      <c r="I3134">
        <v>2925</v>
      </c>
      <c r="J3134">
        <v>457.49</v>
      </c>
    </row>
    <row r="3135" spans="1:10" x14ac:dyDescent="0.25">
      <c r="A3135" s="1">
        <v>44953</v>
      </c>
      <c r="B3135" t="s">
        <v>55</v>
      </c>
      <c r="C3135" t="s">
        <v>19</v>
      </c>
      <c r="D3135" t="s">
        <v>12</v>
      </c>
      <c r="E3135" t="s">
        <v>74</v>
      </c>
      <c r="F3135" t="s">
        <v>23</v>
      </c>
      <c r="G3135" t="s">
        <v>24</v>
      </c>
      <c r="H3135">
        <v>9</v>
      </c>
      <c r="I3135">
        <v>6345</v>
      </c>
      <c r="J3135">
        <v>1627.26</v>
      </c>
    </row>
    <row r="3136" spans="1:10" x14ac:dyDescent="0.25">
      <c r="A3136" s="1">
        <v>44725</v>
      </c>
      <c r="B3136" t="s">
        <v>29</v>
      </c>
      <c r="C3136" t="s">
        <v>17</v>
      </c>
      <c r="D3136" t="s">
        <v>12</v>
      </c>
      <c r="E3136" t="s">
        <v>194</v>
      </c>
      <c r="F3136" t="s">
        <v>57</v>
      </c>
      <c r="G3136" t="s">
        <v>24</v>
      </c>
      <c r="H3136">
        <v>9</v>
      </c>
      <c r="I3136">
        <v>4221</v>
      </c>
      <c r="J3136">
        <v>912.84</v>
      </c>
    </row>
    <row r="3137" spans="1:10" x14ac:dyDescent="0.25">
      <c r="A3137" s="1">
        <v>44901</v>
      </c>
      <c r="B3137" t="s">
        <v>29</v>
      </c>
      <c r="C3137" t="s">
        <v>17</v>
      </c>
      <c r="D3137" t="s">
        <v>12</v>
      </c>
      <c r="E3137" t="s">
        <v>116</v>
      </c>
      <c r="F3137" t="s">
        <v>42</v>
      </c>
      <c r="G3137" t="s">
        <v>28</v>
      </c>
      <c r="H3137">
        <v>7</v>
      </c>
      <c r="I3137">
        <v>462</v>
      </c>
      <c r="J3137">
        <v>56.89</v>
      </c>
    </row>
    <row r="3138" spans="1:10" x14ac:dyDescent="0.25">
      <c r="A3138" s="1">
        <v>44694</v>
      </c>
      <c r="B3138" t="s">
        <v>36</v>
      </c>
      <c r="C3138" t="s">
        <v>17</v>
      </c>
      <c r="D3138" t="s">
        <v>12</v>
      </c>
      <c r="E3138" t="s">
        <v>22</v>
      </c>
      <c r="F3138" t="s">
        <v>23</v>
      </c>
      <c r="G3138" t="s">
        <v>24</v>
      </c>
      <c r="H3138">
        <v>7</v>
      </c>
      <c r="I3138">
        <v>7588</v>
      </c>
      <c r="J3138">
        <v>1625.55</v>
      </c>
    </row>
    <row r="3139" spans="1:10" x14ac:dyDescent="0.25">
      <c r="A3139" s="1">
        <v>44907</v>
      </c>
      <c r="B3139" t="s">
        <v>49</v>
      </c>
      <c r="C3139" t="s">
        <v>17</v>
      </c>
      <c r="D3139" t="s">
        <v>12</v>
      </c>
      <c r="E3139" t="s">
        <v>52</v>
      </c>
      <c r="F3139" t="s">
        <v>42</v>
      </c>
      <c r="G3139" t="s">
        <v>28</v>
      </c>
      <c r="H3139">
        <v>6</v>
      </c>
      <c r="I3139">
        <v>5232</v>
      </c>
      <c r="J3139">
        <v>1270.6400000000001</v>
      </c>
    </row>
    <row r="3140" spans="1:10" x14ac:dyDescent="0.25">
      <c r="A3140" s="1">
        <v>45505</v>
      </c>
      <c r="B3140" t="s">
        <v>25</v>
      </c>
      <c r="C3140" t="s">
        <v>19</v>
      </c>
      <c r="D3140" t="s">
        <v>12</v>
      </c>
      <c r="E3140" t="s">
        <v>74</v>
      </c>
      <c r="F3140" t="s">
        <v>23</v>
      </c>
      <c r="G3140" t="s">
        <v>24</v>
      </c>
      <c r="H3140">
        <v>8</v>
      </c>
      <c r="I3140">
        <v>1440</v>
      </c>
      <c r="J3140">
        <v>402.06</v>
      </c>
    </row>
    <row r="3141" spans="1:10" x14ac:dyDescent="0.25">
      <c r="A3141" s="1">
        <v>45016</v>
      </c>
      <c r="B3141" t="s">
        <v>36</v>
      </c>
      <c r="C3141" t="s">
        <v>17</v>
      </c>
      <c r="D3141" t="s">
        <v>12</v>
      </c>
      <c r="E3141" t="s">
        <v>195</v>
      </c>
      <c r="F3141" t="s">
        <v>63</v>
      </c>
      <c r="G3141" t="s">
        <v>28</v>
      </c>
      <c r="H3141">
        <v>2</v>
      </c>
      <c r="I3141">
        <v>1026</v>
      </c>
      <c r="J3141">
        <v>226.4</v>
      </c>
    </row>
    <row r="3142" spans="1:10" x14ac:dyDescent="0.25">
      <c r="A3142" s="1">
        <v>45556</v>
      </c>
      <c r="B3142" t="s">
        <v>25</v>
      </c>
      <c r="C3142" t="s">
        <v>19</v>
      </c>
      <c r="D3142" t="s">
        <v>12</v>
      </c>
      <c r="E3142" t="s">
        <v>146</v>
      </c>
      <c r="F3142" t="s">
        <v>21</v>
      </c>
      <c r="G3142" t="s">
        <v>15</v>
      </c>
      <c r="H3142">
        <v>7</v>
      </c>
      <c r="I3142">
        <v>7455</v>
      </c>
      <c r="J3142">
        <v>1008.42</v>
      </c>
    </row>
    <row r="3143" spans="1:10" x14ac:dyDescent="0.25">
      <c r="A3143" s="1">
        <v>45259</v>
      </c>
      <c r="B3143" t="s">
        <v>10</v>
      </c>
      <c r="C3143" t="s">
        <v>11</v>
      </c>
      <c r="D3143" t="s">
        <v>12</v>
      </c>
      <c r="E3143" t="s">
        <v>132</v>
      </c>
      <c r="F3143" t="s">
        <v>189</v>
      </c>
      <c r="G3143" t="s">
        <v>24</v>
      </c>
      <c r="H3143">
        <v>8</v>
      </c>
      <c r="I3143">
        <v>2456</v>
      </c>
      <c r="J3143">
        <v>404.35</v>
      </c>
    </row>
    <row r="3144" spans="1:10" x14ac:dyDescent="0.25">
      <c r="A3144" s="1">
        <v>44866</v>
      </c>
      <c r="B3144" t="s">
        <v>25</v>
      </c>
      <c r="C3144" t="s">
        <v>19</v>
      </c>
      <c r="D3144" t="s">
        <v>12</v>
      </c>
      <c r="E3144" t="s">
        <v>22</v>
      </c>
      <c r="F3144" t="s">
        <v>23</v>
      </c>
      <c r="G3144" t="s">
        <v>24</v>
      </c>
      <c r="H3144">
        <v>3</v>
      </c>
      <c r="I3144">
        <v>2859</v>
      </c>
      <c r="J3144">
        <v>404.56</v>
      </c>
    </row>
    <row r="3145" spans="1:10" x14ac:dyDescent="0.25">
      <c r="A3145" s="1">
        <v>45299</v>
      </c>
      <c r="B3145" t="s">
        <v>49</v>
      </c>
      <c r="C3145" t="s">
        <v>17</v>
      </c>
      <c r="D3145" t="s">
        <v>12</v>
      </c>
      <c r="E3145" t="s">
        <v>118</v>
      </c>
      <c r="F3145" t="s">
        <v>42</v>
      </c>
      <c r="G3145" t="s">
        <v>28</v>
      </c>
      <c r="H3145">
        <v>1</v>
      </c>
      <c r="I3145">
        <v>311</v>
      </c>
      <c r="J3145">
        <v>50.66</v>
      </c>
    </row>
    <row r="3146" spans="1:10" x14ac:dyDescent="0.25">
      <c r="A3146" s="1">
        <v>44862</v>
      </c>
      <c r="B3146" t="s">
        <v>10</v>
      </c>
      <c r="C3146" t="s">
        <v>11</v>
      </c>
      <c r="D3146" t="s">
        <v>12</v>
      </c>
      <c r="E3146" t="s">
        <v>177</v>
      </c>
      <c r="F3146" t="s">
        <v>42</v>
      </c>
      <c r="G3146" t="s">
        <v>28</v>
      </c>
      <c r="H3146">
        <v>9</v>
      </c>
      <c r="I3146">
        <v>1260</v>
      </c>
      <c r="J3146">
        <v>246.6</v>
      </c>
    </row>
    <row r="3147" spans="1:10" x14ac:dyDescent="0.25">
      <c r="A3147" s="1">
        <v>44579</v>
      </c>
      <c r="B3147" t="s">
        <v>49</v>
      </c>
      <c r="C3147" t="s">
        <v>17</v>
      </c>
      <c r="D3147" t="s">
        <v>12</v>
      </c>
      <c r="E3147" t="s">
        <v>182</v>
      </c>
      <c r="F3147" t="s">
        <v>183</v>
      </c>
      <c r="G3147" t="s">
        <v>15</v>
      </c>
      <c r="H3147">
        <v>1</v>
      </c>
      <c r="I3147">
        <v>466</v>
      </c>
      <c r="J3147">
        <v>102.48</v>
      </c>
    </row>
    <row r="3148" spans="1:10" x14ac:dyDescent="0.25">
      <c r="A3148" s="1">
        <v>44979</v>
      </c>
      <c r="B3148" t="s">
        <v>55</v>
      </c>
      <c r="C3148" t="s">
        <v>19</v>
      </c>
      <c r="D3148" t="s">
        <v>12</v>
      </c>
      <c r="E3148" t="s">
        <v>182</v>
      </c>
      <c r="F3148" t="s">
        <v>183</v>
      </c>
      <c r="G3148" t="s">
        <v>15</v>
      </c>
      <c r="H3148">
        <v>3</v>
      </c>
      <c r="I3148">
        <v>867</v>
      </c>
      <c r="J3148">
        <v>58.2</v>
      </c>
    </row>
    <row r="3149" spans="1:10" x14ac:dyDescent="0.25">
      <c r="A3149" s="1">
        <v>44981</v>
      </c>
      <c r="B3149" t="s">
        <v>36</v>
      </c>
      <c r="C3149" t="s">
        <v>17</v>
      </c>
      <c r="D3149" t="s">
        <v>12</v>
      </c>
      <c r="E3149" t="s">
        <v>74</v>
      </c>
      <c r="F3149" t="s">
        <v>23</v>
      </c>
      <c r="G3149" t="s">
        <v>24</v>
      </c>
      <c r="H3149">
        <v>6</v>
      </c>
      <c r="I3149">
        <v>3888</v>
      </c>
      <c r="J3149">
        <v>275.72000000000003</v>
      </c>
    </row>
    <row r="3150" spans="1:10" x14ac:dyDescent="0.25">
      <c r="A3150" s="1">
        <v>45394</v>
      </c>
      <c r="B3150" t="s">
        <v>18</v>
      </c>
      <c r="C3150" t="s">
        <v>19</v>
      </c>
      <c r="D3150" t="s">
        <v>12</v>
      </c>
      <c r="E3150" t="s">
        <v>196</v>
      </c>
      <c r="F3150" t="s">
        <v>54</v>
      </c>
      <c r="G3150" t="s">
        <v>24</v>
      </c>
      <c r="H3150">
        <v>4</v>
      </c>
      <c r="I3150">
        <v>3032</v>
      </c>
      <c r="J3150">
        <v>347.2</v>
      </c>
    </row>
    <row r="3151" spans="1:10" x14ac:dyDescent="0.25">
      <c r="A3151" s="1">
        <v>45282</v>
      </c>
      <c r="B3151" t="s">
        <v>18</v>
      </c>
      <c r="C3151" t="s">
        <v>19</v>
      </c>
      <c r="D3151" t="s">
        <v>12</v>
      </c>
      <c r="E3151" t="s">
        <v>52</v>
      </c>
      <c r="F3151" t="s">
        <v>42</v>
      </c>
      <c r="G3151" t="s">
        <v>28</v>
      </c>
      <c r="H3151">
        <v>7</v>
      </c>
      <c r="I3151">
        <v>4704</v>
      </c>
      <c r="J3151">
        <v>978.81</v>
      </c>
    </row>
    <row r="3152" spans="1:10" x14ac:dyDescent="0.25">
      <c r="A3152" s="1">
        <v>44861</v>
      </c>
      <c r="B3152" t="s">
        <v>10</v>
      </c>
      <c r="C3152" t="s">
        <v>11</v>
      </c>
      <c r="D3152" t="s">
        <v>12</v>
      </c>
      <c r="E3152" t="s">
        <v>52</v>
      </c>
      <c r="F3152" t="s">
        <v>42</v>
      </c>
      <c r="G3152" t="s">
        <v>28</v>
      </c>
      <c r="H3152">
        <v>3</v>
      </c>
      <c r="I3152">
        <v>3186</v>
      </c>
      <c r="J3152">
        <v>527.75</v>
      </c>
    </row>
    <row r="3153" spans="1:10" x14ac:dyDescent="0.25">
      <c r="A3153" s="1">
        <v>45522</v>
      </c>
      <c r="B3153" t="s">
        <v>10</v>
      </c>
      <c r="C3153" t="s">
        <v>11</v>
      </c>
      <c r="D3153" t="s">
        <v>12</v>
      </c>
      <c r="E3153" t="s">
        <v>52</v>
      </c>
      <c r="F3153" t="s">
        <v>42</v>
      </c>
      <c r="G3153" t="s">
        <v>28</v>
      </c>
      <c r="H3153">
        <v>9</v>
      </c>
      <c r="I3153">
        <v>6183</v>
      </c>
      <c r="J3153">
        <v>359.54</v>
      </c>
    </row>
    <row r="3154" spans="1:10" x14ac:dyDescent="0.25">
      <c r="A3154" s="1">
        <v>44848</v>
      </c>
      <c r="B3154" t="s">
        <v>32</v>
      </c>
      <c r="C3154" t="s">
        <v>19</v>
      </c>
      <c r="D3154" t="s">
        <v>12</v>
      </c>
      <c r="E3154" t="s">
        <v>197</v>
      </c>
      <c r="F3154" t="s">
        <v>168</v>
      </c>
      <c r="G3154" t="s">
        <v>15</v>
      </c>
      <c r="H3154">
        <v>1</v>
      </c>
      <c r="I3154">
        <v>243</v>
      </c>
      <c r="J3154">
        <v>21.75</v>
      </c>
    </row>
    <row r="3155" spans="1:10" x14ac:dyDescent="0.25">
      <c r="A3155" s="1">
        <v>45097</v>
      </c>
      <c r="B3155" t="s">
        <v>40</v>
      </c>
      <c r="C3155" t="s">
        <v>19</v>
      </c>
      <c r="D3155" t="s">
        <v>12</v>
      </c>
      <c r="E3155" t="s">
        <v>171</v>
      </c>
      <c r="F3155" t="s">
        <v>94</v>
      </c>
      <c r="G3155" t="s">
        <v>24</v>
      </c>
      <c r="H3155">
        <v>3</v>
      </c>
      <c r="I3155">
        <v>897</v>
      </c>
      <c r="J3155">
        <v>235.67</v>
      </c>
    </row>
    <row r="3156" spans="1:10" x14ac:dyDescent="0.25">
      <c r="A3156" s="1">
        <v>45279</v>
      </c>
      <c r="B3156" t="s">
        <v>29</v>
      </c>
      <c r="C3156" t="s">
        <v>17</v>
      </c>
      <c r="D3156" t="s">
        <v>12</v>
      </c>
      <c r="E3156" t="s">
        <v>198</v>
      </c>
      <c r="F3156" t="s">
        <v>23</v>
      </c>
      <c r="G3156" t="s">
        <v>24</v>
      </c>
      <c r="H3156">
        <v>9</v>
      </c>
      <c r="I3156">
        <v>4563</v>
      </c>
      <c r="J3156">
        <v>675.62</v>
      </c>
    </row>
    <row r="3157" spans="1:10" x14ac:dyDescent="0.25">
      <c r="A3157" s="1">
        <v>44822</v>
      </c>
      <c r="B3157" t="s">
        <v>55</v>
      </c>
      <c r="C3157" t="s">
        <v>19</v>
      </c>
      <c r="D3157" t="s">
        <v>12</v>
      </c>
      <c r="E3157" t="s">
        <v>132</v>
      </c>
      <c r="F3157" t="s">
        <v>100</v>
      </c>
      <c r="G3157" t="s">
        <v>35</v>
      </c>
      <c r="H3157">
        <v>4</v>
      </c>
      <c r="I3157">
        <v>628</v>
      </c>
      <c r="J3157">
        <v>156.97999999999999</v>
      </c>
    </row>
    <row r="3158" spans="1:10" x14ac:dyDescent="0.25">
      <c r="A3158" s="1">
        <v>45647</v>
      </c>
      <c r="B3158" t="s">
        <v>36</v>
      </c>
      <c r="C3158" t="s">
        <v>17</v>
      </c>
      <c r="D3158" t="s">
        <v>12</v>
      </c>
      <c r="E3158" t="s">
        <v>37</v>
      </c>
      <c r="F3158" t="s">
        <v>34</v>
      </c>
      <c r="G3158" t="s">
        <v>35</v>
      </c>
      <c r="H3158">
        <v>6</v>
      </c>
      <c r="I3158">
        <v>1050</v>
      </c>
      <c r="J3158">
        <v>172.83</v>
      </c>
    </row>
    <row r="3159" spans="1:10" x14ac:dyDescent="0.25">
      <c r="A3159" s="1">
        <v>44697</v>
      </c>
      <c r="B3159" t="s">
        <v>36</v>
      </c>
      <c r="C3159" t="s">
        <v>17</v>
      </c>
      <c r="D3159" t="s">
        <v>12</v>
      </c>
      <c r="E3159" t="s">
        <v>130</v>
      </c>
      <c r="F3159" t="s">
        <v>14</v>
      </c>
      <c r="G3159" t="s">
        <v>15</v>
      </c>
      <c r="H3159">
        <v>8</v>
      </c>
      <c r="I3159">
        <v>3032</v>
      </c>
      <c r="J3159">
        <v>278.85000000000002</v>
      </c>
    </row>
    <row r="3160" spans="1:10" x14ac:dyDescent="0.25">
      <c r="A3160" s="1">
        <v>45196</v>
      </c>
      <c r="B3160" t="s">
        <v>49</v>
      </c>
      <c r="C3160" t="s">
        <v>17</v>
      </c>
      <c r="D3160" t="s">
        <v>12</v>
      </c>
      <c r="E3160" t="s">
        <v>43</v>
      </c>
      <c r="F3160" t="s">
        <v>44</v>
      </c>
      <c r="G3160" t="s">
        <v>35</v>
      </c>
      <c r="H3160">
        <v>1</v>
      </c>
      <c r="I3160">
        <v>920</v>
      </c>
      <c r="J3160">
        <v>118.24</v>
      </c>
    </row>
    <row r="3161" spans="1:10" x14ac:dyDescent="0.25">
      <c r="A3161" s="1">
        <v>45353</v>
      </c>
      <c r="B3161" t="s">
        <v>55</v>
      </c>
      <c r="C3161" t="s">
        <v>19</v>
      </c>
      <c r="D3161" t="s">
        <v>12</v>
      </c>
      <c r="E3161" t="s">
        <v>140</v>
      </c>
      <c r="F3161" t="s">
        <v>168</v>
      </c>
      <c r="G3161" t="s">
        <v>15</v>
      </c>
      <c r="H3161">
        <v>2</v>
      </c>
      <c r="I3161">
        <v>668</v>
      </c>
      <c r="J3161">
        <v>90.67</v>
      </c>
    </row>
    <row r="3162" spans="1:10" x14ac:dyDescent="0.25">
      <c r="A3162" s="1">
        <v>45443</v>
      </c>
      <c r="B3162" t="s">
        <v>16</v>
      </c>
      <c r="C3162" t="s">
        <v>17</v>
      </c>
      <c r="D3162" t="s">
        <v>12</v>
      </c>
      <c r="E3162" t="s">
        <v>199</v>
      </c>
      <c r="F3162" t="s">
        <v>200</v>
      </c>
      <c r="G3162" t="s">
        <v>28</v>
      </c>
      <c r="H3162">
        <v>5</v>
      </c>
      <c r="I3162">
        <v>5990</v>
      </c>
      <c r="J3162">
        <v>1403.53</v>
      </c>
    </row>
    <row r="3163" spans="1:10" x14ac:dyDescent="0.25">
      <c r="A3163" s="1">
        <v>45355</v>
      </c>
      <c r="B3163" t="s">
        <v>18</v>
      </c>
      <c r="C3163" t="s">
        <v>19</v>
      </c>
      <c r="D3163" t="s">
        <v>12</v>
      </c>
      <c r="E3163" t="s">
        <v>56</v>
      </c>
      <c r="F3163" t="s">
        <v>57</v>
      </c>
      <c r="G3163" t="s">
        <v>24</v>
      </c>
      <c r="H3163">
        <v>9</v>
      </c>
      <c r="I3163">
        <v>9324</v>
      </c>
      <c r="J3163">
        <v>1223.9000000000001</v>
      </c>
    </row>
    <row r="3164" spans="1:10" x14ac:dyDescent="0.25">
      <c r="A3164" s="1">
        <v>45027</v>
      </c>
      <c r="B3164" t="s">
        <v>49</v>
      </c>
      <c r="C3164" t="s">
        <v>17</v>
      </c>
      <c r="D3164" t="s">
        <v>12</v>
      </c>
      <c r="E3164" t="s">
        <v>134</v>
      </c>
      <c r="F3164" t="s">
        <v>51</v>
      </c>
      <c r="G3164" t="s">
        <v>35</v>
      </c>
      <c r="H3164">
        <v>8</v>
      </c>
      <c r="I3164">
        <v>5768</v>
      </c>
      <c r="J3164">
        <v>368.49</v>
      </c>
    </row>
    <row r="3165" spans="1:10" x14ac:dyDescent="0.25">
      <c r="A3165" s="1">
        <v>45413</v>
      </c>
      <c r="B3165" t="s">
        <v>55</v>
      </c>
      <c r="C3165" t="s">
        <v>19</v>
      </c>
      <c r="D3165" t="s">
        <v>12</v>
      </c>
      <c r="E3165" t="s">
        <v>179</v>
      </c>
      <c r="F3165" t="s">
        <v>94</v>
      </c>
      <c r="G3165" t="s">
        <v>24</v>
      </c>
      <c r="H3165">
        <v>1</v>
      </c>
      <c r="I3165">
        <v>1123</v>
      </c>
      <c r="J3165">
        <v>318.08999999999997</v>
      </c>
    </row>
    <row r="3166" spans="1:10" x14ac:dyDescent="0.25">
      <c r="A3166" s="1">
        <v>45646</v>
      </c>
      <c r="B3166" t="s">
        <v>49</v>
      </c>
      <c r="C3166" t="s">
        <v>17</v>
      </c>
      <c r="D3166" t="s">
        <v>12</v>
      </c>
      <c r="E3166" t="s">
        <v>26</v>
      </c>
      <c r="F3166" t="s">
        <v>27</v>
      </c>
      <c r="G3166" t="s">
        <v>28</v>
      </c>
      <c r="H3166">
        <v>4</v>
      </c>
      <c r="I3166">
        <v>2336</v>
      </c>
      <c r="J3166">
        <v>453.04</v>
      </c>
    </row>
    <row r="3167" spans="1:10" x14ac:dyDescent="0.25">
      <c r="A3167" s="1">
        <v>45252</v>
      </c>
      <c r="B3167" t="s">
        <v>55</v>
      </c>
      <c r="C3167" t="s">
        <v>19</v>
      </c>
      <c r="D3167" t="s">
        <v>12</v>
      </c>
      <c r="E3167" t="s">
        <v>26</v>
      </c>
      <c r="F3167" t="s">
        <v>27</v>
      </c>
      <c r="G3167" t="s">
        <v>28</v>
      </c>
      <c r="H3167">
        <v>6</v>
      </c>
      <c r="I3167">
        <v>438</v>
      </c>
      <c r="J3167">
        <v>26.03</v>
      </c>
    </row>
    <row r="3168" spans="1:10" x14ac:dyDescent="0.25">
      <c r="A3168" s="1">
        <v>44918</v>
      </c>
      <c r="B3168" t="s">
        <v>18</v>
      </c>
      <c r="C3168" t="s">
        <v>19</v>
      </c>
      <c r="D3168" t="s">
        <v>12</v>
      </c>
      <c r="E3168" t="s">
        <v>26</v>
      </c>
      <c r="F3168" t="s">
        <v>27</v>
      </c>
      <c r="G3168" t="s">
        <v>28</v>
      </c>
      <c r="H3168">
        <v>6</v>
      </c>
      <c r="I3168">
        <v>5940</v>
      </c>
      <c r="J3168">
        <v>318.72000000000003</v>
      </c>
    </row>
    <row r="3169" spans="1:10" x14ac:dyDescent="0.25">
      <c r="A3169" s="1">
        <v>44734</v>
      </c>
      <c r="B3169" t="s">
        <v>25</v>
      </c>
      <c r="C3169" t="s">
        <v>19</v>
      </c>
      <c r="D3169" t="s">
        <v>12</v>
      </c>
      <c r="E3169" t="s">
        <v>104</v>
      </c>
      <c r="F3169" t="s">
        <v>39</v>
      </c>
      <c r="G3169" t="s">
        <v>35</v>
      </c>
      <c r="H3169">
        <v>3</v>
      </c>
      <c r="I3169">
        <v>1848</v>
      </c>
      <c r="J3169">
        <v>549.34</v>
      </c>
    </row>
    <row r="3170" spans="1:10" x14ac:dyDescent="0.25">
      <c r="A3170" s="1">
        <v>45002</v>
      </c>
      <c r="B3170" t="s">
        <v>49</v>
      </c>
      <c r="C3170" t="s">
        <v>17</v>
      </c>
      <c r="D3170" t="s">
        <v>12</v>
      </c>
      <c r="E3170" t="s">
        <v>70</v>
      </c>
      <c r="F3170" t="s">
        <v>71</v>
      </c>
      <c r="G3170" t="s">
        <v>35</v>
      </c>
      <c r="H3170">
        <v>3</v>
      </c>
      <c r="I3170">
        <v>2118</v>
      </c>
      <c r="J3170">
        <v>321.05</v>
      </c>
    </row>
    <row r="3171" spans="1:10" x14ac:dyDescent="0.25">
      <c r="A3171" s="1">
        <v>44577</v>
      </c>
      <c r="B3171" t="s">
        <v>40</v>
      </c>
      <c r="C3171" t="s">
        <v>19</v>
      </c>
      <c r="D3171" t="s">
        <v>12</v>
      </c>
      <c r="E3171" t="s">
        <v>70</v>
      </c>
      <c r="F3171" t="s">
        <v>71</v>
      </c>
      <c r="G3171" t="s">
        <v>35</v>
      </c>
      <c r="H3171">
        <v>3</v>
      </c>
      <c r="I3171">
        <v>231</v>
      </c>
      <c r="J3171">
        <v>36.729999999999997</v>
      </c>
    </row>
    <row r="3172" spans="1:10" x14ac:dyDescent="0.25">
      <c r="A3172" s="1">
        <v>45303</v>
      </c>
      <c r="B3172" t="s">
        <v>29</v>
      </c>
      <c r="C3172" t="s">
        <v>17</v>
      </c>
      <c r="D3172" t="s">
        <v>12</v>
      </c>
      <c r="E3172" t="s">
        <v>22</v>
      </c>
      <c r="F3172" t="s">
        <v>23</v>
      </c>
      <c r="G3172" t="s">
        <v>24</v>
      </c>
      <c r="H3172">
        <v>6</v>
      </c>
      <c r="I3172">
        <v>978</v>
      </c>
      <c r="J3172">
        <v>182.46</v>
      </c>
    </row>
    <row r="3173" spans="1:10" x14ac:dyDescent="0.25">
      <c r="A3173" s="1">
        <v>45068</v>
      </c>
      <c r="B3173" t="s">
        <v>36</v>
      </c>
      <c r="C3173" t="s">
        <v>17</v>
      </c>
      <c r="D3173" t="s">
        <v>12</v>
      </c>
      <c r="E3173" t="s">
        <v>201</v>
      </c>
      <c r="F3173" t="s">
        <v>23</v>
      </c>
      <c r="G3173" t="s">
        <v>24</v>
      </c>
      <c r="H3173">
        <v>5</v>
      </c>
      <c r="I3173">
        <v>4960</v>
      </c>
      <c r="J3173">
        <v>420.98</v>
      </c>
    </row>
    <row r="3174" spans="1:10" x14ac:dyDescent="0.25">
      <c r="A3174" s="1">
        <v>44629</v>
      </c>
      <c r="B3174" t="s">
        <v>25</v>
      </c>
      <c r="C3174" t="s">
        <v>19</v>
      </c>
      <c r="D3174" t="s">
        <v>12</v>
      </c>
      <c r="E3174" t="s">
        <v>202</v>
      </c>
      <c r="F3174" t="s">
        <v>23</v>
      </c>
      <c r="G3174" t="s">
        <v>24</v>
      </c>
      <c r="H3174">
        <v>3</v>
      </c>
      <c r="I3174">
        <v>1377</v>
      </c>
      <c r="J3174">
        <v>330.44</v>
      </c>
    </row>
    <row r="3175" spans="1:10" x14ac:dyDescent="0.25">
      <c r="A3175" s="1">
        <v>44966</v>
      </c>
      <c r="B3175" t="s">
        <v>25</v>
      </c>
      <c r="C3175" t="s">
        <v>19</v>
      </c>
      <c r="D3175" t="s">
        <v>12</v>
      </c>
      <c r="E3175" t="s">
        <v>74</v>
      </c>
      <c r="F3175" t="s">
        <v>23</v>
      </c>
      <c r="G3175" t="s">
        <v>24</v>
      </c>
      <c r="H3175">
        <v>2</v>
      </c>
      <c r="I3175">
        <v>1958</v>
      </c>
      <c r="J3175">
        <v>227.77</v>
      </c>
    </row>
    <row r="3176" spans="1:10" x14ac:dyDescent="0.25">
      <c r="A3176" s="1">
        <v>45089</v>
      </c>
      <c r="B3176" t="s">
        <v>16</v>
      </c>
      <c r="C3176" t="s">
        <v>17</v>
      </c>
      <c r="D3176" t="s">
        <v>12</v>
      </c>
      <c r="E3176" t="s">
        <v>93</v>
      </c>
      <c r="F3176" t="s">
        <v>94</v>
      </c>
      <c r="G3176" t="s">
        <v>24</v>
      </c>
      <c r="H3176">
        <v>7</v>
      </c>
      <c r="I3176">
        <v>5607</v>
      </c>
      <c r="J3176">
        <v>1288.04</v>
      </c>
    </row>
    <row r="3177" spans="1:10" x14ac:dyDescent="0.25">
      <c r="A3177" s="1">
        <v>44889</v>
      </c>
      <c r="B3177" t="s">
        <v>32</v>
      </c>
      <c r="C3177" t="s">
        <v>19</v>
      </c>
      <c r="D3177" t="s">
        <v>12</v>
      </c>
      <c r="E3177" t="s">
        <v>58</v>
      </c>
      <c r="F3177" t="s">
        <v>59</v>
      </c>
      <c r="G3177" t="s">
        <v>28</v>
      </c>
      <c r="H3177">
        <v>6</v>
      </c>
      <c r="I3177">
        <v>3504</v>
      </c>
      <c r="J3177">
        <v>980.7</v>
      </c>
    </row>
    <row r="3178" spans="1:10" x14ac:dyDescent="0.25">
      <c r="A3178" s="1">
        <v>45617</v>
      </c>
      <c r="B3178" t="s">
        <v>16</v>
      </c>
      <c r="C3178" t="s">
        <v>17</v>
      </c>
      <c r="D3178" t="s">
        <v>12</v>
      </c>
      <c r="E3178" t="s">
        <v>203</v>
      </c>
      <c r="F3178" t="s">
        <v>51</v>
      </c>
      <c r="G3178" t="s">
        <v>35</v>
      </c>
      <c r="H3178">
        <v>4</v>
      </c>
      <c r="I3178">
        <v>796</v>
      </c>
      <c r="J3178">
        <v>75.150000000000006</v>
      </c>
    </row>
    <row r="3179" spans="1:10" x14ac:dyDescent="0.25">
      <c r="A3179" s="1">
        <v>45518</v>
      </c>
      <c r="B3179" t="s">
        <v>36</v>
      </c>
      <c r="C3179" t="s">
        <v>17</v>
      </c>
      <c r="D3179" t="s">
        <v>12</v>
      </c>
      <c r="E3179" t="s">
        <v>164</v>
      </c>
      <c r="F3179" t="s">
        <v>94</v>
      </c>
      <c r="G3179" t="s">
        <v>24</v>
      </c>
      <c r="H3179">
        <v>1</v>
      </c>
      <c r="I3179">
        <v>342</v>
      </c>
      <c r="J3179">
        <v>37.64</v>
      </c>
    </row>
    <row r="3180" spans="1:10" x14ac:dyDescent="0.25">
      <c r="A3180" s="1">
        <v>45518</v>
      </c>
      <c r="B3180" t="s">
        <v>36</v>
      </c>
      <c r="C3180" t="s">
        <v>17</v>
      </c>
      <c r="D3180" t="s">
        <v>12</v>
      </c>
      <c r="E3180" t="s">
        <v>204</v>
      </c>
      <c r="F3180" t="s">
        <v>23</v>
      </c>
      <c r="G3180" t="s">
        <v>24</v>
      </c>
      <c r="H3180">
        <v>7</v>
      </c>
      <c r="I3180">
        <v>6769</v>
      </c>
      <c r="J3180">
        <v>1549.67</v>
      </c>
    </row>
    <row r="3181" spans="1:10" x14ac:dyDescent="0.25">
      <c r="A3181" s="1">
        <v>45167</v>
      </c>
      <c r="B3181" t="s">
        <v>29</v>
      </c>
      <c r="C3181" t="s">
        <v>17</v>
      </c>
      <c r="D3181" t="s">
        <v>12</v>
      </c>
      <c r="E3181" t="s">
        <v>204</v>
      </c>
      <c r="F3181" t="s">
        <v>23</v>
      </c>
      <c r="G3181" t="s">
        <v>24</v>
      </c>
      <c r="H3181">
        <v>9</v>
      </c>
      <c r="I3181">
        <v>10080</v>
      </c>
      <c r="J3181">
        <v>1794.73</v>
      </c>
    </row>
    <row r="3182" spans="1:10" x14ac:dyDescent="0.25">
      <c r="A3182" s="1">
        <v>45302</v>
      </c>
      <c r="B3182" t="s">
        <v>32</v>
      </c>
      <c r="C3182" t="s">
        <v>19</v>
      </c>
      <c r="D3182" t="s">
        <v>12</v>
      </c>
      <c r="E3182" t="s">
        <v>134</v>
      </c>
      <c r="F3182" t="s">
        <v>42</v>
      </c>
      <c r="G3182" t="s">
        <v>28</v>
      </c>
      <c r="H3182">
        <v>7</v>
      </c>
      <c r="I3182">
        <v>3948</v>
      </c>
      <c r="J3182">
        <v>758.36</v>
      </c>
    </row>
    <row r="3183" spans="1:10" x14ac:dyDescent="0.25">
      <c r="A3183" s="1">
        <v>45104</v>
      </c>
      <c r="B3183" t="s">
        <v>29</v>
      </c>
      <c r="C3183" t="s">
        <v>17</v>
      </c>
      <c r="D3183" t="s">
        <v>12</v>
      </c>
      <c r="E3183" t="s">
        <v>205</v>
      </c>
      <c r="F3183" t="s">
        <v>23</v>
      </c>
      <c r="G3183" t="s">
        <v>24</v>
      </c>
      <c r="H3183">
        <v>4</v>
      </c>
      <c r="I3183">
        <v>1488</v>
      </c>
      <c r="J3183">
        <v>74.52</v>
      </c>
    </row>
    <row r="3184" spans="1:10" x14ac:dyDescent="0.25">
      <c r="A3184" s="1">
        <v>45308</v>
      </c>
      <c r="B3184" t="s">
        <v>16</v>
      </c>
      <c r="C3184" t="s">
        <v>17</v>
      </c>
      <c r="D3184" t="s">
        <v>12</v>
      </c>
      <c r="E3184" t="s">
        <v>206</v>
      </c>
      <c r="F3184" t="s">
        <v>71</v>
      </c>
      <c r="G3184" t="s">
        <v>35</v>
      </c>
      <c r="H3184">
        <v>5</v>
      </c>
      <c r="I3184">
        <v>1200</v>
      </c>
      <c r="J3184">
        <v>201.8</v>
      </c>
    </row>
    <row r="3185" spans="1:10" x14ac:dyDescent="0.25">
      <c r="A3185" s="1">
        <v>44936</v>
      </c>
      <c r="B3185" t="s">
        <v>32</v>
      </c>
      <c r="C3185" t="s">
        <v>19</v>
      </c>
      <c r="D3185" t="s">
        <v>12</v>
      </c>
      <c r="E3185" t="s">
        <v>26</v>
      </c>
      <c r="F3185" t="s">
        <v>27</v>
      </c>
      <c r="G3185" t="s">
        <v>28</v>
      </c>
      <c r="H3185">
        <v>4</v>
      </c>
      <c r="I3185">
        <v>4476</v>
      </c>
      <c r="J3185">
        <v>977.6</v>
      </c>
    </row>
    <row r="3186" spans="1:10" x14ac:dyDescent="0.25">
      <c r="A3186" s="1">
        <v>45139</v>
      </c>
      <c r="B3186" t="s">
        <v>36</v>
      </c>
      <c r="C3186" t="s">
        <v>17</v>
      </c>
      <c r="D3186" t="s">
        <v>12</v>
      </c>
      <c r="E3186" t="s">
        <v>117</v>
      </c>
      <c r="F3186" t="s">
        <v>133</v>
      </c>
      <c r="G3186" t="s">
        <v>28</v>
      </c>
      <c r="H3186">
        <v>1</v>
      </c>
      <c r="I3186">
        <v>1178</v>
      </c>
      <c r="J3186">
        <v>292.14999999999998</v>
      </c>
    </row>
    <row r="3187" spans="1:10" x14ac:dyDescent="0.25">
      <c r="A3187" s="1">
        <v>45652</v>
      </c>
      <c r="B3187" t="s">
        <v>32</v>
      </c>
      <c r="C3187" t="s">
        <v>19</v>
      </c>
      <c r="D3187" t="s">
        <v>12</v>
      </c>
      <c r="E3187" t="s">
        <v>207</v>
      </c>
      <c r="F3187" t="s">
        <v>34</v>
      </c>
      <c r="G3187" t="s">
        <v>35</v>
      </c>
      <c r="H3187">
        <v>8</v>
      </c>
      <c r="I3187">
        <v>2888</v>
      </c>
      <c r="J3187">
        <v>149.91999999999999</v>
      </c>
    </row>
    <row r="3188" spans="1:10" x14ac:dyDescent="0.25">
      <c r="A3188" s="1">
        <v>45639</v>
      </c>
      <c r="B3188" t="s">
        <v>40</v>
      </c>
      <c r="C3188" t="s">
        <v>19</v>
      </c>
      <c r="D3188" t="s">
        <v>12</v>
      </c>
      <c r="E3188" t="s">
        <v>116</v>
      </c>
      <c r="F3188" t="s">
        <v>42</v>
      </c>
      <c r="G3188" t="s">
        <v>28</v>
      </c>
      <c r="H3188">
        <v>6</v>
      </c>
      <c r="I3188">
        <v>1704</v>
      </c>
      <c r="J3188">
        <v>193.18</v>
      </c>
    </row>
    <row r="3189" spans="1:10" x14ac:dyDescent="0.25">
      <c r="A3189" s="1">
        <v>44851</v>
      </c>
      <c r="B3189" t="s">
        <v>10</v>
      </c>
      <c r="C3189" t="s">
        <v>11</v>
      </c>
      <c r="D3189" t="s">
        <v>12</v>
      </c>
      <c r="E3189" t="s">
        <v>208</v>
      </c>
      <c r="F3189" t="s">
        <v>27</v>
      </c>
      <c r="G3189" t="s">
        <v>28</v>
      </c>
      <c r="H3189">
        <v>8</v>
      </c>
      <c r="I3189">
        <v>4200</v>
      </c>
      <c r="J3189">
        <v>1017.94</v>
      </c>
    </row>
    <row r="3190" spans="1:10" x14ac:dyDescent="0.25">
      <c r="A3190" s="1">
        <v>45363</v>
      </c>
      <c r="B3190" t="s">
        <v>49</v>
      </c>
      <c r="C3190" t="s">
        <v>17</v>
      </c>
      <c r="D3190" t="s">
        <v>12</v>
      </c>
      <c r="E3190" t="s">
        <v>91</v>
      </c>
      <c r="F3190" t="s">
        <v>23</v>
      </c>
      <c r="G3190" t="s">
        <v>24</v>
      </c>
      <c r="H3190">
        <v>7</v>
      </c>
      <c r="I3190">
        <v>4417</v>
      </c>
      <c r="J3190">
        <v>562.79</v>
      </c>
    </row>
    <row r="3191" spans="1:10" x14ac:dyDescent="0.25">
      <c r="A3191" s="1">
        <v>45432</v>
      </c>
      <c r="B3191" t="s">
        <v>25</v>
      </c>
      <c r="C3191" t="s">
        <v>19</v>
      </c>
      <c r="D3191" t="s">
        <v>12</v>
      </c>
      <c r="E3191" t="s">
        <v>209</v>
      </c>
      <c r="F3191" t="s">
        <v>34</v>
      </c>
      <c r="G3191" t="s">
        <v>35</v>
      </c>
      <c r="H3191">
        <v>4</v>
      </c>
      <c r="I3191">
        <v>764</v>
      </c>
      <c r="J3191">
        <v>178.83</v>
      </c>
    </row>
    <row r="3192" spans="1:10" x14ac:dyDescent="0.25">
      <c r="A3192" s="1">
        <v>45471</v>
      </c>
      <c r="B3192" t="s">
        <v>29</v>
      </c>
      <c r="C3192" t="s">
        <v>17</v>
      </c>
      <c r="D3192" t="s">
        <v>12</v>
      </c>
      <c r="E3192" t="s">
        <v>210</v>
      </c>
      <c r="F3192" t="s">
        <v>34</v>
      </c>
      <c r="G3192" t="s">
        <v>35</v>
      </c>
      <c r="H3192">
        <v>4</v>
      </c>
      <c r="I3192">
        <v>4000</v>
      </c>
      <c r="J3192">
        <v>964.43</v>
      </c>
    </row>
    <row r="3193" spans="1:10" x14ac:dyDescent="0.25">
      <c r="A3193" s="1">
        <v>45586</v>
      </c>
      <c r="B3193" t="s">
        <v>36</v>
      </c>
      <c r="C3193" t="s">
        <v>17</v>
      </c>
      <c r="D3193" t="s">
        <v>12</v>
      </c>
      <c r="E3193" t="s">
        <v>211</v>
      </c>
      <c r="F3193" t="s">
        <v>63</v>
      </c>
      <c r="G3193" t="s">
        <v>28</v>
      </c>
      <c r="H3193">
        <v>9</v>
      </c>
      <c r="I3193">
        <v>2331</v>
      </c>
      <c r="J3193">
        <v>558</v>
      </c>
    </row>
    <row r="3194" spans="1:10" x14ac:dyDescent="0.25">
      <c r="A3194" s="1">
        <v>44957</v>
      </c>
      <c r="B3194" t="s">
        <v>16</v>
      </c>
      <c r="C3194" t="s">
        <v>17</v>
      </c>
      <c r="D3194" t="s">
        <v>12</v>
      </c>
      <c r="E3194" t="s">
        <v>212</v>
      </c>
      <c r="F3194" t="s">
        <v>34</v>
      </c>
      <c r="G3194" t="s">
        <v>35</v>
      </c>
      <c r="H3194">
        <v>9</v>
      </c>
      <c r="I3194">
        <v>8172</v>
      </c>
      <c r="J3194">
        <v>1296.29</v>
      </c>
    </row>
    <row r="3195" spans="1:10" x14ac:dyDescent="0.25">
      <c r="A3195" s="1">
        <v>45646</v>
      </c>
      <c r="B3195" t="s">
        <v>55</v>
      </c>
      <c r="C3195" t="s">
        <v>19</v>
      </c>
      <c r="D3195" t="s">
        <v>12</v>
      </c>
      <c r="E3195" t="s">
        <v>213</v>
      </c>
      <c r="F3195" t="s">
        <v>34</v>
      </c>
      <c r="G3195" t="s">
        <v>35</v>
      </c>
      <c r="H3195">
        <v>1</v>
      </c>
      <c r="I3195">
        <v>761</v>
      </c>
      <c r="J3195">
        <v>61.15</v>
      </c>
    </row>
    <row r="3196" spans="1:10" x14ac:dyDescent="0.25">
      <c r="A3196" s="1">
        <v>45255</v>
      </c>
      <c r="B3196" t="s">
        <v>25</v>
      </c>
      <c r="C3196" t="s">
        <v>19</v>
      </c>
      <c r="D3196" t="s">
        <v>12</v>
      </c>
      <c r="E3196" t="s">
        <v>52</v>
      </c>
      <c r="F3196" t="s">
        <v>42</v>
      </c>
      <c r="G3196" t="s">
        <v>28</v>
      </c>
      <c r="H3196">
        <v>2</v>
      </c>
      <c r="I3196">
        <v>494</v>
      </c>
      <c r="J3196">
        <v>56.41</v>
      </c>
    </row>
    <row r="3197" spans="1:10" x14ac:dyDescent="0.25">
      <c r="A3197" s="1">
        <v>45174</v>
      </c>
      <c r="B3197" t="s">
        <v>29</v>
      </c>
      <c r="C3197" t="s">
        <v>17</v>
      </c>
      <c r="D3197" t="s">
        <v>12</v>
      </c>
      <c r="E3197" t="s">
        <v>52</v>
      </c>
      <c r="F3197" t="s">
        <v>42</v>
      </c>
      <c r="G3197" t="s">
        <v>28</v>
      </c>
      <c r="H3197">
        <v>2</v>
      </c>
      <c r="I3197">
        <v>194</v>
      </c>
      <c r="J3197">
        <v>52.16</v>
      </c>
    </row>
    <row r="3198" spans="1:10" x14ac:dyDescent="0.25">
      <c r="A3198" s="1">
        <v>45371</v>
      </c>
      <c r="B3198" t="s">
        <v>18</v>
      </c>
      <c r="C3198" t="s">
        <v>19</v>
      </c>
      <c r="D3198" t="s">
        <v>12</v>
      </c>
      <c r="E3198" t="s">
        <v>75</v>
      </c>
      <c r="F3198" t="s">
        <v>39</v>
      </c>
      <c r="G3198" t="s">
        <v>35</v>
      </c>
      <c r="H3198">
        <v>6</v>
      </c>
      <c r="I3198">
        <v>5820</v>
      </c>
      <c r="J3198">
        <v>1423.67</v>
      </c>
    </row>
    <row r="3199" spans="1:10" x14ac:dyDescent="0.25">
      <c r="A3199" s="1">
        <v>44662</v>
      </c>
      <c r="B3199" t="s">
        <v>25</v>
      </c>
      <c r="C3199" t="s">
        <v>19</v>
      </c>
      <c r="D3199" t="s">
        <v>12</v>
      </c>
      <c r="E3199" t="s">
        <v>214</v>
      </c>
      <c r="F3199" t="s">
        <v>152</v>
      </c>
      <c r="G3199" t="s">
        <v>15</v>
      </c>
      <c r="H3199">
        <v>5</v>
      </c>
      <c r="I3199">
        <v>410</v>
      </c>
      <c r="J3199">
        <v>121.77</v>
      </c>
    </row>
    <row r="3200" spans="1:10" x14ac:dyDescent="0.25">
      <c r="A3200" s="1">
        <v>45632</v>
      </c>
      <c r="B3200" t="s">
        <v>40</v>
      </c>
      <c r="C3200" t="s">
        <v>19</v>
      </c>
      <c r="D3200" t="s">
        <v>12</v>
      </c>
      <c r="E3200" t="s">
        <v>56</v>
      </c>
      <c r="F3200" t="s">
        <v>57</v>
      </c>
      <c r="G3200" t="s">
        <v>24</v>
      </c>
      <c r="H3200">
        <v>6</v>
      </c>
      <c r="I3200">
        <v>1254</v>
      </c>
      <c r="J3200">
        <v>360.87</v>
      </c>
    </row>
    <row r="3201" spans="1:10" x14ac:dyDescent="0.25">
      <c r="A3201" s="1">
        <v>44716</v>
      </c>
      <c r="B3201" t="s">
        <v>18</v>
      </c>
      <c r="C3201" t="s">
        <v>19</v>
      </c>
      <c r="D3201" t="s">
        <v>12</v>
      </c>
      <c r="E3201" t="s">
        <v>123</v>
      </c>
      <c r="F3201" t="s">
        <v>27</v>
      </c>
      <c r="G3201" t="s">
        <v>28</v>
      </c>
      <c r="H3201">
        <v>6</v>
      </c>
      <c r="I3201">
        <v>3432</v>
      </c>
      <c r="J3201">
        <v>452.4</v>
      </c>
    </row>
    <row r="3202" spans="1:10" x14ac:dyDescent="0.25">
      <c r="A3202" s="1">
        <v>45373</v>
      </c>
      <c r="B3202" t="s">
        <v>25</v>
      </c>
      <c r="C3202" t="s">
        <v>19</v>
      </c>
      <c r="D3202" t="s">
        <v>12</v>
      </c>
      <c r="E3202" t="s">
        <v>52</v>
      </c>
      <c r="F3202" t="s">
        <v>42</v>
      </c>
      <c r="G3202" t="s">
        <v>28</v>
      </c>
      <c r="H3202">
        <v>4</v>
      </c>
      <c r="I3202">
        <v>3792</v>
      </c>
      <c r="J3202">
        <v>997.99</v>
      </c>
    </row>
    <row r="3203" spans="1:10" x14ac:dyDescent="0.25">
      <c r="A3203" s="1">
        <v>45615</v>
      </c>
      <c r="B3203" t="s">
        <v>18</v>
      </c>
      <c r="C3203" t="s">
        <v>19</v>
      </c>
      <c r="D3203" t="s">
        <v>12</v>
      </c>
      <c r="E3203" t="s">
        <v>158</v>
      </c>
      <c r="F3203" t="s">
        <v>21</v>
      </c>
      <c r="G3203" t="s">
        <v>15</v>
      </c>
      <c r="H3203">
        <v>7</v>
      </c>
      <c r="I3203">
        <v>546</v>
      </c>
      <c r="J3203">
        <v>117.9</v>
      </c>
    </row>
    <row r="3204" spans="1:10" x14ac:dyDescent="0.25">
      <c r="A3204" s="1">
        <v>44616</v>
      </c>
      <c r="B3204" t="s">
        <v>32</v>
      </c>
      <c r="C3204" t="s">
        <v>19</v>
      </c>
      <c r="D3204" t="s">
        <v>12</v>
      </c>
      <c r="E3204" t="s">
        <v>56</v>
      </c>
      <c r="F3204" t="s">
        <v>57</v>
      </c>
      <c r="G3204" t="s">
        <v>24</v>
      </c>
      <c r="H3204">
        <v>3</v>
      </c>
      <c r="I3204">
        <v>1452</v>
      </c>
      <c r="J3204">
        <v>217.06</v>
      </c>
    </row>
    <row r="3205" spans="1:10" x14ac:dyDescent="0.25">
      <c r="A3205" s="1">
        <v>44879</v>
      </c>
      <c r="B3205" t="s">
        <v>49</v>
      </c>
      <c r="C3205" t="s">
        <v>17</v>
      </c>
      <c r="D3205" t="s">
        <v>12</v>
      </c>
      <c r="E3205" t="s">
        <v>159</v>
      </c>
      <c r="F3205" t="s">
        <v>23</v>
      </c>
      <c r="G3205" t="s">
        <v>24</v>
      </c>
      <c r="H3205">
        <v>8</v>
      </c>
      <c r="I3205">
        <v>9296</v>
      </c>
      <c r="J3205">
        <v>1556.05</v>
      </c>
    </row>
    <row r="3206" spans="1:10" x14ac:dyDescent="0.25">
      <c r="A3206" s="1">
        <v>45261</v>
      </c>
      <c r="B3206" t="s">
        <v>16</v>
      </c>
      <c r="C3206" t="s">
        <v>17</v>
      </c>
      <c r="D3206" t="s">
        <v>12</v>
      </c>
      <c r="E3206" t="s">
        <v>159</v>
      </c>
      <c r="F3206" t="s">
        <v>23</v>
      </c>
      <c r="G3206" t="s">
        <v>24</v>
      </c>
      <c r="H3206">
        <v>1</v>
      </c>
      <c r="I3206">
        <v>1160</v>
      </c>
      <c r="J3206">
        <v>149.81</v>
      </c>
    </row>
    <row r="3207" spans="1:10" x14ac:dyDescent="0.25">
      <c r="A3207" s="1">
        <v>45305</v>
      </c>
      <c r="B3207" t="s">
        <v>55</v>
      </c>
      <c r="C3207" t="s">
        <v>19</v>
      </c>
      <c r="D3207" t="s">
        <v>12</v>
      </c>
      <c r="E3207" t="s">
        <v>159</v>
      </c>
      <c r="F3207" t="s">
        <v>23</v>
      </c>
      <c r="G3207" t="s">
        <v>24</v>
      </c>
      <c r="H3207">
        <v>6</v>
      </c>
      <c r="I3207">
        <v>4728</v>
      </c>
      <c r="J3207">
        <v>682.01</v>
      </c>
    </row>
    <row r="3208" spans="1:10" x14ac:dyDescent="0.25">
      <c r="A3208" s="1">
        <v>44969</v>
      </c>
      <c r="B3208" t="s">
        <v>25</v>
      </c>
      <c r="C3208" t="s">
        <v>19</v>
      </c>
      <c r="D3208" t="s">
        <v>12</v>
      </c>
      <c r="E3208" t="s">
        <v>52</v>
      </c>
      <c r="F3208" t="s">
        <v>42</v>
      </c>
      <c r="G3208" t="s">
        <v>28</v>
      </c>
      <c r="H3208">
        <v>6</v>
      </c>
      <c r="I3208">
        <v>1836</v>
      </c>
      <c r="J3208">
        <v>508.81</v>
      </c>
    </row>
    <row r="3209" spans="1:10" x14ac:dyDescent="0.25">
      <c r="A3209" s="1">
        <v>45182</v>
      </c>
      <c r="B3209" t="s">
        <v>32</v>
      </c>
      <c r="C3209" t="s">
        <v>19</v>
      </c>
      <c r="D3209" t="s">
        <v>12</v>
      </c>
      <c r="E3209" t="s">
        <v>160</v>
      </c>
      <c r="F3209" t="s">
        <v>27</v>
      </c>
      <c r="G3209" t="s">
        <v>28</v>
      </c>
      <c r="H3209">
        <v>7</v>
      </c>
      <c r="I3209">
        <v>6237</v>
      </c>
      <c r="J3209">
        <v>1784.89</v>
      </c>
    </row>
    <row r="3210" spans="1:10" x14ac:dyDescent="0.25">
      <c r="A3210" s="1">
        <v>45536</v>
      </c>
      <c r="B3210" t="s">
        <v>55</v>
      </c>
      <c r="C3210" t="s">
        <v>19</v>
      </c>
      <c r="D3210" t="s">
        <v>12</v>
      </c>
      <c r="E3210" t="s">
        <v>160</v>
      </c>
      <c r="F3210" t="s">
        <v>27</v>
      </c>
      <c r="G3210" t="s">
        <v>28</v>
      </c>
      <c r="H3210">
        <v>5</v>
      </c>
      <c r="I3210">
        <v>5845</v>
      </c>
      <c r="J3210">
        <v>941.79</v>
      </c>
    </row>
    <row r="3211" spans="1:10" x14ac:dyDescent="0.25">
      <c r="A3211" s="1">
        <v>45287</v>
      </c>
      <c r="B3211" t="s">
        <v>36</v>
      </c>
      <c r="C3211" t="s">
        <v>17</v>
      </c>
      <c r="D3211" t="s">
        <v>12</v>
      </c>
      <c r="E3211" t="s">
        <v>161</v>
      </c>
      <c r="F3211" t="s">
        <v>39</v>
      </c>
      <c r="G3211" t="s">
        <v>35</v>
      </c>
      <c r="H3211">
        <v>9</v>
      </c>
      <c r="I3211">
        <v>6138</v>
      </c>
      <c r="J3211">
        <v>851.14</v>
      </c>
    </row>
    <row r="3212" spans="1:10" x14ac:dyDescent="0.25">
      <c r="A3212" s="1">
        <v>44643</v>
      </c>
      <c r="B3212" t="s">
        <v>25</v>
      </c>
      <c r="C3212" t="s">
        <v>19</v>
      </c>
      <c r="D3212" t="s">
        <v>12</v>
      </c>
      <c r="E3212" t="s">
        <v>22</v>
      </c>
      <c r="F3212" t="s">
        <v>23</v>
      </c>
      <c r="G3212" t="s">
        <v>24</v>
      </c>
      <c r="H3212">
        <v>2</v>
      </c>
      <c r="I3212">
        <v>1416</v>
      </c>
      <c r="J3212">
        <v>136.75</v>
      </c>
    </row>
    <row r="3213" spans="1:10" x14ac:dyDescent="0.25">
      <c r="A3213" s="1">
        <v>45653</v>
      </c>
      <c r="B3213" t="s">
        <v>49</v>
      </c>
      <c r="C3213" t="s">
        <v>17</v>
      </c>
      <c r="D3213" t="s">
        <v>12</v>
      </c>
      <c r="E3213" t="s">
        <v>130</v>
      </c>
      <c r="F3213" t="s">
        <v>54</v>
      </c>
      <c r="G3213" t="s">
        <v>24</v>
      </c>
      <c r="H3213">
        <v>3</v>
      </c>
      <c r="I3213">
        <v>1851</v>
      </c>
      <c r="J3213">
        <v>348.9</v>
      </c>
    </row>
    <row r="3214" spans="1:10" x14ac:dyDescent="0.25">
      <c r="A3214" s="1">
        <v>44875</v>
      </c>
      <c r="B3214" t="s">
        <v>10</v>
      </c>
      <c r="C3214" t="s">
        <v>11</v>
      </c>
      <c r="D3214" t="s">
        <v>12</v>
      </c>
      <c r="E3214" t="s">
        <v>102</v>
      </c>
      <c r="F3214" t="s">
        <v>34</v>
      </c>
      <c r="G3214" t="s">
        <v>35</v>
      </c>
      <c r="H3214">
        <v>9</v>
      </c>
      <c r="I3214">
        <v>7452</v>
      </c>
      <c r="J3214">
        <v>1259.82</v>
      </c>
    </row>
    <row r="3215" spans="1:10" x14ac:dyDescent="0.25">
      <c r="A3215" s="1">
        <v>45259</v>
      </c>
      <c r="B3215" t="s">
        <v>18</v>
      </c>
      <c r="C3215" t="s">
        <v>19</v>
      </c>
      <c r="D3215" t="s">
        <v>12</v>
      </c>
      <c r="E3215" t="s">
        <v>52</v>
      </c>
      <c r="F3215" t="s">
        <v>42</v>
      </c>
      <c r="G3215" t="s">
        <v>28</v>
      </c>
      <c r="H3215">
        <v>5</v>
      </c>
      <c r="I3215">
        <v>1630</v>
      </c>
      <c r="J3215">
        <v>190.38</v>
      </c>
    </row>
    <row r="3216" spans="1:10" x14ac:dyDescent="0.25">
      <c r="A3216" s="1">
        <v>44789</v>
      </c>
      <c r="B3216" t="s">
        <v>25</v>
      </c>
      <c r="C3216" t="s">
        <v>19</v>
      </c>
      <c r="D3216" t="s">
        <v>12</v>
      </c>
      <c r="E3216" t="s">
        <v>132</v>
      </c>
      <c r="F3216" t="s">
        <v>115</v>
      </c>
      <c r="G3216" t="s">
        <v>15</v>
      </c>
      <c r="H3216">
        <v>6</v>
      </c>
      <c r="I3216">
        <v>4800</v>
      </c>
      <c r="J3216">
        <v>930.44</v>
      </c>
    </row>
    <row r="3217" spans="1:10" x14ac:dyDescent="0.25">
      <c r="A3217" s="1">
        <v>45253</v>
      </c>
      <c r="B3217" t="s">
        <v>32</v>
      </c>
      <c r="C3217" t="s">
        <v>19</v>
      </c>
      <c r="D3217" t="s">
        <v>12</v>
      </c>
      <c r="E3217" t="s">
        <v>132</v>
      </c>
      <c r="F3217" t="s">
        <v>115</v>
      </c>
      <c r="G3217" t="s">
        <v>15</v>
      </c>
      <c r="H3217">
        <v>1</v>
      </c>
      <c r="I3217">
        <v>61</v>
      </c>
      <c r="J3217">
        <v>16.11</v>
      </c>
    </row>
    <row r="3218" spans="1:10" x14ac:dyDescent="0.25">
      <c r="A3218" s="1">
        <v>45190</v>
      </c>
      <c r="B3218" t="s">
        <v>36</v>
      </c>
      <c r="C3218" t="s">
        <v>17</v>
      </c>
      <c r="D3218" t="s">
        <v>12</v>
      </c>
      <c r="E3218" t="s">
        <v>111</v>
      </c>
      <c r="F3218" t="s">
        <v>115</v>
      </c>
      <c r="G3218" t="s">
        <v>15</v>
      </c>
      <c r="H3218">
        <v>6</v>
      </c>
      <c r="I3218">
        <v>942</v>
      </c>
      <c r="J3218">
        <v>80.27</v>
      </c>
    </row>
    <row r="3219" spans="1:10" x14ac:dyDescent="0.25">
      <c r="A3219" s="1">
        <v>45137</v>
      </c>
      <c r="B3219" t="s">
        <v>40</v>
      </c>
      <c r="C3219" t="s">
        <v>19</v>
      </c>
      <c r="D3219" t="s">
        <v>12</v>
      </c>
      <c r="E3219" t="s">
        <v>75</v>
      </c>
      <c r="F3219" t="s">
        <v>108</v>
      </c>
      <c r="G3219" t="s">
        <v>15</v>
      </c>
      <c r="H3219">
        <v>8</v>
      </c>
      <c r="I3219">
        <v>7640</v>
      </c>
      <c r="J3219">
        <v>1663.63</v>
      </c>
    </row>
    <row r="3220" spans="1:10" x14ac:dyDescent="0.25">
      <c r="A3220" s="1">
        <v>44693</v>
      </c>
      <c r="B3220" t="s">
        <v>25</v>
      </c>
      <c r="C3220" t="s">
        <v>19</v>
      </c>
      <c r="D3220" t="s">
        <v>12</v>
      </c>
      <c r="E3220" t="s">
        <v>162</v>
      </c>
      <c r="F3220" t="s">
        <v>23</v>
      </c>
      <c r="G3220" t="s">
        <v>24</v>
      </c>
      <c r="H3220">
        <v>5</v>
      </c>
      <c r="I3220">
        <v>4540</v>
      </c>
      <c r="J3220">
        <v>939.71</v>
      </c>
    </row>
    <row r="3221" spans="1:10" x14ac:dyDescent="0.25">
      <c r="A3221" s="1">
        <v>44892</v>
      </c>
      <c r="B3221" t="s">
        <v>29</v>
      </c>
      <c r="C3221" t="s">
        <v>17</v>
      </c>
      <c r="D3221" t="s">
        <v>12</v>
      </c>
      <c r="E3221" t="s">
        <v>75</v>
      </c>
      <c r="F3221" t="s">
        <v>63</v>
      </c>
      <c r="G3221" t="s">
        <v>28</v>
      </c>
      <c r="H3221">
        <v>1</v>
      </c>
      <c r="I3221">
        <v>1030</v>
      </c>
      <c r="J3221">
        <v>190.47</v>
      </c>
    </row>
    <row r="3222" spans="1:10" x14ac:dyDescent="0.25">
      <c r="A3222" s="1">
        <v>45189</v>
      </c>
      <c r="B3222" t="s">
        <v>10</v>
      </c>
      <c r="C3222" t="s">
        <v>11</v>
      </c>
      <c r="D3222" t="s">
        <v>12</v>
      </c>
      <c r="E3222" t="s">
        <v>22</v>
      </c>
      <c r="F3222" t="s">
        <v>23</v>
      </c>
      <c r="G3222" t="s">
        <v>24</v>
      </c>
      <c r="H3222">
        <v>2</v>
      </c>
      <c r="I3222">
        <v>384</v>
      </c>
      <c r="J3222">
        <v>30.84</v>
      </c>
    </row>
    <row r="3223" spans="1:10" x14ac:dyDescent="0.25">
      <c r="A3223" s="1">
        <v>45620</v>
      </c>
      <c r="B3223" t="s">
        <v>32</v>
      </c>
      <c r="C3223" t="s">
        <v>19</v>
      </c>
      <c r="D3223" t="s">
        <v>12</v>
      </c>
      <c r="E3223" t="s">
        <v>26</v>
      </c>
      <c r="F3223" t="s">
        <v>27</v>
      </c>
      <c r="G3223" t="s">
        <v>28</v>
      </c>
      <c r="H3223">
        <v>8</v>
      </c>
      <c r="I3223">
        <v>8560</v>
      </c>
      <c r="J3223">
        <v>991.94</v>
      </c>
    </row>
    <row r="3224" spans="1:10" x14ac:dyDescent="0.25">
      <c r="A3224" s="1">
        <v>44796</v>
      </c>
      <c r="B3224" t="s">
        <v>25</v>
      </c>
      <c r="C3224" t="s">
        <v>19</v>
      </c>
      <c r="D3224" t="s">
        <v>12</v>
      </c>
      <c r="E3224" t="s">
        <v>74</v>
      </c>
      <c r="F3224" t="s">
        <v>23</v>
      </c>
      <c r="G3224" t="s">
        <v>24</v>
      </c>
      <c r="H3224">
        <v>9</v>
      </c>
      <c r="I3224">
        <v>1557</v>
      </c>
      <c r="J3224">
        <v>117.36</v>
      </c>
    </row>
    <row r="3225" spans="1:10" x14ac:dyDescent="0.25">
      <c r="A3225" s="1">
        <v>45050</v>
      </c>
      <c r="B3225" t="s">
        <v>18</v>
      </c>
      <c r="C3225" t="s">
        <v>19</v>
      </c>
      <c r="D3225" t="s">
        <v>12</v>
      </c>
      <c r="E3225" t="s">
        <v>22</v>
      </c>
      <c r="F3225" t="s">
        <v>23</v>
      </c>
      <c r="G3225" t="s">
        <v>24</v>
      </c>
      <c r="H3225">
        <v>7</v>
      </c>
      <c r="I3225">
        <v>707</v>
      </c>
      <c r="J3225">
        <v>124.59</v>
      </c>
    </row>
    <row r="3226" spans="1:10" x14ac:dyDescent="0.25">
      <c r="A3226" s="1">
        <v>44778</v>
      </c>
      <c r="B3226" t="s">
        <v>16</v>
      </c>
      <c r="C3226" t="s">
        <v>17</v>
      </c>
      <c r="D3226" t="s">
        <v>12</v>
      </c>
      <c r="E3226" t="s">
        <v>52</v>
      </c>
      <c r="F3226" t="s">
        <v>42</v>
      </c>
      <c r="G3226" t="s">
        <v>28</v>
      </c>
      <c r="H3226">
        <v>5</v>
      </c>
      <c r="I3226">
        <v>3405</v>
      </c>
      <c r="J3226">
        <v>476.39</v>
      </c>
    </row>
    <row r="3227" spans="1:10" x14ac:dyDescent="0.25">
      <c r="A3227" s="1">
        <v>45611</v>
      </c>
      <c r="B3227" t="s">
        <v>18</v>
      </c>
      <c r="C3227" t="s">
        <v>19</v>
      </c>
      <c r="D3227" t="s">
        <v>12</v>
      </c>
      <c r="E3227" t="s">
        <v>163</v>
      </c>
      <c r="F3227" t="s">
        <v>44</v>
      </c>
      <c r="G3227" t="s">
        <v>35</v>
      </c>
      <c r="H3227">
        <v>6</v>
      </c>
      <c r="I3227">
        <v>4722</v>
      </c>
      <c r="J3227">
        <v>522.16</v>
      </c>
    </row>
    <row r="3228" spans="1:10" x14ac:dyDescent="0.25">
      <c r="A3228" s="1">
        <v>44565</v>
      </c>
      <c r="B3228" t="s">
        <v>29</v>
      </c>
      <c r="C3228" t="s">
        <v>17</v>
      </c>
      <c r="D3228" t="s">
        <v>12</v>
      </c>
      <c r="E3228" t="s">
        <v>74</v>
      </c>
      <c r="F3228" t="s">
        <v>23</v>
      </c>
      <c r="G3228" t="s">
        <v>24</v>
      </c>
      <c r="H3228">
        <v>2</v>
      </c>
      <c r="I3228">
        <v>2150</v>
      </c>
      <c r="J3228">
        <v>625.92999999999995</v>
      </c>
    </row>
    <row r="3229" spans="1:10" x14ac:dyDescent="0.25">
      <c r="A3229" s="1">
        <v>44869</v>
      </c>
      <c r="B3229" t="s">
        <v>36</v>
      </c>
      <c r="C3229" t="s">
        <v>17</v>
      </c>
      <c r="D3229" t="s">
        <v>12</v>
      </c>
      <c r="E3229" t="s">
        <v>102</v>
      </c>
      <c r="F3229" t="s">
        <v>34</v>
      </c>
      <c r="G3229" t="s">
        <v>35</v>
      </c>
      <c r="H3229">
        <v>7</v>
      </c>
      <c r="I3229">
        <v>3619</v>
      </c>
      <c r="J3229">
        <v>827.39</v>
      </c>
    </row>
    <row r="3230" spans="1:10" x14ac:dyDescent="0.25">
      <c r="A3230" s="1">
        <v>45147</v>
      </c>
      <c r="B3230" t="s">
        <v>32</v>
      </c>
      <c r="C3230" t="s">
        <v>19</v>
      </c>
      <c r="D3230" t="s">
        <v>12</v>
      </c>
      <c r="E3230" t="s">
        <v>22</v>
      </c>
      <c r="F3230" t="s">
        <v>23</v>
      </c>
      <c r="G3230" t="s">
        <v>24</v>
      </c>
      <c r="H3230">
        <v>4</v>
      </c>
      <c r="I3230">
        <v>3892</v>
      </c>
      <c r="J3230">
        <v>909.22</v>
      </c>
    </row>
    <row r="3231" spans="1:10" x14ac:dyDescent="0.25">
      <c r="A3231" s="1">
        <v>44775</v>
      </c>
      <c r="B3231" t="s">
        <v>25</v>
      </c>
      <c r="C3231" t="s">
        <v>19</v>
      </c>
      <c r="D3231" t="s">
        <v>12</v>
      </c>
      <c r="E3231" t="s">
        <v>164</v>
      </c>
      <c r="F3231" t="s">
        <v>94</v>
      </c>
      <c r="G3231" t="s">
        <v>24</v>
      </c>
      <c r="H3231">
        <v>1</v>
      </c>
      <c r="I3231">
        <v>54</v>
      </c>
      <c r="J3231">
        <v>13.29</v>
      </c>
    </row>
    <row r="3232" spans="1:10" x14ac:dyDescent="0.25">
      <c r="A3232" s="1">
        <v>45264</v>
      </c>
      <c r="B3232" t="s">
        <v>49</v>
      </c>
      <c r="C3232" t="s">
        <v>17</v>
      </c>
      <c r="D3232" t="s">
        <v>12</v>
      </c>
      <c r="E3232" t="s">
        <v>165</v>
      </c>
      <c r="F3232" t="s">
        <v>23</v>
      </c>
      <c r="G3232" t="s">
        <v>24</v>
      </c>
      <c r="H3232">
        <v>1</v>
      </c>
      <c r="I3232">
        <v>612</v>
      </c>
      <c r="J3232">
        <v>136.25</v>
      </c>
    </row>
    <row r="3233" spans="1:10" x14ac:dyDescent="0.25">
      <c r="A3233" s="1">
        <v>44807</v>
      </c>
      <c r="B3233" t="s">
        <v>36</v>
      </c>
      <c r="C3233" t="s">
        <v>17</v>
      </c>
      <c r="D3233" t="s">
        <v>12</v>
      </c>
      <c r="E3233" t="s">
        <v>76</v>
      </c>
      <c r="F3233" t="s">
        <v>54</v>
      </c>
      <c r="G3233" t="s">
        <v>24</v>
      </c>
      <c r="H3233">
        <v>5</v>
      </c>
      <c r="I3233">
        <v>3850</v>
      </c>
      <c r="J3233">
        <v>419.55</v>
      </c>
    </row>
    <row r="3234" spans="1:10" x14ac:dyDescent="0.25">
      <c r="A3234" s="1">
        <v>45402</v>
      </c>
      <c r="B3234" t="s">
        <v>25</v>
      </c>
      <c r="C3234" t="s">
        <v>19</v>
      </c>
      <c r="D3234" t="s">
        <v>12</v>
      </c>
      <c r="E3234" t="s">
        <v>166</v>
      </c>
      <c r="F3234" t="s">
        <v>31</v>
      </c>
      <c r="G3234" t="s">
        <v>24</v>
      </c>
      <c r="H3234">
        <v>5</v>
      </c>
      <c r="I3234">
        <v>3005</v>
      </c>
      <c r="J3234">
        <v>389.93</v>
      </c>
    </row>
    <row r="3235" spans="1:10" x14ac:dyDescent="0.25">
      <c r="A3235" s="1">
        <v>45488</v>
      </c>
      <c r="B3235" t="s">
        <v>29</v>
      </c>
      <c r="C3235" t="s">
        <v>17</v>
      </c>
      <c r="D3235" t="s">
        <v>12</v>
      </c>
      <c r="E3235" t="s">
        <v>53</v>
      </c>
      <c r="F3235" t="s">
        <v>44</v>
      </c>
      <c r="G3235" t="s">
        <v>35</v>
      </c>
      <c r="H3235">
        <v>9</v>
      </c>
      <c r="I3235">
        <v>5256</v>
      </c>
      <c r="J3235">
        <v>1296.6500000000001</v>
      </c>
    </row>
    <row r="3236" spans="1:10" x14ac:dyDescent="0.25">
      <c r="A3236" s="1">
        <v>44998</v>
      </c>
      <c r="B3236" t="s">
        <v>10</v>
      </c>
      <c r="C3236" t="s">
        <v>11</v>
      </c>
      <c r="D3236" t="s">
        <v>12</v>
      </c>
      <c r="E3236" t="s">
        <v>167</v>
      </c>
      <c r="F3236" t="s">
        <v>108</v>
      </c>
      <c r="G3236" t="s">
        <v>15</v>
      </c>
      <c r="H3236">
        <v>6</v>
      </c>
      <c r="I3236">
        <v>3576</v>
      </c>
      <c r="J3236">
        <v>1033.3</v>
      </c>
    </row>
    <row r="3237" spans="1:10" x14ac:dyDescent="0.25">
      <c r="A3237" s="1">
        <v>44873</v>
      </c>
      <c r="B3237" t="s">
        <v>18</v>
      </c>
      <c r="C3237" t="s">
        <v>19</v>
      </c>
      <c r="D3237" t="s">
        <v>12</v>
      </c>
      <c r="E3237" t="s">
        <v>167</v>
      </c>
      <c r="F3237" t="s">
        <v>108</v>
      </c>
      <c r="G3237" t="s">
        <v>15</v>
      </c>
      <c r="H3237">
        <v>5</v>
      </c>
      <c r="I3237">
        <v>3415</v>
      </c>
      <c r="J3237">
        <v>496.48</v>
      </c>
    </row>
    <row r="3238" spans="1:10" x14ac:dyDescent="0.25">
      <c r="A3238" s="1">
        <v>44939</v>
      </c>
      <c r="B3238" t="s">
        <v>25</v>
      </c>
      <c r="C3238" t="s">
        <v>19</v>
      </c>
      <c r="D3238" t="s">
        <v>12</v>
      </c>
      <c r="E3238" t="s">
        <v>53</v>
      </c>
      <c r="F3238" t="s">
        <v>44</v>
      </c>
      <c r="G3238" t="s">
        <v>35</v>
      </c>
      <c r="H3238">
        <v>3</v>
      </c>
      <c r="I3238">
        <v>1722</v>
      </c>
      <c r="J3238">
        <v>203.04</v>
      </c>
    </row>
    <row r="3239" spans="1:10" x14ac:dyDescent="0.25">
      <c r="A3239" s="1">
        <v>44665</v>
      </c>
      <c r="B3239" t="s">
        <v>16</v>
      </c>
      <c r="C3239" t="s">
        <v>17</v>
      </c>
      <c r="D3239" t="s">
        <v>12</v>
      </c>
      <c r="E3239" t="s">
        <v>53</v>
      </c>
      <c r="F3239" t="s">
        <v>44</v>
      </c>
      <c r="G3239" t="s">
        <v>35</v>
      </c>
      <c r="H3239">
        <v>8</v>
      </c>
      <c r="I3239">
        <v>4088</v>
      </c>
      <c r="J3239">
        <v>853.36</v>
      </c>
    </row>
    <row r="3240" spans="1:10" x14ac:dyDescent="0.25">
      <c r="A3240" s="1">
        <v>45331</v>
      </c>
      <c r="B3240" t="s">
        <v>29</v>
      </c>
      <c r="C3240" t="s">
        <v>17</v>
      </c>
      <c r="D3240" t="s">
        <v>12</v>
      </c>
      <c r="E3240" t="s">
        <v>75</v>
      </c>
      <c r="F3240" t="s">
        <v>63</v>
      </c>
      <c r="G3240" t="s">
        <v>28</v>
      </c>
      <c r="H3240">
        <v>5</v>
      </c>
      <c r="I3240">
        <v>5320</v>
      </c>
      <c r="J3240">
        <v>882.84</v>
      </c>
    </row>
    <row r="3241" spans="1:10" x14ac:dyDescent="0.25">
      <c r="A3241" s="1">
        <v>44892</v>
      </c>
      <c r="B3241" t="s">
        <v>16</v>
      </c>
      <c r="C3241" t="s">
        <v>17</v>
      </c>
      <c r="D3241" t="s">
        <v>12</v>
      </c>
      <c r="E3241" t="s">
        <v>26</v>
      </c>
      <c r="F3241" t="s">
        <v>27</v>
      </c>
      <c r="G3241" t="s">
        <v>28</v>
      </c>
      <c r="H3241">
        <v>6</v>
      </c>
      <c r="I3241">
        <v>3660</v>
      </c>
      <c r="J3241">
        <v>1079</v>
      </c>
    </row>
    <row r="3242" spans="1:10" x14ac:dyDescent="0.25">
      <c r="A3242" s="1">
        <v>45425</v>
      </c>
      <c r="B3242" t="s">
        <v>25</v>
      </c>
      <c r="C3242" t="s">
        <v>19</v>
      </c>
      <c r="D3242" t="s">
        <v>12</v>
      </c>
      <c r="E3242" t="s">
        <v>52</v>
      </c>
      <c r="F3242" t="s">
        <v>42</v>
      </c>
      <c r="G3242" t="s">
        <v>28</v>
      </c>
      <c r="H3242">
        <v>6</v>
      </c>
      <c r="I3242">
        <v>5250</v>
      </c>
      <c r="J3242">
        <v>1228.49</v>
      </c>
    </row>
    <row r="3243" spans="1:10" x14ac:dyDescent="0.25">
      <c r="A3243" s="1">
        <v>44668</v>
      </c>
      <c r="B3243" t="s">
        <v>55</v>
      </c>
      <c r="C3243" t="s">
        <v>19</v>
      </c>
      <c r="D3243" t="s">
        <v>12</v>
      </c>
      <c r="E3243" t="s">
        <v>93</v>
      </c>
      <c r="F3243" t="s">
        <v>94</v>
      </c>
      <c r="G3243" t="s">
        <v>24</v>
      </c>
      <c r="H3243">
        <v>4</v>
      </c>
      <c r="I3243">
        <v>328</v>
      </c>
      <c r="J3243">
        <v>90.89</v>
      </c>
    </row>
    <row r="3244" spans="1:10" x14ac:dyDescent="0.25">
      <c r="A3244" s="1">
        <v>45198</v>
      </c>
      <c r="B3244" t="s">
        <v>40</v>
      </c>
      <c r="C3244" t="s">
        <v>19</v>
      </c>
      <c r="D3244" t="s">
        <v>12</v>
      </c>
      <c r="E3244" t="s">
        <v>52</v>
      </c>
      <c r="F3244" t="s">
        <v>42</v>
      </c>
      <c r="G3244" t="s">
        <v>28</v>
      </c>
      <c r="H3244">
        <v>7</v>
      </c>
      <c r="I3244">
        <v>1596</v>
      </c>
      <c r="J3244">
        <v>359.71</v>
      </c>
    </row>
    <row r="3245" spans="1:10" x14ac:dyDescent="0.25">
      <c r="A3245" s="1">
        <v>44968</v>
      </c>
      <c r="B3245" t="s">
        <v>10</v>
      </c>
      <c r="C3245" t="s">
        <v>11</v>
      </c>
      <c r="D3245" t="s">
        <v>12</v>
      </c>
      <c r="E3245" t="s">
        <v>52</v>
      </c>
      <c r="F3245" t="s">
        <v>42</v>
      </c>
      <c r="G3245" t="s">
        <v>28</v>
      </c>
      <c r="H3245">
        <v>7</v>
      </c>
      <c r="I3245">
        <v>2443</v>
      </c>
      <c r="J3245">
        <v>661.21</v>
      </c>
    </row>
    <row r="3246" spans="1:10" x14ac:dyDescent="0.25">
      <c r="A3246" s="1">
        <v>45130</v>
      </c>
      <c r="B3246" t="s">
        <v>32</v>
      </c>
      <c r="C3246" t="s">
        <v>19</v>
      </c>
      <c r="D3246" t="s">
        <v>12</v>
      </c>
      <c r="E3246" t="s">
        <v>97</v>
      </c>
      <c r="F3246" t="s">
        <v>23</v>
      </c>
      <c r="G3246" t="s">
        <v>24</v>
      </c>
      <c r="H3246">
        <v>7</v>
      </c>
      <c r="I3246">
        <v>5432</v>
      </c>
      <c r="J3246">
        <v>870.08</v>
      </c>
    </row>
    <row r="3247" spans="1:10" x14ac:dyDescent="0.25">
      <c r="A3247" s="1">
        <v>44655</v>
      </c>
      <c r="B3247" t="s">
        <v>10</v>
      </c>
      <c r="C3247" t="s">
        <v>11</v>
      </c>
      <c r="D3247" t="s">
        <v>12</v>
      </c>
      <c r="E3247" t="s">
        <v>37</v>
      </c>
      <c r="F3247" t="s">
        <v>34</v>
      </c>
      <c r="G3247" t="s">
        <v>35</v>
      </c>
      <c r="H3247">
        <v>3</v>
      </c>
      <c r="I3247">
        <v>1254</v>
      </c>
      <c r="J3247">
        <v>221.19</v>
      </c>
    </row>
    <row r="3248" spans="1:10" x14ac:dyDescent="0.25">
      <c r="A3248" s="1">
        <v>44611</v>
      </c>
      <c r="B3248" t="s">
        <v>18</v>
      </c>
      <c r="C3248" t="s">
        <v>19</v>
      </c>
      <c r="D3248" t="s">
        <v>12</v>
      </c>
      <c r="E3248" t="s">
        <v>129</v>
      </c>
      <c r="F3248" t="s">
        <v>168</v>
      </c>
      <c r="G3248" t="s">
        <v>15</v>
      </c>
      <c r="H3248">
        <v>5</v>
      </c>
      <c r="I3248">
        <v>5495</v>
      </c>
      <c r="J3248">
        <v>1276.27</v>
      </c>
    </row>
    <row r="3249" spans="1:10" x14ac:dyDescent="0.25">
      <c r="A3249" s="1">
        <v>45267</v>
      </c>
      <c r="B3249" t="s">
        <v>29</v>
      </c>
      <c r="C3249" t="s">
        <v>17</v>
      </c>
      <c r="D3249" t="s">
        <v>12</v>
      </c>
      <c r="E3249" t="s">
        <v>96</v>
      </c>
      <c r="F3249" t="s">
        <v>34</v>
      </c>
      <c r="G3249" t="s">
        <v>35</v>
      </c>
      <c r="H3249">
        <v>4</v>
      </c>
      <c r="I3249">
        <v>596</v>
      </c>
      <c r="J3249">
        <v>72.650000000000006</v>
      </c>
    </row>
    <row r="3250" spans="1:10" x14ac:dyDescent="0.25">
      <c r="A3250" s="1">
        <v>45583</v>
      </c>
      <c r="B3250" t="s">
        <v>10</v>
      </c>
      <c r="C3250" t="s">
        <v>11</v>
      </c>
      <c r="D3250" t="s">
        <v>12</v>
      </c>
      <c r="E3250" t="s">
        <v>43</v>
      </c>
      <c r="F3250" t="s">
        <v>44</v>
      </c>
      <c r="G3250" t="s">
        <v>35</v>
      </c>
      <c r="H3250">
        <v>6</v>
      </c>
      <c r="I3250">
        <v>3696</v>
      </c>
      <c r="J3250">
        <v>597.66</v>
      </c>
    </row>
    <row r="3251" spans="1:10" x14ac:dyDescent="0.25">
      <c r="A3251" s="1">
        <v>44669</v>
      </c>
      <c r="B3251" t="s">
        <v>16</v>
      </c>
      <c r="C3251" t="s">
        <v>17</v>
      </c>
      <c r="D3251" t="s">
        <v>12</v>
      </c>
      <c r="E3251" t="s">
        <v>75</v>
      </c>
      <c r="F3251" t="s">
        <v>108</v>
      </c>
      <c r="G3251" t="s">
        <v>15</v>
      </c>
      <c r="H3251">
        <v>6</v>
      </c>
      <c r="I3251">
        <v>4488</v>
      </c>
      <c r="J3251">
        <v>939.05</v>
      </c>
    </row>
    <row r="3252" spans="1:10" x14ac:dyDescent="0.25">
      <c r="A3252" s="1">
        <v>45217</v>
      </c>
      <c r="B3252" t="s">
        <v>25</v>
      </c>
      <c r="C3252" t="s">
        <v>19</v>
      </c>
      <c r="D3252" t="s">
        <v>12</v>
      </c>
      <c r="E3252" t="s">
        <v>169</v>
      </c>
      <c r="F3252" t="s">
        <v>83</v>
      </c>
      <c r="G3252" t="s">
        <v>28</v>
      </c>
      <c r="H3252">
        <v>6</v>
      </c>
      <c r="I3252">
        <v>6846</v>
      </c>
      <c r="J3252">
        <v>932.21</v>
      </c>
    </row>
    <row r="3253" spans="1:10" x14ac:dyDescent="0.25">
      <c r="A3253" s="1">
        <v>45289</v>
      </c>
      <c r="B3253" t="s">
        <v>16</v>
      </c>
      <c r="C3253" t="s">
        <v>17</v>
      </c>
      <c r="D3253" t="s">
        <v>12</v>
      </c>
      <c r="E3253" t="s">
        <v>170</v>
      </c>
      <c r="F3253" t="s">
        <v>78</v>
      </c>
      <c r="G3253" t="s">
        <v>28</v>
      </c>
      <c r="H3253">
        <v>8</v>
      </c>
      <c r="I3253">
        <v>2960</v>
      </c>
      <c r="J3253">
        <v>607.64</v>
      </c>
    </row>
    <row r="3254" spans="1:10" x14ac:dyDescent="0.25">
      <c r="A3254" s="1">
        <v>45138</v>
      </c>
      <c r="B3254" t="s">
        <v>40</v>
      </c>
      <c r="C3254" t="s">
        <v>19</v>
      </c>
      <c r="D3254" t="s">
        <v>12</v>
      </c>
      <c r="E3254" t="s">
        <v>162</v>
      </c>
      <c r="F3254" t="s">
        <v>34</v>
      </c>
      <c r="G3254" t="s">
        <v>35</v>
      </c>
      <c r="H3254">
        <v>1</v>
      </c>
      <c r="I3254">
        <v>419</v>
      </c>
      <c r="J3254">
        <v>99.5</v>
      </c>
    </row>
    <row r="3255" spans="1:10" x14ac:dyDescent="0.25">
      <c r="A3255" s="1">
        <v>45538</v>
      </c>
      <c r="B3255" t="s">
        <v>55</v>
      </c>
      <c r="C3255" t="s">
        <v>19</v>
      </c>
      <c r="D3255" t="s">
        <v>12</v>
      </c>
      <c r="E3255" t="s">
        <v>171</v>
      </c>
      <c r="F3255" t="s">
        <v>94</v>
      </c>
      <c r="G3255" t="s">
        <v>24</v>
      </c>
      <c r="H3255">
        <v>6</v>
      </c>
      <c r="I3255">
        <v>6246</v>
      </c>
      <c r="J3255">
        <v>327.14</v>
      </c>
    </row>
    <row r="3256" spans="1:10" x14ac:dyDescent="0.25">
      <c r="A3256" s="1">
        <v>44816</v>
      </c>
      <c r="B3256" t="s">
        <v>18</v>
      </c>
      <c r="C3256" t="s">
        <v>19</v>
      </c>
      <c r="D3256" t="s">
        <v>12</v>
      </c>
      <c r="E3256" t="s">
        <v>70</v>
      </c>
      <c r="F3256" t="s">
        <v>71</v>
      </c>
      <c r="G3256" t="s">
        <v>35</v>
      </c>
      <c r="H3256">
        <v>4</v>
      </c>
      <c r="I3256">
        <v>1900</v>
      </c>
      <c r="J3256">
        <v>372.18</v>
      </c>
    </row>
    <row r="3257" spans="1:10" x14ac:dyDescent="0.25">
      <c r="A3257" s="1">
        <v>45085</v>
      </c>
      <c r="B3257" t="s">
        <v>36</v>
      </c>
      <c r="C3257" t="s">
        <v>17</v>
      </c>
      <c r="D3257" t="s">
        <v>12</v>
      </c>
      <c r="E3257" t="s">
        <v>37</v>
      </c>
      <c r="F3257" t="s">
        <v>34</v>
      </c>
      <c r="G3257" t="s">
        <v>35</v>
      </c>
      <c r="H3257">
        <v>7</v>
      </c>
      <c r="I3257">
        <v>3451</v>
      </c>
      <c r="J3257">
        <v>397.29</v>
      </c>
    </row>
    <row r="3258" spans="1:10" x14ac:dyDescent="0.25">
      <c r="A3258" s="1">
        <v>45620</v>
      </c>
      <c r="B3258" t="s">
        <v>40</v>
      </c>
      <c r="C3258" t="s">
        <v>19</v>
      </c>
      <c r="D3258" t="s">
        <v>12</v>
      </c>
      <c r="E3258" t="s">
        <v>22</v>
      </c>
      <c r="F3258" t="s">
        <v>23</v>
      </c>
      <c r="G3258" t="s">
        <v>24</v>
      </c>
      <c r="H3258">
        <v>2</v>
      </c>
      <c r="I3258">
        <v>1612</v>
      </c>
      <c r="J3258">
        <v>344.37</v>
      </c>
    </row>
    <row r="3259" spans="1:10" x14ac:dyDescent="0.25">
      <c r="A3259" s="1">
        <v>44786</v>
      </c>
      <c r="B3259" t="s">
        <v>55</v>
      </c>
      <c r="C3259" t="s">
        <v>19</v>
      </c>
      <c r="D3259" t="s">
        <v>12</v>
      </c>
      <c r="E3259" t="s">
        <v>52</v>
      </c>
      <c r="F3259" t="s">
        <v>42</v>
      </c>
      <c r="G3259" t="s">
        <v>28</v>
      </c>
      <c r="H3259">
        <v>5</v>
      </c>
      <c r="I3259">
        <v>4445</v>
      </c>
      <c r="J3259">
        <v>642.83000000000004</v>
      </c>
    </row>
    <row r="3260" spans="1:10" x14ac:dyDescent="0.25">
      <c r="A3260" s="1">
        <v>45510</v>
      </c>
      <c r="B3260" t="s">
        <v>32</v>
      </c>
      <c r="C3260" t="s">
        <v>19</v>
      </c>
      <c r="D3260" t="s">
        <v>12</v>
      </c>
      <c r="E3260" t="s">
        <v>110</v>
      </c>
      <c r="F3260" t="s">
        <v>57</v>
      </c>
      <c r="G3260" t="s">
        <v>24</v>
      </c>
      <c r="H3260">
        <v>5</v>
      </c>
      <c r="I3260">
        <v>720</v>
      </c>
      <c r="J3260">
        <v>63.84</v>
      </c>
    </row>
    <row r="3261" spans="1:10" x14ac:dyDescent="0.25">
      <c r="A3261" s="1">
        <v>45398</v>
      </c>
      <c r="B3261" t="s">
        <v>16</v>
      </c>
      <c r="C3261" t="s">
        <v>17</v>
      </c>
      <c r="D3261" t="s">
        <v>12</v>
      </c>
      <c r="E3261" t="s">
        <v>22</v>
      </c>
      <c r="F3261" t="s">
        <v>23</v>
      </c>
      <c r="G3261" t="s">
        <v>24</v>
      </c>
      <c r="H3261">
        <v>2</v>
      </c>
      <c r="I3261">
        <v>1428</v>
      </c>
      <c r="J3261">
        <v>234.49</v>
      </c>
    </row>
    <row r="3262" spans="1:10" x14ac:dyDescent="0.25">
      <c r="A3262" s="1">
        <v>45653</v>
      </c>
      <c r="B3262" t="s">
        <v>18</v>
      </c>
      <c r="C3262" t="s">
        <v>19</v>
      </c>
      <c r="D3262" t="s">
        <v>12</v>
      </c>
      <c r="E3262" t="s">
        <v>22</v>
      </c>
      <c r="F3262" t="s">
        <v>23</v>
      </c>
      <c r="G3262" t="s">
        <v>24</v>
      </c>
      <c r="H3262">
        <v>4</v>
      </c>
      <c r="I3262">
        <v>3532</v>
      </c>
      <c r="J3262">
        <v>665.2</v>
      </c>
    </row>
    <row r="3263" spans="1:10" x14ac:dyDescent="0.25">
      <c r="A3263" s="1">
        <v>45543</v>
      </c>
      <c r="B3263" t="s">
        <v>25</v>
      </c>
      <c r="C3263" t="s">
        <v>19</v>
      </c>
      <c r="D3263" t="s">
        <v>12</v>
      </c>
      <c r="E3263" t="s">
        <v>22</v>
      </c>
      <c r="F3263" t="s">
        <v>23</v>
      </c>
      <c r="G3263" t="s">
        <v>24</v>
      </c>
      <c r="H3263">
        <v>6</v>
      </c>
      <c r="I3263">
        <v>6528</v>
      </c>
      <c r="J3263">
        <v>549.62</v>
      </c>
    </row>
    <row r="3264" spans="1:10" x14ac:dyDescent="0.25">
      <c r="A3264" s="1">
        <v>45173</v>
      </c>
      <c r="B3264" t="s">
        <v>36</v>
      </c>
      <c r="C3264" t="s">
        <v>17</v>
      </c>
      <c r="D3264" t="s">
        <v>12</v>
      </c>
      <c r="E3264" t="s">
        <v>26</v>
      </c>
      <c r="F3264" t="s">
        <v>27</v>
      </c>
      <c r="G3264" t="s">
        <v>28</v>
      </c>
      <c r="H3264">
        <v>1</v>
      </c>
      <c r="I3264">
        <v>743</v>
      </c>
      <c r="J3264">
        <v>216.5</v>
      </c>
    </row>
    <row r="3265" spans="1:10" x14ac:dyDescent="0.25">
      <c r="A3265" s="1">
        <v>45212</v>
      </c>
      <c r="B3265" t="s">
        <v>32</v>
      </c>
      <c r="C3265" t="s">
        <v>19</v>
      </c>
      <c r="D3265" t="s">
        <v>12</v>
      </c>
      <c r="E3265" t="s">
        <v>172</v>
      </c>
      <c r="F3265" t="s">
        <v>173</v>
      </c>
      <c r="G3265" t="s">
        <v>24</v>
      </c>
      <c r="H3265">
        <v>6</v>
      </c>
      <c r="I3265">
        <v>1758</v>
      </c>
      <c r="J3265">
        <v>287.36</v>
      </c>
    </row>
    <row r="3266" spans="1:10" x14ac:dyDescent="0.25">
      <c r="A3266" s="1">
        <v>45259</v>
      </c>
      <c r="B3266" t="s">
        <v>29</v>
      </c>
      <c r="C3266" t="s">
        <v>17</v>
      </c>
      <c r="D3266" t="s">
        <v>12</v>
      </c>
      <c r="E3266" t="s">
        <v>164</v>
      </c>
      <c r="F3266" t="s">
        <v>94</v>
      </c>
      <c r="G3266" t="s">
        <v>24</v>
      </c>
      <c r="H3266">
        <v>8</v>
      </c>
      <c r="I3266">
        <v>1008</v>
      </c>
      <c r="J3266">
        <v>100.61</v>
      </c>
    </row>
    <row r="3267" spans="1:10" x14ac:dyDescent="0.25">
      <c r="A3267" s="1">
        <v>45586</v>
      </c>
      <c r="B3267" t="s">
        <v>40</v>
      </c>
      <c r="C3267" t="s">
        <v>19</v>
      </c>
      <c r="D3267" t="s">
        <v>12</v>
      </c>
      <c r="E3267" t="s">
        <v>174</v>
      </c>
      <c r="F3267" t="s">
        <v>27</v>
      </c>
      <c r="G3267" t="s">
        <v>28</v>
      </c>
      <c r="H3267">
        <v>1</v>
      </c>
      <c r="I3267">
        <v>995</v>
      </c>
      <c r="J3267">
        <v>149.86000000000001</v>
      </c>
    </row>
    <row r="3268" spans="1:10" x14ac:dyDescent="0.25">
      <c r="A3268" s="1">
        <v>45570</v>
      </c>
      <c r="B3268" t="s">
        <v>49</v>
      </c>
      <c r="C3268" t="s">
        <v>17</v>
      </c>
      <c r="D3268" t="s">
        <v>12</v>
      </c>
      <c r="E3268" t="s">
        <v>175</v>
      </c>
      <c r="F3268" t="s">
        <v>23</v>
      </c>
      <c r="G3268" t="s">
        <v>24</v>
      </c>
      <c r="H3268">
        <v>9</v>
      </c>
      <c r="I3268">
        <v>4032</v>
      </c>
      <c r="J3268">
        <v>876.91</v>
      </c>
    </row>
    <row r="3269" spans="1:10" x14ac:dyDescent="0.25">
      <c r="A3269" s="1">
        <v>44863</v>
      </c>
      <c r="B3269" t="s">
        <v>40</v>
      </c>
      <c r="C3269" t="s">
        <v>19</v>
      </c>
      <c r="D3269" t="s">
        <v>12</v>
      </c>
      <c r="E3269" t="s">
        <v>176</v>
      </c>
      <c r="F3269" t="s">
        <v>84</v>
      </c>
      <c r="G3269" t="s">
        <v>28</v>
      </c>
      <c r="H3269">
        <v>6</v>
      </c>
      <c r="I3269">
        <v>480</v>
      </c>
      <c r="J3269">
        <v>131.08000000000001</v>
      </c>
    </row>
    <row r="3270" spans="1:10" x14ac:dyDescent="0.25">
      <c r="A3270" s="1">
        <v>45590</v>
      </c>
      <c r="B3270" t="s">
        <v>55</v>
      </c>
      <c r="C3270" t="s">
        <v>19</v>
      </c>
      <c r="D3270" t="s">
        <v>12</v>
      </c>
      <c r="E3270" t="s">
        <v>75</v>
      </c>
      <c r="F3270" t="s">
        <v>63</v>
      </c>
      <c r="G3270" t="s">
        <v>28</v>
      </c>
      <c r="H3270">
        <v>1</v>
      </c>
      <c r="I3270">
        <v>989</v>
      </c>
      <c r="J3270">
        <v>149.99</v>
      </c>
    </row>
    <row r="3271" spans="1:10" x14ac:dyDescent="0.25">
      <c r="A3271" s="1">
        <v>44585</v>
      </c>
      <c r="B3271" t="s">
        <v>40</v>
      </c>
      <c r="C3271" t="s">
        <v>19</v>
      </c>
      <c r="D3271" t="s">
        <v>12</v>
      </c>
      <c r="E3271" t="s">
        <v>177</v>
      </c>
      <c r="F3271" t="s">
        <v>42</v>
      </c>
      <c r="G3271" t="s">
        <v>28</v>
      </c>
      <c r="H3271">
        <v>9</v>
      </c>
      <c r="I3271">
        <v>6606</v>
      </c>
      <c r="J3271">
        <v>759.55</v>
      </c>
    </row>
    <row r="3272" spans="1:10" x14ac:dyDescent="0.25">
      <c r="A3272" s="1">
        <v>45328</v>
      </c>
      <c r="B3272" t="s">
        <v>32</v>
      </c>
      <c r="C3272" t="s">
        <v>19</v>
      </c>
      <c r="D3272" t="s">
        <v>12</v>
      </c>
      <c r="E3272" t="s">
        <v>56</v>
      </c>
      <c r="F3272" t="s">
        <v>57</v>
      </c>
      <c r="G3272" t="s">
        <v>24</v>
      </c>
      <c r="H3272">
        <v>6</v>
      </c>
      <c r="I3272">
        <v>912</v>
      </c>
      <c r="J3272">
        <v>256.58</v>
      </c>
    </row>
    <row r="3273" spans="1:10" x14ac:dyDescent="0.25">
      <c r="A3273" s="1">
        <v>44763</v>
      </c>
      <c r="B3273" t="s">
        <v>16</v>
      </c>
      <c r="C3273" t="s">
        <v>17</v>
      </c>
      <c r="D3273" t="s">
        <v>12</v>
      </c>
      <c r="E3273" t="s">
        <v>52</v>
      </c>
      <c r="F3273" t="s">
        <v>42</v>
      </c>
      <c r="G3273" t="s">
        <v>28</v>
      </c>
      <c r="H3273">
        <v>4</v>
      </c>
      <c r="I3273">
        <v>2912</v>
      </c>
      <c r="J3273">
        <v>331.11</v>
      </c>
    </row>
    <row r="3274" spans="1:10" x14ac:dyDescent="0.25">
      <c r="A3274" s="1">
        <v>44960</v>
      </c>
      <c r="B3274" t="s">
        <v>25</v>
      </c>
      <c r="C3274" t="s">
        <v>19</v>
      </c>
      <c r="D3274" t="s">
        <v>12</v>
      </c>
      <c r="E3274" t="s">
        <v>22</v>
      </c>
      <c r="F3274" t="s">
        <v>23</v>
      </c>
      <c r="G3274" t="s">
        <v>24</v>
      </c>
      <c r="H3274">
        <v>5</v>
      </c>
      <c r="I3274">
        <v>845</v>
      </c>
      <c r="J3274">
        <v>69.349999999999994</v>
      </c>
    </row>
    <row r="3275" spans="1:10" x14ac:dyDescent="0.25">
      <c r="A3275" s="1">
        <v>45148</v>
      </c>
      <c r="B3275" t="s">
        <v>36</v>
      </c>
      <c r="C3275" t="s">
        <v>17</v>
      </c>
      <c r="D3275" t="s">
        <v>12</v>
      </c>
      <c r="E3275" t="s">
        <v>22</v>
      </c>
      <c r="F3275" t="s">
        <v>23</v>
      </c>
      <c r="G3275" t="s">
        <v>24</v>
      </c>
      <c r="H3275">
        <v>4</v>
      </c>
      <c r="I3275">
        <v>2804</v>
      </c>
      <c r="J3275">
        <v>382.82</v>
      </c>
    </row>
    <row r="3276" spans="1:10" x14ac:dyDescent="0.25">
      <c r="A3276" s="1">
        <v>45654</v>
      </c>
      <c r="B3276" t="s">
        <v>55</v>
      </c>
      <c r="C3276" t="s">
        <v>19</v>
      </c>
      <c r="D3276" t="s">
        <v>12</v>
      </c>
      <c r="E3276" t="s">
        <v>178</v>
      </c>
      <c r="F3276" t="s">
        <v>34</v>
      </c>
      <c r="G3276" t="s">
        <v>35</v>
      </c>
      <c r="H3276">
        <v>2</v>
      </c>
      <c r="I3276">
        <v>208</v>
      </c>
      <c r="J3276">
        <v>11.53</v>
      </c>
    </row>
    <row r="3277" spans="1:10" x14ac:dyDescent="0.25">
      <c r="A3277" s="1">
        <v>44884</v>
      </c>
      <c r="B3277" t="s">
        <v>32</v>
      </c>
      <c r="C3277" t="s">
        <v>19</v>
      </c>
      <c r="D3277" t="s">
        <v>12</v>
      </c>
      <c r="E3277" t="s">
        <v>52</v>
      </c>
      <c r="F3277" t="s">
        <v>42</v>
      </c>
      <c r="G3277" t="s">
        <v>28</v>
      </c>
      <c r="H3277">
        <v>1</v>
      </c>
      <c r="I3277">
        <v>379</v>
      </c>
      <c r="J3277">
        <v>42.24</v>
      </c>
    </row>
    <row r="3278" spans="1:10" x14ac:dyDescent="0.25">
      <c r="A3278" s="1">
        <v>45430</v>
      </c>
      <c r="B3278" t="s">
        <v>16</v>
      </c>
      <c r="C3278" t="s">
        <v>17</v>
      </c>
      <c r="D3278" t="s">
        <v>12</v>
      </c>
      <c r="E3278" t="s">
        <v>52</v>
      </c>
      <c r="F3278" t="s">
        <v>42</v>
      </c>
      <c r="G3278" t="s">
        <v>28</v>
      </c>
      <c r="H3278">
        <v>3</v>
      </c>
      <c r="I3278">
        <v>1227</v>
      </c>
      <c r="J3278">
        <v>113.38</v>
      </c>
    </row>
    <row r="3279" spans="1:10" x14ac:dyDescent="0.25">
      <c r="A3279" s="1">
        <v>45141</v>
      </c>
      <c r="B3279" t="s">
        <v>29</v>
      </c>
      <c r="C3279" t="s">
        <v>17</v>
      </c>
      <c r="D3279" t="s">
        <v>12</v>
      </c>
      <c r="E3279" t="s">
        <v>52</v>
      </c>
      <c r="F3279" t="s">
        <v>42</v>
      </c>
      <c r="G3279" t="s">
        <v>28</v>
      </c>
      <c r="H3279">
        <v>7</v>
      </c>
      <c r="I3279">
        <v>5551</v>
      </c>
      <c r="J3279">
        <v>392.37</v>
      </c>
    </row>
    <row r="3280" spans="1:10" x14ac:dyDescent="0.25">
      <c r="A3280" s="1">
        <v>44779</v>
      </c>
      <c r="B3280" t="s">
        <v>29</v>
      </c>
      <c r="C3280" t="s">
        <v>17</v>
      </c>
      <c r="D3280" t="s">
        <v>12</v>
      </c>
      <c r="E3280" t="s">
        <v>179</v>
      </c>
      <c r="F3280" t="s">
        <v>44</v>
      </c>
      <c r="G3280" t="s">
        <v>35</v>
      </c>
      <c r="H3280">
        <v>1</v>
      </c>
      <c r="I3280">
        <v>423</v>
      </c>
      <c r="J3280">
        <v>115.44</v>
      </c>
    </row>
    <row r="3281" spans="1:10" x14ac:dyDescent="0.25">
      <c r="A3281" s="1">
        <v>44587</v>
      </c>
      <c r="B3281" t="s">
        <v>29</v>
      </c>
      <c r="C3281" t="s">
        <v>17</v>
      </c>
      <c r="D3281" t="s">
        <v>12</v>
      </c>
      <c r="E3281" t="s">
        <v>75</v>
      </c>
      <c r="F3281" t="s">
        <v>63</v>
      </c>
      <c r="G3281" t="s">
        <v>28</v>
      </c>
      <c r="H3281">
        <v>6</v>
      </c>
      <c r="I3281">
        <v>5982</v>
      </c>
      <c r="J3281">
        <v>944.81</v>
      </c>
    </row>
    <row r="3282" spans="1:10" x14ac:dyDescent="0.25">
      <c r="A3282" s="1">
        <v>44902</v>
      </c>
      <c r="B3282" t="s">
        <v>40</v>
      </c>
      <c r="C3282" t="s">
        <v>19</v>
      </c>
      <c r="D3282" t="s">
        <v>12</v>
      </c>
      <c r="E3282" t="s">
        <v>52</v>
      </c>
      <c r="F3282" t="s">
        <v>42</v>
      </c>
      <c r="G3282" t="s">
        <v>28</v>
      </c>
      <c r="H3282">
        <v>4</v>
      </c>
      <c r="I3282">
        <v>3732</v>
      </c>
      <c r="J3282">
        <v>468.6</v>
      </c>
    </row>
    <row r="3283" spans="1:10" x14ac:dyDescent="0.25">
      <c r="A3283" s="1">
        <v>44987</v>
      </c>
      <c r="B3283" t="s">
        <v>10</v>
      </c>
      <c r="C3283" t="s">
        <v>11</v>
      </c>
      <c r="D3283" t="s">
        <v>12</v>
      </c>
      <c r="E3283" t="s">
        <v>180</v>
      </c>
      <c r="F3283" t="s">
        <v>34</v>
      </c>
      <c r="G3283" t="s">
        <v>35</v>
      </c>
      <c r="H3283">
        <v>9</v>
      </c>
      <c r="I3283">
        <v>5904</v>
      </c>
      <c r="J3283">
        <v>1152.23</v>
      </c>
    </row>
    <row r="3284" spans="1:10" x14ac:dyDescent="0.25">
      <c r="A3284" s="1">
        <v>45323</v>
      </c>
      <c r="B3284" t="s">
        <v>29</v>
      </c>
      <c r="C3284" t="s">
        <v>17</v>
      </c>
      <c r="D3284" t="s">
        <v>12</v>
      </c>
      <c r="E3284" t="s">
        <v>117</v>
      </c>
      <c r="F3284" t="s">
        <v>59</v>
      </c>
      <c r="G3284" t="s">
        <v>28</v>
      </c>
      <c r="H3284">
        <v>5</v>
      </c>
      <c r="I3284">
        <v>1810</v>
      </c>
      <c r="J3284">
        <v>171.47</v>
      </c>
    </row>
    <row r="3285" spans="1:10" x14ac:dyDescent="0.25">
      <c r="A3285" s="1">
        <v>44956</v>
      </c>
      <c r="B3285" t="s">
        <v>40</v>
      </c>
      <c r="C3285" t="s">
        <v>19</v>
      </c>
      <c r="D3285" t="s">
        <v>12</v>
      </c>
      <c r="E3285" t="s">
        <v>22</v>
      </c>
      <c r="F3285" t="s">
        <v>23</v>
      </c>
      <c r="G3285" t="s">
        <v>24</v>
      </c>
      <c r="H3285">
        <v>6</v>
      </c>
      <c r="I3285">
        <v>5604</v>
      </c>
      <c r="J3285">
        <v>615.07000000000005</v>
      </c>
    </row>
    <row r="3286" spans="1:10" x14ac:dyDescent="0.25">
      <c r="A3286" s="1">
        <v>44679</v>
      </c>
      <c r="B3286" t="s">
        <v>55</v>
      </c>
      <c r="C3286" t="s">
        <v>19</v>
      </c>
      <c r="D3286" t="s">
        <v>12</v>
      </c>
      <c r="E3286" t="s">
        <v>181</v>
      </c>
      <c r="F3286" t="s">
        <v>57</v>
      </c>
      <c r="G3286" t="s">
        <v>24</v>
      </c>
      <c r="H3286">
        <v>2</v>
      </c>
      <c r="I3286">
        <v>432</v>
      </c>
      <c r="J3286">
        <v>81.31</v>
      </c>
    </row>
    <row r="3287" spans="1:10" x14ac:dyDescent="0.25">
      <c r="A3287" s="1">
        <v>45623</v>
      </c>
      <c r="B3287" t="s">
        <v>49</v>
      </c>
      <c r="C3287" t="s">
        <v>17</v>
      </c>
      <c r="D3287" t="s">
        <v>12</v>
      </c>
      <c r="E3287" t="s">
        <v>182</v>
      </c>
      <c r="F3287" t="s">
        <v>183</v>
      </c>
      <c r="G3287" t="s">
        <v>15</v>
      </c>
      <c r="H3287">
        <v>2</v>
      </c>
      <c r="I3287">
        <v>416</v>
      </c>
      <c r="J3287">
        <v>68.58</v>
      </c>
    </row>
    <row r="3288" spans="1:10" x14ac:dyDescent="0.25">
      <c r="A3288" s="1">
        <v>44811</v>
      </c>
      <c r="B3288" t="s">
        <v>36</v>
      </c>
      <c r="C3288" t="s">
        <v>17</v>
      </c>
      <c r="D3288" t="s">
        <v>12</v>
      </c>
      <c r="E3288" t="s">
        <v>112</v>
      </c>
      <c r="F3288" t="s">
        <v>63</v>
      </c>
      <c r="G3288" t="s">
        <v>28</v>
      </c>
      <c r="H3288">
        <v>8</v>
      </c>
      <c r="I3288">
        <v>1224</v>
      </c>
      <c r="J3288">
        <v>281.43</v>
      </c>
    </row>
    <row r="3289" spans="1:10" x14ac:dyDescent="0.25">
      <c r="A3289" s="1">
        <v>44632</v>
      </c>
      <c r="B3289" t="s">
        <v>10</v>
      </c>
      <c r="C3289" t="s">
        <v>11</v>
      </c>
      <c r="D3289" t="s">
        <v>12</v>
      </c>
      <c r="E3289" t="s">
        <v>57</v>
      </c>
      <c r="F3289" t="s">
        <v>142</v>
      </c>
      <c r="G3289" t="s">
        <v>28</v>
      </c>
      <c r="H3289">
        <v>8</v>
      </c>
      <c r="I3289">
        <v>5168</v>
      </c>
      <c r="J3289">
        <v>672.6</v>
      </c>
    </row>
    <row r="3290" spans="1:10" x14ac:dyDescent="0.25">
      <c r="A3290" s="1">
        <v>44875</v>
      </c>
      <c r="B3290" t="s">
        <v>36</v>
      </c>
      <c r="C3290" t="s">
        <v>17</v>
      </c>
      <c r="D3290" t="s">
        <v>12</v>
      </c>
      <c r="E3290" t="s">
        <v>136</v>
      </c>
      <c r="F3290" t="s">
        <v>65</v>
      </c>
      <c r="G3290" t="s">
        <v>35</v>
      </c>
      <c r="H3290">
        <v>6</v>
      </c>
      <c r="I3290">
        <v>6522</v>
      </c>
      <c r="J3290">
        <v>502.98</v>
      </c>
    </row>
    <row r="3291" spans="1:10" x14ac:dyDescent="0.25">
      <c r="A3291" s="1">
        <v>44807</v>
      </c>
      <c r="B3291" t="s">
        <v>49</v>
      </c>
      <c r="C3291" t="s">
        <v>17</v>
      </c>
      <c r="D3291" t="s">
        <v>12</v>
      </c>
      <c r="E3291" t="s">
        <v>52</v>
      </c>
      <c r="F3291" t="s">
        <v>42</v>
      </c>
      <c r="G3291" t="s">
        <v>28</v>
      </c>
      <c r="H3291">
        <v>5</v>
      </c>
      <c r="I3291">
        <v>1090</v>
      </c>
      <c r="J3291">
        <v>140.69999999999999</v>
      </c>
    </row>
    <row r="3292" spans="1:10" x14ac:dyDescent="0.25">
      <c r="A3292" s="1">
        <v>45565</v>
      </c>
      <c r="B3292" t="s">
        <v>55</v>
      </c>
      <c r="C3292" t="s">
        <v>19</v>
      </c>
      <c r="D3292" t="s">
        <v>12</v>
      </c>
      <c r="E3292" t="s">
        <v>37</v>
      </c>
      <c r="F3292" t="s">
        <v>34</v>
      </c>
      <c r="G3292" t="s">
        <v>35</v>
      </c>
      <c r="H3292">
        <v>3</v>
      </c>
      <c r="I3292">
        <v>1737</v>
      </c>
      <c r="J3292">
        <v>353.17</v>
      </c>
    </row>
    <row r="3293" spans="1:10" x14ac:dyDescent="0.25">
      <c r="A3293" s="1">
        <v>45359</v>
      </c>
      <c r="B3293" t="s">
        <v>10</v>
      </c>
      <c r="C3293" t="s">
        <v>11</v>
      </c>
      <c r="D3293" t="s">
        <v>12</v>
      </c>
      <c r="E3293" t="s">
        <v>26</v>
      </c>
      <c r="F3293" t="s">
        <v>27</v>
      </c>
      <c r="G3293" t="s">
        <v>28</v>
      </c>
      <c r="H3293">
        <v>9</v>
      </c>
      <c r="I3293">
        <v>7281</v>
      </c>
      <c r="J3293">
        <v>1358.17</v>
      </c>
    </row>
    <row r="3294" spans="1:10" x14ac:dyDescent="0.25">
      <c r="A3294" s="1">
        <v>45370</v>
      </c>
      <c r="B3294" t="s">
        <v>32</v>
      </c>
      <c r="C3294" t="s">
        <v>19</v>
      </c>
      <c r="D3294" t="s">
        <v>12</v>
      </c>
      <c r="E3294" t="s">
        <v>74</v>
      </c>
      <c r="F3294" t="s">
        <v>23</v>
      </c>
      <c r="G3294" t="s">
        <v>24</v>
      </c>
      <c r="H3294">
        <v>9</v>
      </c>
      <c r="I3294">
        <v>5832</v>
      </c>
      <c r="J3294">
        <v>1007.54</v>
      </c>
    </row>
    <row r="3295" spans="1:10" x14ac:dyDescent="0.25">
      <c r="A3295" s="1">
        <v>45494</v>
      </c>
      <c r="B3295" t="s">
        <v>10</v>
      </c>
      <c r="C3295" t="s">
        <v>11</v>
      </c>
      <c r="D3295" t="s">
        <v>12</v>
      </c>
      <c r="E3295" t="s">
        <v>26</v>
      </c>
      <c r="F3295" t="s">
        <v>27</v>
      </c>
      <c r="G3295" t="s">
        <v>28</v>
      </c>
      <c r="H3295">
        <v>9</v>
      </c>
      <c r="I3295">
        <v>7020</v>
      </c>
      <c r="J3295">
        <v>623.97</v>
      </c>
    </row>
    <row r="3296" spans="1:10" x14ac:dyDescent="0.25">
      <c r="A3296" s="1">
        <v>45084</v>
      </c>
      <c r="B3296" t="s">
        <v>16</v>
      </c>
      <c r="C3296" t="s">
        <v>17</v>
      </c>
      <c r="D3296" t="s">
        <v>12</v>
      </c>
      <c r="E3296" t="s">
        <v>26</v>
      </c>
      <c r="F3296" t="s">
        <v>27</v>
      </c>
      <c r="G3296" t="s">
        <v>28</v>
      </c>
      <c r="H3296">
        <v>3</v>
      </c>
      <c r="I3296">
        <v>2001</v>
      </c>
      <c r="J3296">
        <v>420.08</v>
      </c>
    </row>
    <row r="3297" spans="1:10" x14ac:dyDescent="0.25">
      <c r="A3297" s="1">
        <v>45517</v>
      </c>
      <c r="B3297" t="s">
        <v>36</v>
      </c>
      <c r="C3297" t="s">
        <v>17</v>
      </c>
      <c r="D3297" t="s">
        <v>12</v>
      </c>
      <c r="E3297" t="s">
        <v>75</v>
      </c>
      <c r="F3297" t="s">
        <v>63</v>
      </c>
      <c r="G3297" t="s">
        <v>28</v>
      </c>
      <c r="H3297">
        <v>2</v>
      </c>
      <c r="I3297">
        <v>1832</v>
      </c>
      <c r="J3297">
        <v>489.21</v>
      </c>
    </row>
    <row r="3298" spans="1:10" x14ac:dyDescent="0.25">
      <c r="A3298" s="1">
        <v>45417</v>
      </c>
      <c r="B3298" t="s">
        <v>32</v>
      </c>
      <c r="C3298" t="s">
        <v>19</v>
      </c>
      <c r="D3298" t="s">
        <v>12</v>
      </c>
      <c r="E3298" t="s">
        <v>56</v>
      </c>
      <c r="F3298" t="s">
        <v>57</v>
      </c>
      <c r="G3298" t="s">
        <v>24</v>
      </c>
      <c r="H3298">
        <v>6</v>
      </c>
      <c r="I3298">
        <v>3372</v>
      </c>
      <c r="J3298">
        <v>934.42</v>
      </c>
    </row>
    <row r="3299" spans="1:10" x14ac:dyDescent="0.25">
      <c r="A3299" s="1">
        <v>45646</v>
      </c>
      <c r="B3299" t="s">
        <v>18</v>
      </c>
      <c r="C3299" t="s">
        <v>19</v>
      </c>
      <c r="D3299" t="s">
        <v>12</v>
      </c>
      <c r="E3299" t="s">
        <v>52</v>
      </c>
      <c r="F3299" t="s">
        <v>42</v>
      </c>
      <c r="G3299" t="s">
        <v>28</v>
      </c>
      <c r="H3299">
        <v>6</v>
      </c>
      <c r="I3299">
        <v>3384</v>
      </c>
      <c r="J3299">
        <v>503.86</v>
      </c>
    </row>
    <row r="3300" spans="1:10" x14ac:dyDescent="0.25">
      <c r="A3300" s="1">
        <v>45626</v>
      </c>
      <c r="B3300" t="s">
        <v>36</v>
      </c>
      <c r="C3300" t="s">
        <v>17</v>
      </c>
      <c r="D3300" t="s">
        <v>12</v>
      </c>
      <c r="E3300" t="s">
        <v>74</v>
      </c>
      <c r="F3300" t="s">
        <v>23</v>
      </c>
      <c r="G3300" t="s">
        <v>24</v>
      </c>
      <c r="H3300">
        <v>1</v>
      </c>
      <c r="I3300">
        <v>351</v>
      </c>
      <c r="J3300">
        <v>31.95</v>
      </c>
    </row>
    <row r="3301" spans="1:10" x14ac:dyDescent="0.25">
      <c r="A3301" s="1">
        <v>45642</v>
      </c>
      <c r="B3301" t="s">
        <v>25</v>
      </c>
      <c r="C3301" t="s">
        <v>19</v>
      </c>
      <c r="D3301" t="s">
        <v>12</v>
      </c>
      <c r="E3301" t="s">
        <v>43</v>
      </c>
      <c r="F3301" t="s">
        <v>44</v>
      </c>
      <c r="G3301" t="s">
        <v>35</v>
      </c>
      <c r="H3301">
        <v>2</v>
      </c>
      <c r="I3301">
        <v>2092</v>
      </c>
      <c r="J3301">
        <v>549.41999999999996</v>
      </c>
    </row>
    <row r="3302" spans="1:10" x14ac:dyDescent="0.25">
      <c r="A3302" s="1">
        <v>45004</v>
      </c>
      <c r="B3302" t="s">
        <v>36</v>
      </c>
      <c r="C3302" t="s">
        <v>17</v>
      </c>
      <c r="D3302" t="s">
        <v>12</v>
      </c>
      <c r="E3302" t="s">
        <v>74</v>
      </c>
      <c r="F3302" t="s">
        <v>23</v>
      </c>
      <c r="G3302" t="s">
        <v>24</v>
      </c>
      <c r="H3302">
        <v>7</v>
      </c>
      <c r="I3302">
        <v>1309</v>
      </c>
      <c r="J3302">
        <v>138.46</v>
      </c>
    </row>
    <row r="3303" spans="1:10" x14ac:dyDescent="0.25">
      <c r="A3303" s="1">
        <v>45410</v>
      </c>
      <c r="B3303" t="s">
        <v>49</v>
      </c>
      <c r="C3303" t="s">
        <v>17</v>
      </c>
      <c r="D3303" t="s">
        <v>12</v>
      </c>
      <c r="E3303" t="s">
        <v>52</v>
      </c>
      <c r="F3303" t="s">
        <v>42</v>
      </c>
      <c r="G3303" t="s">
        <v>28</v>
      </c>
      <c r="H3303">
        <v>9</v>
      </c>
      <c r="I3303">
        <v>6696</v>
      </c>
      <c r="J3303">
        <v>407.36</v>
      </c>
    </row>
    <row r="3304" spans="1:10" x14ac:dyDescent="0.25">
      <c r="A3304" s="1">
        <v>44833</v>
      </c>
      <c r="B3304" t="s">
        <v>49</v>
      </c>
      <c r="C3304" t="s">
        <v>17</v>
      </c>
      <c r="D3304" t="s">
        <v>12</v>
      </c>
      <c r="E3304" t="s">
        <v>52</v>
      </c>
      <c r="F3304" t="s">
        <v>42</v>
      </c>
      <c r="G3304" t="s">
        <v>28</v>
      </c>
      <c r="H3304">
        <v>5</v>
      </c>
      <c r="I3304">
        <v>1020</v>
      </c>
      <c r="J3304">
        <v>162.36000000000001</v>
      </c>
    </row>
    <row r="3305" spans="1:10" x14ac:dyDescent="0.25">
      <c r="A3305" s="1">
        <v>44711</v>
      </c>
      <c r="B3305" t="s">
        <v>49</v>
      </c>
      <c r="C3305" t="s">
        <v>17</v>
      </c>
      <c r="D3305" t="s">
        <v>12</v>
      </c>
      <c r="E3305" t="s">
        <v>43</v>
      </c>
      <c r="F3305" t="s">
        <v>44</v>
      </c>
      <c r="G3305" t="s">
        <v>35</v>
      </c>
      <c r="H3305">
        <v>8</v>
      </c>
      <c r="I3305">
        <v>8240</v>
      </c>
      <c r="J3305">
        <v>2006.72</v>
      </c>
    </row>
    <row r="3306" spans="1:10" x14ac:dyDescent="0.25">
      <c r="A3306" s="1">
        <v>44841</v>
      </c>
      <c r="B3306" t="s">
        <v>29</v>
      </c>
      <c r="C3306" t="s">
        <v>17</v>
      </c>
      <c r="D3306" t="s">
        <v>12</v>
      </c>
      <c r="E3306" t="s">
        <v>69</v>
      </c>
      <c r="F3306" t="s">
        <v>63</v>
      </c>
      <c r="G3306" t="s">
        <v>28</v>
      </c>
      <c r="H3306">
        <v>9</v>
      </c>
      <c r="I3306">
        <v>9810</v>
      </c>
      <c r="J3306">
        <v>1008.6</v>
      </c>
    </row>
    <row r="3307" spans="1:10" x14ac:dyDescent="0.25">
      <c r="A3307" s="1">
        <v>44939</v>
      </c>
      <c r="B3307" t="s">
        <v>18</v>
      </c>
      <c r="C3307" t="s">
        <v>19</v>
      </c>
      <c r="D3307" t="s">
        <v>12</v>
      </c>
      <c r="E3307" t="s">
        <v>26</v>
      </c>
      <c r="F3307" t="s">
        <v>27</v>
      </c>
      <c r="G3307" t="s">
        <v>28</v>
      </c>
      <c r="H3307">
        <v>1</v>
      </c>
      <c r="I3307">
        <v>853</v>
      </c>
      <c r="J3307">
        <v>97.5</v>
      </c>
    </row>
    <row r="3308" spans="1:10" x14ac:dyDescent="0.25">
      <c r="A3308" s="1">
        <v>44932</v>
      </c>
      <c r="B3308" t="s">
        <v>25</v>
      </c>
      <c r="C3308" t="s">
        <v>19</v>
      </c>
      <c r="D3308" t="s">
        <v>12</v>
      </c>
      <c r="E3308" t="s">
        <v>66</v>
      </c>
      <c r="F3308" t="s">
        <v>34</v>
      </c>
      <c r="G3308" t="s">
        <v>35</v>
      </c>
      <c r="H3308">
        <v>4</v>
      </c>
      <c r="I3308">
        <v>4416</v>
      </c>
      <c r="J3308">
        <v>1081.53</v>
      </c>
    </row>
    <row r="3309" spans="1:10" x14ac:dyDescent="0.25">
      <c r="A3309" s="1">
        <v>44937</v>
      </c>
      <c r="B3309" t="s">
        <v>29</v>
      </c>
      <c r="C3309" t="s">
        <v>17</v>
      </c>
      <c r="D3309" t="s">
        <v>12</v>
      </c>
      <c r="E3309" t="s">
        <v>184</v>
      </c>
      <c r="F3309" t="s">
        <v>23</v>
      </c>
      <c r="G3309" t="s">
        <v>24</v>
      </c>
      <c r="H3309">
        <v>8</v>
      </c>
      <c r="I3309">
        <v>3832</v>
      </c>
      <c r="J3309">
        <v>741.44</v>
      </c>
    </row>
    <row r="3310" spans="1:10" x14ac:dyDescent="0.25">
      <c r="A3310" s="1">
        <v>45642</v>
      </c>
      <c r="B3310" t="s">
        <v>36</v>
      </c>
      <c r="C3310" t="s">
        <v>17</v>
      </c>
      <c r="D3310" t="s">
        <v>12</v>
      </c>
      <c r="E3310" t="s">
        <v>105</v>
      </c>
      <c r="F3310" t="s">
        <v>23</v>
      </c>
      <c r="G3310" t="s">
        <v>24</v>
      </c>
      <c r="H3310">
        <v>4</v>
      </c>
      <c r="I3310">
        <v>1876</v>
      </c>
      <c r="J3310">
        <v>221.18</v>
      </c>
    </row>
    <row r="3311" spans="1:10" x14ac:dyDescent="0.25">
      <c r="A3311" s="1">
        <v>45365</v>
      </c>
      <c r="B3311" t="s">
        <v>55</v>
      </c>
      <c r="C3311" t="s">
        <v>19</v>
      </c>
      <c r="D3311" t="s">
        <v>12</v>
      </c>
      <c r="E3311" t="s">
        <v>105</v>
      </c>
      <c r="F3311" t="s">
        <v>23</v>
      </c>
      <c r="G3311" t="s">
        <v>24</v>
      </c>
      <c r="H3311">
        <v>3</v>
      </c>
      <c r="I3311">
        <v>2634</v>
      </c>
      <c r="J3311">
        <v>392.21</v>
      </c>
    </row>
    <row r="3312" spans="1:10" x14ac:dyDescent="0.25">
      <c r="A3312" s="1">
        <v>45164</v>
      </c>
      <c r="B3312" t="s">
        <v>55</v>
      </c>
      <c r="C3312" t="s">
        <v>19</v>
      </c>
      <c r="D3312" t="s">
        <v>12</v>
      </c>
      <c r="E3312" t="s">
        <v>185</v>
      </c>
      <c r="F3312" t="s">
        <v>115</v>
      </c>
      <c r="G3312" t="s">
        <v>15</v>
      </c>
      <c r="H3312">
        <v>1</v>
      </c>
      <c r="I3312">
        <v>1027</v>
      </c>
      <c r="J3312">
        <v>259.92</v>
      </c>
    </row>
    <row r="3313" spans="1:10" x14ac:dyDescent="0.25">
      <c r="A3313" s="1">
        <v>45117</v>
      </c>
      <c r="B3313" t="s">
        <v>10</v>
      </c>
      <c r="C3313" t="s">
        <v>11</v>
      </c>
      <c r="D3313" t="s">
        <v>12</v>
      </c>
      <c r="E3313" t="s">
        <v>186</v>
      </c>
      <c r="F3313" t="s">
        <v>65</v>
      </c>
      <c r="G3313" t="s">
        <v>35</v>
      </c>
      <c r="H3313">
        <v>5</v>
      </c>
      <c r="I3313">
        <v>3100</v>
      </c>
      <c r="J3313">
        <v>911.86</v>
      </c>
    </row>
    <row r="3314" spans="1:10" x14ac:dyDescent="0.25">
      <c r="A3314" s="1">
        <v>44638</v>
      </c>
      <c r="B3314" t="s">
        <v>16</v>
      </c>
      <c r="C3314" t="s">
        <v>17</v>
      </c>
      <c r="D3314" t="s">
        <v>12</v>
      </c>
      <c r="E3314" t="s">
        <v>187</v>
      </c>
      <c r="F3314" t="s">
        <v>23</v>
      </c>
      <c r="G3314" t="s">
        <v>24</v>
      </c>
      <c r="H3314">
        <v>1</v>
      </c>
      <c r="I3314">
        <v>104</v>
      </c>
      <c r="J3314">
        <v>29.67</v>
      </c>
    </row>
    <row r="3315" spans="1:10" x14ac:dyDescent="0.25">
      <c r="A3315" s="1">
        <v>45461</v>
      </c>
      <c r="B3315" t="s">
        <v>16</v>
      </c>
      <c r="C3315" t="s">
        <v>17</v>
      </c>
      <c r="D3315" t="s">
        <v>12</v>
      </c>
      <c r="E3315" t="s">
        <v>140</v>
      </c>
      <c r="F3315" t="s">
        <v>57</v>
      </c>
      <c r="G3315" t="s">
        <v>24</v>
      </c>
      <c r="H3315">
        <v>2</v>
      </c>
      <c r="I3315">
        <v>1590</v>
      </c>
      <c r="J3315">
        <v>147.19999999999999</v>
      </c>
    </row>
    <row r="3316" spans="1:10" x14ac:dyDescent="0.25">
      <c r="A3316" s="1">
        <v>45524</v>
      </c>
      <c r="B3316" t="s">
        <v>25</v>
      </c>
      <c r="C3316" t="s">
        <v>19</v>
      </c>
      <c r="D3316" t="s">
        <v>12</v>
      </c>
      <c r="E3316" t="s">
        <v>43</v>
      </c>
      <c r="F3316" t="s">
        <v>44</v>
      </c>
      <c r="G3316" t="s">
        <v>35</v>
      </c>
      <c r="H3316">
        <v>4</v>
      </c>
      <c r="I3316">
        <v>1104</v>
      </c>
      <c r="J3316">
        <v>63.57</v>
      </c>
    </row>
    <row r="3317" spans="1:10" x14ac:dyDescent="0.25">
      <c r="A3317" s="1">
        <v>45553</v>
      </c>
      <c r="B3317" t="s">
        <v>40</v>
      </c>
      <c r="C3317" t="s">
        <v>19</v>
      </c>
      <c r="D3317" t="s">
        <v>12</v>
      </c>
      <c r="E3317" t="s">
        <v>154</v>
      </c>
      <c r="F3317" t="s">
        <v>115</v>
      </c>
      <c r="G3317" t="s">
        <v>15</v>
      </c>
      <c r="H3317">
        <v>3</v>
      </c>
      <c r="I3317">
        <v>1851</v>
      </c>
      <c r="J3317">
        <v>198.71</v>
      </c>
    </row>
    <row r="3318" spans="1:10" x14ac:dyDescent="0.25">
      <c r="A3318" s="1">
        <v>45602</v>
      </c>
      <c r="B3318" t="s">
        <v>40</v>
      </c>
      <c r="C3318" t="s">
        <v>19</v>
      </c>
      <c r="D3318" t="s">
        <v>12</v>
      </c>
      <c r="E3318" t="s">
        <v>62</v>
      </c>
      <c r="F3318" t="s">
        <v>63</v>
      </c>
      <c r="G3318" t="s">
        <v>28</v>
      </c>
      <c r="H3318">
        <v>2</v>
      </c>
      <c r="I3318">
        <v>1408</v>
      </c>
      <c r="J3318">
        <v>193.09</v>
      </c>
    </row>
    <row r="3319" spans="1:10" x14ac:dyDescent="0.25">
      <c r="A3319" s="1">
        <v>44705</v>
      </c>
      <c r="B3319" t="s">
        <v>55</v>
      </c>
      <c r="C3319" t="s">
        <v>19</v>
      </c>
      <c r="D3319" t="s">
        <v>12</v>
      </c>
      <c r="E3319" t="s">
        <v>62</v>
      </c>
      <c r="F3319" t="s">
        <v>63</v>
      </c>
      <c r="G3319" t="s">
        <v>28</v>
      </c>
      <c r="H3319">
        <v>7</v>
      </c>
      <c r="I3319">
        <v>4641</v>
      </c>
      <c r="J3319">
        <v>1341.98</v>
      </c>
    </row>
    <row r="3320" spans="1:10" x14ac:dyDescent="0.25">
      <c r="A3320" s="1">
        <v>44835</v>
      </c>
      <c r="B3320" t="s">
        <v>18</v>
      </c>
      <c r="C3320" t="s">
        <v>19</v>
      </c>
      <c r="D3320" t="s">
        <v>12</v>
      </c>
      <c r="E3320" t="s">
        <v>22</v>
      </c>
      <c r="F3320" t="s">
        <v>23</v>
      </c>
      <c r="G3320" t="s">
        <v>24</v>
      </c>
      <c r="H3320">
        <v>7</v>
      </c>
      <c r="I3320">
        <v>2611</v>
      </c>
      <c r="J3320">
        <v>539.37</v>
      </c>
    </row>
    <row r="3321" spans="1:10" x14ac:dyDescent="0.25">
      <c r="A3321" s="1">
        <v>45265</v>
      </c>
      <c r="B3321" t="s">
        <v>55</v>
      </c>
      <c r="C3321" t="s">
        <v>19</v>
      </c>
      <c r="D3321" t="s">
        <v>12</v>
      </c>
      <c r="E3321" t="s">
        <v>43</v>
      </c>
      <c r="F3321" t="s">
        <v>44</v>
      </c>
      <c r="G3321" t="s">
        <v>35</v>
      </c>
      <c r="H3321">
        <v>4</v>
      </c>
      <c r="I3321">
        <v>3824</v>
      </c>
      <c r="J3321">
        <v>711.92</v>
      </c>
    </row>
    <row r="3322" spans="1:10" x14ac:dyDescent="0.25">
      <c r="A3322" s="1">
        <v>44993</v>
      </c>
      <c r="B3322" t="s">
        <v>40</v>
      </c>
      <c r="C3322" t="s">
        <v>19</v>
      </c>
      <c r="D3322" t="s">
        <v>12</v>
      </c>
      <c r="E3322" t="s">
        <v>43</v>
      </c>
      <c r="F3322" t="s">
        <v>44</v>
      </c>
      <c r="G3322" t="s">
        <v>35</v>
      </c>
      <c r="H3322">
        <v>2</v>
      </c>
      <c r="I3322">
        <v>2042</v>
      </c>
      <c r="J3322">
        <v>501.34</v>
      </c>
    </row>
    <row r="3323" spans="1:10" x14ac:dyDescent="0.25">
      <c r="A3323" s="1">
        <v>45137</v>
      </c>
      <c r="B3323" t="s">
        <v>18</v>
      </c>
      <c r="C3323" t="s">
        <v>19</v>
      </c>
      <c r="D3323" t="s">
        <v>12</v>
      </c>
      <c r="E3323" t="s">
        <v>188</v>
      </c>
      <c r="F3323" t="s">
        <v>189</v>
      </c>
      <c r="G3323" t="s">
        <v>24</v>
      </c>
      <c r="H3323">
        <v>6</v>
      </c>
      <c r="I3323">
        <v>6378</v>
      </c>
      <c r="J3323">
        <v>1408.28</v>
      </c>
    </row>
    <row r="3324" spans="1:10" x14ac:dyDescent="0.25">
      <c r="A3324" s="1">
        <v>44999</v>
      </c>
      <c r="B3324" t="s">
        <v>25</v>
      </c>
      <c r="C3324" t="s">
        <v>19</v>
      </c>
      <c r="D3324" t="s">
        <v>12</v>
      </c>
      <c r="E3324" t="s">
        <v>188</v>
      </c>
      <c r="F3324" t="s">
        <v>189</v>
      </c>
      <c r="G3324" t="s">
        <v>24</v>
      </c>
      <c r="H3324">
        <v>4</v>
      </c>
      <c r="I3324">
        <v>4692</v>
      </c>
      <c r="J3324">
        <v>409.07</v>
      </c>
    </row>
    <row r="3325" spans="1:10" x14ac:dyDescent="0.25">
      <c r="A3325" s="1">
        <v>45473</v>
      </c>
      <c r="B3325" t="s">
        <v>55</v>
      </c>
      <c r="C3325" t="s">
        <v>19</v>
      </c>
      <c r="D3325" t="s">
        <v>12</v>
      </c>
      <c r="E3325" t="s">
        <v>190</v>
      </c>
      <c r="F3325" t="s">
        <v>191</v>
      </c>
      <c r="G3325" t="s">
        <v>35</v>
      </c>
      <c r="H3325">
        <v>6</v>
      </c>
      <c r="I3325">
        <v>6234</v>
      </c>
      <c r="J3325">
        <v>1829.07</v>
      </c>
    </row>
    <row r="3326" spans="1:10" x14ac:dyDescent="0.25">
      <c r="A3326" s="1">
        <v>45560</v>
      </c>
      <c r="B3326" t="s">
        <v>40</v>
      </c>
      <c r="C3326" t="s">
        <v>19</v>
      </c>
      <c r="D3326" t="s">
        <v>12</v>
      </c>
      <c r="E3326" t="s">
        <v>148</v>
      </c>
      <c r="F3326" t="s">
        <v>149</v>
      </c>
      <c r="G3326" t="s">
        <v>15</v>
      </c>
      <c r="H3326">
        <v>4</v>
      </c>
      <c r="I3326">
        <v>1852</v>
      </c>
      <c r="J3326">
        <v>535.07000000000005</v>
      </c>
    </row>
    <row r="3327" spans="1:10" x14ac:dyDescent="0.25">
      <c r="A3327" s="1">
        <v>44597</v>
      </c>
      <c r="B3327" t="s">
        <v>36</v>
      </c>
      <c r="C3327" t="s">
        <v>17</v>
      </c>
      <c r="D3327" t="s">
        <v>12</v>
      </c>
      <c r="E3327" t="s">
        <v>192</v>
      </c>
      <c r="F3327" t="s">
        <v>149</v>
      </c>
      <c r="G3327" t="s">
        <v>15</v>
      </c>
      <c r="H3327">
        <v>3</v>
      </c>
      <c r="I3327">
        <v>3075</v>
      </c>
      <c r="J3327">
        <v>804.06</v>
      </c>
    </row>
    <row r="3328" spans="1:10" x14ac:dyDescent="0.25">
      <c r="A3328" s="1">
        <v>45223</v>
      </c>
      <c r="B3328" t="s">
        <v>10</v>
      </c>
      <c r="C3328" t="s">
        <v>11</v>
      </c>
      <c r="D3328" t="s">
        <v>12</v>
      </c>
      <c r="E3328" t="s">
        <v>193</v>
      </c>
      <c r="F3328" t="s">
        <v>14</v>
      </c>
      <c r="G3328" t="s">
        <v>15</v>
      </c>
      <c r="H3328">
        <v>5</v>
      </c>
      <c r="I3328">
        <v>370</v>
      </c>
      <c r="J3328">
        <v>92.45</v>
      </c>
    </row>
    <row r="3329" spans="1:10" x14ac:dyDescent="0.25">
      <c r="A3329" s="1">
        <v>45637</v>
      </c>
      <c r="B3329" t="s">
        <v>49</v>
      </c>
      <c r="C3329" t="s">
        <v>17</v>
      </c>
      <c r="D3329" t="s">
        <v>12</v>
      </c>
      <c r="E3329" t="s">
        <v>66</v>
      </c>
      <c r="F3329" t="s">
        <v>34</v>
      </c>
      <c r="G3329" t="s">
        <v>35</v>
      </c>
      <c r="H3329">
        <v>6</v>
      </c>
      <c r="I3329">
        <v>624</v>
      </c>
      <c r="J3329">
        <v>66.989999999999995</v>
      </c>
    </row>
    <row r="3330" spans="1:10" x14ac:dyDescent="0.25">
      <c r="A3330" s="1">
        <v>45120</v>
      </c>
      <c r="B3330" t="s">
        <v>32</v>
      </c>
      <c r="C3330" t="s">
        <v>19</v>
      </c>
      <c r="D3330" t="s">
        <v>12</v>
      </c>
      <c r="E3330" t="s">
        <v>57</v>
      </c>
      <c r="F3330" t="s">
        <v>142</v>
      </c>
      <c r="G3330" t="s">
        <v>28</v>
      </c>
      <c r="H3330">
        <v>2</v>
      </c>
      <c r="I3330">
        <v>1734</v>
      </c>
      <c r="J3330">
        <v>310.76</v>
      </c>
    </row>
    <row r="3331" spans="1:10" x14ac:dyDescent="0.25">
      <c r="A3331" s="1">
        <v>45051</v>
      </c>
      <c r="B3331" t="s">
        <v>10</v>
      </c>
      <c r="C3331" t="s">
        <v>11</v>
      </c>
      <c r="D3331" t="s">
        <v>12</v>
      </c>
      <c r="E3331" t="s">
        <v>22</v>
      </c>
      <c r="F3331" t="s">
        <v>23</v>
      </c>
      <c r="G3331" t="s">
        <v>24</v>
      </c>
      <c r="H3331">
        <v>9</v>
      </c>
      <c r="I3331">
        <v>2268</v>
      </c>
      <c r="J3331">
        <v>361.62</v>
      </c>
    </row>
    <row r="3332" spans="1:10" x14ac:dyDescent="0.25">
      <c r="A3332" s="1">
        <v>44804</v>
      </c>
      <c r="B3332" t="s">
        <v>25</v>
      </c>
      <c r="C3332" t="s">
        <v>19</v>
      </c>
      <c r="D3332" t="s">
        <v>12</v>
      </c>
      <c r="E3332" t="s">
        <v>52</v>
      </c>
      <c r="F3332" t="s">
        <v>42</v>
      </c>
      <c r="G3332" t="s">
        <v>28</v>
      </c>
      <c r="H3332">
        <v>5</v>
      </c>
      <c r="I3332">
        <v>3670</v>
      </c>
      <c r="J3332">
        <v>924.95</v>
      </c>
    </row>
    <row r="3333" spans="1:10" x14ac:dyDescent="0.25">
      <c r="A3333" s="1">
        <v>45520</v>
      </c>
      <c r="B3333" t="s">
        <v>32</v>
      </c>
      <c r="C3333" t="s">
        <v>19</v>
      </c>
      <c r="D3333" t="s">
        <v>12</v>
      </c>
      <c r="E3333" t="s">
        <v>53</v>
      </c>
      <c r="F3333" t="s">
        <v>54</v>
      </c>
      <c r="G3333" t="s">
        <v>24</v>
      </c>
      <c r="H3333">
        <v>7</v>
      </c>
      <c r="I3333">
        <v>4634</v>
      </c>
      <c r="J3333">
        <v>1358.44</v>
      </c>
    </row>
    <row r="3334" spans="1:10" x14ac:dyDescent="0.25">
      <c r="A3334" s="1">
        <v>45311</v>
      </c>
      <c r="B3334" t="s">
        <v>29</v>
      </c>
      <c r="C3334" t="s">
        <v>17</v>
      </c>
      <c r="D3334" t="s">
        <v>12</v>
      </c>
      <c r="E3334" t="s">
        <v>53</v>
      </c>
      <c r="F3334" t="s">
        <v>54</v>
      </c>
      <c r="G3334" t="s">
        <v>24</v>
      </c>
      <c r="H3334">
        <v>9</v>
      </c>
      <c r="I3334">
        <v>1440</v>
      </c>
      <c r="J3334">
        <v>94.41</v>
      </c>
    </row>
    <row r="3335" spans="1:10" x14ac:dyDescent="0.25">
      <c r="A3335" s="1">
        <v>45027</v>
      </c>
      <c r="B3335" t="s">
        <v>55</v>
      </c>
      <c r="C3335" t="s">
        <v>19</v>
      </c>
      <c r="D3335" t="s">
        <v>12</v>
      </c>
      <c r="E3335" t="s">
        <v>13</v>
      </c>
      <c r="F3335" t="s">
        <v>173</v>
      </c>
      <c r="G3335" t="s">
        <v>24</v>
      </c>
      <c r="H3335">
        <v>6</v>
      </c>
      <c r="I3335">
        <v>5136</v>
      </c>
      <c r="J3335">
        <v>1225.4000000000001</v>
      </c>
    </row>
    <row r="3336" spans="1:10" x14ac:dyDescent="0.25">
      <c r="A3336" s="1">
        <v>45555</v>
      </c>
      <c r="B3336" t="s">
        <v>40</v>
      </c>
      <c r="C3336" t="s">
        <v>19</v>
      </c>
      <c r="D3336" t="s">
        <v>12</v>
      </c>
      <c r="E3336" t="s">
        <v>74</v>
      </c>
      <c r="F3336" t="s">
        <v>23</v>
      </c>
      <c r="G3336" t="s">
        <v>24</v>
      </c>
      <c r="H3336">
        <v>1</v>
      </c>
      <c r="I3336">
        <v>166</v>
      </c>
      <c r="J3336">
        <v>31.72</v>
      </c>
    </row>
    <row r="3337" spans="1:10" x14ac:dyDescent="0.25">
      <c r="A3337" s="1">
        <v>44595</v>
      </c>
      <c r="B3337" t="s">
        <v>49</v>
      </c>
      <c r="C3337" t="s">
        <v>17</v>
      </c>
      <c r="D3337" t="s">
        <v>12</v>
      </c>
      <c r="E3337" t="s">
        <v>74</v>
      </c>
      <c r="F3337" t="s">
        <v>23</v>
      </c>
      <c r="G3337" t="s">
        <v>24</v>
      </c>
      <c r="H3337">
        <v>3</v>
      </c>
      <c r="I3337">
        <v>1422</v>
      </c>
      <c r="J3337">
        <v>328.98</v>
      </c>
    </row>
    <row r="3338" spans="1:10" x14ac:dyDescent="0.25">
      <c r="A3338" s="1">
        <v>45180</v>
      </c>
      <c r="B3338" t="s">
        <v>29</v>
      </c>
      <c r="C3338" t="s">
        <v>17</v>
      </c>
      <c r="D3338" t="s">
        <v>12</v>
      </c>
      <c r="E3338" t="s">
        <v>194</v>
      </c>
      <c r="F3338" t="s">
        <v>57</v>
      </c>
      <c r="G3338" t="s">
        <v>24</v>
      </c>
      <c r="H3338">
        <v>8</v>
      </c>
      <c r="I3338">
        <v>1832</v>
      </c>
      <c r="J3338">
        <v>532.97</v>
      </c>
    </row>
    <row r="3339" spans="1:10" x14ac:dyDescent="0.25">
      <c r="A3339" s="1">
        <v>44863</v>
      </c>
      <c r="B3339" t="s">
        <v>10</v>
      </c>
      <c r="C3339" t="s">
        <v>11</v>
      </c>
      <c r="D3339" t="s">
        <v>12</v>
      </c>
      <c r="E3339" t="s">
        <v>116</v>
      </c>
      <c r="F3339" t="s">
        <v>42</v>
      </c>
      <c r="G3339" t="s">
        <v>28</v>
      </c>
      <c r="H3339">
        <v>1</v>
      </c>
      <c r="I3339">
        <v>668</v>
      </c>
      <c r="J3339">
        <v>94.08</v>
      </c>
    </row>
    <row r="3340" spans="1:10" x14ac:dyDescent="0.25">
      <c r="A3340" s="1">
        <v>45648</v>
      </c>
      <c r="B3340" t="s">
        <v>25</v>
      </c>
      <c r="C3340" t="s">
        <v>19</v>
      </c>
      <c r="D3340" t="s">
        <v>12</v>
      </c>
      <c r="E3340" t="s">
        <v>22</v>
      </c>
      <c r="F3340" t="s">
        <v>23</v>
      </c>
      <c r="G3340" t="s">
        <v>24</v>
      </c>
      <c r="H3340">
        <v>6</v>
      </c>
      <c r="I3340">
        <v>1272</v>
      </c>
      <c r="J3340">
        <v>336.3</v>
      </c>
    </row>
    <row r="3341" spans="1:10" x14ac:dyDescent="0.25">
      <c r="A3341" s="1">
        <v>45103</v>
      </c>
      <c r="B3341" t="s">
        <v>49</v>
      </c>
      <c r="C3341" t="s">
        <v>17</v>
      </c>
      <c r="D3341" t="s">
        <v>12</v>
      </c>
      <c r="E3341" t="s">
        <v>52</v>
      </c>
      <c r="F3341" t="s">
        <v>42</v>
      </c>
      <c r="G3341" t="s">
        <v>28</v>
      </c>
      <c r="H3341">
        <v>8</v>
      </c>
      <c r="I3341">
        <v>984</v>
      </c>
      <c r="J3341">
        <v>72.540000000000006</v>
      </c>
    </row>
    <row r="3342" spans="1:10" x14ac:dyDescent="0.25">
      <c r="A3342" s="1">
        <v>45498</v>
      </c>
      <c r="B3342" t="s">
        <v>10</v>
      </c>
      <c r="C3342" t="s">
        <v>11</v>
      </c>
      <c r="D3342" t="s">
        <v>12</v>
      </c>
      <c r="E3342" t="s">
        <v>74</v>
      </c>
      <c r="F3342" t="s">
        <v>23</v>
      </c>
      <c r="G3342" t="s">
        <v>24</v>
      </c>
      <c r="H3342">
        <v>7</v>
      </c>
      <c r="I3342">
        <v>7896</v>
      </c>
      <c r="J3342">
        <v>484.76</v>
      </c>
    </row>
    <row r="3343" spans="1:10" x14ac:dyDescent="0.25">
      <c r="A3343" s="1">
        <v>44877</v>
      </c>
      <c r="B3343" t="s">
        <v>40</v>
      </c>
      <c r="C3343" t="s">
        <v>19</v>
      </c>
      <c r="D3343" t="s">
        <v>12</v>
      </c>
      <c r="E3343" t="s">
        <v>195</v>
      </c>
      <c r="F3343" t="s">
        <v>63</v>
      </c>
      <c r="G3343" t="s">
        <v>28</v>
      </c>
      <c r="H3343">
        <v>1</v>
      </c>
      <c r="I3343">
        <v>636</v>
      </c>
      <c r="J3343">
        <v>42.4</v>
      </c>
    </row>
    <row r="3344" spans="1:10" x14ac:dyDescent="0.25">
      <c r="A3344" s="1">
        <v>45143</v>
      </c>
      <c r="B3344" t="s">
        <v>55</v>
      </c>
      <c r="C3344" t="s">
        <v>19</v>
      </c>
      <c r="D3344" t="s">
        <v>12</v>
      </c>
      <c r="E3344" t="s">
        <v>146</v>
      </c>
      <c r="F3344" t="s">
        <v>21</v>
      </c>
      <c r="G3344" t="s">
        <v>15</v>
      </c>
      <c r="H3344">
        <v>3</v>
      </c>
      <c r="I3344">
        <v>2031</v>
      </c>
      <c r="J3344">
        <v>450.23</v>
      </c>
    </row>
    <row r="3345" spans="1:10" x14ac:dyDescent="0.25">
      <c r="A3345" s="1">
        <v>44615</v>
      </c>
      <c r="B3345" t="s">
        <v>16</v>
      </c>
      <c r="C3345" t="s">
        <v>17</v>
      </c>
      <c r="D3345" t="s">
        <v>12</v>
      </c>
      <c r="E3345" t="s">
        <v>132</v>
      </c>
      <c r="F3345" t="s">
        <v>189</v>
      </c>
      <c r="G3345" t="s">
        <v>24</v>
      </c>
      <c r="H3345">
        <v>9</v>
      </c>
      <c r="I3345">
        <v>3186</v>
      </c>
      <c r="J3345">
        <v>483.22</v>
      </c>
    </row>
    <row r="3346" spans="1:10" x14ac:dyDescent="0.25">
      <c r="A3346" s="1">
        <v>44687</v>
      </c>
      <c r="B3346" t="s">
        <v>29</v>
      </c>
      <c r="C3346" t="s">
        <v>17</v>
      </c>
      <c r="D3346" t="s">
        <v>12</v>
      </c>
      <c r="E3346" t="s">
        <v>22</v>
      </c>
      <c r="F3346" t="s">
        <v>23</v>
      </c>
      <c r="G3346" t="s">
        <v>24</v>
      </c>
      <c r="H3346">
        <v>1</v>
      </c>
      <c r="I3346">
        <v>134</v>
      </c>
      <c r="J3346">
        <v>33.119999999999997</v>
      </c>
    </row>
    <row r="3347" spans="1:10" x14ac:dyDescent="0.25">
      <c r="A3347" s="1">
        <v>45409</v>
      </c>
      <c r="B3347" t="s">
        <v>18</v>
      </c>
      <c r="C3347" t="s">
        <v>19</v>
      </c>
      <c r="D3347" t="s">
        <v>12</v>
      </c>
      <c r="E3347" t="s">
        <v>118</v>
      </c>
      <c r="F3347" t="s">
        <v>42</v>
      </c>
      <c r="G3347" t="s">
        <v>28</v>
      </c>
      <c r="H3347">
        <v>5</v>
      </c>
      <c r="I3347">
        <v>1765</v>
      </c>
      <c r="J3347">
        <v>347.42</v>
      </c>
    </row>
    <row r="3348" spans="1:10" x14ac:dyDescent="0.25">
      <c r="A3348" s="1">
        <v>45135</v>
      </c>
      <c r="B3348" t="s">
        <v>49</v>
      </c>
      <c r="C3348" t="s">
        <v>17</v>
      </c>
      <c r="D3348" t="s">
        <v>12</v>
      </c>
      <c r="E3348" t="s">
        <v>177</v>
      </c>
      <c r="F3348" t="s">
        <v>42</v>
      </c>
      <c r="G3348" t="s">
        <v>28</v>
      </c>
      <c r="H3348">
        <v>4</v>
      </c>
      <c r="I3348">
        <v>3628</v>
      </c>
      <c r="J3348">
        <v>717.81</v>
      </c>
    </row>
    <row r="3349" spans="1:10" x14ac:dyDescent="0.25">
      <c r="A3349" s="1">
        <v>45632</v>
      </c>
      <c r="B3349" t="s">
        <v>36</v>
      </c>
      <c r="C3349" t="s">
        <v>17</v>
      </c>
      <c r="D3349" t="s">
        <v>12</v>
      </c>
      <c r="E3349" t="s">
        <v>182</v>
      </c>
      <c r="F3349" t="s">
        <v>183</v>
      </c>
      <c r="G3349" t="s">
        <v>15</v>
      </c>
      <c r="H3349">
        <v>4</v>
      </c>
      <c r="I3349">
        <v>1000</v>
      </c>
      <c r="J3349">
        <v>198.92</v>
      </c>
    </row>
    <row r="3350" spans="1:10" x14ac:dyDescent="0.25">
      <c r="A3350" s="1">
        <v>44993</v>
      </c>
      <c r="B3350" t="s">
        <v>25</v>
      </c>
      <c r="C3350" t="s">
        <v>19</v>
      </c>
      <c r="D3350" t="s">
        <v>12</v>
      </c>
      <c r="E3350" t="s">
        <v>182</v>
      </c>
      <c r="F3350" t="s">
        <v>183</v>
      </c>
      <c r="G3350" t="s">
        <v>15</v>
      </c>
      <c r="H3350">
        <v>2</v>
      </c>
      <c r="I3350">
        <v>2134</v>
      </c>
      <c r="J3350">
        <v>119.89</v>
      </c>
    </row>
    <row r="3351" spans="1:10" x14ac:dyDescent="0.25">
      <c r="A3351" s="1">
        <v>45071</v>
      </c>
      <c r="B3351" t="s">
        <v>32</v>
      </c>
      <c r="C3351" t="s">
        <v>19</v>
      </c>
      <c r="D3351" t="s">
        <v>12</v>
      </c>
      <c r="E3351" t="s">
        <v>74</v>
      </c>
      <c r="F3351" t="s">
        <v>23</v>
      </c>
      <c r="G3351" t="s">
        <v>24</v>
      </c>
      <c r="H3351">
        <v>7</v>
      </c>
      <c r="I3351">
        <v>6706</v>
      </c>
      <c r="J3351">
        <v>1687.22</v>
      </c>
    </row>
    <row r="3352" spans="1:10" x14ac:dyDescent="0.25">
      <c r="A3352" s="1">
        <v>45599</v>
      </c>
      <c r="B3352" t="s">
        <v>55</v>
      </c>
      <c r="C3352" t="s">
        <v>19</v>
      </c>
      <c r="D3352" t="s">
        <v>12</v>
      </c>
      <c r="E3352" t="s">
        <v>196</v>
      </c>
      <c r="F3352" t="s">
        <v>54</v>
      </c>
      <c r="G3352" t="s">
        <v>24</v>
      </c>
      <c r="H3352">
        <v>3</v>
      </c>
      <c r="I3352">
        <v>321</v>
      </c>
      <c r="J3352">
        <v>72.13</v>
      </c>
    </row>
    <row r="3353" spans="1:10" x14ac:dyDescent="0.25">
      <c r="A3353" s="1">
        <v>44976</v>
      </c>
      <c r="B3353" t="s">
        <v>25</v>
      </c>
      <c r="C3353" t="s">
        <v>19</v>
      </c>
      <c r="D3353" t="s">
        <v>12</v>
      </c>
      <c r="E3353" t="s">
        <v>52</v>
      </c>
      <c r="F3353" t="s">
        <v>42</v>
      </c>
      <c r="G3353" t="s">
        <v>28</v>
      </c>
      <c r="H3353">
        <v>3</v>
      </c>
      <c r="I3353">
        <v>3126</v>
      </c>
      <c r="J3353">
        <v>710.14</v>
      </c>
    </row>
    <row r="3354" spans="1:10" x14ac:dyDescent="0.25">
      <c r="A3354" s="1">
        <v>45235</v>
      </c>
      <c r="B3354" t="s">
        <v>36</v>
      </c>
      <c r="C3354" t="s">
        <v>17</v>
      </c>
      <c r="D3354" t="s">
        <v>12</v>
      </c>
      <c r="E3354" t="s">
        <v>52</v>
      </c>
      <c r="F3354" t="s">
        <v>42</v>
      </c>
      <c r="G3354" t="s">
        <v>28</v>
      </c>
      <c r="H3354">
        <v>7</v>
      </c>
      <c r="I3354">
        <v>5446</v>
      </c>
      <c r="J3354">
        <v>697.21</v>
      </c>
    </row>
    <row r="3355" spans="1:10" x14ac:dyDescent="0.25">
      <c r="A3355" s="1">
        <v>45048</v>
      </c>
      <c r="B3355" t="s">
        <v>18</v>
      </c>
      <c r="C3355" t="s">
        <v>19</v>
      </c>
      <c r="D3355" t="s">
        <v>12</v>
      </c>
      <c r="E3355" t="s">
        <v>52</v>
      </c>
      <c r="F3355" t="s">
        <v>42</v>
      </c>
      <c r="G3355" t="s">
        <v>28</v>
      </c>
      <c r="H3355">
        <v>1</v>
      </c>
      <c r="I3355">
        <v>1131</v>
      </c>
      <c r="J3355">
        <v>140.55000000000001</v>
      </c>
    </row>
    <row r="3356" spans="1:10" x14ac:dyDescent="0.25">
      <c r="A3356" s="1">
        <v>45131</v>
      </c>
      <c r="B3356" t="s">
        <v>10</v>
      </c>
      <c r="C3356" t="s">
        <v>11</v>
      </c>
      <c r="D3356" t="s">
        <v>12</v>
      </c>
      <c r="E3356" t="s">
        <v>197</v>
      </c>
      <c r="F3356" t="s">
        <v>168</v>
      </c>
      <c r="G3356" t="s">
        <v>15</v>
      </c>
      <c r="H3356">
        <v>2</v>
      </c>
      <c r="I3356">
        <v>1946</v>
      </c>
      <c r="J3356">
        <v>141.75</v>
      </c>
    </row>
    <row r="3357" spans="1:10" x14ac:dyDescent="0.25">
      <c r="A3357" s="1">
        <v>45185</v>
      </c>
      <c r="B3357" t="s">
        <v>55</v>
      </c>
      <c r="C3357" t="s">
        <v>19</v>
      </c>
      <c r="D3357" t="s">
        <v>12</v>
      </c>
      <c r="E3357" t="s">
        <v>171</v>
      </c>
      <c r="F3357" t="s">
        <v>94</v>
      </c>
      <c r="G3357" t="s">
        <v>24</v>
      </c>
      <c r="H3357">
        <v>7</v>
      </c>
      <c r="I3357">
        <v>6818</v>
      </c>
      <c r="J3357">
        <v>1348.26</v>
      </c>
    </row>
    <row r="3358" spans="1:10" x14ac:dyDescent="0.25">
      <c r="A3358" s="1">
        <v>45014</v>
      </c>
      <c r="B3358" t="s">
        <v>40</v>
      </c>
      <c r="C3358" t="s">
        <v>19</v>
      </c>
      <c r="D3358" t="s">
        <v>12</v>
      </c>
      <c r="E3358" t="s">
        <v>198</v>
      </c>
      <c r="F3358" t="s">
        <v>23</v>
      </c>
      <c r="G3358" t="s">
        <v>24</v>
      </c>
      <c r="H3358">
        <v>7</v>
      </c>
      <c r="I3358">
        <v>2317</v>
      </c>
      <c r="J3358">
        <v>677.61</v>
      </c>
    </row>
    <row r="3359" spans="1:10" x14ac:dyDescent="0.25">
      <c r="A3359" s="1">
        <v>44953</v>
      </c>
      <c r="B3359" t="s">
        <v>32</v>
      </c>
      <c r="C3359" t="s">
        <v>19</v>
      </c>
      <c r="D3359" t="s">
        <v>12</v>
      </c>
      <c r="E3359" t="s">
        <v>132</v>
      </c>
      <c r="F3359" t="s">
        <v>100</v>
      </c>
      <c r="G3359" t="s">
        <v>35</v>
      </c>
      <c r="H3359">
        <v>6</v>
      </c>
      <c r="I3359">
        <v>396</v>
      </c>
      <c r="J3359">
        <v>89.51</v>
      </c>
    </row>
    <row r="3360" spans="1:10" x14ac:dyDescent="0.25">
      <c r="A3360" s="1">
        <v>45246</v>
      </c>
      <c r="B3360" t="s">
        <v>40</v>
      </c>
      <c r="C3360" t="s">
        <v>19</v>
      </c>
      <c r="D3360" t="s">
        <v>12</v>
      </c>
      <c r="E3360" t="s">
        <v>37</v>
      </c>
      <c r="F3360" t="s">
        <v>34</v>
      </c>
      <c r="G3360" t="s">
        <v>35</v>
      </c>
      <c r="H3360">
        <v>1</v>
      </c>
      <c r="I3360">
        <v>558</v>
      </c>
      <c r="J3360">
        <v>49.81</v>
      </c>
    </row>
    <row r="3361" spans="1:10" x14ac:dyDescent="0.25">
      <c r="A3361" s="1">
        <v>45006</v>
      </c>
      <c r="B3361" t="s">
        <v>40</v>
      </c>
      <c r="C3361" t="s">
        <v>19</v>
      </c>
      <c r="D3361" t="s">
        <v>12</v>
      </c>
      <c r="E3361" t="s">
        <v>130</v>
      </c>
      <c r="F3361" t="s">
        <v>14</v>
      </c>
      <c r="G3361" t="s">
        <v>15</v>
      </c>
      <c r="H3361">
        <v>9</v>
      </c>
      <c r="I3361">
        <v>2034</v>
      </c>
      <c r="J3361">
        <v>593.13</v>
      </c>
    </row>
    <row r="3362" spans="1:10" x14ac:dyDescent="0.25">
      <c r="A3362" s="1">
        <v>44713</v>
      </c>
      <c r="B3362" t="s">
        <v>16</v>
      </c>
      <c r="C3362" t="s">
        <v>17</v>
      </c>
      <c r="D3362" t="s">
        <v>12</v>
      </c>
      <c r="E3362" t="s">
        <v>43</v>
      </c>
      <c r="F3362" t="s">
        <v>44</v>
      </c>
      <c r="G3362" t="s">
        <v>35</v>
      </c>
      <c r="H3362">
        <v>8</v>
      </c>
      <c r="I3362">
        <v>6080</v>
      </c>
      <c r="J3362">
        <v>1171.93</v>
      </c>
    </row>
    <row r="3363" spans="1:10" x14ac:dyDescent="0.25">
      <c r="A3363" s="1">
        <v>44961</v>
      </c>
      <c r="B3363" t="s">
        <v>32</v>
      </c>
      <c r="C3363" t="s">
        <v>19</v>
      </c>
      <c r="D3363" t="s">
        <v>12</v>
      </c>
      <c r="E3363" t="s">
        <v>140</v>
      </c>
      <c r="F3363" t="s">
        <v>168</v>
      </c>
      <c r="G3363" t="s">
        <v>15</v>
      </c>
      <c r="H3363">
        <v>2</v>
      </c>
      <c r="I3363">
        <v>1378</v>
      </c>
      <c r="J3363">
        <v>183.1</v>
      </c>
    </row>
    <row r="3364" spans="1:10" x14ac:dyDescent="0.25">
      <c r="A3364" s="1">
        <v>45355</v>
      </c>
      <c r="B3364" t="s">
        <v>36</v>
      </c>
      <c r="C3364" t="s">
        <v>17</v>
      </c>
      <c r="D3364" t="s">
        <v>12</v>
      </c>
      <c r="E3364" t="s">
        <v>199</v>
      </c>
      <c r="F3364" t="s">
        <v>200</v>
      </c>
      <c r="G3364" t="s">
        <v>28</v>
      </c>
      <c r="H3364">
        <v>3</v>
      </c>
      <c r="I3364">
        <v>483</v>
      </c>
      <c r="J3364">
        <v>120.11</v>
      </c>
    </row>
    <row r="3365" spans="1:10" x14ac:dyDescent="0.25">
      <c r="A3365" s="1">
        <v>44853</v>
      </c>
      <c r="B3365" t="s">
        <v>49</v>
      </c>
      <c r="C3365" t="s">
        <v>17</v>
      </c>
      <c r="D3365" t="s">
        <v>12</v>
      </c>
      <c r="E3365" t="s">
        <v>56</v>
      </c>
      <c r="F3365" t="s">
        <v>57</v>
      </c>
      <c r="G3365" t="s">
        <v>24</v>
      </c>
      <c r="H3365">
        <v>8</v>
      </c>
      <c r="I3365">
        <v>7864</v>
      </c>
      <c r="J3365">
        <v>1615.58</v>
      </c>
    </row>
    <row r="3366" spans="1:10" x14ac:dyDescent="0.25">
      <c r="A3366" s="1">
        <v>44588</v>
      </c>
      <c r="B3366" t="s">
        <v>10</v>
      </c>
      <c r="C3366" t="s">
        <v>11</v>
      </c>
      <c r="D3366" t="s">
        <v>12</v>
      </c>
      <c r="E3366" t="s">
        <v>134</v>
      </c>
      <c r="F3366" t="s">
        <v>51</v>
      </c>
      <c r="G3366" t="s">
        <v>35</v>
      </c>
      <c r="H3366">
        <v>2</v>
      </c>
      <c r="I3366">
        <v>1268</v>
      </c>
      <c r="J3366">
        <v>141.76</v>
      </c>
    </row>
    <row r="3367" spans="1:10" x14ac:dyDescent="0.25">
      <c r="A3367" s="1">
        <v>44840</v>
      </c>
      <c r="B3367" t="s">
        <v>10</v>
      </c>
      <c r="C3367" t="s">
        <v>11</v>
      </c>
      <c r="D3367" t="s">
        <v>12</v>
      </c>
      <c r="E3367" t="s">
        <v>179</v>
      </c>
      <c r="F3367" t="s">
        <v>94</v>
      </c>
      <c r="G3367" t="s">
        <v>24</v>
      </c>
      <c r="H3367">
        <v>6</v>
      </c>
      <c r="I3367">
        <v>3774</v>
      </c>
      <c r="J3367">
        <v>606.94000000000005</v>
      </c>
    </row>
    <row r="3368" spans="1:10" x14ac:dyDescent="0.25">
      <c r="A3368" s="1">
        <v>45185</v>
      </c>
      <c r="B3368" t="s">
        <v>32</v>
      </c>
      <c r="C3368" t="s">
        <v>19</v>
      </c>
      <c r="D3368" t="s">
        <v>12</v>
      </c>
      <c r="E3368" t="s">
        <v>26</v>
      </c>
      <c r="F3368" t="s">
        <v>27</v>
      </c>
      <c r="G3368" t="s">
        <v>28</v>
      </c>
      <c r="H3368">
        <v>9</v>
      </c>
      <c r="I3368">
        <v>9090</v>
      </c>
      <c r="J3368">
        <v>727.64</v>
      </c>
    </row>
    <row r="3369" spans="1:10" x14ac:dyDescent="0.25">
      <c r="A3369" s="1">
        <v>45301</v>
      </c>
      <c r="B3369" t="s">
        <v>25</v>
      </c>
      <c r="C3369" t="s">
        <v>19</v>
      </c>
      <c r="D3369" t="s">
        <v>12</v>
      </c>
      <c r="E3369" t="s">
        <v>26</v>
      </c>
      <c r="F3369" t="s">
        <v>27</v>
      </c>
      <c r="G3369" t="s">
        <v>28</v>
      </c>
      <c r="H3369">
        <v>5</v>
      </c>
      <c r="I3369">
        <v>3720</v>
      </c>
      <c r="J3369">
        <v>1077.21</v>
      </c>
    </row>
    <row r="3370" spans="1:10" x14ac:dyDescent="0.25">
      <c r="A3370" s="1">
        <v>44744</v>
      </c>
      <c r="B3370" t="s">
        <v>40</v>
      </c>
      <c r="C3370" t="s">
        <v>19</v>
      </c>
      <c r="D3370" t="s">
        <v>12</v>
      </c>
      <c r="E3370" t="s">
        <v>26</v>
      </c>
      <c r="F3370" t="s">
        <v>27</v>
      </c>
      <c r="G3370" t="s">
        <v>28</v>
      </c>
      <c r="H3370">
        <v>8</v>
      </c>
      <c r="I3370">
        <v>8896</v>
      </c>
      <c r="J3370">
        <v>1825.26</v>
      </c>
    </row>
    <row r="3371" spans="1:10" x14ac:dyDescent="0.25">
      <c r="A3371" s="1">
        <v>45566</v>
      </c>
      <c r="B3371" t="s">
        <v>16</v>
      </c>
      <c r="C3371" t="s">
        <v>17</v>
      </c>
      <c r="D3371" t="s">
        <v>12</v>
      </c>
      <c r="E3371" t="s">
        <v>104</v>
      </c>
      <c r="F3371" t="s">
        <v>39</v>
      </c>
      <c r="G3371" t="s">
        <v>35</v>
      </c>
      <c r="H3371">
        <v>4</v>
      </c>
      <c r="I3371">
        <v>3264</v>
      </c>
      <c r="J3371">
        <v>639.79999999999995</v>
      </c>
    </row>
    <row r="3372" spans="1:10" x14ac:dyDescent="0.25">
      <c r="A3372" s="1">
        <v>44989</v>
      </c>
      <c r="B3372" t="s">
        <v>10</v>
      </c>
      <c r="C3372" t="s">
        <v>11</v>
      </c>
      <c r="D3372" t="s">
        <v>12</v>
      </c>
      <c r="E3372" t="s">
        <v>70</v>
      </c>
      <c r="F3372" t="s">
        <v>71</v>
      </c>
      <c r="G3372" t="s">
        <v>35</v>
      </c>
      <c r="H3372">
        <v>2</v>
      </c>
      <c r="I3372">
        <v>146</v>
      </c>
      <c r="J3372">
        <v>15.48</v>
      </c>
    </row>
    <row r="3373" spans="1:10" x14ac:dyDescent="0.25">
      <c r="A3373" s="1">
        <v>45438</v>
      </c>
      <c r="B3373" t="s">
        <v>29</v>
      </c>
      <c r="C3373" t="s">
        <v>17</v>
      </c>
      <c r="D3373" t="s">
        <v>12</v>
      </c>
      <c r="E3373" t="s">
        <v>70</v>
      </c>
      <c r="F3373" t="s">
        <v>71</v>
      </c>
      <c r="G3373" t="s">
        <v>35</v>
      </c>
      <c r="H3373">
        <v>3</v>
      </c>
      <c r="I3373">
        <v>1683</v>
      </c>
      <c r="J3373">
        <v>129.63999999999999</v>
      </c>
    </row>
    <row r="3374" spans="1:10" x14ac:dyDescent="0.25">
      <c r="A3374" s="1">
        <v>44571</v>
      </c>
      <c r="B3374" t="s">
        <v>25</v>
      </c>
      <c r="C3374" t="s">
        <v>19</v>
      </c>
      <c r="D3374" t="s">
        <v>12</v>
      </c>
      <c r="E3374" t="s">
        <v>22</v>
      </c>
      <c r="F3374" t="s">
        <v>23</v>
      </c>
      <c r="G3374" t="s">
        <v>24</v>
      </c>
      <c r="H3374">
        <v>7</v>
      </c>
      <c r="I3374">
        <v>6076</v>
      </c>
      <c r="J3374">
        <v>788.14</v>
      </c>
    </row>
    <row r="3375" spans="1:10" x14ac:dyDescent="0.25">
      <c r="A3375" s="1">
        <v>45126</v>
      </c>
      <c r="B3375" t="s">
        <v>32</v>
      </c>
      <c r="C3375" t="s">
        <v>19</v>
      </c>
      <c r="D3375" t="s">
        <v>12</v>
      </c>
      <c r="E3375" t="s">
        <v>201</v>
      </c>
      <c r="F3375" t="s">
        <v>23</v>
      </c>
      <c r="G3375" t="s">
        <v>24</v>
      </c>
      <c r="H3375">
        <v>2</v>
      </c>
      <c r="I3375">
        <v>2388</v>
      </c>
      <c r="J3375">
        <v>492.54</v>
      </c>
    </row>
    <row r="3376" spans="1:10" x14ac:dyDescent="0.25">
      <c r="A3376" s="1">
        <v>45118</v>
      </c>
      <c r="B3376" t="s">
        <v>40</v>
      </c>
      <c r="C3376" t="s">
        <v>19</v>
      </c>
      <c r="D3376" t="s">
        <v>12</v>
      </c>
      <c r="E3376" t="s">
        <v>202</v>
      </c>
      <c r="F3376" t="s">
        <v>23</v>
      </c>
      <c r="G3376" t="s">
        <v>24</v>
      </c>
      <c r="H3376">
        <v>6</v>
      </c>
      <c r="I3376">
        <v>882</v>
      </c>
      <c r="J3376">
        <v>180.63</v>
      </c>
    </row>
    <row r="3377" spans="1:10" x14ac:dyDescent="0.25">
      <c r="A3377" s="1">
        <v>44717</v>
      </c>
      <c r="B3377" t="s">
        <v>55</v>
      </c>
      <c r="C3377" t="s">
        <v>19</v>
      </c>
      <c r="D3377" t="s">
        <v>12</v>
      </c>
      <c r="E3377" t="s">
        <v>74</v>
      </c>
      <c r="F3377" t="s">
        <v>23</v>
      </c>
      <c r="G3377" t="s">
        <v>24</v>
      </c>
      <c r="H3377">
        <v>3</v>
      </c>
      <c r="I3377">
        <v>3561</v>
      </c>
      <c r="J3377">
        <v>206.87</v>
      </c>
    </row>
    <row r="3378" spans="1:10" x14ac:dyDescent="0.25">
      <c r="A3378" s="1">
        <v>45585</v>
      </c>
      <c r="B3378" t="s">
        <v>18</v>
      </c>
      <c r="C3378" t="s">
        <v>19</v>
      </c>
      <c r="D3378" t="s">
        <v>12</v>
      </c>
      <c r="E3378" t="s">
        <v>93</v>
      </c>
      <c r="F3378" t="s">
        <v>94</v>
      </c>
      <c r="G3378" t="s">
        <v>24</v>
      </c>
      <c r="H3378">
        <v>7</v>
      </c>
      <c r="I3378">
        <v>3395</v>
      </c>
      <c r="J3378">
        <v>350.26</v>
      </c>
    </row>
    <row r="3379" spans="1:10" x14ac:dyDescent="0.25">
      <c r="A3379" s="1">
        <v>44592</v>
      </c>
      <c r="B3379" t="s">
        <v>40</v>
      </c>
      <c r="C3379" t="s">
        <v>19</v>
      </c>
      <c r="D3379" t="s">
        <v>12</v>
      </c>
      <c r="E3379" t="s">
        <v>58</v>
      </c>
      <c r="F3379" t="s">
        <v>59</v>
      </c>
      <c r="G3379" t="s">
        <v>28</v>
      </c>
      <c r="H3379">
        <v>6</v>
      </c>
      <c r="I3379">
        <v>3366</v>
      </c>
      <c r="J3379">
        <v>460.75</v>
      </c>
    </row>
    <row r="3380" spans="1:10" x14ac:dyDescent="0.25">
      <c r="A3380" s="1">
        <v>44895</v>
      </c>
      <c r="B3380" t="s">
        <v>16</v>
      </c>
      <c r="C3380" t="s">
        <v>17</v>
      </c>
      <c r="D3380" t="s">
        <v>12</v>
      </c>
      <c r="E3380" t="s">
        <v>203</v>
      </c>
      <c r="F3380" t="s">
        <v>51</v>
      </c>
      <c r="G3380" t="s">
        <v>35</v>
      </c>
      <c r="H3380">
        <v>2</v>
      </c>
      <c r="I3380">
        <v>630</v>
      </c>
      <c r="J3380">
        <v>144.13999999999999</v>
      </c>
    </row>
    <row r="3381" spans="1:10" x14ac:dyDescent="0.25">
      <c r="A3381" s="1">
        <v>45121</v>
      </c>
      <c r="B3381" t="s">
        <v>25</v>
      </c>
      <c r="C3381" t="s">
        <v>19</v>
      </c>
      <c r="D3381" t="s">
        <v>12</v>
      </c>
      <c r="E3381" t="s">
        <v>164</v>
      </c>
      <c r="F3381" t="s">
        <v>94</v>
      </c>
      <c r="G3381" t="s">
        <v>24</v>
      </c>
      <c r="H3381">
        <v>1</v>
      </c>
      <c r="I3381">
        <v>440</v>
      </c>
      <c r="J3381">
        <v>34.74</v>
      </c>
    </row>
    <row r="3382" spans="1:10" x14ac:dyDescent="0.25">
      <c r="A3382" s="1">
        <v>45557</v>
      </c>
      <c r="B3382" t="s">
        <v>32</v>
      </c>
      <c r="C3382" t="s">
        <v>19</v>
      </c>
      <c r="D3382" t="s">
        <v>12</v>
      </c>
      <c r="E3382" t="s">
        <v>204</v>
      </c>
      <c r="F3382" t="s">
        <v>23</v>
      </c>
      <c r="G3382" t="s">
        <v>24</v>
      </c>
      <c r="H3382">
        <v>6</v>
      </c>
      <c r="I3382">
        <v>6462</v>
      </c>
      <c r="J3382">
        <v>1466.15</v>
      </c>
    </row>
    <row r="3383" spans="1:10" x14ac:dyDescent="0.25">
      <c r="A3383" s="1">
        <v>45655</v>
      </c>
      <c r="B3383" t="s">
        <v>36</v>
      </c>
      <c r="C3383" t="s">
        <v>17</v>
      </c>
      <c r="D3383" t="s">
        <v>12</v>
      </c>
      <c r="E3383" t="s">
        <v>204</v>
      </c>
      <c r="F3383" t="s">
        <v>23</v>
      </c>
      <c r="G3383" t="s">
        <v>24</v>
      </c>
      <c r="H3383">
        <v>6</v>
      </c>
      <c r="I3383">
        <v>5004</v>
      </c>
      <c r="J3383">
        <v>1197.3599999999999</v>
      </c>
    </row>
    <row r="3384" spans="1:10" x14ac:dyDescent="0.25">
      <c r="A3384" s="1">
        <v>44608</v>
      </c>
      <c r="B3384" t="s">
        <v>55</v>
      </c>
      <c r="C3384" t="s">
        <v>19</v>
      </c>
      <c r="D3384" t="s">
        <v>12</v>
      </c>
      <c r="E3384" t="s">
        <v>134</v>
      </c>
      <c r="F3384" t="s">
        <v>42</v>
      </c>
      <c r="G3384" t="s">
        <v>28</v>
      </c>
      <c r="H3384">
        <v>8</v>
      </c>
      <c r="I3384">
        <v>1840</v>
      </c>
      <c r="J3384">
        <v>461.21</v>
      </c>
    </row>
    <row r="3385" spans="1:10" x14ac:dyDescent="0.25">
      <c r="A3385" s="1">
        <v>44871</v>
      </c>
      <c r="B3385" t="s">
        <v>18</v>
      </c>
      <c r="C3385" t="s">
        <v>19</v>
      </c>
      <c r="D3385" t="s">
        <v>12</v>
      </c>
      <c r="E3385" t="s">
        <v>205</v>
      </c>
      <c r="F3385" t="s">
        <v>23</v>
      </c>
      <c r="G3385" t="s">
        <v>24</v>
      </c>
      <c r="H3385">
        <v>7</v>
      </c>
      <c r="I3385">
        <v>4466</v>
      </c>
      <c r="J3385">
        <v>763.14</v>
      </c>
    </row>
    <row r="3386" spans="1:10" x14ac:dyDescent="0.25">
      <c r="A3386" s="1">
        <v>44922</v>
      </c>
      <c r="B3386" t="s">
        <v>18</v>
      </c>
      <c r="C3386" t="s">
        <v>19</v>
      </c>
      <c r="D3386" t="s">
        <v>12</v>
      </c>
      <c r="E3386" t="s">
        <v>206</v>
      </c>
      <c r="F3386" t="s">
        <v>71</v>
      </c>
      <c r="G3386" t="s">
        <v>35</v>
      </c>
      <c r="H3386">
        <v>6</v>
      </c>
      <c r="I3386">
        <v>3048</v>
      </c>
      <c r="J3386">
        <v>823.36</v>
      </c>
    </row>
    <row r="3387" spans="1:10" x14ac:dyDescent="0.25">
      <c r="A3387" s="1">
        <v>45446</v>
      </c>
      <c r="B3387" t="s">
        <v>16</v>
      </c>
      <c r="C3387" t="s">
        <v>17</v>
      </c>
      <c r="D3387" t="s">
        <v>12</v>
      </c>
      <c r="E3387" t="s">
        <v>26</v>
      </c>
      <c r="F3387" t="s">
        <v>27</v>
      </c>
      <c r="G3387" t="s">
        <v>28</v>
      </c>
      <c r="H3387">
        <v>7</v>
      </c>
      <c r="I3387">
        <v>4977</v>
      </c>
      <c r="J3387">
        <v>516.70000000000005</v>
      </c>
    </row>
    <row r="3388" spans="1:10" x14ac:dyDescent="0.25">
      <c r="A3388" s="1">
        <v>44743</v>
      </c>
      <c r="B3388" t="s">
        <v>49</v>
      </c>
      <c r="C3388" t="s">
        <v>17</v>
      </c>
      <c r="D3388" t="s">
        <v>12</v>
      </c>
      <c r="E3388" t="s">
        <v>117</v>
      </c>
      <c r="F3388" t="s">
        <v>133</v>
      </c>
      <c r="G3388" t="s">
        <v>28</v>
      </c>
      <c r="H3388">
        <v>3</v>
      </c>
      <c r="I3388">
        <v>2010</v>
      </c>
      <c r="J3388">
        <v>387.31</v>
      </c>
    </row>
    <row r="3389" spans="1:10" x14ac:dyDescent="0.25">
      <c r="A3389" s="1">
        <v>44591</v>
      </c>
      <c r="B3389" t="s">
        <v>25</v>
      </c>
      <c r="C3389" t="s">
        <v>19</v>
      </c>
      <c r="D3389" t="s">
        <v>12</v>
      </c>
      <c r="E3389" t="s">
        <v>207</v>
      </c>
      <c r="F3389" t="s">
        <v>34</v>
      </c>
      <c r="G3389" t="s">
        <v>35</v>
      </c>
      <c r="H3389">
        <v>8</v>
      </c>
      <c r="I3389">
        <v>5352</v>
      </c>
      <c r="J3389">
        <v>1133.57</v>
      </c>
    </row>
    <row r="3390" spans="1:10" x14ac:dyDescent="0.25">
      <c r="A3390" s="1">
        <v>45298</v>
      </c>
      <c r="B3390" t="s">
        <v>25</v>
      </c>
      <c r="C3390" t="s">
        <v>19</v>
      </c>
      <c r="D3390" t="s">
        <v>12</v>
      </c>
      <c r="E3390" t="s">
        <v>116</v>
      </c>
      <c r="F3390" t="s">
        <v>42</v>
      </c>
      <c r="G3390" t="s">
        <v>28</v>
      </c>
      <c r="H3390">
        <v>4</v>
      </c>
      <c r="I3390">
        <v>4136</v>
      </c>
      <c r="J3390">
        <v>294.20999999999998</v>
      </c>
    </row>
    <row r="3391" spans="1:10" x14ac:dyDescent="0.25">
      <c r="A3391" s="1">
        <v>44681</v>
      </c>
      <c r="B3391" t="s">
        <v>25</v>
      </c>
      <c r="C3391" t="s">
        <v>19</v>
      </c>
      <c r="D3391" t="s">
        <v>12</v>
      </c>
      <c r="E3391" t="s">
        <v>208</v>
      </c>
      <c r="F3391" t="s">
        <v>27</v>
      </c>
      <c r="G3391" t="s">
        <v>28</v>
      </c>
      <c r="H3391">
        <v>8</v>
      </c>
      <c r="I3391">
        <v>6336</v>
      </c>
      <c r="J3391">
        <v>439.42</v>
      </c>
    </row>
    <row r="3392" spans="1:10" x14ac:dyDescent="0.25">
      <c r="A3392" s="1">
        <v>45258</v>
      </c>
      <c r="B3392" t="s">
        <v>55</v>
      </c>
      <c r="C3392" t="s">
        <v>19</v>
      </c>
      <c r="D3392" t="s">
        <v>12</v>
      </c>
      <c r="E3392" t="s">
        <v>91</v>
      </c>
      <c r="F3392" t="s">
        <v>23</v>
      </c>
      <c r="G3392" t="s">
        <v>24</v>
      </c>
      <c r="H3392">
        <v>9</v>
      </c>
      <c r="I3392">
        <v>5481</v>
      </c>
      <c r="J3392">
        <v>1540.75</v>
      </c>
    </row>
    <row r="3393" spans="1:10" x14ac:dyDescent="0.25">
      <c r="A3393" s="1">
        <v>45580</v>
      </c>
      <c r="B3393" t="s">
        <v>25</v>
      </c>
      <c r="C3393" t="s">
        <v>19</v>
      </c>
      <c r="D3393" t="s">
        <v>12</v>
      </c>
      <c r="E3393" t="s">
        <v>209</v>
      </c>
      <c r="F3393" t="s">
        <v>34</v>
      </c>
      <c r="G3393" t="s">
        <v>35</v>
      </c>
      <c r="H3393">
        <v>6</v>
      </c>
      <c r="I3393">
        <v>6366</v>
      </c>
      <c r="J3393">
        <v>318.97000000000003</v>
      </c>
    </row>
    <row r="3394" spans="1:10" x14ac:dyDescent="0.25">
      <c r="A3394" s="1">
        <v>45189</v>
      </c>
      <c r="B3394" t="s">
        <v>10</v>
      </c>
      <c r="C3394" t="s">
        <v>11</v>
      </c>
      <c r="D3394" t="s">
        <v>12</v>
      </c>
      <c r="E3394" t="s">
        <v>210</v>
      </c>
      <c r="F3394" t="s">
        <v>34</v>
      </c>
      <c r="G3394" t="s">
        <v>35</v>
      </c>
      <c r="H3394">
        <v>1</v>
      </c>
      <c r="I3394">
        <v>623</v>
      </c>
      <c r="J3394">
        <v>81.239999999999995</v>
      </c>
    </row>
    <row r="3395" spans="1:10" x14ac:dyDescent="0.25">
      <c r="A3395" s="1">
        <v>45646</v>
      </c>
      <c r="B3395" t="s">
        <v>16</v>
      </c>
      <c r="C3395" t="s">
        <v>17</v>
      </c>
      <c r="D3395" t="s">
        <v>12</v>
      </c>
      <c r="E3395" t="s">
        <v>211</v>
      </c>
      <c r="F3395" t="s">
        <v>63</v>
      </c>
      <c r="G3395" t="s">
        <v>28</v>
      </c>
      <c r="H3395">
        <v>3</v>
      </c>
      <c r="I3395">
        <v>237</v>
      </c>
      <c r="J3395">
        <v>49.94</v>
      </c>
    </row>
    <row r="3396" spans="1:10" x14ac:dyDescent="0.25">
      <c r="A3396" s="1">
        <v>44638</v>
      </c>
      <c r="B3396" t="s">
        <v>49</v>
      </c>
      <c r="C3396" t="s">
        <v>17</v>
      </c>
      <c r="D3396" t="s">
        <v>12</v>
      </c>
      <c r="E3396" t="s">
        <v>212</v>
      </c>
      <c r="F3396" t="s">
        <v>34</v>
      </c>
      <c r="G3396" t="s">
        <v>35</v>
      </c>
      <c r="H3396">
        <v>9</v>
      </c>
      <c r="I3396">
        <v>8370</v>
      </c>
      <c r="J3396">
        <v>1525.8</v>
      </c>
    </row>
    <row r="3397" spans="1:10" x14ac:dyDescent="0.25">
      <c r="A3397" s="1">
        <v>45027</v>
      </c>
      <c r="B3397" t="s">
        <v>29</v>
      </c>
      <c r="C3397" t="s">
        <v>17</v>
      </c>
      <c r="D3397" t="s">
        <v>12</v>
      </c>
      <c r="E3397" t="s">
        <v>213</v>
      </c>
      <c r="F3397" t="s">
        <v>34</v>
      </c>
      <c r="G3397" t="s">
        <v>35</v>
      </c>
      <c r="H3397">
        <v>5</v>
      </c>
      <c r="I3397">
        <v>4965</v>
      </c>
      <c r="J3397">
        <v>774.74</v>
      </c>
    </row>
    <row r="3398" spans="1:10" x14ac:dyDescent="0.25">
      <c r="A3398" s="1">
        <v>45508</v>
      </c>
      <c r="B3398" t="s">
        <v>25</v>
      </c>
      <c r="C3398" t="s">
        <v>19</v>
      </c>
      <c r="D3398" t="s">
        <v>12</v>
      </c>
      <c r="E3398" t="s">
        <v>52</v>
      </c>
      <c r="F3398" t="s">
        <v>42</v>
      </c>
      <c r="G3398" t="s">
        <v>28</v>
      </c>
      <c r="H3398">
        <v>7</v>
      </c>
      <c r="I3398">
        <v>7791</v>
      </c>
      <c r="J3398">
        <v>1844.69</v>
      </c>
    </row>
    <row r="3399" spans="1:10" x14ac:dyDescent="0.25">
      <c r="A3399" s="1">
        <v>45564</v>
      </c>
      <c r="B3399" t="s">
        <v>40</v>
      </c>
      <c r="C3399" t="s">
        <v>19</v>
      </c>
      <c r="D3399" t="s">
        <v>12</v>
      </c>
      <c r="E3399" t="s">
        <v>52</v>
      </c>
      <c r="F3399" t="s">
        <v>42</v>
      </c>
      <c r="G3399" t="s">
        <v>28</v>
      </c>
      <c r="H3399">
        <v>1</v>
      </c>
      <c r="I3399">
        <v>158</v>
      </c>
      <c r="J3399">
        <v>32.89</v>
      </c>
    </row>
    <row r="3400" spans="1:10" x14ac:dyDescent="0.25">
      <c r="A3400" s="1">
        <v>44996</v>
      </c>
      <c r="B3400" t="s">
        <v>49</v>
      </c>
      <c r="C3400" t="s">
        <v>17</v>
      </c>
      <c r="D3400" t="s">
        <v>12</v>
      </c>
      <c r="E3400" t="s">
        <v>75</v>
      </c>
      <c r="F3400" t="s">
        <v>39</v>
      </c>
      <c r="G3400" t="s">
        <v>35</v>
      </c>
      <c r="H3400">
        <v>7</v>
      </c>
      <c r="I3400">
        <v>4347</v>
      </c>
      <c r="J3400">
        <v>712.79</v>
      </c>
    </row>
    <row r="3401" spans="1:10" x14ac:dyDescent="0.25">
      <c r="A3401" s="1">
        <v>44817</v>
      </c>
      <c r="B3401" t="s">
        <v>40</v>
      </c>
      <c r="C3401" t="s">
        <v>19</v>
      </c>
      <c r="D3401" t="s">
        <v>12</v>
      </c>
      <c r="E3401" t="s">
        <v>214</v>
      </c>
      <c r="F3401" t="s">
        <v>152</v>
      </c>
      <c r="G3401" t="s">
        <v>15</v>
      </c>
      <c r="H3401">
        <v>4</v>
      </c>
      <c r="I3401">
        <v>3364</v>
      </c>
      <c r="J3401">
        <v>527.28</v>
      </c>
    </row>
    <row r="3402" spans="1:10" x14ac:dyDescent="0.25">
      <c r="A3402" s="1">
        <v>45136</v>
      </c>
      <c r="B3402" t="s">
        <v>25</v>
      </c>
      <c r="C3402" t="s">
        <v>19</v>
      </c>
      <c r="D3402" t="s">
        <v>12</v>
      </c>
      <c r="E3402" t="s">
        <v>56</v>
      </c>
      <c r="F3402" t="s">
        <v>57</v>
      </c>
      <c r="G3402" t="s">
        <v>24</v>
      </c>
      <c r="H3402">
        <v>3</v>
      </c>
      <c r="I3402">
        <v>1098</v>
      </c>
      <c r="J3402">
        <v>77.81</v>
      </c>
    </row>
    <row r="3403" spans="1:10" x14ac:dyDescent="0.25">
      <c r="A3403" s="1">
        <v>44695</v>
      </c>
      <c r="B3403" t="s">
        <v>29</v>
      </c>
      <c r="C3403" t="s">
        <v>17</v>
      </c>
      <c r="D3403" t="s">
        <v>12</v>
      </c>
      <c r="E3403" t="s">
        <v>123</v>
      </c>
      <c r="F3403" t="s">
        <v>27</v>
      </c>
      <c r="G3403" t="s">
        <v>28</v>
      </c>
      <c r="H3403">
        <v>3</v>
      </c>
      <c r="I3403">
        <v>1083</v>
      </c>
      <c r="J3403">
        <v>257.44</v>
      </c>
    </row>
    <row r="3404" spans="1:10" x14ac:dyDescent="0.25">
      <c r="A3404" s="1">
        <v>44813</v>
      </c>
      <c r="B3404" t="s">
        <v>55</v>
      </c>
      <c r="C3404" t="s">
        <v>19</v>
      </c>
      <c r="D3404" t="s">
        <v>12</v>
      </c>
      <c r="E3404" t="s">
        <v>52</v>
      </c>
      <c r="F3404" t="s">
        <v>42</v>
      </c>
      <c r="G3404" t="s">
        <v>28</v>
      </c>
      <c r="H3404">
        <v>4</v>
      </c>
      <c r="I3404">
        <v>1628</v>
      </c>
      <c r="J3404">
        <v>314.95999999999998</v>
      </c>
    </row>
    <row r="3405" spans="1:10" x14ac:dyDescent="0.25">
      <c r="A3405" s="1">
        <v>45615</v>
      </c>
      <c r="B3405" t="s">
        <v>49</v>
      </c>
      <c r="C3405" t="s">
        <v>17</v>
      </c>
      <c r="D3405" t="s">
        <v>12</v>
      </c>
      <c r="E3405" t="s">
        <v>91</v>
      </c>
      <c r="F3405" t="s">
        <v>23</v>
      </c>
      <c r="G3405" t="s">
        <v>24</v>
      </c>
      <c r="H3405">
        <v>4</v>
      </c>
      <c r="I3405">
        <v>1472</v>
      </c>
      <c r="J3405">
        <v>387.27</v>
      </c>
    </row>
    <row r="3406" spans="1:10" x14ac:dyDescent="0.25">
      <c r="A3406" s="1">
        <v>45554</v>
      </c>
      <c r="B3406" t="s">
        <v>10</v>
      </c>
      <c r="C3406" t="s">
        <v>11</v>
      </c>
      <c r="D3406" t="s">
        <v>12</v>
      </c>
      <c r="E3406" t="s">
        <v>331</v>
      </c>
      <c r="F3406" t="s">
        <v>23</v>
      </c>
      <c r="G3406" t="s">
        <v>24</v>
      </c>
      <c r="H3406">
        <v>9</v>
      </c>
      <c r="I3406">
        <v>3753</v>
      </c>
      <c r="J3406">
        <v>1114.8699999999999</v>
      </c>
    </row>
    <row r="3407" spans="1:10" x14ac:dyDescent="0.25">
      <c r="A3407" s="1">
        <v>45110</v>
      </c>
      <c r="B3407" t="s">
        <v>36</v>
      </c>
      <c r="C3407" t="s">
        <v>17</v>
      </c>
      <c r="D3407" t="s">
        <v>12</v>
      </c>
      <c r="E3407" t="s">
        <v>331</v>
      </c>
      <c r="F3407" t="s">
        <v>23</v>
      </c>
      <c r="G3407" t="s">
        <v>24</v>
      </c>
      <c r="H3407">
        <v>6</v>
      </c>
      <c r="I3407">
        <v>6402</v>
      </c>
      <c r="J3407">
        <v>1602.79</v>
      </c>
    </row>
    <row r="3408" spans="1:10" x14ac:dyDescent="0.25">
      <c r="A3408" s="1">
        <v>45399</v>
      </c>
      <c r="B3408" t="s">
        <v>36</v>
      </c>
      <c r="C3408" t="s">
        <v>17</v>
      </c>
      <c r="D3408" t="s">
        <v>12</v>
      </c>
      <c r="E3408" t="s">
        <v>192</v>
      </c>
      <c r="F3408" t="s">
        <v>149</v>
      </c>
      <c r="G3408" t="s">
        <v>15</v>
      </c>
      <c r="H3408">
        <v>3</v>
      </c>
      <c r="I3408">
        <v>2565</v>
      </c>
      <c r="J3408">
        <v>510.73</v>
      </c>
    </row>
    <row r="3409" spans="1:10" x14ac:dyDescent="0.25">
      <c r="A3409" s="1">
        <v>45583</v>
      </c>
      <c r="B3409" t="s">
        <v>16</v>
      </c>
      <c r="C3409" t="s">
        <v>17</v>
      </c>
      <c r="D3409" t="s">
        <v>12</v>
      </c>
      <c r="E3409" t="s">
        <v>62</v>
      </c>
      <c r="F3409" t="s">
        <v>63</v>
      </c>
      <c r="G3409" t="s">
        <v>28</v>
      </c>
      <c r="H3409">
        <v>3</v>
      </c>
      <c r="I3409">
        <v>2214</v>
      </c>
      <c r="J3409">
        <v>127.34</v>
      </c>
    </row>
    <row r="3410" spans="1:10" x14ac:dyDescent="0.25">
      <c r="A3410" s="1">
        <v>45459</v>
      </c>
      <c r="B3410" t="s">
        <v>36</v>
      </c>
      <c r="C3410" t="s">
        <v>17</v>
      </c>
      <c r="D3410" t="s">
        <v>12</v>
      </c>
      <c r="E3410" t="s">
        <v>62</v>
      </c>
      <c r="F3410" t="s">
        <v>63</v>
      </c>
      <c r="G3410" t="s">
        <v>28</v>
      </c>
      <c r="H3410">
        <v>3</v>
      </c>
      <c r="I3410">
        <v>975</v>
      </c>
      <c r="J3410">
        <v>291.81</v>
      </c>
    </row>
    <row r="3411" spans="1:10" x14ac:dyDescent="0.25">
      <c r="A3411" s="1">
        <v>45213</v>
      </c>
      <c r="B3411" t="s">
        <v>10</v>
      </c>
      <c r="C3411" t="s">
        <v>11</v>
      </c>
      <c r="D3411" t="s">
        <v>12</v>
      </c>
      <c r="E3411" t="s">
        <v>13</v>
      </c>
      <c r="F3411" t="s">
        <v>173</v>
      </c>
      <c r="G3411" t="s">
        <v>24</v>
      </c>
      <c r="H3411">
        <v>8</v>
      </c>
      <c r="I3411">
        <v>3312</v>
      </c>
      <c r="J3411">
        <v>854.12</v>
      </c>
    </row>
    <row r="3412" spans="1:10" x14ac:dyDescent="0.25">
      <c r="A3412" s="1">
        <v>45211</v>
      </c>
      <c r="B3412" t="s">
        <v>10</v>
      </c>
      <c r="C3412" t="s">
        <v>11</v>
      </c>
      <c r="D3412" t="s">
        <v>12</v>
      </c>
      <c r="E3412" t="s">
        <v>56</v>
      </c>
      <c r="F3412" t="s">
        <v>57</v>
      </c>
      <c r="G3412" t="s">
        <v>24</v>
      </c>
      <c r="H3412">
        <v>1</v>
      </c>
      <c r="I3412">
        <v>267</v>
      </c>
      <c r="J3412">
        <v>41.85</v>
      </c>
    </row>
    <row r="3413" spans="1:10" x14ac:dyDescent="0.25">
      <c r="A3413" s="1">
        <v>44662</v>
      </c>
      <c r="B3413" t="s">
        <v>40</v>
      </c>
      <c r="C3413" t="s">
        <v>19</v>
      </c>
      <c r="D3413" t="s">
        <v>12</v>
      </c>
      <c r="E3413" t="s">
        <v>52</v>
      </c>
      <c r="F3413" t="s">
        <v>42</v>
      </c>
      <c r="G3413" t="s">
        <v>28</v>
      </c>
      <c r="H3413">
        <v>9</v>
      </c>
      <c r="I3413">
        <v>8145</v>
      </c>
      <c r="J3413">
        <v>2384.42</v>
      </c>
    </row>
    <row r="3414" spans="1:10" x14ac:dyDescent="0.25">
      <c r="A3414" s="1">
        <v>44567</v>
      </c>
      <c r="B3414" t="s">
        <v>10</v>
      </c>
      <c r="C3414" t="s">
        <v>11</v>
      </c>
      <c r="D3414" t="s">
        <v>12</v>
      </c>
      <c r="E3414" t="s">
        <v>62</v>
      </c>
      <c r="F3414" t="s">
        <v>59</v>
      </c>
      <c r="G3414" t="s">
        <v>28</v>
      </c>
      <c r="H3414">
        <v>1</v>
      </c>
      <c r="I3414">
        <v>232</v>
      </c>
      <c r="J3414">
        <v>34.26</v>
      </c>
    </row>
    <row r="3415" spans="1:10" x14ac:dyDescent="0.25">
      <c r="A3415" s="1">
        <v>45571</v>
      </c>
      <c r="B3415" t="s">
        <v>40</v>
      </c>
      <c r="C3415" t="s">
        <v>19</v>
      </c>
      <c r="D3415" t="s">
        <v>12</v>
      </c>
      <c r="E3415" t="s">
        <v>104</v>
      </c>
      <c r="F3415" t="s">
        <v>39</v>
      </c>
      <c r="G3415" t="s">
        <v>35</v>
      </c>
      <c r="H3415">
        <v>3</v>
      </c>
      <c r="I3415">
        <v>300</v>
      </c>
      <c r="J3415">
        <v>38.44</v>
      </c>
    </row>
    <row r="3416" spans="1:10" x14ac:dyDescent="0.25">
      <c r="A3416" s="1">
        <v>45349</v>
      </c>
      <c r="B3416" t="s">
        <v>36</v>
      </c>
      <c r="C3416" t="s">
        <v>17</v>
      </c>
      <c r="D3416" t="s">
        <v>12</v>
      </c>
      <c r="E3416" t="s">
        <v>104</v>
      </c>
      <c r="F3416" t="s">
        <v>39</v>
      </c>
      <c r="G3416" t="s">
        <v>35</v>
      </c>
      <c r="H3416">
        <v>2</v>
      </c>
      <c r="I3416">
        <v>2248</v>
      </c>
      <c r="J3416">
        <v>473.21</v>
      </c>
    </row>
    <row r="3417" spans="1:10" x14ac:dyDescent="0.25">
      <c r="A3417" s="1">
        <v>45209</v>
      </c>
      <c r="B3417" t="s">
        <v>36</v>
      </c>
      <c r="C3417" t="s">
        <v>17</v>
      </c>
      <c r="D3417" t="s">
        <v>12</v>
      </c>
      <c r="E3417" t="s">
        <v>104</v>
      </c>
      <c r="F3417" t="s">
        <v>39</v>
      </c>
      <c r="G3417" t="s">
        <v>35</v>
      </c>
      <c r="H3417">
        <v>6</v>
      </c>
      <c r="I3417">
        <v>1614</v>
      </c>
      <c r="J3417">
        <v>166.62</v>
      </c>
    </row>
    <row r="3418" spans="1:10" x14ac:dyDescent="0.25">
      <c r="A3418" s="1">
        <v>44684</v>
      </c>
      <c r="B3418" t="s">
        <v>36</v>
      </c>
      <c r="C3418" t="s">
        <v>17</v>
      </c>
      <c r="D3418" t="s">
        <v>12</v>
      </c>
      <c r="E3418" t="s">
        <v>146</v>
      </c>
      <c r="F3418" t="s">
        <v>21</v>
      </c>
      <c r="G3418" t="s">
        <v>15</v>
      </c>
      <c r="H3418">
        <v>2</v>
      </c>
      <c r="I3418">
        <v>1476</v>
      </c>
      <c r="J3418">
        <v>195.74</v>
      </c>
    </row>
    <row r="3419" spans="1:10" x14ac:dyDescent="0.25">
      <c r="A3419" s="1">
        <v>45601</v>
      </c>
      <c r="B3419" t="s">
        <v>10</v>
      </c>
      <c r="C3419" t="s">
        <v>11</v>
      </c>
      <c r="D3419" t="s">
        <v>12</v>
      </c>
      <c r="E3419" t="s">
        <v>390</v>
      </c>
      <c r="F3419" t="s">
        <v>100</v>
      </c>
      <c r="G3419" t="s">
        <v>35</v>
      </c>
      <c r="H3419">
        <v>5</v>
      </c>
      <c r="I3419">
        <v>4375</v>
      </c>
      <c r="J3419">
        <v>347.43</v>
      </c>
    </row>
    <row r="3420" spans="1:10" x14ac:dyDescent="0.25">
      <c r="A3420" s="1">
        <v>45538</v>
      </c>
      <c r="B3420" t="s">
        <v>32</v>
      </c>
      <c r="C3420" t="s">
        <v>19</v>
      </c>
      <c r="D3420" t="s">
        <v>12</v>
      </c>
      <c r="E3420" t="s">
        <v>377</v>
      </c>
      <c r="F3420" t="s">
        <v>115</v>
      </c>
      <c r="G3420" t="s">
        <v>15</v>
      </c>
      <c r="H3420">
        <v>4</v>
      </c>
      <c r="I3420">
        <v>1064</v>
      </c>
      <c r="J3420">
        <v>263.48</v>
      </c>
    </row>
    <row r="3421" spans="1:10" x14ac:dyDescent="0.25">
      <c r="A3421" s="1">
        <v>44838</v>
      </c>
      <c r="B3421" t="s">
        <v>29</v>
      </c>
      <c r="C3421" t="s">
        <v>17</v>
      </c>
      <c r="D3421" t="s">
        <v>12</v>
      </c>
      <c r="E3421" t="s">
        <v>26</v>
      </c>
      <c r="F3421" t="s">
        <v>27</v>
      </c>
      <c r="G3421" t="s">
        <v>28</v>
      </c>
      <c r="H3421">
        <v>6</v>
      </c>
      <c r="I3421">
        <v>1068</v>
      </c>
      <c r="J3421">
        <v>190.77</v>
      </c>
    </row>
    <row r="3422" spans="1:10" x14ac:dyDescent="0.25">
      <c r="A3422" s="1">
        <v>45277</v>
      </c>
      <c r="B3422" t="s">
        <v>49</v>
      </c>
      <c r="C3422" t="s">
        <v>17</v>
      </c>
      <c r="D3422" t="s">
        <v>12</v>
      </c>
      <c r="E3422" t="s">
        <v>391</v>
      </c>
      <c r="F3422" t="s">
        <v>168</v>
      </c>
      <c r="G3422" t="s">
        <v>15</v>
      </c>
      <c r="H3422">
        <v>1</v>
      </c>
      <c r="I3422">
        <v>190</v>
      </c>
      <c r="J3422">
        <v>27.43</v>
      </c>
    </row>
    <row r="3423" spans="1:10" x14ac:dyDescent="0.25">
      <c r="A3423" s="1">
        <v>44739</v>
      </c>
      <c r="B3423" t="s">
        <v>10</v>
      </c>
      <c r="C3423" t="s">
        <v>11</v>
      </c>
      <c r="D3423" t="s">
        <v>12</v>
      </c>
      <c r="E3423" t="s">
        <v>138</v>
      </c>
      <c r="F3423" t="s">
        <v>94</v>
      </c>
      <c r="G3423" t="s">
        <v>24</v>
      </c>
      <c r="H3423">
        <v>7</v>
      </c>
      <c r="I3423">
        <v>7868</v>
      </c>
      <c r="J3423">
        <v>862.38</v>
      </c>
    </row>
    <row r="3424" spans="1:10" x14ac:dyDescent="0.25">
      <c r="A3424" s="1">
        <v>45629</v>
      </c>
      <c r="B3424" t="s">
        <v>49</v>
      </c>
      <c r="C3424" t="s">
        <v>17</v>
      </c>
      <c r="D3424" t="s">
        <v>12</v>
      </c>
      <c r="E3424" t="s">
        <v>75</v>
      </c>
      <c r="F3424" t="s">
        <v>108</v>
      </c>
      <c r="G3424" t="s">
        <v>15</v>
      </c>
      <c r="H3424">
        <v>3</v>
      </c>
      <c r="I3424">
        <v>1239</v>
      </c>
      <c r="J3424">
        <v>143.35</v>
      </c>
    </row>
    <row r="3425" spans="1:10" x14ac:dyDescent="0.25">
      <c r="A3425" s="1">
        <v>45179</v>
      </c>
      <c r="B3425" t="s">
        <v>36</v>
      </c>
      <c r="C3425" t="s">
        <v>17</v>
      </c>
      <c r="D3425" t="s">
        <v>12</v>
      </c>
      <c r="E3425" t="s">
        <v>74</v>
      </c>
      <c r="F3425" t="s">
        <v>23</v>
      </c>
      <c r="G3425" t="s">
        <v>24</v>
      </c>
      <c r="H3425">
        <v>2</v>
      </c>
      <c r="I3425">
        <v>1394</v>
      </c>
      <c r="J3425">
        <v>408.32</v>
      </c>
    </row>
    <row r="3426" spans="1:10" x14ac:dyDescent="0.25">
      <c r="A3426" s="1">
        <v>45329</v>
      </c>
      <c r="B3426" t="s">
        <v>40</v>
      </c>
      <c r="C3426" t="s">
        <v>19</v>
      </c>
      <c r="D3426" t="s">
        <v>12</v>
      </c>
      <c r="E3426" t="s">
        <v>74</v>
      </c>
      <c r="F3426" t="s">
        <v>23</v>
      </c>
      <c r="G3426" t="s">
        <v>24</v>
      </c>
      <c r="H3426">
        <v>5</v>
      </c>
      <c r="I3426">
        <v>2060</v>
      </c>
      <c r="J3426">
        <v>403.19</v>
      </c>
    </row>
    <row r="3427" spans="1:10" x14ac:dyDescent="0.25">
      <c r="A3427" s="1">
        <v>45086</v>
      </c>
      <c r="B3427" t="s">
        <v>55</v>
      </c>
      <c r="C3427" t="s">
        <v>19</v>
      </c>
      <c r="D3427" t="s">
        <v>12</v>
      </c>
      <c r="E3427" t="s">
        <v>52</v>
      </c>
      <c r="F3427" t="s">
        <v>42</v>
      </c>
      <c r="G3427" t="s">
        <v>28</v>
      </c>
      <c r="H3427">
        <v>1</v>
      </c>
      <c r="I3427">
        <v>1060</v>
      </c>
      <c r="J3427">
        <v>57.26</v>
      </c>
    </row>
    <row r="3428" spans="1:10" x14ac:dyDescent="0.25">
      <c r="A3428" s="1">
        <v>44911</v>
      </c>
      <c r="B3428" t="s">
        <v>36</v>
      </c>
      <c r="C3428" t="s">
        <v>17</v>
      </c>
      <c r="D3428" t="s">
        <v>12</v>
      </c>
      <c r="E3428" t="s">
        <v>307</v>
      </c>
      <c r="F3428" t="s">
        <v>156</v>
      </c>
      <c r="G3428" t="s">
        <v>28</v>
      </c>
      <c r="H3428">
        <v>7</v>
      </c>
      <c r="I3428">
        <v>7812</v>
      </c>
      <c r="J3428">
        <v>1478.43</v>
      </c>
    </row>
    <row r="3429" spans="1:10" x14ac:dyDescent="0.25">
      <c r="A3429" s="1">
        <v>45460</v>
      </c>
      <c r="B3429" t="s">
        <v>25</v>
      </c>
      <c r="C3429" t="s">
        <v>19</v>
      </c>
      <c r="D3429" t="s">
        <v>12</v>
      </c>
      <c r="E3429" t="s">
        <v>37</v>
      </c>
      <c r="F3429" t="s">
        <v>34</v>
      </c>
      <c r="G3429" t="s">
        <v>35</v>
      </c>
      <c r="H3429">
        <v>7</v>
      </c>
      <c r="I3429">
        <v>7077</v>
      </c>
      <c r="J3429">
        <v>804.15</v>
      </c>
    </row>
    <row r="3430" spans="1:10" x14ac:dyDescent="0.25">
      <c r="A3430" s="1">
        <v>45087</v>
      </c>
      <c r="B3430" t="s">
        <v>40</v>
      </c>
      <c r="C3430" t="s">
        <v>19</v>
      </c>
      <c r="D3430" t="s">
        <v>12</v>
      </c>
      <c r="E3430" t="s">
        <v>37</v>
      </c>
      <c r="F3430" t="s">
        <v>34</v>
      </c>
      <c r="G3430" t="s">
        <v>35</v>
      </c>
      <c r="H3430">
        <v>7</v>
      </c>
      <c r="I3430">
        <v>5712</v>
      </c>
      <c r="J3430">
        <v>929.42</v>
      </c>
    </row>
    <row r="3431" spans="1:10" x14ac:dyDescent="0.25">
      <c r="A3431" s="1">
        <v>44948</v>
      </c>
      <c r="B3431" t="s">
        <v>10</v>
      </c>
      <c r="C3431" t="s">
        <v>11</v>
      </c>
      <c r="D3431" t="s">
        <v>12</v>
      </c>
      <c r="E3431" t="s">
        <v>105</v>
      </c>
      <c r="F3431" t="s">
        <v>23</v>
      </c>
      <c r="G3431" t="s">
        <v>24</v>
      </c>
      <c r="H3431">
        <v>6</v>
      </c>
      <c r="I3431">
        <v>4146</v>
      </c>
      <c r="J3431">
        <v>966.79</v>
      </c>
    </row>
    <row r="3432" spans="1:10" x14ac:dyDescent="0.25">
      <c r="A3432" s="1">
        <v>45461</v>
      </c>
      <c r="B3432" t="s">
        <v>18</v>
      </c>
      <c r="C3432" t="s">
        <v>19</v>
      </c>
      <c r="D3432" t="s">
        <v>12</v>
      </c>
      <c r="E3432" t="s">
        <v>56</v>
      </c>
      <c r="F3432" t="s">
        <v>57</v>
      </c>
      <c r="G3432" t="s">
        <v>24</v>
      </c>
      <c r="H3432">
        <v>2</v>
      </c>
      <c r="I3432">
        <v>992</v>
      </c>
      <c r="J3432">
        <v>238.18</v>
      </c>
    </row>
    <row r="3433" spans="1:10" x14ac:dyDescent="0.25">
      <c r="A3433" s="1">
        <v>44664</v>
      </c>
      <c r="B3433" t="s">
        <v>32</v>
      </c>
      <c r="C3433" t="s">
        <v>19</v>
      </c>
      <c r="D3433" t="s">
        <v>12</v>
      </c>
      <c r="E3433" t="s">
        <v>20</v>
      </c>
      <c r="F3433" t="s">
        <v>21</v>
      </c>
      <c r="G3433" t="s">
        <v>15</v>
      </c>
      <c r="H3433">
        <v>2</v>
      </c>
      <c r="I3433">
        <v>1756</v>
      </c>
      <c r="J3433">
        <v>165.6</v>
      </c>
    </row>
    <row r="3434" spans="1:10" x14ac:dyDescent="0.25">
      <c r="A3434" s="1">
        <v>45025</v>
      </c>
      <c r="B3434" t="s">
        <v>36</v>
      </c>
      <c r="C3434" t="s">
        <v>17</v>
      </c>
      <c r="D3434" t="s">
        <v>12</v>
      </c>
      <c r="E3434" t="s">
        <v>134</v>
      </c>
      <c r="F3434" t="s">
        <v>42</v>
      </c>
      <c r="G3434" t="s">
        <v>28</v>
      </c>
      <c r="H3434">
        <v>4</v>
      </c>
      <c r="I3434">
        <v>3632</v>
      </c>
      <c r="J3434">
        <v>566.80999999999995</v>
      </c>
    </row>
    <row r="3435" spans="1:10" x14ac:dyDescent="0.25">
      <c r="A3435" s="1">
        <v>45368</v>
      </c>
      <c r="B3435" t="s">
        <v>29</v>
      </c>
      <c r="C3435" t="s">
        <v>17</v>
      </c>
      <c r="D3435" t="s">
        <v>12</v>
      </c>
      <c r="E3435" t="s">
        <v>390</v>
      </c>
      <c r="F3435" t="s">
        <v>44</v>
      </c>
      <c r="G3435" t="s">
        <v>35</v>
      </c>
      <c r="H3435">
        <v>4</v>
      </c>
      <c r="I3435">
        <v>3912</v>
      </c>
      <c r="J3435">
        <v>550.09</v>
      </c>
    </row>
    <row r="3436" spans="1:10" x14ac:dyDescent="0.25">
      <c r="A3436" s="1">
        <v>45065</v>
      </c>
      <c r="B3436" t="s">
        <v>10</v>
      </c>
      <c r="C3436" t="s">
        <v>11</v>
      </c>
      <c r="D3436" t="s">
        <v>12</v>
      </c>
      <c r="E3436" t="s">
        <v>74</v>
      </c>
      <c r="F3436" t="s">
        <v>23</v>
      </c>
      <c r="G3436" t="s">
        <v>24</v>
      </c>
      <c r="H3436">
        <v>9</v>
      </c>
      <c r="I3436">
        <v>3123</v>
      </c>
      <c r="J3436">
        <v>741.23</v>
      </c>
    </row>
    <row r="3437" spans="1:10" x14ac:dyDescent="0.25">
      <c r="A3437" s="1">
        <v>44824</v>
      </c>
      <c r="B3437" t="s">
        <v>10</v>
      </c>
      <c r="C3437" t="s">
        <v>11</v>
      </c>
      <c r="D3437" t="s">
        <v>12</v>
      </c>
      <c r="E3437" t="s">
        <v>74</v>
      </c>
      <c r="F3437" t="s">
        <v>23</v>
      </c>
      <c r="G3437" t="s">
        <v>24</v>
      </c>
      <c r="H3437">
        <v>4</v>
      </c>
      <c r="I3437">
        <v>700</v>
      </c>
      <c r="J3437">
        <v>120.19</v>
      </c>
    </row>
    <row r="3438" spans="1:10" x14ac:dyDescent="0.25">
      <c r="A3438" s="1">
        <v>44867</v>
      </c>
      <c r="B3438" t="s">
        <v>18</v>
      </c>
      <c r="C3438" t="s">
        <v>19</v>
      </c>
      <c r="D3438" t="s">
        <v>12</v>
      </c>
      <c r="E3438" t="s">
        <v>52</v>
      </c>
      <c r="F3438" t="s">
        <v>42</v>
      </c>
      <c r="G3438" t="s">
        <v>28</v>
      </c>
      <c r="H3438">
        <v>8</v>
      </c>
      <c r="I3438">
        <v>408</v>
      </c>
      <c r="J3438">
        <v>83.16</v>
      </c>
    </row>
    <row r="3439" spans="1:10" x14ac:dyDescent="0.25">
      <c r="A3439" s="1">
        <v>44913</v>
      </c>
      <c r="B3439" t="s">
        <v>40</v>
      </c>
      <c r="C3439" t="s">
        <v>19</v>
      </c>
      <c r="D3439" t="s">
        <v>12</v>
      </c>
      <c r="E3439" t="s">
        <v>187</v>
      </c>
      <c r="F3439" t="s">
        <v>23</v>
      </c>
      <c r="G3439" t="s">
        <v>24</v>
      </c>
      <c r="H3439">
        <v>4</v>
      </c>
      <c r="I3439">
        <v>4056</v>
      </c>
      <c r="J3439">
        <v>768.81</v>
      </c>
    </row>
    <row r="3440" spans="1:10" x14ac:dyDescent="0.25">
      <c r="A3440" s="1">
        <v>45419</v>
      </c>
      <c r="B3440" t="s">
        <v>55</v>
      </c>
      <c r="C3440" t="s">
        <v>19</v>
      </c>
      <c r="D3440" t="s">
        <v>12</v>
      </c>
      <c r="E3440" t="s">
        <v>162</v>
      </c>
      <c r="F3440" t="s">
        <v>23</v>
      </c>
      <c r="G3440" t="s">
        <v>24</v>
      </c>
      <c r="H3440">
        <v>1</v>
      </c>
      <c r="I3440">
        <v>770</v>
      </c>
      <c r="J3440">
        <v>121.75</v>
      </c>
    </row>
    <row r="3441" spans="1:10" x14ac:dyDescent="0.25">
      <c r="A3441" s="1">
        <v>44599</v>
      </c>
      <c r="B3441" t="s">
        <v>32</v>
      </c>
      <c r="C3441" t="s">
        <v>19</v>
      </c>
      <c r="D3441" t="s">
        <v>12</v>
      </c>
      <c r="E3441" t="s">
        <v>162</v>
      </c>
      <c r="F3441" t="s">
        <v>23</v>
      </c>
      <c r="G3441" t="s">
        <v>24</v>
      </c>
      <c r="H3441">
        <v>3</v>
      </c>
      <c r="I3441">
        <v>531</v>
      </c>
      <c r="J3441">
        <v>73.349999999999994</v>
      </c>
    </row>
    <row r="3442" spans="1:10" x14ac:dyDescent="0.25">
      <c r="A3442" s="1">
        <v>45080</v>
      </c>
      <c r="B3442" t="s">
        <v>36</v>
      </c>
      <c r="C3442" t="s">
        <v>17</v>
      </c>
      <c r="D3442" t="s">
        <v>12</v>
      </c>
      <c r="E3442" t="s">
        <v>26</v>
      </c>
      <c r="F3442" t="s">
        <v>27</v>
      </c>
      <c r="G3442" t="s">
        <v>28</v>
      </c>
      <c r="H3442">
        <v>5</v>
      </c>
      <c r="I3442">
        <v>280</v>
      </c>
      <c r="J3442">
        <v>79.77</v>
      </c>
    </row>
    <row r="3443" spans="1:10" x14ac:dyDescent="0.25">
      <c r="A3443" s="1">
        <v>45383</v>
      </c>
      <c r="B3443" t="s">
        <v>55</v>
      </c>
      <c r="C3443" t="s">
        <v>19</v>
      </c>
      <c r="D3443" t="s">
        <v>12</v>
      </c>
      <c r="E3443" t="s">
        <v>75</v>
      </c>
      <c r="F3443" t="s">
        <v>63</v>
      </c>
      <c r="G3443" t="s">
        <v>28</v>
      </c>
      <c r="H3443">
        <v>7</v>
      </c>
      <c r="I3443">
        <v>4550</v>
      </c>
      <c r="J3443">
        <v>892.73</v>
      </c>
    </row>
    <row r="3444" spans="1:10" x14ac:dyDescent="0.25">
      <c r="A3444" s="1">
        <v>45023</v>
      </c>
      <c r="B3444" t="s">
        <v>32</v>
      </c>
      <c r="C3444" t="s">
        <v>19</v>
      </c>
      <c r="D3444" t="s">
        <v>12</v>
      </c>
      <c r="E3444" t="s">
        <v>392</v>
      </c>
      <c r="F3444" t="s">
        <v>65</v>
      </c>
      <c r="G3444" t="s">
        <v>35</v>
      </c>
      <c r="H3444">
        <v>5</v>
      </c>
      <c r="I3444">
        <v>2480</v>
      </c>
      <c r="J3444">
        <v>601.66</v>
      </c>
    </row>
    <row r="3445" spans="1:10" x14ac:dyDescent="0.25">
      <c r="A3445" s="1">
        <v>44699</v>
      </c>
      <c r="B3445" t="s">
        <v>10</v>
      </c>
      <c r="C3445" t="s">
        <v>11</v>
      </c>
      <c r="D3445" t="s">
        <v>12</v>
      </c>
      <c r="E3445" t="s">
        <v>37</v>
      </c>
      <c r="F3445" t="s">
        <v>34</v>
      </c>
      <c r="G3445" t="s">
        <v>35</v>
      </c>
      <c r="H3445">
        <v>6</v>
      </c>
      <c r="I3445">
        <v>2604</v>
      </c>
      <c r="J3445">
        <v>305.73</v>
      </c>
    </row>
    <row r="3446" spans="1:10" x14ac:dyDescent="0.25">
      <c r="A3446" s="1">
        <v>44617</v>
      </c>
      <c r="B3446" t="s">
        <v>49</v>
      </c>
      <c r="C3446" t="s">
        <v>17</v>
      </c>
      <c r="D3446" t="s">
        <v>12</v>
      </c>
      <c r="E3446" t="s">
        <v>91</v>
      </c>
      <c r="F3446" t="s">
        <v>149</v>
      </c>
      <c r="G3446" t="s">
        <v>15</v>
      </c>
      <c r="H3446">
        <v>7</v>
      </c>
      <c r="I3446">
        <v>1351</v>
      </c>
      <c r="J3446">
        <v>310.02999999999997</v>
      </c>
    </row>
    <row r="3447" spans="1:10" x14ac:dyDescent="0.25">
      <c r="A3447" s="1">
        <v>45172</v>
      </c>
      <c r="B3447" t="s">
        <v>36</v>
      </c>
      <c r="C3447" t="s">
        <v>17</v>
      </c>
      <c r="D3447" t="s">
        <v>12</v>
      </c>
      <c r="E3447" t="s">
        <v>187</v>
      </c>
      <c r="F3447" t="s">
        <v>23</v>
      </c>
      <c r="G3447" t="s">
        <v>24</v>
      </c>
      <c r="H3447">
        <v>5</v>
      </c>
      <c r="I3447">
        <v>4615</v>
      </c>
      <c r="J3447">
        <v>251</v>
      </c>
    </row>
    <row r="3448" spans="1:10" x14ac:dyDescent="0.25">
      <c r="A3448" s="1">
        <v>45373</v>
      </c>
      <c r="B3448" t="s">
        <v>16</v>
      </c>
      <c r="C3448" t="s">
        <v>17</v>
      </c>
      <c r="D3448" t="s">
        <v>12</v>
      </c>
      <c r="E3448" t="s">
        <v>393</v>
      </c>
      <c r="F3448" t="s">
        <v>394</v>
      </c>
      <c r="G3448" t="s">
        <v>24</v>
      </c>
      <c r="H3448">
        <v>1</v>
      </c>
      <c r="I3448">
        <v>829</v>
      </c>
      <c r="J3448">
        <v>165.05</v>
      </c>
    </row>
    <row r="3449" spans="1:10" x14ac:dyDescent="0.25">
      <c r="A3449" s="1">
        <v>45366</v>
      </c>
      <c r="B3449" t="s">
        <v>25</v>
      </c>
      <c r="C3449" t="s">
        <v>19</v>
      </c>
      <c r="D3449" t="s">
        <v>12</v>
      </c>
      <c r="E3449" t="s">
        <v>112</v>
      </c>
      <c r="F3449" t="s">
        <v>63</v>
      </c>
      <c r="G3449" t="s">
        <v>28</v>
      </c>
      <c r="H3449">
        <v>3</v>
      </c>
      <c r="I3449">
        <v>177</v>
      </c>
      <c r="J3449">
        <v>43.41</v>
      </c>
    </row>
    <row r="3450" spans="1:10" x14ac:dyDescent="0.25">
      <c r="A3450" s="1">
        <v>44918</v>
      </c>
      <c r="B3450" t="s">
        <v>29</v>
      </c>
      <c r="C3450" t="s">
        <v>17</v>
      </c>
      <c r="D3450" t="s">
        <v>12</v>
      </c>
      <c r="E3450" t="s">
        <v>269</v>
      </c>
      <c r="F3450" t="s">
        <v>21</v>
      </c>
      <c r="G3450" t="s">
        <v>15</v>
      </c>
      <c r="H3450">
        <v>1</v>
      </c>
      <c r="I3450">
        <v>1086</v>
      </c>
      <c r="J3450">
        <v>161.05000000000001</v>
      </c>
    </row>
    <row r="3451" spans="1:10" x14ac:dyDescent="0.25">
      <c r="A3451" s="1">
        <v>45042</v>
      </c>
      <c r="B3451" t="s">
        <v>55</v>
      </c>
      <c r="C3451" t="s">
        <v>19</v>
      </c>
      <c r="D3451" t="s">
        <v>12</v>
      </c>
      <c r="E3451" t="s">
        <v>43</v>
      </c>
      <c r="F3451" t="s">
        <v>44</v>
      </c>
      <c r="G3451" t="s">
        <v>35</v>
      </c>
      <c r="H3451">
        <v>5</v>
      </c>
      <c r="I3451">
        <v>275</v>
      </c>
      <c r="J3451">
        <v>64.900000000000006</v>
      </c>
    </row>
    <row r="3452" spans="1:10" x14ac:dyDescent="0.25">
      <c r="A3452" s="1">
        <v>44910</v>
      </c>
      <c r="B3452" t="s">
        <v>16</v>
      </c>
      <c r="C3452" t="s">
        <v>17</v>
      </c>
      <c r="D3452" t="s">
        <v>12</v>
      </c>
      <c r="E3452" t="s">
        <v>270</v>
      </c>
      <c r="F3452" t="s">
        <v>54</v>
      </c>
      <c r="G3452" t="s">
        <v>24</v>
      </c>
      <c r="H3452">
        <v>1</v>
      </c>
      <c r="I3452">
        <v>564</v>
      </c>
      <c r="J3452">
        <v>164.5</v>
      </c>
    </row>
    <row r="3453" spans="1:10" x14ac:dyDescent="0.25">
      <c r="A3453" s="1">
        <v>45517</v>
      </c>
      <c r="B3453" t="s">
        <v>49</v>
      </c>
      <c r="C3453" t="s">
        <v>17</v>
      </c>
      <c r="D3453" t="s">
        <v>12</v>
      </c>
      <c r="E3453" t="s">
        <v>52</v>
      </c>
      <c r="F3453" t="s">
        <v>42</v>
      </c>
      <c r="G3453" t="s">
        <v>28</v>
      </c>
      <c r="H3453">
        <v>2</v>
      </c>
      <c r="I3453">
        <v>684</v>
      </c>
      <c r="J3453">
        <v>71.39</v>
      </c>
    </row>
    <row r="3454" spans="1:10" x14ac:dyDescent="0.25">
      <c r="A3454" s="1">
        <v>45219</v>
      </c>
      <c r="B3454" t="s">
        <v>55</v>
      </c>
      <c r="C3454" t="s">
        <v>19</v>
      </c>
      <c r="D3454" t="s">
        <v>12</v>
      </c>
      <c r="E3454" t="s">
        <v>52</v>
      </c>
      <c r="F3454" t="s">
        <v>42</v>
      </c>
      <c r="G3454" t="s">
        <v>28</v>
      </c>
      <c r="H3454">
        <v>4</v>
      </c>
      <c r="I3454">
        <v>2656</v>
      </c>
      <c r="J3454">
        <v>687.63</v>
      </c>
    </row>
    <row r="3455" spans="1:10" x14ac:dyDescent="0.25">
      <c r="A3455" s="1">
        <v>45485</v>
      </c>
      <c r="B3455" t="s">
        <v>55</v>
      </c>
      <c r="C3455" t="s">
        <v>19</v>
      </c>
      <c r="D3455" t="s">
        <v>12</v>
      </c>
      <c r="E3455" t="s">
        <v>90</v>
      </c>
      <c r="F3455" t="s">
        <v>63</v>
      </c>
      <c r="G3455" t="s">
        <v>28</v>
      </c>
      <c r="H3455">
        <v>5</v>
      </c>
      <c r="I3455">
        <v>1190</v>
      </c>
      <c r="J3455">
        <v>346.79</v>
      </c>
    </row>
    <row r="3456" spans="1:10" x14ac:dyDescent="0.25">
      <c r="A3456" s="1">
        <v>45627</v>
      </c>
      <c r="B3456" t="s">
        <v>10</v>
      </c>
      <c r="C3456" t="s">
        <v>11</v>
      </c>
      <c r="D3456" t="s">
        <v>12</v>
      </c>
      <c r="E3456" t="s">
        <v>105</v>
      </c>
      <c r="F3456" t="s">
        <v>23</v>
      </c>
      <c r="G3456" t="s">
        <v>24</v>
      </c>
      <c r="H3456">
        <v>6</v>
      </c>
      <c r="I3456">
        <v>4854</v>
      </c>
      <c r="J3456">
        <v>510.88</v>
      </c>
    </row>
    <row r="3457" spans="1:10" x14ac:dyDescent="0.25">
      <c r="A3457" s="1">
        <v>45336</v>
      </c>
      <c r="B3457" t="s">
        <v>10</v>
      </c>
      <c r="C3457" t="s">
        <v>11</v>
      </c>
      <c r="D3457" t="s">
        <v>12</v>
      </c>
      <c r="E3457" t="s">
        <v>105</v>
      </c>
      <c r="F3457" t="s">
        <v>23</v>
      </c>
      <c r="G3457" t="s">
        <v>24</v>
      </c>
      <c r="H3457">
        <v>5</v>
      </c>
      <c r="I3457">
        <v>1060</v>
      </c>
      <c r="J3457">
        <v>217.96</v>
      </c>
    </row>
    <row r="3458" spans="1:10" x14ac:dyDescent="0.25">
      <c r="A3458" s="1">
        <v>45535</v>
      </c>
      <c r="B3458" t="s">
        <v>55</v>
      </c>
      <c r="C3458" t="s">
        <v>19</v>
      </c>
      <c r="D3458" t="s">
        <v>12</v>
      </c>
      <c r="E3458" t="s">
        <v>52</v>
      </c>
      <c r="F3458" t="s">
        <v>42</v>
      </c>
      <c r="G3458" t="s">
        <v>28</v>
      </c>
      <c r="H3458">
        <v>3</v>
      </c>
      <c r="I3458">
        <v>1527</v>
      </c>
      <c r="J3458">
        <v>364.05</v>
      </c>
    </row>
    <row r="3459" spans="1:10" x14ac:dyDescent="0.25">
      <c r="A3459" s="1">
        <v>45218</v>
      </c>
      <c r="B3459" t="s">
        <v>16</v>
      </c>
      <c r="C3459" t="s">
        <v>17</v>
      </c>
      <c r="D3459" t="s">
        <v>12</v>
      </c>
      <c r="E3459" t="s">
        <v>195</v>
      </c>
      <c r="F3459" t="s">
        <v>83</v>
      </c>
      <c r="G3459" t="s">
        <v>28</v>
      </c>
      <c r="H3459">
        <v>4</v>
      </c>
      <c r="I3459">
        <v>1168</v>
      </c>
      <c r="J3459">
        <v>177.54</v>
      </c>
    </row>
    <row r="3460" spans="1:10" x14ac:dyDescent="0.25">
      <c r="A3460" s="1">
        <v>45032</v>
      </c>
      <c r="B3460" t="s">
        <v>18</v>
      </c>
      <c r="C3460" t="s">
        <v>19</v>
      </c>
      <c r="D3460" t="s">
        <v>12</v>
      </c>
      <c r="E3460" t="s">
        <v>37</v>
      </c>
      <c r="F3460" t="s">
        <v>34</v>
      </c>
      <c r="G3460" t="s">
        <v>35</v>
      </c>
      <c r="H3460">
        <v>8</v>
      </c>
      <c r="I3460">
        <v>6328</v>
      </c>
      <c r="J3460">
        <v>1257.81</v>
      </c>
    </row>
    <row r="3461" spans="1:10" x14ac:dyDescent="0.25">
      <c r="A3461" s="1">
        <v>45460</v>
      </c>
      <c r="B3461" t="s">
        <v>40</v>
      </c>
      <c r="C3461" t="s">
        <v>19</v>
      </c>
      <c r="D3461" t="s">
        <v>12</v>
      </c>
      <c r="E3461" t="s">
        <v>37</v>
      </c>
      <c r="F3461" t="s">
        <v>34</v>
      </c>
      <c r="G3461" t="s">
        <v>35</v>
      </c>
      <c r="H3461">
        <v>3</v>
      </c>
      <c r="I3461">
        <v>2193</v>
      </c>
      <c r="J3461">
        <v>477.95</v>
      </c>
    </row>
    <row r="3462" spans="1:10" x14ac:dyDescent="0.25">
      <c r="A3462" s="1">
        <v>45044</v>
      </c>
      <c r="B3462" t="s">
        <v>32</v>
      </c>
      <c r="C3462" t="s">
        <v>19</v>
      </c>
      <c r="D3462" t="s">
        <v>12</v>
      </c>
      <c r="E3462" t="s">
        <v>207</v>
      </c>
      <c r="F3462" t="s">
        <v>34</v>
      </c>
      <c r="G3462" t="s">
        <v>35</v>
      </c>
      <c r="H3462">
        <v>8</v>
      </c>
      <c r="I3462">
        <v>7600</v>
      </c>
      <c r="J3462">
        <v>1099.8800000000001</v>
      </c>
    </row>
    <row r="3463" spans="1:10" x14ac:dyDescent="0.25">
      <c r="A3463" s="1">
        <v>45000</v>
      </c>
      <c r="B3463" t="s">
        <v>10</v>
      </c>
      <c r="C3463" t="s">
        <v>11</v>
      </c>
      <c r="D3463" t="s">
        <v>12</v>
      </c>
      <c r="E3463" t="s">
        <v>56</v>
      </c>
      <c r="F3463" t="s">
        <v>57</v>
      </c>
      <c r="G3463" t="s">
        <v>24</v>
      </c>
      <c r="H3463">
        <v>9</v>
      </c>
      <c r="I3463">
        <v>1764</v>
      </c>
      <c r="J3463">
        <v>322.11</v>
      </c>
    </row>
    <row r="3464" spans="1:10" x14ac:dyDescent="0.25">
      <c r="A3464" s="1">
        <v>44701</v>
      </c>
      <c r="B3464" t="s">
        <v>49</v>
      </c>
      <c r="C3464" t="s">
        <v>17</v>
      </c>
      <c r="D3464" t="s">
        <v>12</v>
      </c>
      <c r="E3464" t="s">
        <v>26</v>
      </c>
      <c r="F3464" t="s">
        <v>27</v>
      </c>
      <c r="G3464" t="s">
        <v>28</v>
      </c>
      <c r="H3464">
        <v>2</v>
      </c>
      <c r="I3464">
        <v>1270</v>
      </c>
      <c r="J3464">
        <v>84.29</v>
      </c>
    </row>
    <row r="3465" spans="1:10" x14ac:dyDescent="0.25">
      <c r="A3465" s="1">
        <v>44947</v>
      </c>
      <c r="B3465" t="s">
        <v>18</v>
      </c>
      <c r="C3465" t="s">
        <v>19</v>
      </c>
      <c r="D3465" t="s">
        <v>12</v>
      </c>
      <c r="E3465" t="s">
        <v>64</v>
      </c>
      <c r="F3465" t="s">
        <v>46</v>
      </c>
      <c r="G3465" t="s">
        <v>15</v>
      </c>
      <c r="H3465">
        <v>1</v>
      </c>
      <c r="I3465">
        <v>607</v>
      </c>
      <c r="J3465">
        <v>33.770000000000003</v>
      </c>
    </row>
    <row r="3466" spans="1:10" x14ac:dyDescent="0.25">
      <c r="A3466" s="1">
        <v>45008</v>
      </c>
      <c r="B3466" t="s">
        <v>16</v>
      </c>
      <c r="C3466" t="s">
        <v>17</v>
      </c>
      <c r="D3466" t="s">
        <v>12</v>
      </c>
      <c r="E3466" t="s">
        <v>22</v>
      </c>
      <c r="F3466" t="s">
        <v>23</v>
      </c>
      <c r="G3466" t="s">
        <v>24</v>
      </c>
      <c r="H3466">
        <v>2</v>
      </c>
      <c r="I3466">
        <v>1672</v>
      </c>
      <c r="J3466">
        <v>469.64</v>
      </c>
    </row>
    <row r="3467" spans="1:10" x14ac:dyDescent="0.25">
      <c r="A3467" s="1">
        <v>45105</v>
      </c>
      <c r="B3467" t="s">
        <v>49</v>
      </c>
      <c r="C3467" t="s">
        <v>17</v>
      </c>
      <c r="D3467" t="s">
        <v>12</v>
      </c>
      <c r="E3467" t="s">
        <v>52</v>
      </c>
      <c r="F3467" t="s">
        <v>42</v>
      </c>
      <c r="G3467" t="s">
        <v>28</v>
      </c>
      <c r="H3467">
        <v>6</v>
      </c>
      <c r="I3467">
        <v>5718</v>
      </c>
      <c r="J3467">
        <v>1358.26</v>
      </c>
    </row>
    <row r="3468" spans="1:10" x14ac:dyDescent="0.25">
      <c r="A3468" s="1">
        <v>44681</v>
      </c>
      <c r="B3468" t="s">
        <v>29</v>
      </c>
      <c r="C3468" t="s">
        <v>17</v>
      </c>
      <c r="D3468" t="s">
        <v>12</v>
      </c>
      <c r="E3468" t="s">
        <v>105</v>
      </c>
      <c r="F3468" t="s">
        <v>23</v>
      </c>
      <c r="G3468" t="s">
        <v>24</v>
      </c>
      <c r="H3468">
        <v>8</v>
      </c>
      <c r="I3468">
        <v>584</v>
      </c>
      <c r="J3468">
        <v>107.27</v>
      </c>
    </row>
    <row r="3469" spans="1:10" x14ac:dyDescent="0.25">
      <c r="A3469" s="1">
        <v>45009</v>
      </c>
      <c r="B3469" t="s">
        <v>25</v>
      </c>
      <c r="C3469" t="s">
        <v>19</v>
      </c>
      <c r="D3469" t="s">
        <v>12</v>
      </c>
      <c r="E3469" t="s">
        <v>26</v>
      </c>
      <c r="F3469" t="s">
        <v>27</v>
      </c>
      <c r="G3469" t="s">
        <v>28</v>
      </c>
      <c r="H3469">
        <v>7</v>
      </c>
      <c r="I3469">
        <v>7455</v>
      </c>
      <c r="J3469">
        <v>966.64</v>
      </c>
    </row>
    <row r="3470" spans="1:10" x14ac:dyDescent="0.25">
      <c r="A3470" s="1">
        <v>44645</v>
      </c>
      <c r="B3470" t="s">
        <v>49</v>
      </c>
      <c r="C3470" t="s">
        <v>17</v>
      </c>
      <c r="D3470" t="s">
        <v>12</v>
      </c>
      <c r="E3470" t="s">
        <v>271</v>
      </c>
      <c r="F3470" t="s">
        <v>88</v>
      </c>
      <c r="G3470" t="s">
        <v>15</v>
      </c>
      <c r="H3470">
        <v>7</v>
      </c>
      <c r="I3470">
        <v>7679</v>
      </c>
      <c r="J3470">
        <v>2270.08</v>
      </c>
    </row>
    <row r="3471" spans="1:10" x14ac:dyDescent="0.25">
      <c r="A3471" s="1">
        <v>44714</v>
      </c>
      <c r="B3471" t="s">
        <v>18</v>
      </c>
      <c r="C3471" t="s">
        <v>19</v>
      </c>
      <c r="D3471" t="s">
        <v>12</v>
      </c>
      <c r="E3471" t="s">
        <v>105</v>
      </c>
      <c r="F3471" t="s">
        <v>23</v>
      </c>
      <c r="G3471" t="s">
        <v>24</v>
      </c>
      <c r="H3471">
        <v>7</v>
      </c>
      <c r="I3471">
        <v>847</v>
      </c>
      <c r="J3471">
        <v>154.05000000000001</v>
      </c>
    </row>
    <row r="3472" spans="1:10" x14ac:dyDescent="0.25">
      <c r="A3472" s="1">
        <v>44773</v>
      </c>
      <c r="B3472" t="s">
        <v>16</v>
      </c>
      <c r="C3472" t="s">
        <v>17</v>
      </c>
      <c r="D3472" t="s">
        <v>12</v>
      </c>
      <c r="E3472" t="s">
        <v>118</v>
      </c>
      <c r="F3472" t="s">
        <v>42</v>
      </c>
      <c r="G3472" t="s">
        <v>28</v>
      </c>
      <c r="H3472">
        <v>3</v>
      </c>
      <c r="I3472">
        <v>1278</v>
      </c>
      <c r="J3472">
        <v>178.78</v>
      </c>
    </row>
    <row r="3473" spans="1:10" x14ac:dyDescent="0.25">
      <c r="A3473" s="1">
        <v>45312</v>
      </c>
      <c r="B3473" t="s">
        <v>49</v>
      </c>
      <c r="C3473" t="s">
        <v>17</v>
      </c>
      <c r="D3473" t="s">
        <v>12</v>
      </c>
      <c r="E3473" t="s">
        <v>139</v>
      </c>
      <c r="F3473" t="s">
        <v>34</v>
      </c>
      <c r="G3473" t="s">
        <v>35</v>
      </c>
      <c r="H3473">
        <v>8</v>
      </c>
      <c r="I3473">
        <v>6592</v>
      </c>
      <c r="J3473">
        <v>1024.82</v>
      </c>
    </row>
    <row r="3474" spans="1:10" x14ac:dyDescent="0.25">
      <c r="A3474" s="1">
        <v>45182</v>
      </c>
      <c r="B3474" t="s">
        <v>36</v>
      </c>
      <c r="C3474" t="s">
        <v>17</v>
      </c>
      <c r="D3474" t="s">
        <v>12</v>
      </c>
      <c r="E3474" t="s">
        <v>47</v>
      </c>
      <c r="F3474" t="s">
        <v>46</v>
      </c>
      <c r="G3474" t="s">
        <v>15</v>
      </c>
      <c r="H3474">
        <v>8</v>
      </c>
      <c r="I3474">
        <v>3544</v>
      </c>
      <c r="J3474">
        <v>454.14</v>
      </c>
    </row>
    <row r="3475" spans="1:10" x14ac:dyDescent="0.25">
      <c r="A3475" s="1">
        <v>45279</v>
      </c>
      <c r="B3475" t="s">
        <v>25</v>
      </c>
      <c r="C3475" t="s">
        <v>19</v>
      </c>
      <c r="D3475" t="s">
        <v>12</v>
      </c>
      <c r="E3475" t="s">
        <v>52</v>
      </c>
      <c r="F3475" t="s">
        <v>42</v>
      </c>
      <c r="G3475" t="s">
        <v>28</v>
      </c>
      <c r="H3475">
        <v>3</v>
      </c>
      <c r="I3475">
        <v>1959</v>
      </c>
      <c r="J3475">
        <v>274.27</v>
      </c>
    </row>
    <row r="3476" spans="1:10" x14ac:dyDescent="0.25">
      <c r="A3476" s="1">
        <v>44775</v>
      </c>
      <c r="B3476" t="s">
        <v>16</v>
      </c>
      <c r="C3476" t="s">
        <v>17</v>
      </c>
      <c r="D3476" t="s">
        <v>12</v>
      </c>
      <c r="E3476" t="s">
        <v>43</v>
      </c>
      <c r="F3476" t="s">
        <v>44</v>
      </c>
      <c r="G3476" t="s">
        <v>35</v>
      </c>
      <c r="H3476">
        <v>6</v>
      </c>
      <c r="I3476">
        <v>3384</v>
      </c>
      <c r="J3476">
        <v>924.03</v>
      </c>
    </row>
    <row r="3477" spans="1:10" x14ac:dyDescent="0.25">
      <c r="A3477" s="1">
        <v>45255</v>
      </c>
      <c r="B3477" t="s">
        <v>40</v>
      </c>
      <c r="C3477" t="s">
        <v>19</v>
      </c>
      <c r="D3477" t="s">
        <v>12</v>
      </c>
      <c r="E3477" t="s">
        <v>184</v>
      </c>
      <c r="F3477" t="s">
        <v>23</v>
      </c>
      <c r="G3477" t="s">
        <v>24</v>
      </c>
      <c r="H3477">
        <v>1</v>
      </c>
      <c r="I3477">
        <v>307</v>
      </c>
      <c r="J3477">
        <v>50.2</v>
      </c>
    </row>
    <row r="3478" spans="1:10" x14ac:dyDescent="0.25">
      <c r="A3478" s="1">
        <v>44771</v>
      </c>
      <c r="B3478" t="s">
        <v>25</v>
      </c>
      <c r="C3478" t="s">
        <v>19</v>
      </c>
      <c r="D3478" t="s">
        <v>12</v>
      </c>
      <c r="E3478" t="s">
        <v>184</v>
      </c>
      <c r="F3478" t="s">
        <v>23</v>
      </c>
      <c r="G3478" t="s">
        <v>24</v>
      </c>
      <c r="H3478">
        <v>9</v>
      </c>
      <c r="I3478">
        <v>10017</v>
      </c>
      <c r="J3478">
        <v>1468.72</v>
      </c>
    </row>
    <row r="3479" spans="1:10" x14ac:dyDescent="0.25">
      <c r="A3479" s="1">
        <v>45600</v>
      </c>
      <c r="B3479" t="s">
        <v>18</v>
      </c>
      <c r="C3479" t="s">
        <v>19</v>
      </c>
      <c r="D3479" t="s">
        <v>12</v>
      </c>
      <c r="E3479" t="s">
        <v>272</v>
      </c>
      <c r="F3479" t="s">
        <v>84</v>
      </c>
      <c r="G3479" t="s">
        <v>28</v>
      </c>
      <c r="H3479">
        <v>7</v>
      </c>
      <c r="I3479">
        <v>7931</v>
      </c>
      <c r="J3479">
        <v>504.39</v>
      </c>
    </row>
    <row r="3480" spans="1:10" x14ac:dyDescent="0.25">
      <c r="A3480" s="1">
        <v>45585</v>
      </c>
      <c r="B3480" t="s">
        <v>55</v>
      </c>
      <c r="C3480" t="s">
        <v>19</v>
      </c>
      <c r="D3480" t="s">
        <v>12</v>
      </c>
      <c r="E3480" t="s">
        <v>105</v>
      </c>
      <c r="F3480" t="s">
        <v>23</v>
      </c>
      <c r="G3480" t="s">
        <v>24</v>
      </c>
      <c r="H3480">
        <v>2</v>
      </c>
      <c r="I3480">
        <v>1168</v>
      </c>
      <c r="J3480">
        <v>198.4</v>
      </c>
    </row>
    <row r="3481" spans="1:10" x14ac:dyDescent="0.25">
      <c r="A3481" s="1">
        <v>45370</v>
      </c>
      <c r="B3481" t="s">
        <v>40</v>
      </c>
      <c r="C3481" t="s">
        <v>19</v>
      </c>
      <c r="D3481" t="s">
        <v>12</v>
      </c>
      <c r="E3481" t="s">
        <v>273</v>
      </c>
      <c r="F3481" t="s">
        <v>83</v>
      </c>
      <c r="G3481" t="s">
        <v>28</v>
      </c>
      <c r="H3481">
        <v>9</v>
      </c>
      <c r="I3481">
        <v>9765</v>
      </c>
      <c r="J3481">
        <v>909.99</v>
      </c>
    </row>
    <row r="3482" spans="1:10" x14ac:dyDescent="0.25">
      <c r="A3482" s="1">
        <v>45190</v>
      </c>
      <c r="B3482" t="s">
        <v>18</v>
      </c>
      <c r="C3482" t="s">
        <v>19</v>
      </c>
      <c r="D3482" t="s">
        <v>12</v>
      </c>
      <c r="E3482" t="s">
        <v>52</v>
      </c>
      <c r="F3482" t="s">
        <v>42</v>
      </c>
      <c r="G3482" t="s">
        <v>28</v>
      </c>
      <c r="H3482">
        <v>8</v>
      </c>
      <c r="I3482">
        <v>1456</v>
      </c>
      <c r="J3482">
        <v>271.26</v>
      </c>
    </row>
    <row r="3483" spans="1:10" x14ac:dyDescent="0.25">
      <c r="A3483" s="1">
        <v>44906</v>
      </c>
      <c r="B3483" t="s">
        <v>40</v>
      </c>
      <c r="C3483" t="s">
        <v>19</v>
      </c>
      <c r="D3483" t="s">
        <v>12</v>
      </c>
      <c r="E3483" t="s">
        <v>37</v>
      </c>
      <c r="F3483" t="s">
        <v>34</v>
      </c>
      <c r="G3483" t="s">
        <v>35</v>
      </c>
      <c r="H3483">
        <v>5</v>
      </c>
      <c r="I3483">
        <v>950</v>
      </c>
      <c r="J3483">
        <v>61.9</v>
      </c>
    </row>
    <row r="3484" spans="1:10" x14ac:dyDescent="0.25">
      <c r="A3484" s="1">
        <v>44736</v>
      </c>
      <c r="B3484" t="s">
        <v>32</v>
      </c>
      <c r="C3484" t="s">
        <v>19</v>
      </c>
      <c r="D3484" t="s">
        <v>12</v>
      </c>
      <c r="E3484" t="s">
        <v>274</v>
      </c>
      <c r="F3484" t="s">
        <v>23</v>
      </c>
      <c r="G3484" t="s">
        <v>24</v>
      </c>
      <c r="H3484">
        <v>2</v>
      </c>
      <c r="I3484">
        <v>2314</v>
      </c>
      <c r="J3484">
        <v>600.76</v>
      </c>
    </row>
    <row r="3485" spans="1:10" x14ac:dyDescent="0.25">
      <c r="A3485" s="1">
        <v>45205</v>
      </c>
      <c r="B3485" t="s">
        <v>32</v>
      </c>
      <c r="C3485" t="s">
        <v>19</v>
      </c>
      <c r="D3485" t="s">
        <v>12</v>
      </c>
      <c r="E3485" t="s">
        <v>275</v>
      </c>
      <c r="F3485" t="s">
        <v>173</v>
      </c>
      <c r="G3485" t="s">
        <v>24</v>
      </c>
      <c r="H3485">
        <v>1</v>
      </c>
      <c r="I3485">
        <v>915</v>
      </c>
      <c r="J3485">
        <v>264.3</v>
      </c>
    </row>
    <row r="3486" spans="1:10" x14ac:dyDescent="0.25">
      <c r="A3486" s="1">
        <v>44901</v>
      </c>
      <c r="B3486" t="s">
        <v>55</v>
      </c>
      <c r="C3486" t="s">
        <v>19</v>
      </c>
      <c r="D3486" t="s">
        <v>12</v>
      </c>
      <c r="E3486" t="s">
        <v>276</v>
      </c>
      <c r="F3486" t="s">
        <v>42</v>
      </c>
      <c r="G3486" t="s">
        <v>28</v>
      </c>
      <c r="H3486">
        <v>1</v>
      </c>
      <c r="I3486">
        <v>290</v>
      </c>
      <c r="J3486">
        <v>61.14</v>
      </c>
    </row>
    <row r="3487" spans="1:10" x14ac:dyDescent="0.25">
      <c r="A3487" s="1">
        <v>44576</v>
      </c>
      <c r="B3487" t="s">
        <v>18</v>
      </c>
      <c r="C3487" t="s">
        <v>19</v>
      </c>
      <c r="D3487" t="s">
        <v>12</v>
      </c>
      <c r="E3487" t="s">
        <v>276</v>
      </c>
      <c r="F3487" t="s">
        <v>42</v>
      </c>
      <c r="G3487" t="s">
        <v>28</v>
      </c>
      <c r="H3487">
        <v>7</v>
      </c>
      <c r="I3487">
        <v>3584</v>
      </c>
      <c r="J3487">
        <v>940.88</v>
      </c>
    </row>
    <row r="3488" spans="1:10" x14ac:dyDescent="0.25">
      <c r="A3488" s="1">
        <v>45355</v>
      </c>
      <c r="B3488" t="s">
        <v>16</v>
      </c>
      <c r="C3488" t="s">
        <v>17</v>
      </c>
      <c r="D3488" t="s">
        <v>12</v>
      </c>
      <c r="E3488" t="s">
        <v>276</v>
      </c>
      <c r="F3488" t="s">
        <v>42</v>
      </c>
      <c r="G3488" t="s">
        <v>28</v>
      </c>
      <c r="H3488">
        <v>6</v>
      </c>
      <c r="I3488">
        <v>1254</v>
      </c>
      <c r="J3488">
        <v>205.57</v>
      </c>
    </row>
    <row r="3489" spans="1:10" x14ac:dyDescent="0.25">
      <c r="A3489" s="1">
        <v>44950</v>
      </c>
      <c r="B3489" t="s">
        <v>55</v>
      </c>
      <c r="C3489" t="s">
        <v>19</v>
      </c>
      <c r="D3489" t="s">
        <v>12</v>
      </c>
      <c r="E3489" t="s">
        <v>26</v>
      </c>
      <c r="F3489" t="s">
        <v>27</v>
      </c>
      <c r="G3489" t="s">
        <v>28</v>
      </c>
      <c r="H3489">
        <v>5</v>
      </c>
      <c r="I3489">
        <v>2410</v>
      </c>
      <c r="J3489">
        <v>636.83000000000004</v>
      </c>
    </row>
    <row r="3490" spans="1:10" x14ac:dyDescent="0.25">
      <c r="A3490" s="1">
        <v>45200</v>
      </c>
      <c r="B3490" t="s">
        <v>10</v>
      </c>
      <c r="C3490" t="s">
        <v>11</v>
      </c>
      <c r="D3490" t="s">
        <v>12</v>
      </c>
      <c r="E3490" t="s">
        <v>52</v>
      </c>
      <c r="F3490" t="s">
        <v>42</v>
      </c>
      <c r="G3490" t="s">
        <v>28</v>
      </c>
      <c r="H3490">
        <v>2</v>
      </c>
      <c r="I3490">
        <v>800</v>
      </c>
      <c r="J3490">
        <v>118.68</v>
      </c>
    </row>
    <row r="3491" spans="1:10" x14ac:dyDescent="0.25">
      <c r="A3491" s="1">
        <v>44740</v>
      </c>
      <c r="B3491" t="s">
        <v>32</v>
      </c>
      <c r="C3491" t="s">
        <v>19</v>
      </c>
      <c r="D3491" t="s">
        <v>12</v>
      </c>
      <c r="E3491" t="s">
        <v>192</v>
      </c>
      <c r="F3491" t="s">
        <v>149</v>
      </c>
      <c r="G3491" t="s">
        <v>15</v>
      </c>
      <c r="H3491">
        <v>5</v>
      </c>
      <c r="I3491">
        <v>990</v>
      </c>
      <c r="J3491">
        <v>87.61</v>
      </c>
    </row>
    <row r="3492" spans="1:10" x14ac:dyDescent="0.25">
      <c r="A3492" s="1">
        <v>45060</v>
      </c>
      <c r="B3492" t="s">
        <v>55</v>
      </c>
      <c r="C3492" t="s">
        <v>19</v>
      </c>
      <c r="D3492" t="s">
        <v>12</v>
      </c>
      <c r="E3492" t="s">
        <v>277</v>
      </c>
      <c r="F3492" t="s">
        <v>44</v>
      </c>
      <c r="G3492" t="s">
        <v>35</v>
      </c>
      <c r="H3492">
        <v>9</v>
      </c>
      <c r="I3492">
        <v>9702</v>
      </c>
      <c r="J3492">
        <v>2771.49</v>
      </c>
    </row>
    <row r="3493" spans="1:10" x14ac:dyDescent="0.25">
      <c r="A3493" s="1">
        <v>45173</v>
      </c>
      <c r="B3493" t="s">
        <v>49</v>
      </c>
      <c r="C3493" t="s">
        <v>17</v>
      </c>
      <c r="D3493" t="s">
        <v>12</v>
      </c>
      <c r="E3493" t="s">
        <v>37</v>
      </c>
      <c r="F3493" t="s">
        <v>34</v>
      </c>
      <c r="G3493" t="s">
        <v>35</v>
      </c>
      <c r="H3493">
        <v>8</v>
      </c>
      <c r="I3493">
        <v>5888</v>
      </c>
      <c r="J3493">
        <v>354.27</v>
      </c>
    </row>
    <row r="3494" spans="1:10" x14ac:dyDescent="0.25">
      <c r="A3494" s="1">
        <v>45189</v>
      </c>
      <c r="B3494" t="s">
        <v>18</v>
      </c>
      <c r="C3494" t="s">
        <v>19</v>
      </c>
      <c r="D3494" t="s">
        <v>12</v>
      </c>
      <c r="E3494" t="s">
        <v>75</v>
      </c>
      <c r="F3494" t="s">
        <v>63</v>
      </c>
      <c r="G3494" t="s">
        <v>28</v>
      </c>
      <c r="H3494">
        <v>4</v>
      </c>
      <c r="I3494">
        <v>1768</v>
      </c>
      <c r="J3494">
        <v>345.33</v>
      </c>
    </row>
    <row r="3495" spans="1:10" x14ac:dyDescent="0.25">
      <c r="A3495" s="1">
        <v>44713</v>
      </c>
      <c r="B3495" t="s">
        <v>29</v>
      </c>
      <c r="C3495" t="s">
        <v>17</v>
      </c>
      <c r="D3495" t="s">
        <v>12</v>
      </c>
      <c r="E3495" t="s">
        <v>75</v>
      </c>
      <c r="F3495" t="s">
        <v>63</v>
      </c>
      <c r="G3495" t="s">
        <v>28</v>
      </c>
      <c r="H3495">
        <v>2</v>
      </c>
      <c r="I3495">
        <v>1022</v>
      </c>
      <c r="J3495">
        <v>76.040000000000006</v>
      </c>
    </row>
    <row r="3496" spans="1:10" x14ac:dyDescent="0.25">
      <c r="A3496" s="1">
        <v>45263</v>
      </c>
      <c r="B3496" t="s">
        <v>18</v>
      </c>
      <c r="C3496" t="s">
        <v>19</v>
      </c>
      <c r="D3496" t="s">
        <v>12</v>
      </c>
      <c r="E3496" t="s">
        <v>75</v>
      </c>
      <c r="F3496" t="s">
        <v>63</v>
      </c>
      <c r="G3496" t="s">
        <v>28</v>
      </c>
      <c r="H3496">
        <v>3</v>
      </c>
      <c r="I3496">
        <v>2883</v>
      </c>
      <c r="J3496">
        <v>671.91</v>
      </c>
    </row>
    <row r="3497" spans="1:10" x14ac:dyDescent="0.25">
      <c r="A3497" s="1">
        <v>44972</v>
      </c>
      <c r="B3497" t="s">
        <v>36</v>
      </c>
      <c r="C3497" t="s">
        <v>17</v>
      </c>
      <c r="D3497" t="s">
        <v>12</v>
      </c>
      <c r="E3497" t="s">
        <v>52</v>
      </c>
      <c r="F3497" t="s">
        <v>42</v>
      </c>
      <c r="G3497" t="s">
        <v>28</v>
      </c>
      <c r="H3497">
        <v>4</v>
      </c>
      <c r="I3497">
        <v>4064</v>
      </c>
      <c r="J3497">
        <v>771.16</v>
      </c>
    </row>
    <row r="3498" spans="1:10" x14ac:dyDescent="0.25">
      <c r="A3498" s="1">
        <v>44822</v>
      </c>
      <c r="B3498" t="s">
        <v>36</v>
      </c>
      <c r="C3498" t="s">
        <v>17</v>
      </c>
      <c r="D3498" t="s">
        <v>12</v>
      </c>
      <c r="E3498" t="s">
        <v>278</v>
      </c>
      <c r="F3498" t="s">
        <v>122</v>
      </c>
      <c r="G3498" t="s">
        <v>35</v>
      </c>
      <c r="H3498">
        <v>1</v>
      </c>
      <c r="I3498">
        <v>1117</v>
      </c>
      <c r="J3498">
        <v>119.89</v>
      </c>
    </row>
    <row r="3499" spans="1:10" x14ac:dyDescent="0.25">
      <c r="A3499" s="1">
        <v>44663</v>
      </c>
      <c r="B3499" t="s">
        <v>55</v>
      </c>
      <c r="C3499" t="s">
        <v>19</v>
      </c>
      <c r="D3499" t="s">
        <v>12</v>
      </c>
      <c r="E3499" t="s">
        <v>123</v>
      </c>
      <c r="F3499" t="s">
        <v>63</v>
      </c>
      <c r="G3499" t="s">
        <v>28</v>
      </c>
      <c r="H3499">
        <v>4</v>
      </c>
      <c r="I3499">
        <v>260</v>
      </c>
      <c r="J3499">
        <v>66.02</v>
      </c>
    </row>
    <row r="3500" spans="1:10" x14ac:dyDescent="0.25">
      <c r="A3500" s="1">
        <v>44579</v>
      </c>
      <c r="B3500" t="s">
        <v>10</v>
      </c>
      <c r="C3500" t="s">
        <v>11</v>
      </c>
      <c r="D3500" t="s">
        <v>12</v>
      </c>
      <c r="E3500" t="s">
        <v>279</v>
      </c>
      <c r="F3500" t="s">
        <v>23</v>
      </c>
      <c r="G3500" t="s">
        <v>24</v>
      </c>
      <c r="H3500">
        <v>3</v>
      </c>
      <c r="I3500">
        <v>222</v>
      </c>
      <c r="J3500">
        <v>50.28</v>
      </c>
    </row>
    <row r="3501" spans="1:10" x14ac:dyDescent="0.25">
      <c r="A3501" s="1">
        <v>45597</v>
      </c>
      <c r="B3501" t="s">
        <v>32</v>
      </c>
      <c r="C3501" t="s">
        <v>19</v>
      </c>
      <c r="D3501" t="s">
        <v>12</v>
      </c>
      <c r="E3501" t="s">
        <v>43</v>
      </c>
      <c r="F3501" t="s">
        <v>44</v>
      </c>
      <c r="G3501" t="s">
        <v>35</v>
      </c>
      <c r="H3501">
        <v>9</v>
      </c>
      <c r="I3501">
        <v>10530</v>
      </c>
      <c r="J3501">
        <v>1777.32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N82"/>
  <sheetViews>
    <sheetView topLeftCell="A27" workbookViewId="0">
      <selection activeCell="I33" sqref="I33"/>
    </sheetView>
  </sheetViews>
  <sheetFormatPr defaultRowHeight="15" x14ac:dyDescent="0.25"/>
  <cols>
    <col min="1" max="1" width="11.28515625" bestFit="1" customWidth="1"/>
    <col min="2" max="2" width="18.7109375" bestFit="1" customWidth="1"/>
    <col min="3" max="3" width="12.140625" bestFit="1" customWidth="1"/>
    <col min="4" max="4" width="15.42578125" bestFit="1" customWidth="1"/>
    <col min="5" max="5" width="12.5703125" bestFit="1" customWidth="1"/>
    <col min="9" max="9" width="13.140625" bestFit="1" customWidth="1"/>
    <col min="10" max="10" width="12.140625" bestFit="1" customWidth="1"/>
    <col min="11" max="11" width="11.85546875" customWidth="1"/>
    <col min="12" max="12" width="11.85546875" bestFit="1" customWidth="1"/>
    <col min="13" max="13" width="9.42578125" bestFit="1" customWidth="1"/>
  </cols>
  <sheetData>
    <row r="4" spans="2:14" x14ac:dyDescent="0.25">
      <c r="B4" t="s">
        <v>446</v>
      </c>
      <c r="C4" t="s">
        <v>447</v>
      </c>
      <c r="D4" t="s">
        <v>448</v>
      </c>
      <c r="I4" s="11" t="s">
        <v>466</v>
      </c>
      <c r="J4" s="11"/>
      <c r="K4" s="11"/>
      <c r="L4" s="11"/>
      <c r="M4" s="11"/>
    </row>
    <row r="5" spans="2:14" x14ac:dyDescent="0.25">
      <c r="B5" s="12">
        <v>10667881</v>
      </c>
      <c r="C5" s="12">
        <v>17261</v>
      </c>
      <c r="D5" s="12">
        <v>1844665.2099999993</v>
      </c>
      <c r="J5" t="s">
        <v>470</v>
      </c>
      <c r="K5" t="s">
        <v>471</v>
      </c>
      <c r="L5" t="s">
        <v>472</v>
      </c>
      <c r="M5" t="s">
        <v>473</v>
      </c>
    </row>
    <row r="6" spans="2:14" x14ac:dyDescent="0.25">
      <c r="I6" s="6" t="s">
        <v>467</v>
      </c>
      <c r="J6" s="5">
        <f>GETPIVOTDATA("Sum of Sales",$B$4)</f>
        <v>10667881</v>
      </c>
      <c r="K6" s="5">
        <f>GETPIVOTDATA("Sum of Sales",$B$8,"Years",2024)</f>
        <v>3625319</v>
      </c>
      <c r="L6" s="5">
        <f>GETPIVOTDATA("Sum of Sales",$B$8,"Years",2023)</f>
        <v>3786592</v>
      </c>
      <c r="M6" s="8">
        <f>(K6-L6)/L6</f>
        <v>-4.2590540517700351E-2</v>
      </c>
      <c r="N6" t="str">
        <f>IF(M6&gt;0,"▲","▼")&amp;TEXT(ABS(M6),"0.0%")&amp;" YoY"</f>
        <v>▼4.3% YoY</v>
      </c>
    </row>
    <row r="7" spans="2:14" x14ac:dyDescent="0.25">
      <c r="I7" s="6" t="s">
        <v>468</v>
      </c>
      <c r="J7" s="7">
        <f>GETPIVOTDATA("Sum of Quantity",$B$4)</f>
        <v>17261</v>
      </c>
      <c r="K7" s="7">
        <f>GETPIVOTDATA("Sum of Quantity",$B$8,"Years",2024)</f>
        <v>5949</v>
      </c>
      <c r="L7" s="7">
        <f>GETPIVOTDATA("Sum of Quantity",$B$8,"Years",2023)</f>
        <v>5925</v>
      </c>
      <c r="M7" s="8">
        <f t="shared" ref="M7:M8" si="0">(K7-L7)/L7</f>
        <v>4.0506329113924053E-3</v>
      </c>
      <c r="N7" t="str">
        <f t="shared" ref="N7:N8" si="1">IF(M7&gt;0,"▲","▼")&amp;TEXT(ABS(M7),"0.0%")&amp;" YoY"</f>
        <v>▲0.4% YoY</v>
      </c>
    </row>
    <row r="8" spans="2:14" x14ac:dyDescent="0.25">
      <c r="B8" s="2" t="s">
        <v>449</v>
      </c>
      <c r="C8" t="s">
        <v>446</v>
      </c>
      <c r="D8" t="s">
        <v>447</v>
      </c>
      <c r="E8" t="s">
        <v>448</v>
      </c>
      <c r="I8" s="6" t="s">
        <v>469</v>
      </c>
      <c r="J8" s="5">
        <f>GETPIVOTDATA("Sum of Profit",$B$4)</f>
        <v>1844665.2099999993</v>
      </c>
      <c r="K8" s="5">
        <f>GETPIVOTDATA("Sum of Profit",$B$8,"Years",2024)</f>
        <v>604941.80999999994</v>
      </c>
      <c r="L8" s="5">
        <f>GETPIVOTDATA("Sum of Profit",$B$8,"Years",2023)</f>
        <v>666866.42000000039</v>
      </c>
      <c r="M8" s="8">
        <f t="shared" si="0"/>
        <v>-9.2859091630375409E-2</v>
      </c>
      <c r="N8" t="str">
        <f t="shared" si="1"/>
        <v>▼9.3% YoY</v>
      </c>
    </row>
    <row r="9" spans="2:14" x14ac:dyDescent="0.25">
      <c r="B9" s="4" t="s">
        <v>451</v>
      </c>
      <c r="C9" s="5">
        <v>3255970</v>
      </c>
      <c r="D9" s="7">
        <v>5387</v>
      </c>
      <c r="E9" s="5">
        <v>572856.98000000045</v>
      </c>
    </row>
    <row r="10" spans="2:14" x14ac:dyDescent="0.25">
      <c r="B10" s="4" t="s">
        <v>464</v>
      </c>
      <c r="C10" s="5">
        <v>3786592</v>
      </c>
      <c r="D10" s="7">
        <v>5925</v>
      </c>
      <c r="E10" s="5">
        <v>666866.42000000039</v>
      </c>
    </row>
    <row r="11" spans="2:14" x14ac:dyDescent="0.25">
      <c r="B11" s="4" t="s">
        <v>465</v>
      </c>
      <c r="C11" s="5">
        <v>3625319</v>
      </c>
      <c r="D11" s="7">
        <v>5949</v>
      </c>
      <c r="E11" s="5">
        <v>604941.80999999994</v>
      </c>
    </row>
    <row r="12" spans="2:14" x14ac:dyDescent="0.25">
      <c r="B12" s="4" t="s">
        <v>450</v>
      </c>
      <c r="C12" s="5">
        <v>10667881</v>
      </c>
      <c r="D12" s="7">
        <v>17261</v>
      </c>
      <c r="E12" s="5">
        <v>1844665.2100000009</v>
      </c>
    </row>
    <row r="14" spans="2:14" x14ac:dyDescent="0.25">
      <c r="B14" s="4" t="s">
        <v>474</v>
      </c>
      <c r="I14" t="s">
        <v>475</v>
      </c>
    </row>
    <row r="15" spans="2:14" x14ac:dyDescent="0.25">
      <c r="B15" t="str">
        <f>"Peak Sales Month: " &amp; INDEX(B17:B28, MATCH(MAX(C17:C28), C17:C28, 0)) &amp; " with " &amp; TEXT(MAX(C17:C28), "$#,##0") &amp; " in Sales"</f>
        <v>Peak Sales Month: May with $1,034,687 in Sales</v>
      </c>
      <c r="I15" t="str">
        <f>"Top Selling City: " &amp; INDEX(I17:I21, MATCH(MAX(J17:J21), J17:J21, 0)) &amp; " (" &amp; TEXT(MAX(J17:J21), "#,##0") &amp; ")"</f>
        <v>Top Selling City: New York City (1,004,712)</v>
      </c>
    </row>
    <row r="16" spans="2:14" x14ac:dyDescent="0.25">
      <c r="B16" s="2" t="s">
        <v>449</v>
      </c>
      <c r="C16" t="s">
        <v>446</v>
      </c>
      <c r="I16" s="2" t="s">
        <v>449</v>
      </c>
      <c r="J16" t="s">
        <v>446</v>
      </c>
      <c r="M16">
        <f>MAX(L17:L21)*1.2</f>
        <v>1205654.3999999999</v>
      </c>
    </row>
    <row r="17" spans="2:13" x14ac:dyDescent="0.25">
      <c r="B17" s="3" t="s">
        <v>452</v>
      </c>
      <c r="C17" s="5">
        <v>967614</v>
      </c>
      <c r="I17" s="4" t="s">
        <v>22</v>
      </c>
      <c r="J17" s="5">
        <v>753214</v>
      </c>
      <c r="K17" s="4" t="s">
        <v>22</v>
      </c>
      <c r="L17" s="5">
        <v>753214</v>
      </c>
      <c r="M17" s="5">
        <f>$M$16-L17</f>
        <v>452440.39999999991</v>
      </c>
    </row>
    <row r="18" spans="2:13" x14ac:dyDescent="0.25">
      <c r="B18" s="3" t="s">
        <v>453</v>
      </c>
      <c r="C18" s="5">
        <v>702414</v>
      </c>
      <c r="I18" s="4" t="s">
        <v>52</v>
      </c>
      <c r="J18" s="5">
        <v>1004712</v>
      </c>
      <c r="K18" s="4" t="s">
        <v>52</v>
      </c>
      <c r="L18" s="5">
        <v>1004712</v>
      </c>
      <c r="M18" s="5">
        <f t="shared" ref="M18:M21" si="2">$M$16-L18</f>
        <v>200942.39999999991</v>
      </c>
    </row>
    <row r="19" spans="2:13" x14ac:dyDescent="0.25">
      <c r="B19" s="3" t="s">
        <v>454</v>
      </c>
      <c r="C19" s="5">
        <v>939614</v>
      </c>
      <c r="I19" s="4" t="s">
        <v>26</v>
      </c>
      <c r="J19" s="5">
        <v>557526</v>
      </c>
      <c r="K19" s="4" t="s">
        <v>26</v>
      </c>
      <c r="L19" s="5">
        <v>557526</v>
      </c>
      <c r="M19" s="5">
        <f t="shared" si="2"/>
        <v>648128.39999999991</v>
      </c>
    </row>
    <row r="20" spans="2:13" x14ac:dyDescent="0.25">
      <c r="B20" s="3" t="s">
        <v>455</v>
      </c>
      <c r="C20" s="5">
        <v>821876</v>
      </c>
      <c r="I20" s="4" t="s">
        <v>74</v>
      </c>
      <c r="J20" s="5">
        <v>512276</v>
      </c>
      <c r="K20" s="4" t="s">
        <v>74</v>
      </c>
      <c r="L20" s="5">
        <v>512276</v>
      </c>
      <c r="M20" s="5">
        <f t="shared" si="2"/>
        <v>693378.39999999991</v>
      </c>
    </row>
    <row r="21" spans="2:13" x14ac:dyDescent="0.25">
      <c r="B21" s="3" t="s">
        <v>456</v>
      </c>
      <c r="C21" s="5">
        <v>1034687</v>
      </c>
      <c r="I21" s="4" t="s">
        <v>56</v>
      </c>
      <c r="J21" s="5">
        <v>472121</v>
      </c>
      <c r="K21" s="4" t="s">
        <v>56</v>
      </c>
      <c r="L21" s="5">
        <v>472121</v>
      </c>
      <c r="M21" s="5">
        <f t="shared" si="2"/>
        <v>733533.39999999991</v>
      </c>
    </row>
    <row r="22" spans="2:13" x14ac:dyDescent="0.25">
      <c r="B22" s="3" t="s">
        <v>457</v>
      </c>
      <c r="C22" s="5">
        <v>839805</v>
      </c>
      <c r="I22" s="4" t="s">
        <v>450</v>
      </c>
      <c r="J22" s="5">
        <v>3299849</v>
      </c>
      <c r="M22" s="9"/>
    </row>
    <row r="23" spans="2:13" x14ac:dyDescent="0.25">
      <c r="B23" s="3" t="s">
        <v>458</v>
      </c>
      <c r="C23" s="5">
        <v>844940</v>
      </c>
    </row>
    <row r="24" spans="2:13" x14ac:dyDescent="0.25">
      <c r="B24" s="3" t="s">
        <v>459</v>
      </c>
      <c r="C24" s="5">
        <v>924939</v>
      </c>
      <c r="I24" s="4" t="s">
        <v>478</v>
      </c>
    </row>
    <row r="25" spans="2:13" x14ac:dyDescent="0.25">
      <c r="B25" s="3" t="s">
        <v>460</v>
      </c>
      <c r="C25" s="5">
        <v>885546</v>
      </c>
      <c r="I25" t="str">
        <f>"Highest Sales from Category: "&amp;INDEX(I27:I29,MATCH(MAX(J27:J29),J27:J29,0))&amp;" ("&amp;TEXT(MAX(J27:J29),"$#,##0")&amp;")"</f>
        <v>Highest Sales from Category: Electronics ($5,326,074)</v>
      </c>
    </row>
    <row r="26" spans="2:13" x14ac:dyDescent="0.25">
      <c r="B26" s="3" t="s">
        <v>461</v>
      </c>
      <c r="C26" s="5">
        <v>892269</v>
      </c>
      <c r="I26" s="2" t="s">
        <v>449</v>
      </c>
      <c r="J26" t="s">
        <v>446</v>
      </c>
      <c r="M26">
        <f>MAX(L27:L29)*1.2</f>
        <v>6391288.7999999998</v>
      </c>
    </row>
    <row r="27" spans="2:13" x14ac:dyDescent="0.25">
      <c r="B27" s="3" t="s">
        <v>462</v>
      </c>
      <c r="C27" s="5">
        <v>855075</v>
      </c>
      <c r="I27" s="4" t="s">
        <v>17</v>
      </c>
      <c r="J27" s="5">
        <v>4247591</v>
      </c>
      <c r="K27" s="4" t="s">
        <v>17</v>
      </c>
      <c r="L27" s="5">
        <v>4247591</v>
      </c>
      <c r="M27" s="5">
        <f>$M$26-L27</f>
        <v>2143697.7999999998</v>
      </c>
    </row>
    <row r="28" spans="2:13" x14ac:dyDescent="0.25">
      <c r="B28" s="3" t="s">
        <v>463</v>
      </c>
      <c r="C28" s="5">
        <v>959102</v>
      </c>
      <c r="I28" s="4" t="s">
        <v>19</v>
      </c>
      <c r="J28" s="5">
        <v>5326074</v>
      </c>
      <c r="K28" s="4" t="s">
        <v>19</v>
      </c>
      <c r="L28" s="5">
        <v>5326074</v>
      </c>
      <c r="M28" s="5">
        <f t="shared" ref="M28:M29" si="3">$M$26-L28</f>
        <v>1065214.7999999998</v>
      </c>
    </row>
    <row r="29" spans="2:13" x14ac:dyDescent="0.25">
      <c r="B29" s="3" t="s">
        <v>450</v>
      </c>
      <c r="C29" s="5">
        <v>10667881</v>
      </c>
      <c r="I29" s="4" t="s">
        <v>11</v>
      </c>
      <c r="J29" s="5">
        <v>1094216</v>
      </c>
      <c r="K29" s="4" t="s">
        <v>11</v>
      </c>
      <c r="L29" s="5">
        <v>1094216</v>
      </c>
      <c r="M29" s="5">
        <f t="shared" si="3"/>
        <v>5297072.8</v>
      </c>
    </row>
    <row r="30" spans="2:13" x14ac:dyDescent="0.25">
      <c r="I30" s="4" t="s">
        <v>450</v>
      </c>
      <c r="J30" s="5">
        <v>10667881</v>
      </c>
      <c r="M30" s="9"/>
    </row>
    <row r="31" spans="2:13" x14ac:dyDescent="0.25">
      <c r="B31" s="3" t="s">
        <v>476</v>
      </c>
    </row>
    <row r="32" spans="2:13" x14ac:dyDescent="0.25">
      <c r="I32" s="4" t="s">
        <v>479</v>
      </c>
    </row>
    <row r="33" spans="2:10" x14ac:dyDescent="0.25">
      <c r="B33" s="2" t="s">
        <v>449</v>
      </c>
      <c r="C33" t="s">
        <v>446</v>
      </c>
      <c r="D33" t="s">
        <v>477</v>
      </c>
      <c r="E33" t="s">
        <v>467</v>
      </c>
      <c r="I33" t="str">
        <f>"Top Product: " &amp; INDEX(I35:I39, MATCH(MAX(J35:J39), J35:J39, 0)) &amp; " (" &amp; TEXT(MAX(J35:J39), "#,##0") &amp; ")"</f>
        <v>Top Product: Camera (1,177,381)</v>
      </c>
    </row>
    <row r="34" spans="2:10" x14ac:dyDescent="0.25">
      <c r="B34" s="4" t="s">
        <v>168</v>
      </c>
      <c r="C34" s="5">
        <v>48694</v>
      </c>
      <c r="D34" s="4" t="s">
        <v>168</v>
      </c>
      <c r="E34" s="5">
        <v>48694</v>
      </c>
      <c r="I34" s="2" t="s">
        <v>449</v>
      </c>
      <c r="J34" t="s">
        <v>446</v>
      </c>
    </row>
    <row r="35" spans="2:10" x14ac:dyDescent="0.25">
      <c r="B35" s="4" t="s">
        <v>94</v>
      </c>
      <c r="C35" s="5">
        <v>278521</v>
      </c>
      <c r="D35" s="4" t="s">
        <v>94</v>
      </c>
      <c r="E35" s="5">
        <v>278521</v>
      </c>
      <c r="I35" s="4" t="s">
        <v>25</v>
      </c>
      <c r="J35" s="10">
        <v>1177381</v>
      </c>
    </row>
    <row r="36" spans="2:10" x14ac:dyDescent="0.25">
      <c r="B36" s="4" t="s">
        <v>152</v>
      </c>
      <c r="C36" s="5">
        <v>32617</v>
      </c>
      <c r="D36" s="4" t="s">
        <v>152</v>
      </c>
      <c r="E36" s="5">
        <v>32617</v>
      </c>
      <c r="I36" s="4" t="s">
        <v>36</v>
      </c>
      <c r="J36" s="10">
        <v>1160048</v>
      </c>
    </row>
    <row r="37" spans="2:10" x14ac:dyDescent="0.25">
      <c r="B37" s="4" t="s">
        <v>23</v>
      </c>
      <c r="C37" s="5">
        <v>2137246</v>
      </c>
      <c r="D37" s="4" t="s">
        <v>23</v>
      </c>
      <c r="E37" s="5">
        <v>2137246</v>
      </c>
      <c r="I37" s="4" t="s">
        <v>16</v>
      </c>
      <c r="J37" s="10">
        <v>1074398</v>
      </c>
    </row>
    <row r="38" spans="2:10" x14ac:dyDescent="0.25">
      <c r="B38" s="4" t="s">
        <v>54</v>
      </c>
      <c r="C38" s="5">
        <v>259894</v>
      </c>
      <c r="D38" s="4" t="s">
        <v>54</v>
      </c>
      <c r="E38" s="5">
        <v>259894</v>
      </c>
      <c r="I38" s="4" t="s">
        <v>10</v>
      </c>
      <c r="J38" s="10">
        <v>1094216</v>
      </c>
    </row>
    <row r="39" spans="2:10" x14ac:dyDescent="0.25">
      <c r="B39" s="4" t="s">
        <v>83</v>
      </c>
      <c r="C39" s="5">
        <v>66987</v>
      </c>
      <c r="D39" s="4" t="s">
        <v>83</v>
      </c>
      <c r="E39" s="5">
        <v>66987</v>
      </c>
      <c r="I39" s="4" t="s">
        <v>40</v>
      </c>
      <c r="J39" s="10">
        <v>1069681</v>
      </c>
    </row>
    <row r="40" spans="2:10" x14ac:dyDescent="0.25">
      <c r="B40" s="4" t="s">
        <v>59</v>
      </c>
      <c r="C40" s="5">
        <v>98220</v>
      </c>
      <c r="D40" s="4" t="s">
        <v>59</v>
      </c>
      <c r="E40" s="5">
        <v>98220</v>
      </c>
      <c r="I40" s="4" t="s">
        <v>450</v>
      </c>
      <c r="J40" s="10">
        <v>5575724</v>
      </c>
    </row>
    <row r="41" spans="2:10" x14ac:dyDescent="0.25">
      <c r="B41" s="4" t="s">
        <v>142</v>
      </c>
      <c r="C41" s="5">
        <v>37427</v>
      </c>
      <c r="D41" s="4" t="s">
        <v>142</v>
      </c>
      <c r="E41" s="5">
        <v>37427</v>
      </c>
    </row>
    <row r="42" spans="2:10" x14ac:dyDescent="0.25">
      <c r="B42" s="4" t="s">
        <v>21</v>
      </c>
      <c r="C42" s="5">
        <v>378231</v>
      </c>
      <c r="D42" s="4" t="s">
        <v>21</v>
      </c>
      <c r="E42" s="5">
        <v>378231</v>
      </c>
      <c r="I42" s="4" t="s">
        <v>480</v>
      </c>
    </row>
    <row r="43" spans="2:10" x14ac:dyDescent="0.25">
      <c r="B43" s="4" t="s">
        <v>108</v>
      </c>
      <c r="C43" s="5">
        <v>157041</v>
      </c>
      <c r="D43" s="4" t="s">
        <v>108</v>
      </c>
      <c r="E43" s="5">
        <v>157041</v>
      </c>
      <c r="I43" t="str">
        <f>"Top Region: " &amp; INDEX(I45:I48, MATCH(MAX(J45:J48), J45:J48, 0)) &amp; " (" &amp; TEXT(MAX(J45:J48), "#,##0") &amp; ")"</f>
        <v>Top Region: West (3,463,500)</v>
      </c>
    </row>
    <row r="44" spans="2:10" x14ac:dyDescent="0.25">
      <c r="B44" s="4" t="s">
        <v>267</v>
      </c>
      <c r="C44" s="5">
        <v>25231</v>
      </c>
      <c r="D44" s="4" t="s">
        <v>267</v>
      </c>
      <c r="E44" s="5">
        <v>25231</v>
      </c>
      <c r="I44" s="2" t="s">
        <v>449</v>
      </c>
      <c r="J44" t="s">
        <v>446</v>
      </c>
    </row>
    <row r="45" spans="2:10" x14ac:dyDescent="0.25">
      <c r="B45" s="4" t="s">
        <v>44</v>
      </c>
      <c r="C45" s="5">
        <v>692884</v>
      </c>
      <c r="D45" s="4" t="s">
        <v>44</v>
      </c>
      <c r="E45" s="5">
        <v>692884</v>
      </c>
      <c r="I45" s="4" t="s">
        <v>35</v>
      </c>
      <c r="J45" s="10">
        <v>2524508</v>
      </c>
    </row>
    <row r="46" spans="2:10" x14ac:dyDescent="0.25">
      <c r="B46" s="4" t="s">
        <v>39</v>
      </c>
      <c r="C46" s="5">
        <v>119067</v>
      </c>
      <c r="D46" s="4" t="s">
        <v>39</v>
      </c>
      <c r="E46" s="5">
        <v>119067</v>
      </c>
      <c r="I46" s="4" t="s">
        <v>28</v>
      </c>
      <c r="J46" s="10">
        <v>3138435</v>
      </c>
    </row>
    <row r="47" spans="2:10" x14ac:dyDescent="0.25">
      <c r="B47" s="4" t="s">
        <v>122</v>
      </c>
      <c r="C47" s="5">
        <v>17068</v>
      </c>
      <c r="D47" s="4" t="s">
        <v>122</v>
      </c>
      <c r="E47" s="5">
        <v>17068</v>
      </c>
      <c r="I47" s="4" t="s">
        <v>15</v>
      </c>
      <c r="J47" s="10">
        <v>1541438</v>
      </c>
    </row>
    <row r="48" spans="2:10" x14ac:dyDescent="0.25">
      <c r="B48" s="4" t="s">
        <v>343</v>
      </c>
      <c r="C48" s="5">
        <v>12606</v>
      </c>
      <c r="D48" s="4" t="s">
        <v>343</v>
      </c>
      <c r="E48" s="5">
        <v>12606</v>
      </c>
      <c r="I48" s="4" t="s">
        <v>24</v>
      </c>
      <c r="J48" s="10">
        <v>3463500</v>
      </c>
    </row>
    <row r="49" spans="2:10" x14ac:dyDescent="0.25">
      <c r="B49" s="4" t="s">
        <v>14</v>
      </c>
      <c r="C49" s="5">
        <v>137764</v>
      </c>
      <c r="D49" s="4" t="s">
        <v>14</v>
      </c>
      <c r="E49" s="5">
        <v>137764</v>
      </c>
      <c r="I49" s="4" t="s">
        <v>450</v>
      </c>
      <c r="J49" s="10">
        <v>10667881</v>
      </c>
    </row>
    <row r="50" spans="2:10" x14ac:dyDescent="0.25">
      <c r="B50" s="4" t="s">
        <v>183</v>
      </c>
      <c r="C50" s="5">
        <v>69604</v>
      </c>
      <c r="D50" s="4" t="s">
        <v>183</v>
      </c>
      <c r="E50" s="5">
        <v>69604</v>
      </c>
    </row>
    <row r="51" spans="2:10" x14ac:dyDescent="0.25">
      <c r="B51" s="4" t="s">
        <v>218</v>
      </c>
      <c r="C51" s="5">
        <v>702</v>
      </c>
      <c r="D51" s="4" t="s">
        <v>218</v>
      </c>
      <c r="E51" s="5">
        <v>702</v>
      </c>
    </row>
    <row r="52" spans="2:10" x14ac:dyDescent="0.25">
      <c r="B52" s="4" t="s">
        <v>156</v>
      </c>
      <c r="C52" s="5">
        <v>128965</v>
      </c>
      <c r="D52" s="4" t="s">
        <v>156</v>
      </c>
      <c r="E52" s="5">
        <v>128965</v>
      </c>
    </row>
    <row r="53" spans="2:10" x14ac:dyDescent="0.25">
      <c r="B53" s="4" t="s">
        <v>84</v>
      </c>
      <c r="C53" s="5">
        <v>207513</v>
      </c>
      <c r="D53" s="4" t="s">
        <v>84</v>
      </c>
      <c r="E53" s="5">
        <v>207513</v>
      </c>
    </row>
    <row r="54" spans="2:10" x14ac:dyDescent="0.25">
      <c r="B54" s="4" t="s">
        <v>71</v>
      </c>
      <c r="C54" s="5">
        <v>206814</v>
      </c>
      <c r="D54" s="4" t="s">
        <v>71</v>
      </c>
      <c r="E54" s="5">
        <v>206814</v>
      </c>
    </row>
    <row r="55" spans="2:10" x14ac:dyDescent="0.25">
      <c r="B55" s="4" t="s">
        <v>51</v>
      </c>
      <c r="C55" s="5">
        <v>60020</v>
      </c>
      <c r="D55" s="4" t="s">
        <v>51</v>
      </c>
      <c r="E55" s="5">
        <v>60020</v>
      </c>
    </row>
    <row r="56" spans="2:10" x14ac:dyDescent="0.25">
      <c r="B56" s="4" t="s">
        <v>88</v>
      </c>
      <c r="C56" s="5">
        <v>27376</v>
      </c>
      <c r="D56" s="4" t="s">
        <v>88</v>
      </c>
      <c r="E56" s="5">
        <v>27376</v>
      </c>
    </row>
    <row r="57" spans="2:10" x14ac:dyDescent="0.25">
      <c r="B57" s="4" t="s">
        <v>100</v>
      </c>
      <c r="C57" s="5">
        <v>77773</v>
      </c>
      <c r="D57" s="4" t="s">
        <v>100</v>
      </c>
      <c r="E57" s="5">
        <v>77773</v>
      </c>
    </row>
    <row r="58" spans="2:10" x14ac:dyDescent="0.25">
      <c r="B58" s="4" t="s">
        <v>394</v>
      </c>
      <c r="C58" s="5">
        <v>4251</v>
      </c>
      <c r="D58" s="4" t="s">
        <v>394</v>
      </c>
      <c r="E58" s="5">
        <v>4251</v>
      </c>
    </row>
    <row r="59" spans="2:10" x14ac:dyDescent="0.25">
      <c r="B59" s="4" t="s">
        <v>126</v>
      </c>
      <c r="C59" s="5">
        <v>26435</v>
      </c>
      <c r="D59" s="4" t="s">
        <v>126</v>
      </c>
      <c r="E59" s="5">
        <v>26435</v>
      </c>
    </row>
    <row r="60" spans="2:10" x14ac:dyDescent="0.25">
      <c r="B60" s="4" t="s">
        <v>173</v>
      </c>
      <c r="C60" s="5">
        <v>43630</v>
      </c>
      <c r="D60" s="4" t="s">
        <v>173</v>
      </c>
      <c r="E60" s="5">
        <v>43630</v>
      </c>
    </row>
    <row r="61" spans="2:10" x14ac:dyDescent="0.25">
      <c r="B61" s="4" t="s">
        <v>133</v>
      </c>
      <c r="C61" s="5">
        <v>25188</v>
      </c>
      <c r="D61" s="4" t="s">
        <v>133</v>
      </c>
      <c r="E61" s="5">
        <v>25188</v>
      </c>
    </row>
    <row r="62" spans="2:10" x14ac:dyDescent="0.25">
      <c r="B62" s="4" t="s">
        <v>78</v>
      </c>
      <c r="C62" s="5">
        <v>127287</v>
      </c>
      <c r="D62" s="4" t="s">
        <v>78</v>
      </c>
      <c r="E62" s="5">
        <v>127287</v>
      </c>
    </row>
    <row r="63" spans="2:10" x14ac:dyDescent="0.25">
      <c r="B63" s="4" t="s">
        <v>227</v>
      </c>
      <c r="C63" s="5">
        <v>4530</v>
      </c>
      <c r="D63" s="4" t="s">
        <v>227</v>
      </c>
      <c r="E63" s="5">
        <v>4530</v>
      </c>
    </row>
    <row r="64" spans="2:10" x14ac:dyDescent="0.25">
      <c r="B64" s="4" t="s">
        <v>42</v>
      </c>
      <c r="C64" s="5">
        <v>1234383</v>
      </c>
      <c r="D64" s="4" t="s">
        <v>42</v>
      </c>
      <c r="E64" s="5">
        <v>1234383</v>
      </c>
    </row>
    <row r="65" spans="2:5" x14ac:dyDescent="0.25">
      <c r="B65" s="4" t="s">
        <v>149</v>
      </c>
      <c r="C65" s="5">
        <v>205391</v>
      </c>
      <c r="D65" s="4" t="s">
        <v>149</v>
      </c>
      <c r="E65" s="5">
        <v>205391</v>
      </c>
    </row>
    <row r="66" spans="2:5" x14ac:dyDescent="0.25">
      <c r="B66" s="4" t="s">
        <v>63</v>
      </c>
      <c r="C66" s="5">
        <v>473264</v>
      </c>
      <c r="D66" s="4" t="s">
        <v>63</v>
      </c>
      <c r="E66" s="5">
        <v>473264</v>
      </c>
    </row>
    <row r="67" spans="2:5" x14ac:dyDescent="0.25">
      <c r="B67" s="4" t="s">
        <v>191</v>
      </c>
      <c r="C67" s="5">
        <v>68333</v>
      </c>
      <c r="D67" s="4" t="s">
        <v>191</v>
      </c>
      <c r="E67" s="5">
        <v>68333</v>
      </c>
    </row>
    <row r="68" spans="2:5" x14ac:dyDescent="0.25">
      <c r="B68" s="4" t="s">
        <v>189</v>
      </c>
      <c r="C68" s="5">
        <v>115533</v>
      </c>
      <c r="D68" s="4" t="s">
        <v>189</v>
      </c>
      <c r="E68" s="5">
        <v>115533</v>
      </c>
    </row>
    <row r="69" spans="2:5" x14ac:dyDescent="0.25">
      <c r="B69" s="4" t="s">
        <v>27</v>
      </c>
      <c r="C69" s="5">
        <v>653408</v>
      </c>
      <c r="D69" s="4" t="s">
        <v>27</v>
      </c>
      <c r="E69" s="5">
        <v>653408</v>
      </c>
    </row>
    <row r="70" spans="2:5" x14ac:dyDescent="0.25">
      <c r="B70" s="4" t="s">
        <v>200</v>
      </c>
      <c r="C70" s="5">
        <v>61467</v>
      </c>
      <c r="D70" s="4" t="s">
        <v>200</v>
      </c>
      <c r="E70" s="5">
        <v>61467</v>
      </c>
    </row>
    <row r="71" spans="2:5" x14ac:dyDescent="0.25">
      <c r="B71" s="4" t="s">
        <v>48</v>
      </c>
      <c r="C71" s="5">
        <v>17913</v>
      </c>
      <c r="D71" s="4" t="s">
        <v>48</v>
      </c>
      <c r="E71" s="5">
        <v>17913</v>
      </c>
    </row>
    <row r="72" spans="2:5" x14ac:dyDescent="0.25">
      <c r="B72" s="4" t="s">
        <v>222</v>
      </c>
      <c r="C72" s="5">
        <v>14249</v>
      </c>
      <c r="D72" s="4" t="s">
        <v>222</v>
      </c>
      <c r="E72" s="5">
        <v>14249</v>
      </c>
    </row>
    <row r="73" spans="2:5" x14ac:dyDescent="0.25">
      <c r="B73" s="4" t="s">
        <v>46</v>
      </c>
      <c r="C73" s="5">
        <v>208775</v>
      </c>
      <c r="D73" s="4" t="s">
        <v>46</v>
      </c>
      <c r="E73" s="5">
        <v>208775</v>
      </c>
    </row>
    <row r="74" spans="2:5" x14ac:dyDescent="0.25">
      <c r="B74" s="4" t="s">
        <v>34</v>
      </c>
      <c r="C74" s="5">
        <v>1080031</v>
      </c>
      <c r="D74" s="4" t="s">
        <v>34</v>
      </c>
      <c r="E74" s="5">
        <v>1080031</v>
      </c>
    </row>
    <row r="75" spans="2:5" x14ac:dyDescent="0.25">
      <c r="B75" s="4" t="s">
        <v>31</v>
      </c>
      <c r="C75" s="5">
        <v>33396</v>
      </c>
      <c r="D75" s="4" t="s">
        <v>31</v>
      </c>
      <c r="E75" s="5">
        <v>33396</v>
      </c>
    </row>
    <row r="76" spans="2:5" x14ac:dyDescent="0.25">
      <c r="B76" s="4" t="s">
        <v>339</v>
      </c>
      <c r="C76" s="5">
        <v>22192</v>
      </c>
      <c r="D76" s="4" t="s">
        <v>339</v>
      </c>
      <c r="E76" s="5">
        <v>22192</v>
      </c>
    </row>
    <row r="77" spans="2:5" x14ac:dyDescent="0.25">
      <c r="B77" s="4" t="s">
        <v>115</v>
      </c>
      <c r="C77" s="5">
        <v>258032</v>
      </c>
      <c r="D77" s="4" t="s">
        <v>115</v>
      </c>
      <c r="E77" s="5">
        <v>258032</v>
      </c>
    </row>
    <row r="78" spans="2:5" x14ac:dyDescent="0.25">
      <c r="B78" s="4" t="s">
        <v>57</v>
      </c>
      <c r="C78" s="5">
        <v>561002</v>
      </c>
      <c r="D78" s="4" t="s">
        <v>57</v>
      </c>
      <c r="E78" s="5">
        <v>561002</v>
      </c>
    </row>
    <row r="79" spans="2:5" x14ac:dyDescent="0.25">
      <c r="B79" s="4" t="s">
        <v>438</v>
      </c>
      <c r="C79" s="5">
        <v>1432</v>
      </c>
      <c r="D79" s="4" t="s">
        <v>438</v>
      </c>
      <c r="E79" s="5">
        <v>1432</v>
      </c>
    </row>
    <row r="80" spans="2:5" x14ac:dyDescent="0.25">
      <c r="B80" s="4" t="s">
        <v>65</v>
      </c>
      <c r="C80" s="5">
        <v>149228</v>
      </c>
      <c r="D80" s="4" t="s">
        <v>65</v>
      </c>
      <c r="E80" s="5">
        <v>149228</v>
      </c>
    </row>
    <row r="81" spans="2:5" x14ac:dyDescent="0.25">
      <c r="B81" s="4" t="s">
        <v>360</v>
      </c>
      <c r="C81" s="5">
        <v>266</v>
      </c>
      <c r="D81" s="4" t="s">
        <v>360</v>
      </c>
      <c r="E81" s="5">
        <v>266</v>
      </c>
    </row>
    <row r="82" spans="2:5" x14ac:dyDescent="0.25">
      <c r="B82" s="4" t="s">
        <v>450</v>
      </c>
      <c r="C82" s="5">
        <v>10667881</v>
      </c>
    </row>
  </sheetData>
  <mergeCells count="1">
    <mergeCell ref="I4:M4"/>
  </mergeCells>
  <pageMargins left="0.7" right="0.7" top="0.75" bottom="0.75" header="0.3" footer="0.3"/>
  <pageSetup orientation="portrait" verticalDpi="0"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tabSelected="1" topLeftCell="A4" zoomScale="65" zoomScaleNormal="65" workbookViewId="0">
      <selection activeCell="AC13" sqref="AC1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5A978A-410D-4798-8A55-5C561616F4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17</vt:i4>
      </vt:variant>
    </vt:vector>
  </HeadingPairs>
  <TitlesOfParts>
    <vt:vector size="20" baseType="lpstr">
      <vt:lpstr>dataset</vt:lpstr>
      <vt:lpstr>calculation</vt:lpstr>
      <vt:lpstr>dashboard</vt:lpstr>
      <vt:lpstr>cy_profit_</vt:lpstr>
      <vt:lpstr>cy_quantity_</vt:lpstr>
      <vt:lpstr>cy_sales_</vt:lpstr>
      <vt:lpstr>profit_</vt:lpstr>
      <vt:lpstr>py_profit_</vt:lpstr>
      <vt:lpstr>py_quantity_</vt:lpstr>
      <vt:lpstr>py_sales_</vt:lpstr>
      <vt:lpstr>quantity_</vt:lpstr>
      <vt:lpstr>sales_</vt:lpstr>
      <vt:lpstr>sales_by_category</vt:lpstr>
      <vt:lpstr>sales_trend</vt:lpstr>
      <vt:lpstr>top_product</vt:lpstr>
      <vt:lpstr>top_region</vt:lpstr>
      <vt:lpstr>top_selling_cities</vt:lpstr>
      <vt:lpstr>yoy_profit_</vt:lpstr>
      <vt:lpstr>yoy_quantity_</vt:lpstr>
      <vt:lpstr>yoy_sales_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Emeka Anyanwu</cp:lastModifiedBy>
  <dcterms:created xsi:type="dcterms:W3CDTF">2026-03-20T09:15:30Z</dcterms:created>
  <dcterms:modified xsi:type="dcterms:W3CDTF">2026-04-06T14:28:04Z</dcterms:modified>
</cp:coreProperties>
</file>